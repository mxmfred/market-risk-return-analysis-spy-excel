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/>
  <mc:AlternateContent xmlns:mc="http://schemas.openxmlformats.org/markup-compatibility/2006">
    <mc:Choice Requires="x15">
      <x15ac:absPath xmlns:x15ac="http://schemas.microsoft.com/office/spreadsheetml/2010/11/ac" url="C:\Users\24028025114276\Downloads\"/>
    </mc:Choice>
  </mc:AlternateContent>
  <xr:revisionPtr revIDLastSave="0" documentId="8_{42A42C6D-B323-4E7F-B047-2BCBD42621D0}" xr6:coauthVersionLast="47" xr6:coauthVersionMax="47" xr10:uidLastSave="{00000000-0000-0000-0000-000000000000}"/>
  <bookViews>
    <workbookView xWindow="10515" yWindow="3255" windowWidth="17970" windowHeight="11955" firstSheet="2" activeTab="1" xr2:uid="{00000000-000D-0000-FFFF-FFFF00000000}"/>
  </bookViews>
  <sheets>
    <sheet name="Table" sheetId="1" r:id="rId1"/>
    <sheet name="Summary" sheetId="2" r:id="rId2"/>
    <sheet name="AAPL" sheetId="3" r:id="rId3"/>
    <sheet name="MSFT" sheetId="4" r:id="rId4"/>
    <sheet name="NVDA" sheetId="5" r:id="rId5"/>
    <sheet name="JPM" sheetId="6" r:id="rId6"/>
    <sheet name="BAC" sheetId="7" r:id="rId7"/>
    <sheet name="KO" sheetId="8" r:id="rId8"/>
    <sheet name="SPY" sheetId="9" r:id="rId9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" i="9" l="1"/>
  <c r="A1" i="8"/>
  <c r="A1" i="7"/>
  <c r="A1" i="6"/>
  <c r="A1" i="5"/>
  <c r="A1" i="4"/>
  <c r="A1" i="3"/>
  <c r="B1775" i="9"/>
  <c r="A1775" i="9"/>
  <c r="B1774" i="9"/>
  <c r="A1774" i="9"/>
  <c r="B1773" i="9"/>
  <c r="A1773" i="9"/>
  <c r="B1772" i="9"/>
  <c r="A1772" i="9"/>
  <c r="B1771" i="9"/>
  <c r="A1771" i="9"/>
  <c r="B1770" i="9"/>
  <c r="A1770" i="9"/>
  <c r="B1769" i="9"/>
  <c r="A1769" i="9"/>
  <c r="B1768" i="9"/>
  <c r="A1768" i="9"/>
  <c r="B1767" i="9"/>
  <c r="A1767" i="9"/>
  <c r="B1766" i="9"/>
  <c r="A1766" i="9"/>
  <c r="B1765" i="9"/>
  <c r="A1765" i="9"/>
  <c r="B1764" i="9"/>
  <c r="A1764" i="9"/>
  <c r="B1763" i="9"/>
  <c r="A1763" i="9"/>
  <c r="B1762" i="9"/>
  <c r="A1762" i="9"/>
  <c r="B1761" i="9"/>
  <c r="A1761" i="9"/>
  <c r="B1760" i="9"/>
  <c r="A1760" i="9"/>
  <c r="B1759" i="9"/>
  <c r="A1759" i="9"/>
  <c r="B1758" i="9"/>
  <c r="A1758" i="9"/>
  <c r="B1757" i="9"/>
  <c r="A1757" i="9"/>
  <c r="B1756" i="9"/>
  <c r="A1756" i="9"/>
  <c r="B1755" i="9"/>
  <c r="A1755" i="9"/>
  <c r="B1754" i="9"/>
  <c r="A1754" i="9"/>
  <c r="B1753" i="9"/>
  <c r="A1753" i="9"/>
  <c r="B1752" i="9"/>
  <c r="A1752" i="9"/>
  <c r="B1751" i="9"/>
  <c r="A1751" i="9"/>
  <c r="B1750" i="9"/>
  <c r="A1750" i="9"/>
  <c r="B1749" i="9"/>
  <c r="A1749" i="9"/>
  <c r="B1748" i="9"/>
  <c r="A1748" i="9"/>
  <c r="B1747" i="9"/>
  <c r="A1747" i="9"/>
  <c r="B1746" i="9"/>
  <c r="A1746" i="9"/>
  <c r="B1745" i="9"/>
  <c r="A1745" i="9"/>
  <c r="B1744" i="9"/>
  <c r="A1744" i="9"/>
  <c r="B1743" i="9"/>
  <c r="A1743" i="9"/>
  <c r="B1742" i="9"/>
  <c r="A1742" i="9"/>
  <c r="B1741" i="9"/>
  <c r="A1741" i="9"/>
  <c r="B1740" i="9"/>
  <c r="A1740" i="9"/>
  <c r="B1739" i="9"/>
  <c r="A1739" i="9"/>
  <c r="B1738" i="9"/>
  <c r="A1738" i="9"/>
  <c r="B1737" i="9"/>
  <c r="A1737" i="9"/>
  <c r="B1736" i="9"/>
  <c r="A1736" i="9"/>
  <c r="B1735" i="9"/>
  <c r="A1735" i="9"/>
  <c r="B1734" i="9"/>
  <c r="A1734" i="9"/>
  <c r="B1733" i="9"/>
  <c r="A1733" i="9"/>
  <c r="B1732" i="9"/>
  <c r="A1732" i="9"/>
  <c r="B1731" i="9"/>
  <c r="A1731" i="9"/>
  <c r="B1730" i="9"/>
  <c r="A1730" i="9"/>
  <c r="B1729" i="9"/>
  <c r="A1729" i="9"/>
  <c r="B1728" i="9"/>
  <c r="A1728" i="9"/>
  <c r="B1727" i="9"/>
  <c r="A1727" i="9"/>
  <c r="B1726" i="9"/>
  <c r="A1726" i="9"/>
  <c r="B1725" i="9"/>
  <c r="A1725" i="9"/>
  <c r="B1724" i="9"/>
  <c r="A1724" i="9"/>
  <c r="B1723" i="9"/>
  <c r="A1723" i="9"/>
  <c r="B1722" i="9"/>
  <c r="A1722" i="9"/>
  <c r="B1721" i="9"/>
  <c r="A1721" i="9"/>
  <c r="B1720" i="9"/>
  <c r="A1720" i="9"/>
  <c r="B1719" i="9"/>
  <c r="A1719" i="9"/>
  <c r="B1718" i="9"/>
  <c r="A1718" i="9"/>
  <c r="B1717" i="9"/>
  <c r="A1717" i="9"/>
  <c r="B1716" i="9"/>
  <c r="A1716" i="9"/>
  <c r="B1715" i="9"/>
  <c r="A1715" i="9"/>
  <c r="B1714" i="9"/>
  <c r="A1714" i="9"/>
  <c r="B1713" i="9"/>
  <c r="A1713" i="9"/>
  <c r="B1712" i="9"/>
  <c r="A1712" i="9"/>
  <c r="B1711" i="9"/>
  <c r="A1711" i="9"/>
  <c r="B1710" i="9"/>
  <c r="A1710" i="9"/>
  <c r="B1709" i="9"/>
  <c r="A1709" i="9"/>
  <c r="B1708" i="9"/>
  <c r="A1708" i="9"/>
  <c r="B1707" i="9"/>
  <c r="A1707" i="9"/>
  <c r="B1706" i="9"/>
  <c r="A1706" i="9"/>
  <c r="B1705" i="9"/>
  <c r="A1705" i="9"/>
  <c r="B1704" i="9"/>
  <c r="A1704" i="9"/>
  <c r="B1703" i="9"/>
  <c r="A1703" i="9"/>
  <c r="B1702" i="9"/>
  <c r="A1702" i="9"/>
  <c r="B1701" i="9"/>
  <c r="A1701" i="9"/>
  <c r="B1700" i="9"/>
  <c r="A1700" i="9"/>
  <c r="B1699" i="9"/>
  <c r="A1699" i="9"/>
  <c r="B1698" i="9"/>
  <c r="A1698" i="9"/>
  <c r="B1697" i="9"/>
  <c r="A1697" i="9"/>
  <c r="B1696" i="9"/>
  <c r="A1696" i="9"/>
  <c r="B1695" i="9"/>
  <c r="A1695" i="9"/>
  <c r="B1694" i="9"/>
  <c r="A1694" i="9"/>
  <c r="B1693" i="9"/>
  <c r="A1693" i="9"/>
  <c r="B1692" i="9"/>
  <c r="A1692" i="9"/>
  <c r="B1691" i="9"/>
  <c r="A1691" i="9"/>
  <c r="B1690" i="9"/>
  <c r="A1690" i="9"/>
  <c r="B1689" i="9"/>
  <c r="A1689" i="9"/>
  <c r="B1688" i="9"/>
  <c r="A1688" i="9"/>
  <c r="B1687" i="9"/>
  <c r="A1687" i="9"/>
  <c r="B1686" i="9"/>
  <c r="A1686" i="9"/>
  <c r="B1685" i="9"/>
  <c r="A1685" i="9"/>
  <c r="B1684" i="9"/>
  <c r="A1684" i="9"/>
  <c r="B1683" i="9"/>
  <c r="A1683" i="9"/>
  <c r="B1682" i="9"/>
  <c r="A1682" i="9"/>
  <c r="B1681" i="9"/>
  <c r="A1681" i="9"/>
  <c r="B1680" i="9"/>
  <c r="A1680" i="9"/>
  <c r="B1679" i="9"/>
  <c r="A1679" i="9"/>
  <c r="B1678" i="9"/>
  <c r="A1678" i="9"/>
  <c r="B1677" i="9"/>
  <c r="A1677" i="9"/>
  <c r="B1676" i="9"/>
  <c r="A1676" i="9"/>
  <c r="B1675" i="9"/>
  <c r="A1675" i="9"/>
  <c r="B1674" i="9"/>
  <c r="A1674" i="9"/>
  <c r="B1673" i="9"/>
  <c r="A1673" i="9"/>
  <c r="B1672" i="9"/>
  <c r="A1672" i="9"/>
  <c r="B1671" i="9"/>
  <c r="A1671" i="9"/>
  <c r="B1670" i="9"/>
  <c r="A1670" i="9"/>
  <c r="B1669" i="9"/>
  <c r="A1669" i="9"/>
  <c r="B1668" i="9"/>
  <c r="A1668" i="9"/>
  <c r="B1667" i="9"/>
  <c r="A1667" i="9"/>
  <c r="B1666" i="9"/>
  <c r="A1666" i="9"/>
  <c r="B1665" i="9"/>
  <c r="A1665" i="9"/>
  <c r="B1664" i="9"/>
  <c r="A1664" i="9"/>
  <c r="B1663" i="9"/>
  <c r="A1663" i="9"/>
  <c r="B1662" i="9"/>
  <c r="A1662" i="9"/>
  <c r="B1661" i="9"/>
  <c r="A1661" i="9"/>
  <c r="B1660" i="9"/>
  <c r="A1660" i="9"/>
  <c r="B1659" i="9"/>
  <c r="A1659" i="9"/>
  <c r="B1658" i="9"/>
  <c r="A1658" i="9"/>
  <c r="B1657" i="9"/>
  <c r="A1657" i="9"/>
  <c r="B1656" i="9"/>
  <c r="A1656" i="9"/>
  <c r="B1655" i="9"/>
  <c r="A1655" i="9"/>
  <c r="B1654" i="9"/>
  <c r="A1654" i="9"/>
  <c r="B1653" i="9"/>
  <c r="A1653" i="9"/>
  <c r="B1652" i="9"/>
  <c r="A1652" i="9"/>
  <c r="B1651" i="9"/>
  <c r="A1651" i="9"/>
  <c r="B1650" i="9"/>
  <c r="A1650" i="9"/>
  <c r="B1649" i="9"/>
  <c r="A1649" i="9"/>
  <c r="B1648" i="9"/>
  <c r="A1648" i="9"/>
  <c r="B1647" i="9"/>
  <c r="A1647" i="9"/>
  <c r="B1646" i="9"/>
  <c r="A1646" i="9"/>
  <c r="B1645" i="9"/>
  <c r="A1645" i="9"/>
  <c r="B1644" i="9"/>
  <c r="A1644" i="9"/>
  <c r="B1643" i="9"/>
  <c r="A1643" i="9"/>
  <c r="B1642" i="9"/>
  <c r="A1642" i="9"/>
  <c r="B1641" i="9"/>
  <c r="A1641" i="9"/>
  <c r="B1640" i="9"/>
  <c r="A1640" i="9"/>
  <c r="B1639" i="9"/>
  <c r="A1639" i="9"/>
  <c r="B1638" i="9"/>
  <c r="A1638" i="9"/>
  <c r="B1637" i="9"/>
  <c r="A1637" i="9"/>
  <c r="B1636" i="9"/>
  <c r="A1636" i="9"/>
  <c r="B1635" i="9"/>
  <c r="A1635" i="9"/>
  <c r="B1634" i="9"/>
  <c r="A1634" i="9"/>
  <c r="B1633" i="9"/>
  <c r="A1633" i="9"/>
  <c r="B1632" i="9"/>
  <c r="A1632" i="9"/>
  <c r="B1631" i="9"/>
  <c r="A1631" i="9"/>
  <c r="B1630" i="9"/>
  <c r="A1630" i="9"/>
  <c r="B1629" i="9"/>
  <c r="A1629" i="9"/>
  <c r="B1628" i="9"/>
  <c r="A1628" i="9"/>
  <c r="B1627" i="9"/>
  <c r="A1627" i="9"/>
  <c r="B1626" i="9"/>
  <c r="A1626" i="9"/>
  <c r="B1625" i="9"/>
  <c r="A1625" i="9"/>
  <c r="B1624" i="9"/>
  <c r="A1624" i="9"/>
  <c r="B1623" i="9"/>
  <c r="A1623" i="9"/>
  <c r="B1622" i="9"/>
  <c r="A1622" i="9"/>
  <c r="B1621" i="9"/>
  <c r="A1621" i="9"/>
  <c r="B1620" i="9"/>
  <c r="A1620" i="9"/>
  <c r="B1619" i="9"/>
  <c r="A1619" i="9"/>
  <c r="B1618" i="9"/>
  <c r="A1618" i="9"/>
  <c r="B1617" i="9"/>
  <c r="A1617" i="9"/>
  <c r="B1616" i="9"/>
  <c r="A1616" i="9"/>
  <c r="B1615" i="9"/>
  <c r="A1615" i="9"/>
  <c r="B1614" i="9"/>
  <c r="A1614" i="9"/>
  <c r="B1613" i="9"/>
  <c r="A1613" i="9"/>
  <c r="B1612" i="9"/>
  <c r="A1612" i="9"/>
  <c r="B1611" i="9"/>
  <c r="A1611" i="9"/>
  <c r="B1610" i="9"/>
  <c r="A1610" i="9"/>
  <c r="B1609" i="9"/>
  <c r="A1609" i="9"/>
  <c r="B1608" i="9"/>
  <c r="A1608" i="9"/>
  <c r="B1607" i="9"/>
  <c r="A1607" i="9"/>
  <c r="B1606" i="9"/>
  <c r="A1606" i="9"/>
  <c r="B1605" i="9"/>
  <c r="A1605" i="9"/>
  <c r="B1604" i="9"/>
  <c r="A1604" i="9"/>
  <c r="B1603" i="9"/>
  <c r="A1603" i="9"/>
  <c r="B1602" i="9"/>
  <c r="A1602" i="9"/>
  <c r="B1601" i="9"/>
  <c r="A1601" i="9"/>
  <c r="B1600" i="9"/>
  <c r="A1600" i="9"/>
  <c r="B1599" i="9"/>
  <c r="A1599" i="9"/>
  <c r="B1598" i="9"/>
  <c r="A1598" i="9"/>
  <c r="B1597" i="9"/>
  <c r="A1597" i="9"/>
  <c r="B1596" i="9"/>
  <c r="A1596" i="9"/>
  <c r="B1595" i="9"/>
  <c r="A1595" i="9"/>
  <c r="B1594" i="9"/>
  <c r="A1594" i="9"/>
  <c r="B1593" i="9"/>
  <c r="A1593" i="9"/>
  <c r="B1592" i="9"/>
  <c r="A1592" i="9"/>
  <c r="B1591" i="9"/>
  <c r="A1591" i="9"/>
  <c r="B1590" i="9"/>
  <c r="A1590" i="9"/>
  <c r="B1589" i="9"/>
  <c r="A1589" i="9"/>
  <c r="B1588" i="9"/>
  <c r="A1588" i="9"/>
  <c r="B1587" i="9"/>
  <c r="A1587" i="9"/>
  <c r="B1586" i="9"/>
  <c r="A1586" i="9"/>
  <c r="B1585" i="9"/>
  <c r="A1585" i="9"/>
  <c r="B1584" i="9"/>
  <c r="A1584" i="9"/>
  <c r="B1583" i="9"/>
  <c r="A1583" i="9"/>
  <c r="B1582" i="9"/>
  <c r="A1582" i="9"/>
  <c r="B1581" i="9"/>
  <c r="A1581" i="9"/>
  <c r="B1580" i="9"/>
  <c r="A1580" i="9"/>
  <c r="B1579" i="9"/>
  <c r="A1579" i="9"/>
  <c r="B1578" i="9"/>
  <c r="A1578" i="9"/>
  <c r="B1577" i="9"/>
  <c r="A1577" i="9"/>
  <c r="B1576" i="9"/>
  <c r="A1576" i="9"/>
  <c r="B1575" i="9"/>
  <c r="A1575" i="9"/>
  <c r="B1574" i="9"/>
  <c r="A1574" i="9"/>
  <c r="B1573" i="9"/>
  <c r="A1573" i="9"/>
  <c r="B1572" i="9"/>
  <c r="A1572" i="9"/>
  <c r="B1571" i="9"/>
  <c r="A1571" i="9"/>
  <c r="B1570" i="9"/>
  <c r="A1570" i="9"/>
  <c r="B1569" i="9"/>
  <c r="A1569" i="9"/>
  <c r="B1568" i="9"/>
  <c r="A1568" i="9"/>
  <c r="B1567" i="9"/>
  <c r="A1567" i="9"/>
  <c r="B1566" i="9"/>
  <c r="A1566" i="9"/>
  <c r="B1565" i="9"/>
  <c r="A1565" i="9"/>
  <c r="B1564" i="9"/>
  <c r="A1564" i="9"/>
  <c r="B1563" i="9"/>
  <c r="A1563" i="9"/>
  <c r="B1562" i="9"/>
  <c r="A1562" i="9"/>
  <c r="B1561" i="9"/>
  <c r="A1561" i="9"/>
  <c r="B1560" i="9"/>
  <c r="A1560" i="9"/>
  <c r="B1559" i="9"/>
  <c r="A1559" i="9"/>
  <c r="B1558" i="9"/>
  <c r="A1558" i="9"/>
  <c r="B1557" i="9"/>
  <c r="A1557" i="9"/>
  <c r="B1556" i="9"/>
  <c r="A1556" i="9"/>
  <c r="B1555" i="9"/>
  <c r="A1555" i="9"/>
  <c r="B1554" i="9"/>
  <c r="A1554" i="9"/>
  <c r="B1553" i="9"/>
  <c r="A1553" i="9"/>
  <c r="B1552" i="9"/>
  <c r="A1552" i="9"/>
  <c r="B1551" i="9"/>
  <c r="A1551" i="9"/>
  <c r="B1550" i="9"/>
  <c r="A1550" i="9"/>
  <c r="B1549" i="9"/>
  <c r="A1549" i="9"/>
  <c r="B1548" i="9"/>
  <c r="A1548" i="9"/>
  <c r="B1547" i="9"/>
  <c r="A1547" i="9"/>
  <c r="B1546" i="9"/>
  <c r="A1546" i="9"/>
  <c r="B1545" i="9"/>
  <c r="A1545" i="9"/>
  <c r="B1544" i="9"/>
  <c r="A1544" i="9"/>
  <c r="B1543" i="9"/>
  <c r="A1543" i="9"/>
  <c r="B1542" i="9"/>
  <c r="A1542" i="9"/>
  <c r="B1541" i="9"/>
  <c r="A1541" i="9"/>
  <c r="B1540" i="9"/>
  <c r="A1540" i="9"/>
  <c r="B1539" i="9"/>
  <c r="A1539" i="9"/>
  <c r="B1538" i="9"/>
  <c r="A1538" i="9"/>
  <c r="B1537" i="9"/>
  <c r="A1537" i="9"/>
  <c r="B1536" i="9"/>
  <c r="A1536" i="9"/>
  <c r="B1535" i="9"/>
  <c r="A1535" i="9"/>
  <c r="B1534" i="9"/>
  <c r="A1534" i="9"/>
  <c r="B1533" i="9"/>
  <c r="A1533" i="9"/>
  <c r="B1532" i="9"/>
  <c r="A1532" i="9"/>
  <c r="B1531" i="9"/>
  <c r="A1531" i="9"/>
  <c r="B1530" i="9"/>
  <c r="A1530" i="9"/>
  <c r="B1529" i="9"/>
  <c r="A1529" i="9"/>
  <c r="B1528" i="9"/>
  <c r="A1528" i="9"/>
  <c r="B1527" i="9"/>
  <c r="A1527" i="9"/>
  <c r="B1526" i="9"/>
  <c r="A1526" i="9"/>
  <c r="B1525" i="9"/>
  <c r="A1525" i="9"/>
  <c r="B1524" i="9"/>
  <c r="A1524" i="9"/>
  <c r="B1523" i="9"/>
  <c r="A1523" i="9"/>
  <c r="B1522" i="9"/>
  <c r="A1522" i="9"/>
  <c r="B1521" i="9"/>
  <c r="A1521" i="9"/>
  <c r="B1520" i="9"/>
  <c r="A1520" i="9"/>
  <c r="B1519" i="9"/>
  <c r="A1519" i="9"/>
  <c r="B1518" i="9"/>
  <c r="A1518" i="9"/>
  <c r="B1517" i="9"/>
  <c r="A1517" i="9"/>
  <c r="B1516" i="9"/>
  <c r="A1516" i="9"/>
  <c r="B1515" i="9"/>
  <c r="A1515" i="9"/>
  <c r="B1514" i="9"/>
  <c r="A1514" i="9"/>
  <c r="B1513" i="9"/>
  <c r="A1513" i="9"/>
  <c r="B1512" i="9"/>
  <c r="A1512" i="9"/>
  <c r="B1511" i="9"/>
  <c r="A1511" i="9"/>
  <c r="B1510" i="9"/>
  <c r="A1510" i="9"/>
  <c r="B1509" i="9"/>
  <c r="A1509" i="9"/>
  <c r="B1508" i="9"/>
  <c r="A1508" i="9"/>
  <c r="B1507" i="9"/>
  <c r="A1507" i="9"/>
  <c r="B1506" i="9"/>
  <c r="A1506" i="9"/>
  <c r="B1505" i="9"/>
  <c r="A1505" i="9"/>
  <c r="B1504" i="9"/>
  <c r="A1504" i="9"/>
  <c r="B1503" i="9"/>
  <c r="A1503" i="9"/>
  <c r="B1502" i="9"/>
  <c r="A1502" i="9"/>
  <c r="B1501" i="9"/>
  <c r="A1501" i="9"/>
  <c r="B1500" i="9"/>
  <c r="A1500" i="9"/>
  <c r="B1499" i="9"/>
  <c r="A1499" i="9"/>
  <c r="B1498" i="9"/>
  <c r="A1498" i="9"/>
  <c r="B1497" i="9"/>
  <c r="A1497" i="9"/>
  <c r="B1496" i="9"/>
  <c r="A1496" i="9"/>
  <c r="B1495" i="9"/>
  <c r="A1495" i="9"/>
  <c r="B1494" i="9"/>
  <c r="A1494" i="9"/>
  <c r="B1493" i="9"/>
  <c r="A1493" i="9"/>
  <c r="B1492" i="9"/>
  <c r="A1492" i="9"/>
  <c r="B1491" i="9"/>
  <c r="A1491" i="9"/>
  <c r="B1490" i="9"/>
  <c r="A1490" i="9"/>
  <c r="B1489" i="9"/>
  <c r="A1489" i="9"/>
  <c r="B1488" i="9"/>
  <c r="A1488" i="9"/>
  <c r="B1487" i="9"/>
  <c r="A1487" i="9"/>
  <c r="B1486" i="9"/>
  <c r="A1486" i="9"/>
  <c r="B1485" i="9"/>
  <c r="A1485" i="9"/>
  <c r="B1484" i="9"/>
  <c r="A1484" i="9"/>
  <c r="B1483" i="9"/>
  <c r="A1483" i="9"/>
  <c r="B1482" i="9"/>
  <c r="A1482" i="9"/>
  <c r="B1481" i="9"/>
  <c r="A1481" i="9"/>
  <c r="B1480" i="9"/>
  <c r="A1480" i="9"/>
  <c r="B1479" i="9"/>
  <c r="A1479" i="9"/>
  <c r="B1478" i="9"/>
  <c r="A1478" i="9"/>
  <c r="B1477" i="9"/>
  <c r="A1477" i="9"/>
  <c r="B1476" i="9"/>
  <c r="A1476" i="9"/>
  <c r="B1475" i="9"/>
  <c r="A1475" i="9"/>
  <c r="B1474" i="9"/>
  <c r="A1474" i="9"/>
  <c r="B1473" i="9"/>
  <c r="A1473" i="9"/>
  <c r="B1472" i="9"/>
  <c r="A1472" i="9"/>
  <c r="B1471" i="9"/>
  <c r="A1471" i="9"/>
  <c r="B1470" i="9"/>
  <c r="A1470" i="9"/>
  <c r="B1469" i="9"/>
  <c r="A1469" i="9"/>
  <c r="B1468" i="9"/>
  <c r="A1468" i="9"/>
  <c r="B1467" i="9"/>
  <c r="A1467" i="9"/>
  <c r="B1466" i="9"/>
  <c r="A1466" i="9"/>
  <c r="B1465" i="9"/>
  <c r="A1465" i="9"/>
  <c r="B1464" i="9"/>
  <c r="A1464" i="9"/>
  <c r="B1463" i="9"/>
  <c r="A1463" i="9"/>
  <c r="B1462" i="9"/>
  <c r="A1462" i="9"/>
  <c r="B1461" i="9"/>
  <c r="A1461" i="9"/>
  <c r="B1460" i="9"/>
  <c r="A1460" i="9"/>
  <c r="B1459" i="9"/>
  <c r="A1459" i="9"/>
  <c r="B1458" i="9"/>
  <c r="A1458" i="9"/>
  <c r="B1457" i="9"/>
  <c r="A1457" i="9"/>
  <c r="B1456" i="9"/>
  <c r="A1456" i="9"/>
  <c r="B1455" i="9"/>
  <c r="A1455" i="9"/>
  <c r="B1454" i="9"/>
  <c r="A1454" i="9"/>
  <c r="B1453" i="9"/>
  <c r="A1453" i="9"/>
  <c r="B1452" i="9"/>
  <c r="A1452" i="9"/>
  <c r="B1451" i="9"/>
  <c r="A1451" i="9"/>
  <c r="B1450" i="9"/>
  <c r="A1450" i="9"/>
  <c r="B1449" i="9"/>
  <c r="A1449" i="9"/>
  <c r="B1448" i="9"/>
  <c r="A1448" i="9"/>
  <c r="B1447" i="9"/>
  <c r="A1447" i="9"/>
  <c r="B1446" i="9"/>
  <c r="A1446" i="9"/>
  <c r="B1445" i="9"/>
  <c r="A1445" i="9"/>
  <c r="B1444" i="9"/>
  <c r="A1444" i="9"/>
  <c r="B1443" i="9"/>
  <c r="A1443" i="9"/>
  <c r="B1442" i="9"/>
  <c r="A1442" i="9"/>
  <c r="B1441" i="9"/>
  <c r="A1441" i="9"/>
  <c r="B1440" i="9"/>
  <c r="A1440" i="9"/>
  <c r="B1439" i="9"/>
  <c r="A1439" i="9"/>
  <c r="B1438" i="9"/>
  <c r="A1438" i="9"/>
  <c r="B1437" i="9"/>
  <c r="A1437" i="9"/>
  <c r="B1436" i="9"/>
  <c r="A1436" i="9"/>
  <c r="B1435" i="9"/>
  <c r="A1435" i="9"/>
  <c r="B1434" i="9"/>
  <c r="A1434" i="9"/>
  <c r="B1433" i="9"/>
  <c r="A1433" i="9"/>
  <c r="B1432" i="9"/>
  <c r="A1432" i="9"/>
  <c r="B1431" i="9"/>
  <c r="A1431" i="9"/>
  <c r="B1430" i="9"/>
  <c r="A1430" i="9"/>
  <c r="B1429" i="9"/>
  <c r="A1429" i="9"/>
  <c r="B1428" i="9"/>
  <c r="A1428" i="9"/>
  <c r="B1427" i="9"/>
  <c r="A1427" i="9"/>
  <c r="B1426" i="9"/>
  <c r="A1426" i="9"/>
  <c r="B1425" i="9"/>
  <c r="A1425" i="9"/>
  <c r="B1424" i="9"/>
  <c r="A1424" i="9"/>
  <c r="B1423" i="9"/>
  <c r="A1423" i="9"/>
  <c r="B1422" i="9"/>
  <c r="A1422" i="9"/>
  <c r="B1421" i="9"/>
  <c r="A1421" i="9"/>
  <c r="B1420" i="9"/>
  <c r="A1420" i="9"/>
  <c r="B1419" i="9"/>
  <c r="A1419" i="9"/>
  <c r="B1418" i="9"/>
  <c r="A1418" i="9"/>
  <c r="B1417" i="9"/>
  <c r="A1417" i="9"/>
  <c r="B1416" i="9"/>
  <c r="A1416" i="9"/>
  <c r="B1415" i="9"/>
  <c r="A1415" i="9"/>
  <c r="B1414" i="9"/>
  <c r="A1414" i="9"/>
  <c r="B1413" i="9"/>
  <c r="A1413" i="9"/>
  <c r="B1412" i="9"/>
  <c r="A1412" i="9"/>
  <c r="B1411" i="9"/>
  <c r="A1411" i="9"/>
  <c r="B1410" i="9"/>
  <c r="A1410" i="9"/>
  <c r="B1409" i="9"/>
  <c r="A1409" i="9"/>
  <c r="B1408" i="9"/>
  <c r="A1408" i="9"/>
  <c r="B1407" i="9"/>
  <c r="A1407" i="9"/>
  <c r="B1406" i="9"/>
  <c r="A1406" i="9"/>
  <c r="B1405" i="9"/>
  <c r="A1405" i="9"/>
  <c r="B1404" i="9"/>
  <c r="A1404" i="9"/>
  <c r="B1403" i="9"/>
  <c r="A1403" i="9"/>
  <c r="B1402" i="9"/>
  <c r="A1402" i="9"/>
  <c r="B1401" i="9"/>
  <c r="A1401" i="9"/>
  <c r="B1400" i="9"/>
  <c r="A1400" i="9"/>
  <c r="B1399" i="9"/>
  <c r="A1399" i="9"/>
  <c r="B1398" i="9"/>
  <c r="A1398" i="9"/>
  <c r="B1397" i="9"/>
  <c r="A1397" i="9"/>
  <c r="B1396" i="9"/>
  <c r="A1396" i="9"/>
  <c r="B1395" i="9"/>
  <c r="A1395" i="9"/>
  <c r="B1394" i="9"/>
  <c r="A1394" i="9"/>
  <c r="B1393" i="9"/>
  <c r="A1393" i="9"/>
  <c r="B1392" i="9"/>
  <c r="A1392" i="9"/>
  <c r="B1391" i="9"/>
  <c r="A1391" i="9"/>
  <c r="B1390" i="9"/>
  <c r="A1390" i="9"/>
  <c r="B1389" i="9"/>
  <c r="A1389" i="9"/>
  <c r="B1388" i="9"/>
  <c r="A1388" i="9"/>
  <c r="B1387" i="9"/>
  <c r="A1387" i="9"/>
  <c r="B1386" i="9"/>
  <c r="A1386" i="9"/>
  <c r="B1385" i="9"/>
  <c r="A1385" i="9"/>
  <c r="B1384" i="9"/>
  <c r="A1384" i="9"/>
  <c r="B1383" i="9"/>
  <c r="A1383" i="9"/>
  <c r="B1382" i="9"/>
  <c r="A1382" i="9"/>
  <c r="B1381" i="9"/>
  <c r="A1381" i="9"/>
  <c r="B1380" i="9"/>
  <c r="A1380" i="9"/>
  <c r="B1379" i="9"/>
  <c r="A1379" i="9"/>
  <c r="B1378" i="9"/>
  <c r="A1378" i="9"/>
  <c r="B1377" i="9"/>
  <c r="A1377" i="9"/>
  <c r="B1376" i="9"/>
  <c r="A1376" i="9"/>
  <c r="B1375" i="9"/>
  <c r="A1375" i="9"/>
  <c r="B1374" i="9"/>
  <c r="A1374" i="9"/>
  <c r="B1373" i="9"/>
  <c r="A1373" i="9"/>
  <c r="B1372" i="9"/>
  <c r="A1372" i="9"/>
  <c r="B1371" i="9"/>
  <c r="A1371" i="9"/>
  <c r="B1370" i="9"/>
  <c r="A1370" i="9"/>
  <c r="B1369" i="9"/>
  <c r="A1369" i="9"/>
  <c r="B1368" i="9"/>
  <c r="A1368" i="9"/>
  <c r="B1367" i="9"/>
  <c r="A1367" i="9"/>
  <c r="B1366" i="9"/>
  <c r="A1366" i="9"/>
  <c r="B1365" i="9"/>
  <c r="A1365" i="9"/>
  <c r="B1364" i="9"/>
  <c r="A1364" i="9"/>
  <c r="B1363" i="9"/>
  <c r="A1363" i="9"/>
  <c r="B1362" i="9"/>
  <c r="A1362" i="9"/>
  <c r="B1361" i="9"/>
  <c r="A1361" i="9"/>
  <c r="B1360" i="9"/>
  <c r="A1360" i="9"/>
  <c r="B1359" i="9"/>
  <c r="A1359" i="9"/>
  <c r="B1358" i="9"/>
  <c r="A1358" i="9"/>
  <c r="B1357" i="9"/>
  <c r="A1357" i="9"/>
  <c r="B1356" i="9"/>
  <c r="A1356" i="9"/>
  <c r="B1355" i="9"/>
  <c r="A1355" i="9"/>
  <c r="B1354" i="9"/>
  <c r="A1354" i="9"/>
  <c r="B1353" i="9"/>
  <c r="A1353" i="9"/>
  <c r="B1352" i="9"/>
  <c r="A1352" i="9"/>
  <c r="B1351" i="9"/>
  <c r="A1351" i="9"/>
  <c r="B1350" i="9"/>
  <c r="A1350" i="9"/>
  <c r="B1349" i="9"/>
  <c r="A1349" i="9"/>
  <c r="B1348" i="9"/>
  <c r="A1348" i="9"/>
  <c r="B1347" i="9"/>
  <c r="A1347" i="9"/>
  <c r="B1346" i="9"/>
  <c r="A1346" i="9"/>
  <c r="B1345" i="9"/>
  <c r="A1345" i="9"/>
  <c r="B1344" i="9"/>
  <c r="A1344" i="9"/>
  <c r="B1343" i="9"/>
  <c r="A1343" i="9"/>
  <c r="B1342" i="9"/>
  <c r="A1342" i="9"/>
  <c r="B1341" i="9"/>
  <c r="A1341" i="9"/>
  <c r="B1340" i="9"/>
  <c r="A1340" i="9"/>
  <c r="B1339" i="9"/>
  <c r="A1339" i="9"/>
  <c r="B1338" i="9"/>
  <c r="A1338" i="9"/>
  <c r="B1337" i="9"/>
  <c r="A1337" i="9"/>
  <c r="B1336" i="9"/>
  <c r="A1336" i="9"/>
  <c r="B1335" i="9"/>
  <c r="A1335" i="9"/>
  <c r="B1334" i="9"/>
  <c r="A1334" i="9"/>
  <c r="B1333" i="9"/>
  <c r="A1333" i="9"/>
  <c r="B1332" i="9"/>
  <c r="A1332" i="9"/>
  <c r="B1331" i="9"/>
  <c r="A1331" i="9"/>
  <c r="B1330" i="9"/>
  <c r="A1330" i="9"/>
  <c r="B1329" i="9"/>
  <c r="A1329" i="9"/>
  <c r="B1328" i="9"/>
  <c r="A1328" i="9"/>
  <c r="B1327" i="9"/>
  <c r="A1327" i="9"/>
  <c r="B1326" i="9"/>
  <c r="A1326" i="9"/>
  <c r="B1325" i="9"/>
  <c r="A1325" i="9"/>
  <c r="B1324" i="9"/>
  <c r="A1324" i="9"/>
  <c r="B1323" i="9"/>
  <c r="A1323" i="9"/>
  <c r="B1322" i="9"/>
  <c r="A1322" i="9"/>
  <c r="B1321" i="9"/>
  <c r="A1321" i="9"/>
  <c r="B1320" i="9"/>
  <c r="A1320" i="9"/>
  <c r="B1319" i="9"/>
  <c r="A1319" i="9"/>
  <c r="B1318" i="9"/>
  <c r="A1318" i="9"/>
  <c r="B1317" i="9"/>
  <c r="A1317" i="9"/>
  <c r="B1316" i="9"/>
  <c r="A1316" i="9"/>
  <c r="B1315" i="9"/>
  <c r="A1315" i="9"/>
  <c r="B1314" i="9"/>
  <c r="A1314" i="9"/>
  <c r="B1313" i="9"/>
  <c r="A1313" i="9"/>
  <c r="B1312" i="9"/>
  <c r="A1312" i="9"/>
  <c r="B1311" i="9"/>
  <c r="A1311" i="9"/>
  <c r="B1310" i="9"/>
  <c r="A1310" i="9"/>
  <c r="B1309" i="9"/>
  <c r="A1309" i="9"/>
  <c r="B1308" i="9"/>
  <c r="A1308" i="9"/>
  <c r="B1307" i="9"/>
  <c r="A1307" i="9"/>
  <c r="B1306" i="9"/>
  <c r="A1306" i="9"/>
  <c r="B1305" i="9"/>
  <c r="A1305" i="9"/>
  <c r="B1304" i="9"/>
  <c r="A1304" i="9"/>
  <c r="B1303" i="9"/>
  <c r="A1303" i="9"/>
  <c r="B1302" i="9"/>
  <c r="A1302" i="9"/>
  <c r="B1301" i="9"/>
  <c r="A1301" i="9"/>
  <c r="B1300" i="9"/>
  <c r="A1300" i="9"/>
  <c r="B1299" i="9"/>
  <c r="A1299" i="9"/>
  <c r="B1298" i="9"/>
  <c r="A1298" i="9"/>
  <c r="B1297" i="9"/>
  <c r="A1297" i="9"/>
  <c r="B1296" i="9"/>
  <c r="A1296" i="9"/>
  <c r="B1295" i="9"/>
  <c r="A1295" i="9"/>
  <c r="B1294" i="9"/>
  <c r="A1294" i="9"/>
  <c r="B1293" i="9"/>
  <c r="A1293" i="9"/>
  <c r="B1292" i="9"/>
  <c r="A1292" i="9"/>
  <c r="B1291" i="9"/>
  <c r="A1291" i="9"/>
  <c r="B1290" i="9"/>
  <c r="A1290" i="9"/>
  <c r="B1289" i="9"/>
  <c r="A1289" i="9"/>
  <c r="B1288" i="9"/>
  <c r="A1288" i="9"/>
  <c r="B1287" i="9"/>
  <c r="A1287" i="9"/>
  <c r="B1286" i="9"/>
  <c r="A1286" i="9"/>
  <c r="B1285" i="9"/>
  <c r="A1285" i="9"/>
  <c r="B1284" i="9"/>
  <c r="A1284" i="9"/>
  <c r="B1283" i="9"/>
  <c r="A1283" i="9"/>
  <c r="B1282" i="9"/>
  <c r="A1282" i="9"/>
  <c r="B1281" i="9"/>
  <c r="A1281" i="9"/>
  <c r="B1280" i="9"/>
  <c r="A1280" i="9"/>
  <c r="B1279" i="9"/>
  <c r="A1279" i="9"/>
  <c r="B1278" i="9"/>
  <c r="A1278" i="9"/>
  <c r="B1277" i="9"/>
  <c r="A1277" i="9"/>
  <c r="B1276" i="9"/>
  <c r="A1276" i="9"/>
  <c r="B1275" i="9"/>
  <c r="A1275" i="9"/>
  <c r="B1274" i="9"/>
  <c r="A1274" i="9"/>
  <c r="B1273" i="9"/>
  <c r="A1273" i="9"/>
  <c r="B1272" i="9"/>
  <c r="A1272" i="9"/>
  <c r="B1271" i="9"/>
  <c r="A1271" i="9"/>
  <c r="B1270" i="9"/>
  <c r="A1270" i="9"/>
  <c r="B1269" i="9"/>
  <c r="A1269" i="9"/>
  <c r="B1268" i="9"/>
  <c r="A1268" i="9"/>
  <c r="B1267" i="9"/>
  <c r="A1267" i="9"/>
  <c r="B1266" i="9"/>
  <c r="A1266" i="9"/>
  <c r="B1265" i="9"/>
  <c r="A1265" i="9"/>
  <c r="B1264" i="9"/>
  <c r="A1264" i="9"/>
  <c r="B1263" i="9"/>
  <c r="A1263" i="9"/>
  <c r="B1262" i="9"/>
  <c r="A1262" i="9"/>
  <c r="B1261" i="9"/>
  <c r="A1261" i="9"/>
  <c r="B1260" i="9"/>
  <c r="A1260" i="9"/>
  <c r="B1259" i="9"/>
  <c r="A1259" i="9"/>
  <c r="B1258" i="9"/>
  <c r="A1258" i="9"/>
  <c r="B1257" i="9"/>
  <c r="A1257" i="9"/>
  <c r="B1256" i="9"/>
  <c r="A1256" i="9"/>
  <c r="B1255" i="9"/>
  <c r="A1255" i="9"/>
  <c r="B1254" i="9"/>
  <c r="A1254" i="9"/>
  <c r="B1253" i="9"/>
  <c r="A1253" i="9"/>
  <c r="B1252" i="9"/>
  <c r="A1252" i="9"/>
  <c r="B1251" i="9"/>
  <c r="A1251" i="9"/>
  <c r="B1250" i="9"/>
  <c r="A1250" i="9"/>
  <c r="B1249" i="9"/>
  <c r="A1249" i="9"/>
  <c r="B1248" i="9"/>
  <c r="A1248" i="9"/>
  <c r="B1247" i="9"/>
  <c r="A1247" i="9"/>
  <c r="B1246" i="9"/>
  <c r="A1246" i="9"/>
  <c r="B1245" i="9"/>
  <c r="A1245" i="9"/>
  <c r="B1244" i="9"/>
  <c r="A1244" i="9"/>
  <c r="B1243" i="9"/>
  <c r="A1243" i="9"/>
  <c r="B1242" i="9"/>
  <c r="A1242" i="9"/>
  <c r="B1241" i="9"/>
  <c r="A1241" i="9"/>
  <c r="B1240" i="9"/>
  <c r="A1240" i="9"/>
  <c r="B1239" i="9"/>
  <c r="A1239" i="9"/>
  <c r="B1238" i="9"/>
  <c r="A1238" i="9"/>
  <c r="B1237" i="9"/>
  <c r="A1237" i="9"/>
  <c r="B1236" i="9"/>
  <c r="A1236" i="9"/>
  <c r="B1235" i="9"/>
  <c r="A1235" i="9"/>
  <c r="B1234" i="9"/>
  <c r="A1234" i="9"/>
  <c r="B1233" i="9"/>
  <c r="A1233" i="9"/>
  <c r="B1232" i="9"/>
  <c r="A1232" i="9"/>
  <c r="B1231" i="9"/>
  <c r="A1231" i="9"/>
  <c r="B1230" i="9"/>
  <c r="A1230" i="9"/>
  <c r="B1229" i="9"/>
  <c r="A1229" i="9"/>
  <c r="B1228" i="9"/>
  <c r="A1228" i="9"/>
  <c r="B1227" i="9"/>
  <c r="A1227" i="9"/>
  <c r="B1226" i="9"/>
  <c r="A1226" i="9"/>
  <c r="B1225" i="9"/>
  <c r="A1225" i="9"/>
  <c r="B1224" i="9"/>
  <c r="A1224" i="9"/>
  <c r="B1223" i="9"/>
  <c r="A1223" i="9"/>
  <c r="B1222" i="9"/>
  <c r="A1222" i="9"/>
  <c r="B1221" i="9"/>
  <c r="A1221" i="9"/>
  <c r="B1220" i="9"/>
  <c r="A1220" i="9"/>
  <c r="B1219" i="9"/>
  <c r="A1219" i="9"/>
  <c r="B1218" i="9"/>
  <c r="A1218" i="9"/>
  <c r="B1217" i="9"/>
  <c r="A1217" i="9"/>
  <c r="B1216" i="9"/>
  <c r="A1216" i="9"/>
  <c r="B1215" i="9"/>
  <c r="A1215" i="9"/>
  <c r="B1214" i="9"/>
  <c r="A1214" i="9"/>
  <c r="B1213" i="9"/>
  <c r="A1213" i="9"/>
  <c r="B1212" i="9"/>
  <c r="A1212" i="9"/>
  <c r="B1211" i="9"/>
  <c r="A1211" i="9"/>
  <c r="B1210" i="9"/>
  <c r="A1210" i="9"/>
  <c r="B1209" i="9"/>
  <c r="A1209" i="9"/>
  <c r="B1208" i="9"/>
  <c r="A1208" i="9"/>
  <c r="B1207" i="9"/>
  <c r="A1207" i="9"/>
  <c r="B1206" i="9"/>
  <c r="A1206" i="9"/>
  <c r="B1205" i="9"/>
  <c r="A1205" i="9"/>
  <c r="B1204" i="9"/>
  <c r="A1204" i="9"/>
  <c r="B1203" i="9"/>
  <c r="A1203" i="9"/>
  <c r="B1202" i="9"/>
  <c r="A1202" i="9"/>
  <c r="B1201" i="9"/>
  <c r="A1201" i="9"/>
  <c r="B1200" i="9"/>
  <c r="A1200" i="9"/>
  <c r="B1199" i="9"/>
  <c r="A1199" i="9"/>
  <c r="B1198" i="9"/>
  <c r="A1198" i="9"/>
  <c r="B1197" i="9"/>
  <c r="A1197" i="9"/>
  <c r="B1196" i="9"/>
  <c r="A1196" i="9"/>
  <c r="B1195" i="9"/>
  <c r="A1195" i="9"/>
  <c r="B1194" i="9"/>
  <c r="A1194" i="9"/>
  <c r="B1193" i="9"/>
  <c r="A1193" i="9"/>
  <c r="B1192" i="9"/>
  <c r="A1192" i="9"/>
  <c r="B1191" i="9"/>
  <c r="A1191" i="9"/>
  <c r="B1190" i="9"/>
  <c r="A1190" i="9"/>
  <c r="B1189" i="9"/>
  <c r="A1189" i="9"/>
  <c r="B1188" i="9"/>
  <c r="A1188" i="9"/>
  <c r="B1187" i="9"/>
  <c r="A1187" i="9"/>
  <c r="B1186" i="9"/>
  <c r="A1186" i="9"/>
  <c r="B1185" i="9"/>
  <c r="A1185" i="9"/>
  <c r="B1184" i="9"/>
  <c r="A1184" i="9"/>
  <c r="B1183" i="9"/>
  <c r="A1183" i="9"/>
  <c r="B1182" i="9"/>
  <c r="A1182" i="9"/>
  <c r="B1181" i="9"/>
  <c r="A1181" i="9"/>
  <c r="B1180" i="9"/>
  <c r="A1180" i="9"/>
  <c r="B1179" i="9"/>
  <c r="A1179" i="9"/>
  <c r="B1178" i="9"/>
  <c r="A1178" i="9"/>
  <c r="B1177" i="9"/>
  <c r="A1177" i="9"/>
  <c r="B1176" i="9"/>
  <c r="A1176" i="9"/>
  <c r="B1175" i="9"/>
  <c r="A1175" i="9"/>
  <c r="B1174" i="9"/>
  <c r="A1174" i="9"/>
  <c r="B1173" i="9"/>
  <c r="A1173" i="9"/>
  <c r="B1172" i="9"/>
  <c r="A1172" i="9"/>
  <c r="B1171" i="9"/>
  <c r="A1171" i="9"/>
  <c r="B1170" i="9"/>
  <c r="A1170" i="9"/>
  <c r="B1169" i="9"/>
  <c r="A1169" i="9"/>
  <c r="B1168" i="9"/>
  <c r="A1168" i="9"/>
  <c r="B1167" i="9"/>
  <c r="A1167" i="9"/>
  <c r="B1166" i="9"/>
  <c r="A1166" i="9"/>
  <c r="B1165" i="9"/>
  <c r="A1165" i="9"/>
  <c r="B1164" i="9"/>
  <c r="A1164" i="9"/>
  <c r="B1163" i="9"/>
  <c r="A1163" i="9"/>
  <c r="B1162" i="9"/>
  <c r="A1162" i="9"/>
  <c r="B1161" i="9"/>
  <c r="A1161" i="9"/>
  <c r="B1160" i="9"/>
  <c r="A1160" i="9"/>
  <c r="B1159" i="9"/>
  <c r="A1159" i="9"/>
  <c r="B1158" i="9"/>
  <c r="A1158" i="9"/>
  <c r="B1157" i="9"/>
  <c r="A1157" i="9"/>
  <c r="B1156" i="9"/>
  <c r="A1156" i="9"/>
  <c r="B1155" i="9"/>
  <c r="A1155" i="9"/>
  <c r="B1154" i="9"/>
  <c r="A1154" i="9"/>
  <c r="B1153" i="9"/>
  <c r="A1153" i="9"/>
  <c r="B1152" i="9"/>
  <c r="A1152" i="9"/>
  <c r="B1151" i="9"/>
  <c r="A1151" i="9"/>
  <c r="B1150" i="9"/>
  <c r="A1150" i="9"/>
  <c r="B1149" i="9"/>
  <c r="A1149" i="9"/>
  <c r="B1148" i="9"/>
  <c r="A1148" i="9"/>
  <c r="B1147" i="9"/>
  <c r="A1147" i="9"/>
  <c r="B1146" i="9"/>
  <c r="A1146" i="9"/>
  <c r="B1145" i="9"/>
  <c r="A1145" i="9"/>
  <c r="B1144" i="9"/>
  <c r="A1144" i="9"/>
  <c r="B1143" i="9"/>
  <c r="A1143" i="9"/>
  <c r="B1142" i="9"/>
  <c r="A1142" i="9"/>
  <c r="B1141" i="9"/>
  <c r="A1141" i="9"/>
  <c r="B1140" i="9"/>
  <c r="A1140" i="9"/>
  <c r="B1139" i="9"/>
  <c r="A1139" i="9"/>
  <c r="B1138" i="9"/>
  <c r="A1138" i="9"/>
  <c r="B1137" i="9"/>
  <c r="A1137" i="9"/>
  <c r="B1136" i="9"/>
  <c r="A1136" i="9"/>
  <c r="B1135" i="9"/>
  <c r="A1135" i="9"/>
  <c r="B1134" i="9"/>
  <c r="A1134" i="9"/>
  <c r="B1133" i="9"/>
  <c r="A1133" i="9"/>
  <c r="B1132" i="9"/>
  <c r="A1132" i="9"/>
  <c r="B1131" i="9"/>
  <c r="A1131" i="9"/>
  <c r="B1130" i="9"/>
  <c r="A1130" i="9"/>
  <c r="B1129" i="9"/>
  <c r="A1129" i="9"/>
  <c r="B1128" i="9"/>
  <c r="A1128" i="9"/>
  <c r="B1127" i="9"/>
  <c r="A1127" i="9"/>
  <c r="B1126" i="9"/>
  <c r="A1126" i="9"/>
  <c r="B1125" i="9"/>
  <c r="A1125" i="9"/>
  <c r="B1124" i="9"/>
  <c r="A1124" i="9"/>
  <c r="B1123" i="9"/>
  <c r="A1123" i="9"/>
  <c r="B1122" i="9"/>
  <c r="A1122" i="9"/>
  <c r="B1121" i="9"/>
  <c r="A1121" i="9"/>
  <c r="B1120" i="9"/>
  <c r="A1120" i="9"/>
  <c r="B1119" i="9"/>
  <c r="A1119" i="9"/>
  <c r="B1118" i="9"/>
  <c r="A1118" i="9"/>
  <c r="B1117" i="9"/>
  <c r="A1117" i="9"/>
  <c r="B1116" i="9"/>
  <c r="A1116" i="9"/>
  <c r="B1115" i="9"/>
  <c r="A1115" i="9"/>
  <c r="B1114" i="9"/>
  <c r="A1114" i="9"/>
  <c r="B1113" i="9"/>
  <c r="A1113" i="9"/>
  <c r="B1112" i="9"/>
  <c r="A1112" i="9"/>
  <c r="B1111" i="9"/>
  <c r="A1111" i="9"/>
  <c r="B1110" i="9"/>
  <c r="A1110" i="9"/>
  <c r="B1109" i="9"/>
  <c r="A1109" i="9"/>
  <c r="B1108" i="9"/>
  <c r="A1108" i="9"/>
  <c r="B1107" i="9"/>
  <c r="A1107" i="9"/>
  <c r="B1106" i="9"/>
  <c r="A1106" i="9"/>
  <c r="B1105" i="9"/>
  <c r="A1105" i="9"/>
  <c r="B1104" i="9"/>
  <c r="A1104" i="9"/>
  <c r="B1103" i="9"/>
  <c r="A1103" i="9"/>
  <c r="B1102" i="9"/>
  <c r="A1102" i="9"/>
  <c r="B1101" i="9"/>
  <c r="A1101" i="9"/>
  <c r="B1100" i="9"/>
  <c r="A1100" i="9"/>
  <c r="B1099" i="9"/>
  <c r="A1099" i="9"/>
  <c r="B1098" i="9"/>
  <c r="A1098" i="9"/>
  <c r="B1097" i="9"/>
  <c r="A1097" i="9"/>
  <c r="B1096" i="9"/>
  <c r="A1096" i="9"/>
  <c r="B1095" i="9"/>
  <c r="A1095" i="9"/>
  <c r="B1094" i="9"/>
  <c r="A1094" i="9"/>
  <c r="B1093" i="9"/>
  <c r="A1093" i="9"/>
  <c r="B1092" i="9"/>
  <c r="A1092" i="9"/>
  <c r="B1091" i="9"/>
  <c r="A1091" i="9"/>
  <c r="B1090" i="9"/>
  <c r="A1090" i="9"/>
  <c r="B1089" i="9"/>
  <c r="A1089" i="9"/>
  <c r="B1088" i="9"/>
  <c r="A1088" i="9"/>
  <c r="B1087" i="9"/>
  <c r="A1087" i="9"/>
  <c r="B1086" i="9"/>
  <c r="A1086" i="9"/>
  <c r="B1085" i="9"/>
  <c r="A1085" i="9"/>
  <c r="B1084" i="9"/>
  <c r="A1084" i="9"/>
  <c r="B1083" i="9"/>
  <c r="A1083" i="9"/>
  <c r="B1082" i="9"/>
  <c r="A1082" i="9"/>
  <c r="B1081" i="9"/>
  <c r="A1081" i="9"/>
  <c r="B1080" i="9"/>
  <c r="A1080" i="9"/>
  <c r="B1079" i="9"/>
  <c r="A1079" i="9"/>
  <c r="B1078" i="9"/>
  <c r="A1078" i="9"/>
  <c r="B1077" i="9"/>
  <c r="A1077" i="9"/>
  <c r="B1076" i="9"/>
  <c r="A1076" i="9"/>
  <c r="B1075" i="9"/>
  <c r="A1075" i="9"/>
  <c r="B1074" i="9"/>
  <c r="A1074" i="9"/>
  <c r="B1073" i="9"/>
  <c r="A1073" i="9"/>
  <c r="B1072" i="9"/>
  <c r="A1072" i="9"/>
  <c r="B1071" i="9"/>
  <c r="A1071" i="9"/>
  <c r="B1070" i="9"/>
  <c r="A1070" i="9"/>
  <c r="B1069" i="9"/>
  <c r="A1069" i="9"/>
  <c r="B1068" i="9"/>
  <c r="A1068" i="9"/>
  <c r="B1067" i="9"/>
  <c r="A1067" i="9"/>
  <c r="B1066" i="9"/>
  <c r="A1066" i="9"/>
  <c r="B1065" i="9"/>
  <c r="A1065" i="9"/>
  <c r="B1064" i="9"/>
  <c r="A1064" i="9"/>
  <c r="B1063" i="9"/>
  <c r="A1063" i="9"/>
  <c r="B1062" i="9"/>
  <c r="A1062" i="9"/>
  <c r="B1061" i="9"/>
  <c r="A1061" i="9"/>
  <c r="B1060" i="9"/>
  <c r="A1060" i="9"/>
  <c r="B1059" i="9"/>
  <c r="A1059" i="9"/>
  <c r="B1058" i="9"/>
  <c r="A1058" i="9"/>
  <c r="B1057" i="9"/>
  <c r="A1057" i="9"/>
  <c r="B1056" i="9"/>
  <c r="A1056" i="9"/>
  <c r="B1055" i="9"/>
  <c r="A1055" i="9"/>
  <c r="B1054" i="9"/>
  <c r="A1054" i="9"/>
  <c r="B1053" i="9"/>
  <c r="A1053" i="9"/>
  <c r="B1052" i="9"/>
  <c r="A1052" i="9"/>
  <c r="B1051" i="9"/>
  <c r="A1051" i="9"/>
  <c r="B1050" i="9"/>
  <c r="A1050" i="9"/>
  <c r="B1049" i="9"/>
  <c r="A1049" i="9"/>
  <c r="B1048" i="9"/>
  <c r="A1048" i="9"/>
  <c r="B1047" i="9"/>
  <c r="A1047" i="9"/>
  <c r="B1046" i="9"/>
  <c r="A1046" i="9"/>
  <c r="B1045" i="9"/>
  <c r="A1045" i="9"/>
  <c r="B1044" i="9"/>
  <c r="A1044" i="9"/>
  <c r="B1043" i="9"/>
  <c r="A1043" i="9"/>
  <c r="B1042" i="9"/>
  <c r="A1042" i="9"/>
  <c r="B1041" i="9"/>
  <c r="A1041" i="9"/>
  <c r="B1040" i="9"/>
  <c r="A1040" i="9"/>
  <c r="B1039" i="9"/>
  <c r="A1039" i="9"/>
  <c r="B1038" i="9"/>
  <c r="A1038" i="9"/>
  <c r="B1037" i="9"/>
  <c r="A1037" i="9"/>
  <c r="B1036" i="9"/>
  <c r="A1036" i="9"/>
  <c r="B1035" i="9"/>
  <c r="A1035" i="9"/>
  <c r="B1034" i="9"/>
  <c r="A1034" i="9"/>
  <c r="B1033" i="9"/>
  <c r="A1033" i="9"/>
  <c r="B1032" i="9"/>
  <c r="A1032" i="9"/>
  <c r="B1031" i="9"/>
  <c r="A1031" i="9"/>
  <c r="B1030" i="9"/>
  <c r="A1030" i="9"/>
  <c r="B1029" i="9"/>
  <c r="A1029" i="9"/>
  <c r="B1028" i="9"/>
  <c r="A1028" i="9"/>
  <c r="B1027" i="9"/>
  <c r="A1027" i="9"/>
  <c r="B1026" i="9"/>
  <c r="A1026" i="9"/>
  <c r="B1025" i="9"/>
  <c r="A1025" i="9"/>
  <c r="B1024" i="9"/>
  <c r="A1024" i="9"/>
  <c r="B1023" i="9"/>
  <c r="A1023" i="9"/>
  <c r="B1022" i="9"/>
  <c r="A1022" i="9"/>
  <c r="B1021" i="9"/>
  <c r="A1021" i="9"/>
  <c r="B1020" i="9"/>
  <c r="A1020" i="9"/>
  <c r="B1019" i="9"/>
  <c r="A1019" i="9"/>
  <c r="B1018" i="9"/>
  <c r="A1018" i="9"/>
  <c r="B1017" i="9"/>
  <c r="A1017" i="9"/>
  <c r="B1016" i="9"/>
  <c r="A1016" i="9"/>
  <c r="B1015" i="9"/>
  <c r="A1015" i="9"/>
  <c r="B1014" i="9"/>
  <c r="A1014" i="9"/>
  <c r="B1013" i="9"/>
  <c r="A1013" i="9"/>
  <c r="B1012" i="9"/>
  <c r="A1012" i="9"/>
  <c r="B1011" i="9"/>
  <c r="A1011" i="9"/>
  <c r="B1010" i="9"/>
  <c r="A1010" i="9"/>
  <c r="B1009" i="9"/>
  <c r="A1009" i="9"/>
  <c r="B1008" i="9"/>
  <c r="A1008" i="9"/>
  <c r="B1007" i="9"/>
  <c r="A1007" i="9"/>
  <c r="B1006" i="9"/>
  <c r="A1006" i="9"/>
  <c r="B1005" i="9"/>
  <c r="A1005" i="9"/>
  <c r="B1004" i="9"/>
  <c r="A1004" i="9"/>
  <c r="B1003" i="9"/>
  <c r="A1003" i="9"/>
  <c r="B1002" i="9"/>
  <c r="A1002" i="9"/>
  <c r="B1001" i="9"/>
  <c r="A1001" i="9"/>
  <c r="B1000" i="9"/>
  <c r="A1000" i="9"/>
  <c r="B999" i="9"/>
  <c r="A999" i="9"/>
  <c r="B998" i="9"/>
  <c r="A998" i="9"/>
  <c r="B997" i="9"/>
  <c r="A997" i="9"/>
  <c r="B996" i="9"/>
  <c r="A996" i="9"/>
  <c r="B995" i="9"/>
  <c r="A995" i="9"/>
  <c r="B994" i="9"/>
  <c r="A994" i="9"/>
  <c r="B993" i="9"/>
  <c r="A993" i="9"/>
  <c r="B992" i="9"/>
  <c r="A992" i="9"/>
  <c r="B991" i="9"/>
  <c r="A991" i="9"/>
  <c r="B990" i="9"/>
  <c r="A990" i="9"/>
  <c r="B989" i="9"/>
  <c r="A989" i="9"/>
  <c r="B988" i="9"/>
  <c r="A988" i="9"/>
  <c r="B987" i="9"/>
  <c r="A987" i="9"/>
  <c r="B986" i="9"/>
  <c r="A986" i="9"/>
  <c r="B985" i="9"/>
  <c r="A985" i="9"/>
  <c r="B984" i="9"/>
  <c r="A984" i="9"/>
  <c r="B983" i="9"/>
  <c r="A983" i="9"/>
  <c r="B982" i="9"/>
  <c r="A982" i="9"/>
  <c r="B981" i="9"/>
  <c r="A981" i="9"/>
  <c r="B980" i="9"/>
  <c r="A980" i="9"/>
  <c r="B979" i="9"/>
  <c r="A979" i="9"/>
  <c r="B978" i="9"/>
  <c r="A978" i="9"/>
  <c r="B977" i="9"/>
  <c r="A977" i="9"/>
  <c r="B976" i="9"/>
  <c r="A976" i="9"/>
  <c r="B975" i="9"/>
  <c r="A975" i="9"/>
  <c r="B974" i="9"/>
  <c r="A974" i="9"/>
  <c r="B973" i="9"/>
  <c r="A973" i="9"/>
  <c r="B972" i="9"/>
  <c r="A972" i="9"/>
  <c r="B971" i="9"/>
  <c r="A971" i="9"/>
  <c r="B970" i="9"/>
  <c r="A970" i="9"/>
  <c r="B969" i="9"/>
  <c r="A969" i="9"/>
  <c r="B968" i="9"/>
  <c r="A968" i="9"/>
  <c r="B967" i="9"/>
  <c r="A967" i="9"/>
  <c r="B966" i="9"/>
  <c r="A966" i="9"/>
  <c r="B965" i="9"/>
  <c r="A965" i="9"/>
  <c r="B964" i="9"/>
  <c r="A964" i="9"/>
  <c r="B963" i="9"/>
  <c r="A963" i="9"/>
  <c r="B962" i="9"/>
  <c r="A962" i="9"/>
  <c r="B961" i="9"/>
  <c r="A961" i="9"/>
  <c r="B960" i="9"/>
  <c r="A960" i="9"/>
  <c r="B959" i="9"/>
  <c r="A959" i="9"/>
  <c r="B958" i="9"/>
  <c r="A958" i="9"/>
  <c r="B957" i="9"/>
  <c r="A957" i="9"/>
  <c r="B956" i="9"/>
  <c r="A956" i="9"/>
  <c r="B955" i="9"/>
  <c r="A955" i="9"/>
  <c r="B954" i="9"/>
  <c r="A954" i="9"/>
  <c r="B953" i="9"/>
  <c r="A953" i="9"/>
  <c r="B952" i="9"/>
  <c r="A952" i="9"/>
  <c r="B951" i="9"/>
  <c r="A951" i="9"/>
  <c r="B950" i="9"/>
  <c r="A950" i="9"/>
  <c r="B949" i="9"/>
  <c r="A949" i="9"/>
  <c r="B948" i="9"/>
  <c r="A948" i="9"/>
  <c r="B947" i="9"/>
  <c r="A947" i="9"/>
  <c r="B946" i="9"/>
  <c r="A946" i="9"/>
  <c r="B945" i="9"/>
  <c r="A945" i="9"/>
  <c r="B944" i="9"/>
  <c r="A944" i="9"/>
  <c r="B943" i="9"/>
  <c r="A943" i="9"/>
  <c r="B942" i="9"/>
  <c r="A942" i="9"/>
  <c r="B941" i="9"/>
  <c r="A941" i="9"/>
  <c r="B940" i="9"/>
  <c r="A940" i="9"/>
  <c r="B939" i="9"/>
  <c r="A939" i="9"/>
  <c r="B938" i="9"/>
  <c r="A938" i="9"/>
  <c r="B937" i="9"/>
  <c r="A937" i="9"/>
  <c r="B936" i="9"/>
  <c r="A936" i="9"/>
  <c r="B935" i="9"/>
  <c r="A935" i="9"/>
  <c r="B934" i="9"/>
  <c r="A934" i="9"/>
  <c r="B933" i="9"/>
  <c r="A933" i="9"/>
  <c r="B932" i="9"/>
  <c r="A932" i="9"/>
  <c r="B931" i="9"/>
  <c r="A931" i="9"/>
  <c r="B930" i="9"/>
  <c r="A930" i="9"/>
  <c r="B929" i="9"/>
  <c r="A929" i="9"/>
  <c r="B928" i="9"/>
  <c r="A928" i="9"/>
  <c r="B927" i="9"/>
  <c r="A927" i="9"/>
  <c r="B926" i="9"/>
  <c r="A926" i="9"/>
  <c r="B925" i="9"/>
  <c r="A925" i="9"/>
  <c r="B924" i="9"/>
  <c r="A924" i="9"/>
  <c r="B923" i="9"/>
  <c r="A923" i="9"/>
  <c r="B922" i="9"/>
  <c r="A922" i="9"/>
  <c r="B921" i="9"/>
  <c r="A921" i="9"/>
  <c r="B920" i="9"/>
  <c r="A920" i="9"/>
  <c r="B919" i="9"/>
  <c r="A919" i="9"/>
  <c r="B918" i="9"/>
  <c r="A918" i="9"/>
  <c r="B917" i="9"/>
  <c r="A917" i="9"/>
  <c r="B916" i="9"/>
  <c r="A916" i="9"/>
  <c r="B915" i="9"/>
  <c r="A915" i="9"/>
  <c r="B914" i="9"/>
  <c r="A914" i="9"/>
  <c r="B913" i="9"/>
  <c r="A913" i="9"/>
  <c r="B912" i="9"/>
  <c r="A912" i="9"/>
  <c r="B911" i="9"/>
  <c r="A911" i="9"/>
  <c r="B910" i="9"/>
  <c r="A910" i="9"/>
  <c r="B909" i="9"/>
  <c r="A909" i="9"/>
  <c r="B908" i="9"/>
  <c r="A908" i="9"/>
  <c r="B907" i="9"/>
  <c r="A907" i="9"/>
  <c r="B906" i="9"/>
  <c r="A906" i="9"/>
  <c r="B905" i="9"/>
  <c r="A905" i="9"/>
  <c r="B904" i="9"/>
  <c r="A904" i="9"/>
  <c r="B903" i="9"/>
  <c r="A903" i="9"/>
  <c r="B902" i="9"/>
  <c r="A902" i="9"/>
  <c r="B901" i="9"/>
  <c r="A901" i="9"/>
  <c r="B900" i="9"/>
  <c r="A900" i="9"/>
  <c r="B899" i="9"/>
  <c r="A899" i="9"/>
  <c r="B898" i="9"/>
  <c r="A898" i="9"/>
  <c r="B897" i="9"/>
  <c r="A897" i="9"/>
  <c r="B896" i="9"/>
  <c r="A896" i="9"/>
  <c r="B895" i="9"/>
  <c r="A895" i="9"/>
  <c r="B894" i="9"/>
  <c r="A894" i="9"/>
  <c r="B893" i="9"/>
  <c r="A893" i="9"/>
  <c r="B892" i="9"/>
  <c r="A892" i="9"/>
  <c r="B891" i="9"/>
  <c r="A891" i="9"/>
  <c r="B890" i="9"/>
  <c r="A890" i="9"/>
  <c r="B889" i="9"/>
  <c r="A889" i="9"/>
  <c r="B888" i="9"/>
  <c r="A888" i="9"/>
  <c r="B887" i="9"/>
  <c r="A887" i="9"/>
  <c r="B886" i="9"/>
  <c r="A886" i="9"/>
  <c r="B885" i="9"/>
  <c r="A885" i="9"/>
  <c r="B884" i="9"/>
  <c r="A884" i="9"/>
  <c r="B883" i="9"/>
  <c r="A883" i="9"/>
  <c r="B882" i="9"/>
  <c r="A882" i="9"/>
  <c r="B881" i="9"/>
  <c r="A881" i="9"/>
  <c r="B880" i="9"/>
  <c r="A880" i="9"/>
  <c r="B879" i="9"/>
  <c r="A879" i="9"/>
  <c r="B878" i="9"/>
  <c r="A878" i="9"/>
  <c r="B877" i="9"/>
  <c r="A877" i="9"/>
  <c r="B876" i="9"/>
  <c r="A876" i="9"/>
  <c r="B875" i="9"/>
  <c r="A875" i="9"/>
  <c r="B874" i="9"/>
  <c r="A874" i="9"/>
  <c r="B873" i="9"/>
  <c r="A873" i="9"/>
  <c r="B872" i="9"/>
  <c r="A872" i="9"/>
  <c r="B871" i="9"/>
  <c r="A871" i="9"/>
  <c r="B870" i="9"/>
  <c r="A870" i="9"/>
  <c r="B869" i="9"/>
  <c r="A869" i="9"/>
  <c r="B868" i="9"/>
  <c r="A868" i="9"/>
  <c r="B867" i="9"/>
  <c r="A867" i="9"/>
  <c r="B866" i="9"/>
  <c r="A866" i="9"/>
  <c r="B865" i="9"/>
  <c r="A865" i="9"/>
  <c r="B864" i="9"/>
  <c r="A864" i="9"/>
  <c r="B863" i="9"/>
  <c r="A863" i="9"/>
  <c r="B862" i="9"/>
  <c r="A862" i="9"/>
  <c r="B861" i="9"/>
  <c r="A861" i="9"/>
  <c r="B860" i="9"/>
  <c r="A860" i="9"/>
  <c r="B859" i="9"/>
  <c r="A859" i="9"/>
  <c r="B858" i="9"/>
  <c r="A858" i="9"/>
  <c r="B857" i="9"/>
  <c r="A857" i="9"/>
  <c r="B856" i="9"/>
  <c r="A856" i="9"/>
  <c r="B855" i="9"/>
  <c r="A855" i="9"/>
  <c r="B854" i="9"/>
  <c r="A854" i="9"/>
  <c r="B853" i="9"/>
  <c r="A853" i="9"/>
  <c r="B852" i="9"/>
  <c r="A852" i="9"/>
  <c r="B851" i="9"/>
  <c r="A851" i="9"/>
  <c r="B850" i="9"/>
  <c r="A850" i="9"/>
  <c r="B849" i="9"/>
  <c r="A849" i="9"/>
  <c r="B848" i="9"/>
  <c r="A848" i="9"/>
  <c r="B847" i="9"/>
  <c r="A847" i="9"/>
  <c r="B846" i="9"/>
  <c r="A846" i="9"/>
  <c r="B845" i="9"/>
  <c r="A845" i="9"/>
  <c r="B844" i="9"/>
  <c r="A844" i="9"/>
  <c r="B843" i="9"/>
  <c r="A843" i="9"/>
  <c r="B842" i="9"/>
  <c r="A842" i="9"/>
  <c r="B841" i="9"/>
  <c r="A841" i="9"/>
  <c r="B840" i="9"/>
  <c r="A840" i="9"/>
  <c r="B839" i="9"/>
  <c r="A839" i="9"/>
  <c r="B838" i="9"/>
  <c r="A838" i="9"/>
  <c r="B837" i="9"/>
  <c r="A837" i="9"/>
  <c r="B836" i="9"/>
  <c r="A836" i="9"/>
  <c r="B835" i="9"/>
  <c r="A835" i="9"/>
  <c r="B834" i="9"/>
  <c r="A834" i="9"/>
  <c r="B833" i="9"/>
  <c r="A833" i="9"/>
  <c r="B832" i="9"/>
  <c r="A832" i="9"/>
  <c r="B831" i="9"/>
  <c r="A831" i="9"/>
  <c r="B830" i="9"/>
  <c r="A830" i="9"/>
  <c r="B829" i="9"/>
  <c r="A829" i="9"/>
  <c r="B828" i="9"/>
  <c r="A828" i="9"/>
  <c r="B827" i="9"/>
  <c r="A827" i="9"/>
  <c r="B826" i="9"/>
  <c r="A826" i="9"/>
  <c r="B825" i="9"/>
  <c r="A825" i="9"/>
  <c r="B824" i="9"/>
  <c r="A824" i="9"/>
  <c r="B823" i="9"/>
  <c r="A823" i="9"/>
  <c r="B822" i="9"/>
  <c r="A822" i="9"/>
  <c r="B821" i="9"/>
  <c r="A821" i="9"/>
  <c r="B820" i="9"/>
  <c r="A820" i="9"/>
  <c r="B819" i="9"/>
  <c r="A819" i="9"/>
  <c r="B818" i="9"/>
  <c r="A818" i="9"/>
  <c r="B817" i="9"/>
  <c r="A817" i="9"/>
  <c r="B816" i="9"/>
  <c r="A816" i="9"/>
  <c r="B815" i="9"/>
  <c r="A815" i="9"/>
  <c r="B814" i="9"/>
  <c r="A814" i="9"/>
  <c r="B813" i="9"/>
  <c r="A813" i="9"/>
  <c r="B812" i="9"/>
  <c r="A812" i="9"/>
  <c r="B811" i="9"/>
  <c r="A811" i="9"/>
  <c r="B810" i="9"/>
  <c r="A810" i="9"/>
  <c r="B809" i="9"/>
  <c r="A809" i="9"/>
  <c r="B808" i="9"/>
  <c r="A808" i="9"/>
  <c r="B807" i="9"/>
  <c r="A807" i="9"/>
  <c r="B806" i="9"/>
  <c r="A806" i="9"/>
  <c r="B805" i="9"/>
  <c r="A805" i="9"/>
  <c r="B804" i="9"/>
  <c r="A804" i="9"/>
  <c r="B803" i="9"/>
  <c r="A803" i="9"/>
  <c r="B802" i="9"/>
  <c r="A802" i="9"/>
  <c r="B801" i="9"/>
  <c r="A801" i="9"/>
  <c r="B800" i="9"/>
  <c r="A800" i="9"/>
  <c r="B799" i="9"/>
  <c r="A799" i="9"/>
  <c r="B798" i="9"/>
  <c r="A798" i="9"/>
  <c r="B797" i="9"/>
  <c r="A797" i="9"/>
  <c r="B796" i="9"/>
  <c r="A796" i="9"/>
  <c r="B795" i="9"/>
  <c r="A795" i="9"/>
  <c r="B794" i="9"/>
  <c r="A794" i="9"/>
  <c r="B793" i="9"/>
  <c r="A793" i="9"/>
  <c r="B792" i="9"/>
  <c r="A792" i="9"/>
  <c r="B791" i="9"/>
  <c r="A791" i="9"/>
  <c r="B790" i="9"/>
  <c r="A790" i="9"/>
  <c r="B789" i="9"/>
  <c r="A789" i="9"/>
  <c r="B788" i="9"/>
  <c r="A788" i="9"/>
  <c r="B787" i="9"/>
  <c r="A787" i="9"/>
  <c r="B786" i="9"/>
  <c r="A786" i="9"/>
  <c r="B785" i="9"/>
  <c r="A785" i="9"/>
  <c r="B784" i="9"/>
  <c r="A784" i="9"/>
  <c r="B783" i="9"/>
  <c r="A783" i="9"/>
  <c r="B782" i="9"/>
  <c r="A782" i="9"/>
  <c r="B781" i="9"/>
  <c r="A781" i="9"/>
  <c r="B780" i="9"/>
  <c r="A780" i="9"/>
  <c r="B779" i="9"/>
  <c r="A779" i="9"/>
  <c r="B778" i="9"/>
  <c r="A778" i="9"/>
  <c r="B777" i="9"/>
  <c r="A777" i="9"/>
  <c r="B776" i="9"/>
  <c r="A776" i="9"/>
  <c r="B775" i="9"/>
  <c r="A775" i="9"/>
  <c r="B774" i="9"/>
  <c r="A774" i="9"/>
  <c r="B773" i="9"/>
  <c r="A773" i="9"/>
  <c r="B772" i="9"/>
  <c r="A772" i="9"/>
  <c r="B771" i="9"/>
  <c r="A771" i="9"/>
  <c r="B770" i="9"/>
  <c r="A770" i="9"/>
  <c r="B769" i="9"/>
  <c r="A769" i="9"/>
  <c r="B768" i="9"/>
  <c r="A768" i="9"/>
  <c r="B767" i="9"/>
  <c r="A767" i="9"/>
  <c r="B766" i="9"/>
  <c r="A766" i="9"/>
  <c r="B765" i="9"/>
  <c r="A765" i="9"/>
  <c r="B764" i="9"/>
  <c r="A764" i="9"/>
  <c r="B763" i="9"/>
  <c r="A763" i="9"/>
  <c r="B762" i="9"/>
  <c r="A762" i="9"/>
  <c r="B761" i="9"/>
  <c r="A761" i="9"/>
  <c r="B760" i="9"/>
  <c r="A760" i="9"/>
  <c r="B759" i="9"/>
  <c r="A759" i="9"/>
  <c r="B758" i="9"/>
  <c r="A758" i="9"/>
  <c r="B757" i="9"/>
  <c r="A757" i="9"/>
  <c r="B756" i="9"/>
  <c r="A756" i="9"/>
  <c r="B755" i="9"/>
  <c r="A755" i="9"/>
  <c r="B754" i="9"/>
  <c r="A754" i="9"/>
  <c r="B753" i="9"/>
  <c r="A753" i="9"/>
  <c r="B752" i="9"/>
  <c r="A752" i="9"/>
  <c r="B751" i="9"/>
  <c r="A751" i="9"/>
  <c r="B750" i="9"/>
  <c r="A750" i="9"/>
  <c r="B749" i="9"/>
  <c r="A749" i="9"/>
  <c r="B748" i="9"/>
  <c r="A748" i="9"/>
  <c r="B747" i="9"/>
  <c r="A747" i="9"/>
  <c r="B746" i="9"/>
  <c r="A746" i="9"/>
  <c r="B745" i="9"/>
  <c r="A745" i="9"/>
  <c r="B744" i="9"/>
  <c r="A744" i="9"/>
  <c r="B743" i="9"/>
  <c r="A743" i="9"/>
  <c r="B742" i="9"/>
  <c r="A742" i="9"/>
  <c r="B741" i="9"/>
  <c r="A741" i="9"/>
  <c r="B740" i="9"/>
  <c r="A740" i="9"/>
  <c r="B739" i="9"/>
  <c r="A739" i="9"/>
  <c r="B738" i="9"/>
  <c r="A738" i="9"/>
  <c r="B737" i="9"/>
  <c r="A737" i="9"/>
  <c r="B736" i="9"/>
  <c r="A736" i="9"/>
  <c r="B735" i="9"/>
  <c r="A735" i="9"/>
  <c r="B734" i="9"/>
  <c r="A734" i="9"/>
  <c r="B733" i="9"/>
  <c r="A733" i="9"/>
  <c r="B732" i="9"/>
  <c r="A732" i="9"/>
  <c r="B731" i="9"/>
  <c r="A731" i="9"/>
  <c r="B730" i="9"/>
  <c r="A730" i="9"/>
  <c r="B729" i="9"/>
  <c r="A729" i="9"/>
  <c r="B728" i="9"/>
  <c r="A728" i="9"/>
  <c r="B727" i="9"/>
  <c r="A727" i="9"/>
  <c r="B726" i="9"/>
  <c r="A726" i="9"/>
  <c r="B725" i="9"/>
  <c r="A725" i="9"/>
  <c r="B724" i="9"/>
  <c r="A724" i="9"/>
  <c r="B723" i="9"/>
  <c r="A723" i="9"/>
  <c r="B722" i="9"/>
  <c r="A722" i="9"/>
  <c r="B721" i="9"/>
  <c r="A721" i="9"/>
  <c r="B720" i="9"/>
  <c r="A720" i="9"/>
  <c r="B719" i="9"/>
  <c r="A719" i="9"/>
  <c r="B718" i="9"/>
  <c r="A718" i="9"/>
  <c r="B717" i="9"/>
  <c r="A717" i="9"/>
  <c r="B716" i="9"/>
  <c r="A716" i="9"/>
  <c r="B715" i="9"/>
  <c r="A715" i="9"/>
  <c r="B714" i="9"/>
  <c r="A714" i="9"/>
  <c r="B713" i="9"/>
  <c r="A713" i="9"/>
  <c r="B712" i="9"/>
  <c r="A712" i="9"/>
  <c r="B711" i="9"/>
  <c r="A711" i="9"/>
  <c r="B710" i="9"/>
  <c r="A710" i="9"/>
  <c r="B709" i="9"/>
  <c r="A709" i="9"/>
  <c r="B708" i="9"/>
  <c r="A708" i="9"/>
  <c r="B707" i="9"/>
  <c r="A707" i="9"/>
  <c r="B706" i="9"/>
  <c r="A706" i="9"/>
  <c r="B705" i="9"/>
  <c r="A705" i="9"/>
  <c r="B704" i="9"/>
  <c r="A704" i="9"/>
  <c r="B703" i="9"/>
  <c r="A703" i="9"/>
  <c r="B702" i="9"/>
  <c r="A702" i="9"/>
  <c r="B701" i="9"/>
  <c r="A701" i="9"/>
  <c r="B700" i="9"/>
  <c r="A700" i="9"/>
  <c r="B699" i="9"/>
  <c r="A699" i="9"/>
  <c r="B698" i="9"/>
  <c r="A698" i="9"/>
  <c r="B697" i="9"/>
  <c r="A697" i="9"/>
  <c r="B696" i="9"/>
  <c r="A696" i="9"/>
  <c r="B695" i="9"/>
  <c r="A695" i="9"/>
  <c r="B694" i="9"/>
  <c r="A694" i="9"/>
  <c r="B693" i="9"/>
  <c r="A693" i="9"/>
  <c r="B692" i="9"/>
  <c r="A692" i="9"/>
  <c r="B691" i="9"/>
  <c r="A691" i="9"/>
  <c r="B690" i="9"/>
  <c r="A690" i="9"/>
  <c r="B689" i="9"/>
  <c r="A689" i="9"/>
  <c r="B688" i="9"/>
  <c r="A688" i="9"/>
  <c r="B687" i="9"/>
  <c r="A687" i="9"/>
  <c r="B686" i="9"/>
  <c r="A686" i="9"/>
  <c r="B685" i="9"/>
  <c r="A685" i="9"/>
  <c r="B684" i="9"/>
  <c r="A684" i="9"/>
  <c r="B683" i="9"/>
  <c r="A683" i="9"/>
  <c r="B682" i="9"/>
  <c r="A682" i="9"/>
  <c r="B681" i="9"/>
  <c r="A681" i="9"/>
  <c r="B680" i="9"/>
  <c r="A680" i="9"/>
  <c r="B679" i="9"/>
  <c r="A679" i="9"/>
  <c r="B678" i="9"/>
  <c r="A678" i="9"/>
  <c r="B677" i="9"/>
  <c r="A677" i="9"/>
  <c r="B676" i="9"/>
  <c r="A676" i="9"/>
  <c r="B675" i="9"/>
  <c r="A675" i="9"/>
  <c r="B674" i="9"/>
  <c r="A674" i="9"/>
  <c r="B673" i="9"/>
  <c r="A673" i="9"/>
  <c r="B672" i="9"/>
  <c r="A672" i="9"/>
  <c r="B671" i="9"/>
  <c r="A671" i="9"/>
  <c r="B670" i="9"/>
  <c r="A670" i="9"/>
  <c r="B669" i="9"/>
  <c r="A669" i="9"/>
  <c r="B668" i="9"/>
  <c r="A668" i="9"/>
  <c r="B667" i="9"/>
  <c r="A667" i="9"/>
  <c r="B666" i="9"/>
  <c r="A666" i="9"/>
  <c r="B665" i="9"/>
  <c r="A665" i="9"/>
  <c r="B664" i="9"/>
  <c r="A664" i="9"/>
  <c r="B663" i="9"/>
  <c r="A663" i="9"/>
  <c r="B662" i="9"/>
  <c r="A662" i="9"/>
  <c r="B661" i="9"/>
  <c r="A661" i="9"/>
  <c r="B660" i="9"/>
  <c r="A660" i="9"/>
  <c r="B659" i="9"/>
  <c r="A659" i="9"/>
  <c r="B658" i="9"/>
  <c r="A658" i="9"/>
  <c r="B657" i="9"/>
  <c r="A657" i="9"/>
  <c r="B656" i="9"/>
  <c r="A656" i="9"/>
  <c r="B655" i="9"/>
  <c r="A655" i="9"/>
  <c r="B654" i="9"/>
  <c r="A654" i="9"/>
  <c r="B653" i="9"/>
  <c r="A653" i="9"/>
  <c r="B652" i="9"/>
  <c r="A652" i="9"/>
  <c r="B651" i="9"/>
  <c r="A651" i="9"/>
  <c r="B650" i="9"/>
  <c r="A650" i="9"/>
  <c r="B649" i="9"/>
  <c r="A649" i="9"/>
  <c r="B648" i="9"/>
  <c r="A648" i="9"/>
  <c r="B647" i="9"/>
  <c r="A647" i="9"/>
  <c r="B646" i="9"/>
  <c r="A646" i="9"/>
  <c r="B645" i="9"/>
  <c r="A645" i="9"/>
  <c r="B644" i="9"/>
  <c r="A644" i="9"/>
  <c r="B643" i="9"/>
  <c r="A643" i="9"/>
  <c r="B642" i="9"/>
  <c r="A642" i="9"/>
  <c r="B641" i="9"/>
  <c r="A641" i="9"/>
  <c r="B640" i="9"/>
  <c r="A640" i="9"/>
  <c r="B639" i="9"/>
  <c r="A639" i="9"/>
  <c r="B638" i="9"/>
  <c r="A638" i="9"/>
  <c r="B637" i="9"/>
  <c r="A637" i="9"/>
  <c r="B636" i="9"/>
  <c r="A636" i="9"/>
  <c r="B635" i="9"/>
  <c r="A635" i="9"/>
  <c r="B634" i="9"/>
  <c r="A634" i="9"/>
  <c r="B633" i="9"/>
  <c r="A633" i="9"/>
  <c r="B632" i="9"/>
  <c r="A632" i="9"/>
  <c r="B631" i="9"/>
  <c r="A631" i="9"/>
  <c r="B630" i="9"/>
  <c r="A630" i="9"/>
  <c r="B629" i="9"/>
  <c r="A629" i="9"/>
  <c r="B628" i="9"/>
  <c r="A628" i="9"/>
  <c r="B627" i="9"/>
  <c r="A627" i="9"/>
  <c r="B626" i="9"/>
  <c r="A626" i="9"/>
  <c r="B625" i="9"/>
  <c r="A625" i="9"/>
  <c r="B624" i="9"/>
  <c r="A624" i="9"/>
  <c r="B623" i="9"/>
  <c r="A623" i="9"/>
  <c r="B622" i="9"/>
  <c r="A622" i="9"/>
  <c r="B621" i="9"/>
  <c r="A621" i="9"/>
  <c r="B620" i="9"/>
  <c r="A620" i="9"/>
  <c r="B619" i="9"/>
  <c r="A619" i="9"/>
  <c r="B618" i="9"/>
  <c r="A618" i="9"/>
  <c r="B617" i="9"/>
  <c r="A617" i="9"/>
  <c r="B616" i="9"/>
  <c r="A616" i="9"/>
  <c r="B615" i="9"/>
  <c r="A615" i="9"/>
  <c r="B614" i="9"/>
  <c r="A614" i="9"/>
  <c r="B613" i="9"/>
  <c r="A613" i="9"/>
  <c r="B612" i="9"/>
  <c r="A612" i="9"/>
  <c r="B611" i="9"/>
  <c r="A611" i="9"/>
  <c r="B610" i="9"/>
  <c r="A610" i="9"/>
  <c r="B609" i="9"/>
  <c r="A609" i="9"/>
  <c r="B608" i="9"/>
  <c r="A608" i="9"/>
  <c r="B607" i="9"/>
  <c r="A607" i="9"/>
  <c r="B606" i="9"/>
  <c r="A606" i="9"/>
  <c r="B605" i="9"/>
  <c r="A605" i="9"/>
  <c r="B604" i="9"/>
  <c r="A604" i="9"/>
  <c r="B603" i="9"/>
  <c r="A603" i="9"/>
  <c r="B602" i="9"/>
  <c r="A602" i="9"/>
  <c r="B601" i="9"/>
  <c r="A601" i="9"/>
  <c r="B600" i="9"/>
  <c r="A600" i="9"/>
  <c r="B599" i="9"/>
  <c r="A599" i="9"/>
  <c r="B598" i="9"/>
  <c r="A598" i="9"/>
  <c r="B597" i="9"/>
  <c r="A597" i="9"/>
  <c r="B596" i="9"/>
  <c r="A596" i="9"/>
  <c r="B595" i="9"/>
  <c r="A595" i="9"/>
  <c r="B594" i="9"/>
  <c r="A594" i="9"/>
  <c r="B593" i="9"/>
  <c r="A593" i="9"/>
  <c r="B592" i="9"/>
  <c r="A592" i="9"/>
  <c r="B591" i="9"/>
  <c r="A591" i="9"/>
  <c r="B590" i="9"/>
  <c r="A590" i="9"/>
  <c r="B589" i="9"/>
  <c r="A589" i="9"/>
  <c r="B588" i="9"/>
  <c r="A588" i="9"/>
  <c r="B587" i="9"/>
  <c r="A587" i="9"/>
  <c r="B586" i="9"/>
  <c r="A586" i="9"/>
  <c r="B585" i="9"/>
  <c r="A585" i="9"/>
  <c r="B584" i="9"/>
  <c r="A584" i="9"/>
  <c r="B583" i="9"/>
  <c r="A583" i="9"/>
  <c r="B582" i="9"/>
  <c r="A582" i="9"/>
  <c r="B581" i="9"/>
  <c r="A581" i="9"/>
  <c r="B580" i="9"/>
  <c r="A580" i="9"/>
  <c r="B579" i="9"/>
  <c r="A579" i="9"/>
  <c r="B578" i="9"/>
  <c r="A578" i="9"/>
  <c r="B577" i="9"/>
  <c r="A577" i="9"/>
  <c r="B576" i="9"/>
  <c r="A576" i="9"/>
  <c r="B575" i="9"/>
  <c r="A575" i="9"/>
  <c r="B574" i="9"/>
  <c r="A574" i="9"/>
  <c r="B573" i="9"/>
  <c r="A573" i="9"/>
  <c r="B572" i="9"/>
  <c r="A572" i="9"/>
  <c r="B571" i="9"/>
  <c r="A571" i="9"/>
  <c r="B570" i="9"/>
  <c r="A570" i="9"/>
  <c r="B569" i="9"/>
  <c r="A569" i="9"/>
  <c r="B568" i="9"/>
  <c r="A568" i="9"/>
  <c r="B567" i="9"/>
  <c r="A567" i="9"/>
  <c r="B566" i="9"/>
  <c r="A566" i="9"/>
  <c r="B565" i="9"/>
  <c r="A565" i="9"/>
  <c r="B564" i="9"/>
  <c r="A564" i="9"/>
  <c r="B563" i="9"/>
  <c r="A563" i="9"/>
  <c r="B562" i="9"/>
  <c r="A562" i="9"/>
  <c r="B561" i="9"/>
  <c r="A561" i="9"/>
  <c r="B560" i="9"/>
  <c r="A560" i="9"/>
  <c r="B559" i="9"/>
  <c r="A559" i="9"/>
  <c r="B558" i="9"/>
  <c r="A558" i="9"/>
  <c r="B557" i="9"/>
  <c r="A557" i="9"/>
  <c r="B556" i="9"/>
  <c r="A556" i="9"/>
  <c r="B555" i="9"/>
  <c r="A555" i="9"/>
  <c r="B554" i="9"/>
  <c r="A554" i="9"/>
  <c r="B553" i="9"/>
  <c r="A553" i="9"/>
  <c r="B552" i="9"/>
  <c r="A552" i="9"/>
  <c r="B551" i="9"/>
  <c r="A551" i="9"/>
  <c r="B550" i="9"/>
  <c r="A550" i="9"/>
  <c r="B549" i="9"/>
  <c r="A549" i="9"/>
  <c r="B548" i="9"/>
  <c r="A548" i="9"/>
  <c r="B547" i="9"/>
  <c r="A547" i="9"/>
  <c r="B546" i="9"/>
  <c r="A546" i="9"/>
  <c r="B545" i="9"/>
  <c r="A545" i="9"/>
  <c r="B544" i="9"/>
  <c r="A544" i="9"/>
  <c r="B543" i="9"/>
  <c r="A543" i="9"/>
  <c r="B542" i="9"/>
  <c r="A542" i="9"/>
  <c r="B541" i="9"/>
  <c r="A541" i="9"/>
  <c r="B540" i="9"/>
  <c r="A540" i="9"/>
  <c r="B539" i="9"/>
  <c r="A539" i="9"/>
  <c r="B538" i="9"/>
  <c r="A538" i="9"/>
  <c r="B537" i="9"/>
  <c r="A537" i="9"/>
  <c r="B536" i="9"/>
  <c r="A536" i="9"/>
  <c r="B535" i="9"/>
  <c r="A535" i="9"/>
  <c r="B534" i="9"/>
  <c r="A534" i="9"/>
  <c r="B533" i="9"/>
  <c r="A533" i="9"/>
  <c r="B532" i="9"/>
  <c r="A532" i="9"/>
  <c r="B531" i="9"/>
  <c r="A531" i="9"/>
  <c r="B530" i="9"/>
  <c r="A530" i="9"/>
  <c r="B529" i="9"/>
  <c r="A529" i="9"/>
  <c r="B528" i="9"/>
  <c r="A528" i="9"/>
  <c r="B527" i="9"/>
  <c r="A527" i="9"/>
  <c r="B526" i="9"/>
  <c r="A526" i="9"/>
  <c r="B525" i="9"/>
  <c r="A525" i="9"/>
  <c r="B524" i="9"/>
  <c r="A524" i="9"/>
  <c r="B523" i="9"/>
  <c r="A523" i="9"/>
  <c r="B522" i="9"/>
  <c r="A522" i="9"/>
  <c r="B521" i="9"/>
  <c r="A521" i="9"/>
  <c r="B520" i="9"/>
  <c r="A520" i="9"/>
  <c r="B519" i="9"/>
  <c r="A519" i="9"/>
  <c r="B518" i="9"/>
  <c r="A518" i="9"/>
  <c r="B517" i="9"/>
  <c r="A517" i="9"/>
  <c r="B516" i="9"/>
  <c r="A516" i="9"/>
  <c r="B515" i="9"/>
  <c r="A515" i="9"/>
  <c r="B514" i="9"/>
  <c r="A514" i="9"/>
  <c r="B513" i="9"/>
  <c r="A513" i="9"/>
  <c r="B512" i="9"/>
  <c r="A512" i="9"/>
  <c r="B511" i="9"/>
  <c r="A511" i="9"/>
  <c r="B510" i="9"/>
  <c r="A510" i="9"/>
  <c r="B509" i="9"/>
  <c r="A509" i="9"/>
  <c r="B508" i="9"/>
  <c r="A508" i="9"/>
  <c r="B507" i="9"/>
  <c r="A507" i="9"/>
  <c r="B506" i="9"/>
  <c r="A506" i="9"/>
  <c r="B505" i="9"/>
  <c r="A505" i="9"/>
  <c r="B504" i="9"/>
  <c r="A504" i="9"/>
  <c r="B503" i="9"/>
  <c r="A503" i="9"/>
  <c r="B502" i="9"/>
  <c r="A502" i="9"/>
  <c r="B501" i="9"/>
  <c r="A501" i="9"/>
  <c r="B500" i="9"/>
  <c r="A500" i="9"/>
  <c r="B499" i="9"/>
  <c r="A499" i="9"/>
  <c r="B498" i="9"/>
  <c r="A498" i="9"/>
  <c r="B497" i="9"/>
  <c r="A497" i="9"/>
  <c r="B496" i="9"/>
  <c r="A496" i="9"/>
  <c r="B495" i="9"/>
  <c r="A495" i="9"/>
  <c r="B494" i="9"/>
  <c r="A494" i="9"/>
  <c r="B493" i="9"/>
  <c r="A493" i="9"/>
  <c r="B492" i="9"/>
  <c r="A492" i="9"/>
  <c r="B491" i="9"/>
  <c r="A491" i="9"/>
  <c r="B490" i="9"/>
  <c r="A490" i="9"/>
  <c r="B489" i="9"/>
  <c r="A489" i="9"/>
  <c r="B488" i="9"/>
  <c r="A488" i="9"/>
  <c r="B487" i="9"/>
  <c r="A487" i="9"/>
  <c r="B486" i="9"/>
  <c r="A486" i="9"/>
  <c r="B485" i="9"/>
  <c r="A485" i="9"/>
  <c r="B484" i="9"/>
  <c r="A484" i="9"/>
  <c r="B483" i="9"/>
  <c r="A483" i="9"/>
  <c r="B482" i="9"/>
  <c r="A482" i="9"/>
  <c r="B481" i="9"/>
  <c r="A481" i="9"/>
  <c r="B480" i="9"/>
  <c r="A480" i="9"/>
  <c r="B479" i="9"/>
  <c r="A479" i="9"/>
  <c r="B478" i="9"/>
  <c r="A478" i="9"/>
  <c r="B477" i="9"/>
  <c r="A477" i="9"/>
  <c r="B476" i="9"/>
  <c r="A476" i="9"/>
  <c r="B475" i="9"/>
  <c r="A475" i="9"/>
  <c r="B474" i="9"/>
  <c r="A474" i="9"/>
  <c r="B473" i="9"/>
  <c r="A473" i="9"/>
  <c r="B472" i="9"/>
  <c r="A472" i="9"/>
  <c r="B471" i="9"/>
  <c r="A471" i="9"/>
  <c r="B470" i="9"/>
  <c r="A470" i="9"/>
  <c r="B469" i="9"/>
  <c r="A469" i="9"/>
  <c r="B468" i="9"/>
  <c r="A468" i="9"/>
  <c r="B467" i="9"/>
  <c r="A467" i="9"/>
  <c r="B466" i="9"/>
  <c r="A466" i="9"/>
  <c r="B465" i="9"/>
  <c r="A465" i="9"/>
  <c r="B464" i="9"/>
  <c r="A464" i="9"/>
  <c r="B463" i="9"/>
  <c r="A463" i="9"/>
  <c r="B462" i="9"/>
  <c r="A462" i="9"/>
  <c r="B461" i="9"/>
  <c r="A461" i="9"/>
  <c r="B460" i="9"/>
  <c r="A460" i="9"/>
  <c r="B459" i="9"/>
  <c r="A459" i="9"/>
  <c r="B458" i="9"/>
  <c r="A458" i="9"/>
  <c r="B457" i="9"/>
  <c r="A457" i="9"/>
  <c r="B456" i="9"/>
  <c r="A456" i="9"/>
  <c r="B455" i="9"/>
  <c r="A455" i="9"/>
  <c r="B454" i="9"/>
  <c r="A454" i="9"/>
  <c r="B453" i="9"/>
  <c r="A453" i="9"/>
  <c r="B452" i="9"/>
  <c r="A452" i="9"/>
  <c r="B451" i="9"/>
  <c r="A451" i="9"/>
  <c r="B450" i="9"/>
  <c r="A450" i="9"/>
  <c r="B449" i="9"/>
  <c r="A449" i="9"/>
  <c r="B448" i="9"/>
  <c r="A448" i="9"/>
  <c r="B447" i="9"/>
  <c r="A447" i="9"/>
  <c r="B446" i="9"/>
  <c r="A446" i="9"/>
  <c r="B445" i="9"/>
  <c r="A445" i="9"/>
  <c r="B444" i="9"/>
  <c r="A444" i="9"/>
  <c r="B443" i="9"/>
  <c r="A443" i="9"/>
  <c r="B442" i="9"/>
  <c r="A442" i="9"/>
  <c r="B441" i="9"/>
  <c r="A441" i="9"/>
  <c r="B440" i="9"/>
  <c r="A440" i="9"/>
  <c r="B439" i="9"/>
  <c r="A439" i="9"/>
  <c r="B438" i="9"/>
  <c r="A438" i="9"/>
  <c r="B437" i="9"/>
  <c r="A437" i="9"/>
  <c r="B436" i="9"/>
  <c r="A436" i="9"/>
  <c r="B435" i="9"/>
  <c r="A435" i="9"/>
  <c r="B434" i="9"/>
  <c r="A434" i="9"/>
  <c r="B433" i="9"/>
  <c r="A433" i="9"/>
  <c r="B432" i="9"/>
  <c r="A432" i="9"/>
  <c r="B431" i="9"/>
  <c r="A431" i="9"/>
  <c r="B430" i="9"/>
  <c r="A430" i="9"/>
  <c r="B429" i="9"/>
  <c r="A429" i="9"/>
  <c r="B428" i="9"/>
  <c r="A428" i="9"/>
  <c r="B427" i="9"/>
  <c r="A427" i="9"/>
  <c r="B426" i="9"/>
  <c r="A426" i="9"/>
  <c r="B425" i="9"/>
  <c r="A425" i="9"/>
  <c r="B424" i="9"/>
  <c r="A424" i="9"/>
  <c r="B423" i="9"/>
  <c r="A423" i="9"/>
  <c r="B422" i="9"/>
  <c r="A422" i="9"/>
  <c r="B421" i="9"/>
  <c r="A421" i="9"/>
  <c r="B420" i="9"/>
  <c r="A420" i="9"/>
  <c r="B419" i="9"/>
  <c r="A419" i="9"/>
  <c r="B418" i="9"/>
  <c r="A418" i="9"/>
  <c r="B417" i="9"/>
  <c r="A417" i="9"/>
  <c r="B416" i="9"/>
  <c r="A416" i="9"/>
  <c r="B415" i="9"/>
  <c r="A415" i="9"/>
  <c r="B414" i="9"/>
  <c r="A414" i="9"/>
  <c r="B413" i="9"/>
  <c r="A413" i="9"/>
  <c r="B412" i="9"/>
  <c r="A412" i="9"/>
  <c r="B411" i="9"/>
  <c r="A411" i="9"/>
  <c r="B410" i="9"/>
  <c r="A410" i="9"/>
  <c r="B409" i="9"/>
  <c r="A409" i="9"/>
  <c r="B408" i="9"/>
  <c r="A408" i="9"/>
  <c r="B407" i="9"/>
  <c r="A407" i="9"/>
  <c r="B406" i="9"/>
  <c r="A406" i="9"/>
  <c r="B405" i="9"/>
  <c r="A405" i="9"/>
  <c r="B404" i="9"/>
  <c r="A404" i="9"/>
  <c r="B403" i="9"/>
  <c r="A403" i="9"/>
  <c r="B402" i="9"/>
  <c r="A402" i="9"/>
  <c r="B401" i="9"/>
  <c r="A401" i="9"/>
  <c r="B400" i="9"/>
  <c r="A400" i="9"/>
  <c r="B399" i="9"/>
  <c r="A399" i="9"/>
  <c r="B398" i="9"/>
  <c r="A398" i="9"/>
  <c r="B397" i="9"/>
  <c r="A397" i="9"/>
  <c r="B396" i="9"/>
  <c r="A396" i="9"/>
  <c r="B395" i="9"/>
  <c r="A395" i="9"/>
  <c r="B394" i="9"/>
  <c r="A394" i="9"/>
  <c r="B393" i="9"/>
  <c r="A393" i="9"/>
  <c r="B392" i="9"/>
  <c r="A392" i="9"/>
  <c r="B391" i="9"/>
  <c r="A391" i="9"/>
  <c r="B390" i="9"/>
  <c r="A390" i="9"/>
  <c r="B389" i="9"/>
  <c r="A389" i="9"/>
  <c r="B388" i="9"/>
  <c r="A388" i="9"/>
  <c r="B387" i="9"/>
  <c r="A387" i="9"/>
  <c r="B386" i="9"/>
  <c r="A386" i="9"/>
  <c r="B385" i="9"/>
  <c r="A385" i="9"/>
  <c r="B384" i="9"/>
  <c r="A384" i="9"/>
  <c r="B383" i="9"/>
  <c r="A383" i="9"/>
  <c r="B382" i="9"/>
  <c r="A382" i="9"/>
  <c r="B381" i="9"/>
  <c r="A381" i="9"/>
  <c r="B380" i="9"/>
  <c r="A380" i="9"/>
  <c r="B379" i="9"/>
  <c r="A379" i="9"/>
  <c r="B378" i="9"/>
  <c r="A378" i="9"/>
  <c r="B377" i="9"/>
  <c r="A377" i="9"/>
  <c r="B376" i="9"/>
  <c r="A376" i="9"/>
  <c r="B375" i="9"/>
  <c r="A375" i="9"/>
  <c r="B374" i="9"/>
  <c r="A374" i="9"/>
  <c r="B373" i="9"/>
  <c r="A373" i="9"/>
  <c r="B372" i="9"/>
  <c r="A372" i="9"/>
  <c r="B371" i="9"/>
  <c r="A371" i="9"/>
  <c r="B370" i="9"/>
  <c r="A370" i="9"/>
  <c r="B369" i="9"/>
  <c r="A369" i="9"/>
  <c r="B368" i="9"/>
  <c r="A368" i="9"/>
  <c r="B367" i="9"/>
  <c r="A367" i="9"/>
  <c r="B366" i="9"/>
  <c r="A366" i="9"/>
  <c r="B365" i="9"/>
  <c r="A365" i="9"/>
  <c r="B364" i="9"/>
  <c r="A364" i="9"/>
  <c r="B363" i="9"/>
  <c r="A363" i="9"/>
  <c r="B362" i="9"/>
  <c r="A362" i="9"/>
  <c r="B361" i="9"/>
  <c r="A361" i="9"/>
  <c r="B360" i="9"/>
  <c r="A360" i="9"/>
  <c r="B359" i="9"/>
  <c r="A359" i="9"/>
  <c r="B358" i="9"/>
  <c r="A358" i="9"/>
  <c r="B357" i="9"/>
  <c r="A357" i="9"/>
  <c r="B356" i="9"/>
  <c r="A356" i="9"/>
  <c r="B355" i="9"/>
  <c r="A355" i="9"/>
  <c r="B354" i="9"/>
  <c r="A354" i="9"/>
  <c r="B353" i="9"/>
  <c r="A353" i="9"/>
  <c r="B352" i="9"/>
  <c r="A352" i="9"/>
  <c r="B351" i="9"/>
  <c r="A351" i="9"/>
  <c r="B350" i="9"/>
  <c r="A350" i="9"/>
  <c r="B349" i="9"/>
  <c r="A349" i="9"/>
  <c r="B348" i="9"/>
  <c r="A348" i="9"/>
  <c r="B347" i="9"/>
  <c r="A347" i="9"/>
  <c r="B346" i="9"/>
  <c r="A346" i="9"/>
  <c r="B345" i="9"/>
  <c r="A345" i="9"/>
  <c r="B344" i="9"/>
  <c r="A344" i="9"/>
  <c r="B343" i="9"/>
  <c r="A343" i="9"/>
  <c r="B342" i="9"/>
  <c r="A342" i="9"/>
  <c r="B341" i="9"/>
  <c r="A341" i="9"/>
  <c r="B340" i="9"/>
  <c r="A340" i="9"/>
  <c r="B339" i="9"/>
  <c r="A339" i="9"/>
  <c r="B338" i="9"/>
  <c r="A338" i="9"/>
  <c r="B337" i="9"/>
  <c r="A337" i="9"/>
  <c r="B336" i="9"/>
  <c r="A336" i="9"/>
  <c r="B335" i="9"/>
  <c r="A335" i="9"/>
  <c r="B334" i="9"/>
  <c r="A334" i="9"/>
  <c r="B333" i="9"/>
  <c r="A333" i="9"/>
  <c r="B332" i="9"/>
  <c r="A332" i="9"/>
  <c r="B331" i="9"/>
  <c r="A331" i="9"/>
  <c r="B330" i="9"/>
  <c r="A330" i="9"/>
  <c r="B329" i="9"/>
  <c r="A329" i="9"/>
  <c r="B328" i="9"/>
  <c r="A328" i="9"/>
  <c r="B327" i="9"/>
  <c r="A327" i="9"/>
  <c r="B326" i="9"/>
  <c r="A326" i="9"/>
  <c r="B325" i="9"/>
  <c r="A325" i="9"/>
  <c r="B324" i="9"/>
  <c r="A324" i="9"/>
  <c r="B323" i="9"/>
  <c r="A323" i="9"/>
  <c r="B322" i="9"/>
  <c r="A322" i="9"/>
  <c r="B321" i="9"/>
  <c r="A321" i="9"/>
  <c r="B320" i="9"/>
  <c r="A320" i="9"/>
  <c r="B319" i="9"/>
  <c r="A319" i="9"/>
  <c r="B318" i="9"/>
  <c r="A318" i="9"/>
  <c r="B317" i="9"/>
  <c r="A317" i="9"/>
  <c r="B316" i="9"/>
  <c r="A316" i="9"/>
  <c r="B315" i="9"/>
  <c r="A315" i="9"/>
  <c r="B314" i="9"/>
  <c r="A314" i="9"/>
  <c r="B313" i="9"/>
  <c r="A313" i="9"/>
  <c r="B312" i="9"/>
  <c r="A312" i="9"/>
  <c r="B311" i="9"/>
  <c r="A311" i="9"/>
  <c r="B310" i="9"/>
  <c r="A310" i="9"/>
  <c r="B309" i="9"/>
  <c r="A309" i="9"/>
  <c r="B308" i="9"/>
  <c r="A308" i="9"/>
  <c r="B307" i="9"/>
  <c r="A307" i="9"/>
  <c r="B306" i="9"/>
  <c r="A306" i="9"/>
  <c r="B305" i="9"/>
  <c r="A305" i="9"/>
  <c r="B304" i="9"/>
  <c r="A304" i="9"/>
  <c r="B303" i="9"/>
  <c r="A303" i="9"/>
  <c r="B302" i="9"/>
  <c r="A302" i="9"/>
  <c r="B301" i="9"/>
  <c r="A301" i="9"/>
  <c r="B300" i="9"/>
  <c r="A300" i="9"/>
  <c r="B299" i="9"/>
  <c r="A299" i="9"/>
  <c r="B298" i="9"/>
  <c r="A298" i="9"/>
  <c r="B297" i="9"/>
  <c r="A297" i="9"/>
  <c r="B296" i="9"/>
  <c r="A296" i="9"/>
  <c r="B295" i="9"/>
  <c r="A295" i="9"/>
  <c r="B294" i="9"/>
  <c r="A294" i="9"/>
  <c r="B293" i="9"/>
  <c r="A293" i="9"/>
  <c r="B292" i="9"/>
  <c r="A292" i="9"/>
  <c r="B291" i="9"/>
  <c r="A291" i="9"/>
  <c r="B290" i="9"/>
  <c r="A290" i="9"/>
  <c r="B289" i="9"/>
  <c r="A289" i="9"/>
  <c r="B288" i="9"/>
  <c r="A288" i="9"/>
  <c r="B287" i="9"/>
  <c r="A287" i="9"/>
  <c r="B286" i="9"/>
  <c r="A286" i="9"/>
  <c r="B285" i="9"/>
  <c r="A285" i="9"/>
  <c r="B284" i="9"/>
  <c r="A284" i="9"/>
  <c r="B283" i="9"/>
  <c r="A283" i="9"/>
  <c r="B282" i="9"/>
  <c r="A282" i="9"/>
  <c r="B281" i="9"/>
  <c r="A281" i="9"/>
  <c r="B280" i="9"/>
  <c r="A280" i="9"/>
  <c r="B279" i="9"/>
  <c r="A279" i="9"/>
  <c r="B278" i="9"/>
  <c r="A278" i="9"/>
  <c r="B277" i="9"/>
  <c r="A277" i="9"/>
  <c r="B276" i="9"/>
  <c r="A276" i="9"/>
  <c r="B275" i="9"/>
  <c r="A275" i="9"/>
  <c r="B274" i="9"/>
  <c r="A274" i="9"/>
  <c r="B273" i="9"/>
  <c r="A273" i="9"/>
  <c r="B272" i="9"/>
  <c r="A272" i="9"/>
  <c r="B271" i="9"/>
  <c r="A271" i="9"/>
  <c r="B270" i="9"/>
  <c r="A270" i="9"/>
  <c r="B269" i="9"/>
  <c r="A269" i="9"/>
  <c r="B268" i="9"/>
  <c r="A268" i="9"/>
  <c r="B267" i="9"/>
  <c r="A267" i="9"/>
  <c r="B266" i="9"/>
  <c r="A266" i="9"/>
  <c r="B265" i="9"/>
  <c r="A265" i="9"/>
  <c r="B264" i="9"/>
  <c r="A264" i="9"/>
  <c r="B263" i="9"/>
  <c r="A263" i="9"/>
  <c r="B262" i="9"/>
  <c r="A262" i="9"/>
  <c r="B261" i="9"/>
  <c r="A261" i="9"/>
  <c r="B260" i="9"/>
  <c r="A260" i="9"/>
  <c r="B259" i="9"/>
  <c r="A259" i="9"/>
  <c r="B258" i="9"/>
  <c r="A258" i="9"/>
  <c r="B257" i="9"/>
  <c r="A257" i="9"/>
  <c r="B256" i="9"/>
  <c r="A256" i="9"/>
  <c r="B255" i="9"/>
  <c r="A255" i="9"/>
  <c r="B254" i="9"/>
  <c r="A254" i="9"/>
  <c r="B253" i="9"/>
  <c r="A253" i="9"/>
  <c r="B252" i="9"/>
  <c r="A252" i="9"/>
  <c r="B251" i="9"/>
  <c r="A251" i="9"/>
  <c r="B250" i="9"/>
  <c r="A250" i="9"/>
  <c r="B249" i="9"/>
  <c r="A249" i="9"/>
  <c r="B248" i="9"/>
  <c r="A248" i="9"/>
  <c r="B247" i="9"/>
  <c r="A247" i="9"/>
  <c r="B246" i="9"/>
  <c r="A246" i="9"/>
  <c r="B245" i="9"/>
  <c r="A245" i="9"/>
  <c r="B244" i="9"/>
  <c r="A244" i="9"/>
  <c r="B243" i="9"/>
  <c r="A243" i="9"/>
  <c r="B242" i="9"/>
  <c r="A242" i="9"/>
  <c r="B241" i="9"/>
  <c r="A241" i="9"/>
  <c r="B240" i="9"/>
  <c r="A240" i="9"/>
  <c r="B239" i="9"/>
  <c r="A239" i="9"/>
  <c r="B238" i="9"/>
  <c r="A238" i="9"/>
  <c r="B237" i="9"/>
  <c r="A237" i="9"/>
  <c r="B236" i="9"/>
  <c r="A236" i="9"/>
  <c r="B235" i="9"/>
  <c r="A235" i="9"/>
  <c r="B234" i="9"/>
  <c r="A234" i="9"/>
  <c r="B233" i="9"/>
  <c r="A233" i="9"/>
  <c r="B232" i="9"/>
  <c r="A232" i="9"/>
  <c r="B231" i="9"/>
  <c r="A231" i="9"/>
  <c r="B230" i="9"/>
  <c r="A230" i="9"/>
  <c r="B229" i="9"/>
  <c r="A229" i="9"/>
  <c r="B228" i="9"/>
  <c r="A228" i="9"/>
  <c r="B227" i="9"/>
  <c r="A227" i="9"/>
  <c r="B226" i="9"/>
  <c r="A226" i="9"/>
  <c r="B225" i="9"/>
  <c r="A225" i="9"/>
  <c r="B224" i="9"/>
  <c r="A224" i="9"/>
  <c r="B223" i="9"/>
  <c r="A223" i="9"/>
  <c r="B222" i="9"/>
  <c r="A222" i="9"/>
  <c r="B221" i="9"/>
  <c r="A221" i="9"/>
  <c r="B220" i="9"/>
  <c r="A220" i="9"/>
  <c r="B219" i="9"/>
  <c r="A219" i="9"/>
  <c r="B218" i="9"/>
  <c r="A218" i="9"/>
  <c r="B217" i="9"/>
  <c r="A217" i="9"/>
  <c r="B216" i="9"/>
  <c r="A216" i="9"/>
  <c r="B215" i="9"/>
  <c r="A215" i="9"/>
  <c r="B214" i="9"/>
  <c r="A214" i="9"/>
  <c r="B213" i="9"/>
  <c r="A213" i="9"/>
  <c r="B212" i="9"/>
  <c r="A212" i="9"/>
  <c r="B211" i="9"/>
  <c r="A211" i="9"/>
  <c r="B210" i="9"/>
  <c r="A210" i="9"/>
  <c r="B209" i="9"/>
  <c r="A209" i="9"/>
  <c r="B208" i="9"/>
  <c r="A208" i="9"/>
  <c r="B207" i="9"/>
  <c r="A207" i="9"/>
  <c r="B206" i="9"/>
  <c r="A206" i="9"/>
  <c r="B205" i="9"/>
  <c r="A205" i="9"/>
  <c r="B204" i="9"/>
  <c r="A204" i="9"/>
  <c r="B203" i="9"/>
  <c r="A203" i="9"/>
  <c r="B202" i="9"/>
  <c r="A202" i="9"/>
  <c r="B201" i="9"/>
  <c r="A201" i="9"/>
  <c r="B200" i="9"/>
  <c r="A200" i="9"/>
  <c r="B199" i="9"/>
  <c r="A199" i="9"/>
  <c r="B198" i="9"/>
  <c r="A198" i="9"/>
  <c r="B197" i="9"/>
  <c r="A197" i="9"/>
  <c r="B196" i="9"/>
  <c r="A196" i="9"/>
  <c r="B195" i="9"/>
  <c r="A195" i="9"/>
  <c r="B194" i="9"/>
  <c r="A194" i="9"/>
  <c r="B193" i="9"/>
  <c r="A193" i="9"/>
  <c r="B192" i="9"/>
  <c r="A192" i="9"/>
  <c r="B191" i="9"/>
  <c r="A191" i="9"/>
  <c r="B190" i="9"/>
  <c r="A190" i="9"/>
  <c r="B189" i="9"/>
  <c r="A189" i="9"/>
  <c r="B188" i="9"/>
  <c r="A188" i="9"/>
  <c r="B187" i="9"/>
  <c r="A187" i="9"/>
  <c r="B186" i="9"/>
  <c r="A186" i="9"/>
  <c r="B185" i="9"/>
  <c r="A185" i="9"/>
  <c r="B184" i="9"/>
  <c r="A184" i="9"/>
  <c r="B183" i="9"/>
  <c r="A183" i="9"/>
  <c r="B182" i="9"/>
  <c r="A182" i="9"/>
  <c r="B181" i="9"/>
  <c r="A181" i="9"/>
  <c r="B180" i="9"/>
  <c r="A180" i="9"/>
  <c r="B179" i="9"/>
  <c r="A179" i="9"/>
  <c r="B178" i="9"/>
  <c r="A178" i="9"/>
  <c r="B177" i="9"/>
  <c r="A177" i="9"/>
  <c r="B176" i="9"/>
  <c r="A176" i="9"/>
  <c r="B175" i="9"/>
  <c r="A175" i="9"/>
  <c r="B174" i="9"/>
  <c r="A174" i="9"/>
  <c r="B173" i="9"/>
  <c r="A173" i="9"/>
  <c r="B172" i="9"/>
  <c r="A172" i="9"/>
  <c r="B171" i="9"/>
  <c r="A171" i="9"/>
  <c r="B170" i="9"/>
  <c r="A170" i="9"/>
  <c r="B169" i="9"/>
  <c r="A169" i="9"/>
  <c r="B168" i="9"/>
  <c r="A168" i="9"/>
  <c r="B167" i="9"/>
  <c r="A167" i="9"/>
  <c r="B166" i="9"/>
  <c r="A166" i="9"/>
  <c r="B165" i="9"/>
  <c r="A165" i="9"/>
  <c r="B164" i="9"/>
  <c r="A164" i="9"/>
  <c r="B163" i="9"/>
  <c r="A163" i="9"/>
  <c r="B162" i="9"/>
  <c r="A162" i="9"/>
  <c r="B161" i="9"/>
  <c r="A161" i="9"/>
  <c r="B160" i="9"/>
  <c r="A160" i="9"/>
  <c r="B159" i="9"/>
  <c r="A159" i="9"/>
  <c r="B158" i="9"/>
  <c r="A158" i="9"/>
  <c r="B157" i="9"/>
  <c r="A157" i="9"/>
  <c r="B156" i="9"/>
  <c r="A156" i="9"/>
  <c r="B155" i="9"/>
  <c r="A155" i="9"/>
  <c r="B154" i="9"/>
  <c r="A154" i="9"/>
  <c r="B153" i="9"/>
  <c r="A153" i="9"/>
  <c r="B152" i="9"/>
  <c r="A152" i="9"/>
  <c r="B151" i="9"/>
  <c r="A151" i="9"/>
  <c r="B150" i="9"/>
  <c r="A150" i="9"/>
  <c r="B149" i="9"/>
  <c r="A149" i="9"/>
  <c r="B148" i="9"/>
  <c r="A148" i="9"/>
  <c r="B147" i="9"/>
  <c r="A147" i="9"/>
  <c r="B146" i="9"/>
  <c r="A146" i="9"/>
  <c r="B145" i="9"/>
  <c r="A145" i="9"/>
  <c r="B144" i="9"/>
  <c r="A144" i="9"/>
  <c r="B143" i="9"/>
  <c r="A143" i="9"/>
  <c r="B142" i="9"/>
  <c r="A142" i="9"/>
  <c r="B141" i="9"/>
  <c r="A141" i="9"/>
  <c r="B140" i="9"/>
  <c r="A140" i="9"/>
  <c r="B139" i="9"/>
  <c r="A139" i="9"/>
  <c r="B138" i="9"/>
  <c r="A138" i="9"/>
  <c r="B137" i="9"/>
  <c r="A137" i="9"/>
  <c r="B136" i="9"/>
  <c r="A136" i="9"/>
  <c r="B135" i="9"/>
  <c r="A135" i="9"/>
  <c r="B134" i="9"/>
  <c r="A134" i="9"/>
  <c r="B133" i="9"/>
  <c r="A133" i="9"/>
  <c r="B132" i="9"/>
  <c r="A132" i="9"/>
  <c r="B131" i="9"/>
  <c r="A131" i="9"/>
  <c r="B130" i="9"/>
  <c r="A130" i="9"/>
  <c r="B129" i="9"/>
  <c r="A129" i="9"/>
  <c r="B128" i="9"/>
  <c r="A128" i="9"/>
  <c r="B127" i="9"/>
  <c r="A127" i="9"/>
  <c r="B126" i="9"/>
  <c r="A126" i="9"/>
  <c r="B125" i="9"/>
  <c r="A125" i="9"/>
  <c r="B124" i="9"/>
  <c r="A124" i="9"/>
  <c r="B123" i="9"/>
  <c r="A123" i="9"/>
  <c r="B122" i="9"/>
  <c r="A122" i="9"/>
  <c r="B121" i="9"/>
  <c r="A121" i="9"/>
  <c r="B120" i="9"/>
  <c r="A120" i="9"/>
  <c r="B119" i="9"/>
  <c r="A119" i="9"/>
  <c r="B118" i="9"/>
  <c r="A118" i="9"/>
  <c r="B117" i="9"/>
  <c r="A117" i="9"/>
  <c r="B116" i="9"/>
  <c r="A116" i="9"/>
  <c r="B115" i="9"/>
  <c r="A115" i="9"/>
  <c r="B114" i="9"/>
  <c r="A114" i="9"/>
  <c r="B113" i="9"/>
  <c r="A113" i="9"/>
  <c r="B112" i="9"/>
  <c r="A112" i="9"/>
  <c r="B111" i="9"/>
  <c r="A111" i="9"/>
  <c r="B110" i="9"/>
  <c r="A110" i="9"/>
  <c r="B109" i="9"/>
  <c r="A109" i="9"/>
  <c r="B108" i="9"/>
  <c r="A108" i="9"/>
  <c r="B107" i="9"/>
  <c r="A107" i="9"/>
  <c r="B106" i="9"/>
  <c r="A106" i="9"/>
  <c r="B105" i="9"/>
  <c r="A105" i="9"/>
  <c r="B104" i="9"/>
  <c r="A104" i="9"/>
  <c r="B103" i="9"/>
  <c r="A103" i="9"/>
  <c r="B102" i="9"/>
  <c r="A102" i="9"/>
  <c r="B101" i="9"/>
  <c r="A101" i="9"/>
  <c r="B100" i="9"/>
  <c r="A100" i="9"/>
  <c r="B99" i="9"/>
  <c r="A99" i="9"/>
  <c r="B98" i="9"/>
  <c r="A98" i="9"/>
  <c r="B97" i="9"/>
  <c r="A97" i="9"/>
  <c r="B96" i="9"/>
  <c r="A96" i="9"/>
  <c r="B95" i="9"/>
  <c r="A95" i="9"/>
  <c r="B94" i="9"/>
  <c r="A94" i="9"/>
  <c r="B93" i="9"/>
  <c r="A93" i="9"/>
  <c r="B92" i="9"/>
  <c r="A92" i="9"/>
  <c r="B91" i="9"/>
  <c r="A91" i="9"/>
  <c r="B90" i="9"/>
  <c r="A90" i="9"/>
  <c r="B89" i="9"/>
  <c r="A89" i="9"/>
  <c r="B88" i="9"/>
  <c r="A88" i="9"/>
  <c r="B87" i="9"/>
  <c r="A87" i="9"/>
  <c r="B86" i="9"/>
  <c r="A86" i="9"/>
  <c r="B85" i="9"/>
  <c r="A85" i="9"/>
  <c r="B84" i="9"/>
  <c r="A84" i="9"/>
  <c r="B83" i="9"/>
  <c r="A83" i="9"/>
  <c r="B82" i="9"/>
  <c r="A82" i="9"/>
  <c r="B81" i="9"/>
  <c r="A81" i="9"/>
  <c r="B80" i="9"/>
  <c r="A80" i="9"/>
  <c r="B79" i="9"/>
  <c r="A79" i="9"/>
  <c r="B78" i="9"/>
  <c r="A78" i="9"/>
  <c r="B77" i="9"/>
  <c r="A77" i="9"/>
  <c r="B76" i="9"/>
  <c r="A76" i="9"/>
  <c r="B75" i="9"/>
  <c r="A75" i="9"/>
  <c r="B74" i="9"/>
  <c r="A74" i="9"/>
  <c r="B73" i="9"/>
  <c r="A73" i="9"/>
  <c r="B72" i="9"/>
  <c r="A72" i="9"/>
  <c r="B71" i="9"/>
  <c r="A71" i="9"/>
  <c r="B70" i="9"/>
  <c r="A70" i="9"/>
  <c r="B69" i="9"/>
  <c r="A69" i="9"/>
  <c r="B68" i="9"/>
  <c r="A68" i="9"/>
  <c r="B67" i="9"/>
  <c r="A67" i="9"/>
  <c r="B66" i="9"/>
  <c r="A66" i="9"/>
  <c r="B65" i="9"/>
  <c r="A65" i="9"/>
  <c r="B64" i="9"/>
  <c r="A64" i="9"/>
  <c r="B63" i="9"/>
  <c r="A63" i="9"/>
  <c r="B62" i="9"/>
  <c r="A62" i="9"/>
  <c r="B61" i="9"/>
  <c r="A61" i="9"/>
  <c r="B60" i="9"/>
  <c r="A60" i="9"/>
  <c r="B59" i="9"/>
  <c r="A59" i="9"/>
  <c r="B58" i="9"/>
  <c r="A58" i="9"/>
  <c r="B57" i="9"/>
  <c r="A57" i="9"/>
  <c r="B56" i="9"/>
  <c r="A56" i="9"/>
  <c r="B55" i="9"/>
  <c r="A55" i="9"/>
  <c r="B54" i="9"/>
  <c r="A54" i="9"/>
  <c r="B53" i="9"/>
  <c r="A53" i="9"/>
  <c r="B52" i="9"/>
  <c r="A52" i="9"/>
  <c r="B51" i="9"/>
  <c r="A51" i="9"/>
  <c r="B50" i="9"/>
  <c r="A50" i="9"/>
  <c r="B49" i="9"/>
  <c r="A49" i="9"/>
  <c r="B48" i="9"/>
  <c r="A48" i="9"/>
  <c r="B47" i="9"/>
  <c r="A47" i="9"/>
  <c r="B46" i="9"/>
  <c r="A46" i="9"/>
  <c r="B45" i="9"/>
  <c r="A45" i="9"/>
  <c r="B44" i="9"/>
  <c r="A44" i="9"/>
  <c r="B43" i="9"/>
  <c r="A43" i="9"/>
  <c r="B42" i="9"/>
  <c r="A42" i="9"/>
  <c r="B41" i="9"/>
  <c r="A41" i="9"/>
  <c r="B40" i="9"/>
  <c r="A40" i="9"/>
  <c r="B39" i="9"/>
  <c r="A39" i="9"/>
  <c r="B38" i="9"/>
  <c r="A38" i="9"/>
  <c r="B37" i="9"/>
  <c r="A37" i="9"/>
  <c r="B36" i="9"/>
  <c r="A36" i="9"/>
  <c r="B35" i="9"/>
  <c r="A35" i="9"/>
  <c r="B34" i="9"/>
  <c r="A34" i="9"/>
  <c r="B33" i="9"/>
  <c r="A33" i="9"/>
  <c r="B32" i="9"/>
  <c r="A32" i="9"/>
  <c r="B31" i="9"/>
  <c r="A31" i="9"/>
  <c r="B30" i="9"/>
  <c r="A30" i="9"/>
  <c r="B29" i="9"/>
  <c r="A29" i="9"/>
  <c r="B28" i="9"/>
  <c r="A28" i="9"/>
  <c r="B27" i="9"/>
  <c r="A27" i="9"/>
  <c r="B26" i="9"/>
  <c r="A26" i="9"/>
  <c r="B25" i="9"/>
  <c r="A25" i="9"/>
  <c r="B24" i="9"/>
  <c r="A24" i="9"/>
  <c r="B23" i="9"/>
  <c r="A23" i="9"/>
  <c r="B22" i="9"/>
  <c r="A22" i="9"/>
  <c r="B21" i="9"/>
  <c r="A21" i="9"/>
  <c r="B20" i="9"/>
  <c r="A20" i="9"/>
  <c r="B19" i="9"/>
  <c r="A19" i="9"/>
  <c r="B18" i="9"/>
  <c r="A18" i="9"/>
  <c r="B17" i="9"/>
  <c r="A17" i="9"/>
  <c r="B16" i="9"/>
  <c r="A16" i="9"/>
  <c r="B15" i="9"/>
  <c r="A15" i="9"/>
  <c r="B14" i="9"/>
  <c r="A14" i="9"/>
  <c r="B13" i="9"/>
  <c r="A13" i="9"/>
  <c r="B12" i="9"/>
  <c r="A12" i="9"/>
  <c r="B11" i="9"/>
  <c r="A11" i="9"/>
  <c r="B10" i="9"/>
  <c r="A10" i="9"/>
  <c r="B9" i="9"/>
  <c r="A9" i="9"/>
  <c r="B8" i="9"/>
  <c r="A8" i="9"/>
  <c r="B7" i="9"/>
  <c r="A7" i="9"/>
  <c r="B6" i="9"/>
  <c r="A6" i="9"/>
  <c r="B5" i="9"/>
  <c r="A5" i="9"/>
  <c r="B4" i="9"/>
  <c r="A4" i="9"/>
  <c r="B3" i="9"/>
  <c r="A3" i="9"/>
  <c r="B2" i="9"/>
  <c r="A2" i="9"/>
  <c r="B1" i="9"/>
  <c r="B1772" i="8"/>
  <c r="A1772" i="8"/>
  <c r="B1771" i="8"/>
  <c r="A1771" i="8"/>
  <c r="B1770" i="8"/>
  <c r="A1770" i="8"/>
  <c r="B1769" i="8"/>
  <c r="A1769" i="8"/>
  <c r="B1768" i="8"/>
  <c r="A1768" i="8"/>
  <c r="B1767" i="8"/>
  <c r="A1767" i="8"/>
  <c r="B1766" i="8"/>
  <c r="A1766" i="8"/>
  <c r="B1765" i="8"/>
  <c r="A1765" i="8"/>
  <c r="B1764" i="8"/>
  <c r="A1764" i="8"/>
  <c r="B1763" i="8"/>
  <c r="A1763" i="8"/>
  <c r="B1762" i="8"/>
  <c r="A1762" i="8"/>
  <c r="B1761" i="8"/>
  <c r="A1761" i="8"/>
  <c r="B1760" i="8"/>
  <c r="A1760" i="8"/>
  <c r="B1759" i="8"/>
  <c r="A1759" i="8"/>
  <c r="B1758" i="8"/>
  <c r="A1758" i="8"/>
  <c r="B1757" i="8"/>
  <c r="A1757" i="8"/>
  <c r="B1756" i="8"/>
  <c r="A1756" i="8"/>
  <c r="B1755" i="8"/>
  <c r="A1755" i="8"/>
  <c r="B1754" i="8"/>
  <c r="A1754" i="8"/>
  <c r="B1753" i="8"/>
  <c r="A1753" i="8"/>
  <c r="B1752" i="8"/>
  <c r="A1752" i="8"/>
  <c r="B1751" i="8"/>
  <c r="A1751" i="8"/>
  <c r="B1750" i="8"/>
  <c r="A1750" i="8"/>
  <c r="B1749" i="8"/>
  <c r="A1749" i="8"/>
  <c r="B1748" i="8"/>
  <c r="A1748" i="8"/>
  <c r="B1747" i="8"/>
  <c r="A1747" i="8"/>
  <c r="B1746" i="8"/>
  <c r="A1746" i="8"/>
  <c r="B1745" i="8"/>
  <c r="A1745" i="8"/>
  <c r="B1744" i="8"/>
  <c r="A1744" i="8"/>
  <c r="B1743" i="8"/>
  <c r="A1743" i="8"/>
  <c r="B1742" i="8"/>
  <c r="A1742" i="8"/>
  <c r="B1741" i="8"/>
  <c r="A1741" i="8"/>
  <c r="B1740" i="8"/>
  <c r="A1740" i="8"/>
  <c r="B1739" i="8"/>
  <c r="A1739" i="8"/>
  <c r="B1738" i="8"/>
  <c r="A1738" i="8"/>
  <c r="B1737" i="8"/>
  <c r="A1737" i="8"/>
  <c r="B1736" i="8"/>
  <c r="A1736" i="8"/>
  <c r="B1735" i="8"/>
  <c r="A1735" i="8"/>
  <c r="B1734" i="8"/>
  <c r="A1734" i="8"/>
  <c r="B1733" i="8"/>
  <c r="A1733" i="8"/>
  <c r="B1732" i="8"/>
  <c r="A1732" i="8"/>
  <c r="B1731" i="8"/>
  <c r="A1731" i="8"/>
  <c r="B1730" i="8"/>
  <c r="A1730" i="8"/>
  <c r="B1729" i="8"/>
  <c r="A1729" i="8"/>
  <c r="B1728" i="8"/>
  <c r="A1728" i="8"/>
  <c r="B1727" i="8"/>
  <c r="A1727" i="8"/>
  <c r="B1726" i="8"/>
  <c r="A1726" i="8"/>
  <c r="B1725" i="8"/>
  <c r="A1725" i="8"/>
  <c r="B1724" i="8"/>
  <c r="A1724" i="8"/>
  <c r="B1723" i="8"/>
  <c r="A1723" i="8"/>
  <c r="B1722" i="8"/>
  <c r="A1722" i="8"/>
  <c r="B1721" i="8"/>
  <c r="A1721" i="8"/>
  <c r="B1720" i="8"/>
  <c r="A1720" i="8"/>
  <c r="B1719" i="8"/>
  <c r="A1719" i="8"/>
  <c r="B1718" i="8"/>
  <c r="A1718" i="8"/>
  <c r="B1717" i="8"/>
  <c r="A1717" i="8"/>
  <c r="B1716" i="8"/>
  <c r="A1716" i="8"/>
  <c r="B1715" i="8"/>
  <c r="A1715" i="8"/>
  <c r="B1714" i="8"/>
  <c r="A1714" i="8"/>
  <c r="B1713" i="8"/>
  <c r="A1713" i="8"/>
  <c r="B1712" i="8"/>
  <c r="A1712" i="8"/>
  <c r="B1711" i="8"/>
  <c r="A1711" i="8"/>
  <c r="B1710" i="8"/>
  <c r="A1710" i="8"/>
  <c r="B1709" i="8"/>
  <c r="A1709" i="8"/>
  <c r="B1708" i="8"/>
  <c r="A1708" i="8"/>
  <c r="B1707" i="8"/>
  <c r="A1707" i="8"/>
  <c r="B1706" i="8"/>
  <c r="A1706" i="8"/>
  <c r="B1705" i="8"/>
  <c r="A1705" i="8"/>
  <c r="B1704" i="8"/>
  <c r="A1704" i="8"/>
  <c r="B1703" i="8"/>
  <c r="A1703" i="8"/>
  <c r="B1702" i="8"/>
  <c r="A1702" i="8"/>
  <c r="B1701" i="8"/>
  <c r="A1701" i="8"/>
  <c r="B1700" i="8"/>
  <c r="A1700" i="8"/>
  <c r="B1699" i="8"/>
  <c r="A1699" i="8"/>
  <c r="B1698" i="8"/>
  <c r="A1698" i="8"/>
  <c r="B1697" i="8"/>
  <c r="A1697" i="8"/>
  <c r="B1696" i="8"/>
  <c r="A1696" i="8"/>
  <c r="B1695" i="8"/>
  <c r="A1695" i="8"/>
  <c r="B1694" i="8"/>
  <c r="A1694" i="8"/>
  <c r="B1693" i="8"/>
  <c r="A1693" i="8"/>
  <c r="B1692" i="8"/>
  <c r="A1692" i="8"/>
  <c r="B1691" i="8"/>
  <c r="A1691" i="8"/>
  <c r="B1690" i="8"/>
  <c r="A1690" i="8"/>
  <c r="B1689" i="8"/>
  <c r="A1689" i="8"/>
  <c r="B1688" i="8"/>
  <c r="A1688" i="8"/>
  <c r="B1687" i="8"/>
  <c r="A1687" i="8"/>
  <c r="B1686" i="8"/>
  <c r="A1686" i="8"/>
  <c r="B1685" i="8"/>
  <c r="A1685" i="8"/>
  <c r="B1684" i="8"/>
  <c r="A1684" i="8"/>
  <c r="B1683" i="8"/>
  <c r="A1683" i="8"/>
  <c r="B1682" i="8"/>
  <c r="A1682" i="8"/>
  <c r="B1681" i="8"/>
  <c r="A1681" i="8"/>
  <c r="B1680" i="8"/>
  <c r="A1680" i="8"/>
  <c r="B1679" i="8"/>
  <c r="A1679" i="8"/>
  <c r="B1678" i="8"/>
  <c r="A1678" i="8"/>
  <c r="B1677" i="8"/>
  <c r="A1677" i="8"/>
  <c r="B1676" i="8"/>
  <c r="A1676" i="8"/>
  <c r="B1675" i="8"/>
  <c r="A1675" i="8"/>
  <c r="B1674" i="8"/>
  <c r="A1674" i="8"/>
  <c r="B1673" i="8"/>
  <c r="A1673" i="8"/>
  <c r="B1672" i="8"/>
  <c r="A1672" i="8"/>
  <c r="B1671" i="8"/>
  <c r="A1671" i="8"/>
  <c r="B1670" i="8"/>
  <c r="A1670" i="8"/>
  <c r="B1669" i="8"/>
  <c r="A1669" i="8"/>
  <c r="B1668" i="8"/>
  <c r="A1668" i="8"/>
  <c r="B1667" i="8"/>
  <c r="A1667" i="8"/>
  <c r="B1666" i="8"/>
  <c r="A1666" i="8"/>
  <c r="B1665" i="8"/>
  <c r="A1665" i="8"/>
  <c r="B1664" i="8"/>
  <c r="A1664" i="8"/>
  <c r="B1663" i="8"/>
  <c r="A1663" i="8"/>
  <c r="B1662" i="8"/>
  <c r="A1662" i="8"/>
  <c r="B1661" i="8"/>
  <c r="A1661" i="8"/>
  <c r="B1660" i="8"/>
  <c r="A1660" i="8"/>
  <c r="B1659" i="8"/>
  <c r="A1659" i="8"/>
  <c r="B1658" i="8"/>
  <c r="A1658" i="8"/>
  <c r="B1657" i="8"/>
  <c r="A1657" i="8"/>
  <c r="B1656" i="8"/>
  <c r="A1656" i="8"/>
  <c r="B1655" i="8"/>
  <c r="A1655" i="8"/>
  <c r="B1654" i="8"/>
  <c r="A1654" i="8"/>
  <c r="B1653" i="8"/>
  <c r="A1653" i="8"/>
  <c r="B1652" i="8"/>
  <c r="A1652" i="8"/>
  <c r="B1651" i="8"/>
  <c r="A1651" i="8"/>
  <c r="B1650" i="8"/>
  <c r="A1650" i="8"/>
  <c r="B1649" i="8"/>
  <c r="A1649" i="8"/>
  <c r="B1648" i="8"/>
  <c r="A1648" i="8"/>
  <c r="B1647" i="8"/>
  <c r="A1647" i="8"/>
  <c r="B1646" i="8"/>
  <c r="A1646" i="8"/>
  <c r="B1645" i="8"/>
  <c r="A1645" i="8"/>
  <c r="B1644" i="8"/>
  <c r="A1644" i="8"/>
  <c r="B1643" i="8"/>
  <c r="A1643" i="8"/>
  <c r="B1642" i="8"/>
  <c r="A1642" i="8"/>
  <c r="B1641" i="8"/>
  <c r="A1641" i="8"/>
  <c r="B1640" i="8"/>
  <c r="A1640" i="8"/>
  <c r="B1639" i="8"/>
  <c r="A1639" i="8"/>
  <c r="B1638" i="8"/>
  <c r="A1638" i="8"/>
  <c r="B1637" i="8"/>
  <c r="A1637" i="8"/>
  <c r="B1636" i="8"/>
  <c r="A1636" i="8"/>
  <c r="B1635" i="8"/>
  <c r="A1635" i="8"/>
  <c r="B1634" i="8"/>
  <c r="A1634" i="8"/>
  <c r="B1633" i="8"/>
  <c r="A1633" i="8"/>
  <c r="B1632" i="8"/>
  <c r="A1632" i="8"/>
  <c r="B1631" i="8"/>
  <c r="A1631" i="8"/>
  <c r="B1630" i="8"/>
  <c r="A1630" i="8"/>
  <c r="B1629" i="8"/>
  <c r="A1629" i="8"/>
  <c r="B1628" i="8"/>
  <c r="A1628" i="8"/>
  <c r="B1627" i="8"/>
  <c r="A1627" i="8"/>
  <c r="B1626" i="8"/>
  <c r="A1626" i="8"/>
  <c r="B1625" i="8"/>
  <c r="A1625" i="8"/>
  <c r="B1624" i="8"/>
  <c r="A1624" i="8"/>
  <c r="B1623" i="8"/>
  <c r="A1623" i="8"/>
  <c r="B1622" i="8"/>
  <c r="A1622" i="8"/>
  <c r="B1621" i="8"/>
  <c r="A1621" i="8"/>
  <c r="B1620" i="8"/>
  <c r="A1620" i="8"/>
  <c r="B1619" i="8"/>
  <c r="A1619" i="8"/>
  <c r="B1618" i="8"/>
  <c r="A1618" i="8"/>
  <c r="B1617" i="8"/>
  <c r="A1617" i="8"/>
  <c r="B1616" i="8"/>
  <c r="A1616" i="8"/>
  <c r="B1615" i="8"/>
  <c r="A1615" i="8"/>
  <c r="B1614" i="8"/>
  <c r="A1614" i="8"/>
  <c r="B1613" i="8"/>
  <c r="A1613" i="8"/>
  <c r="B1612" i="8"/>
  <c r="A1612" i="8"/>
  <c r="B1611" i="8"/>
  <c r="A1611" i="8"/>
  <c r="B1610" i="8"/>
  <c r="A1610" i="8"/>
  <c r="B1609" i="8"/>
  <c r="A1609" i="8"/>
  <c r="B1608" i="8"/>
  <c r="A1608" i="8"/>
  <c r="B1607" i="8"/>
  <c r="A1607" i="8"/>
  <c r="B1606" i="8"/>
  <c r="A1606" i="8"/>
  <c r="B1605" i="8"/>
  <c r="A1605" i="8"/>
  <c r="B1604" i="8"/>
  <c r="A1604" i="8"/>
  <c r="B1603" i="8"/>
  <c r="A1603" i="8"/>
  <c r="B1602" i="8"/>
  <c r="A1602" i="8"/>
  <c r="B1601" i="8"/>
  <c r="A1601" i="8"/>
  <c r="B1600" i="8"/>
  <c r="A1600" i="8"/>
  <c r="B1599" i="8"/>
  <c r="A1599" i="8"/>
  <c r="B1598" i="8"/>
  <c r="A1598" i="8"/>
  <c r="B1597" i="8"/>
  <c r="A1597" i="8"/>
  <c r="B1596" i="8"/>
  <c r="A1596" i="8"/>
  <c r="B1595" i="8"/>
  <c r="A1595" i="8"/>
  <c r="B1594" i="8"/>
  <c r="A1594" i="8"/>
  <c r="B1593" i="8"/>
  <c r="A1593" i="8"/>
  <c r="B1592" i="8"/>
  <c r="A1592" i="8"/>
  <c r="B1591" i="8"/>
  <c r="A1591" i="8"/>
  <c r="B1590" i="8"/>
  <c r="A1590" i="8"/>
  <c r="B1589" i="8"/>
  <c r="A1589" i="8"/>
  <c r="B1588" i="8"/>
  <c r="A1588" i="8"/>
  <c r="B1587" i="8"/>
  <c r="A1587" i="8"/>
  <c r="B1586" i="8"/>
  <c r="A1586" i="8"/>
  <c r="B1585" i="8"/>
  <c r="A1585" i="8"/>
  <c r="B1584" i="8"/>
  <c r="A1584" i="8"/>
  <c r="B1583" i="8"/>
  <c r="A1583" i="8"/>
  <c r="B1582" i="8"/>
  <c r="A1582" i="8"/>
  <c r="B1581" i="8"/>
  <c r="A1581" i="8"/>
  <c r="B1580" i="8"/>
  <c r="A1580" i="8"/>
  <c r="B1579" i="8"/>
  <c r="A1579" i="8"/>
  <c r="B1578" i="8"/>
  <c r="A1578" i="8"/>
  <c r="B1577" i="8"/>
  <c r="A1577" i="8"/>
  <c r="B1576" i="8"/>
  <c r="A1576" i="8"/>
  <c r="B1575" i="8"/>
  <c r="A1575" i="8"/>
  <c r="B1574" i="8"/>
  <c r="A1574" i="8"/>
  <c r="B1573" i="8"/>
  <c r="A1573" i="8"/>
  <c r="B1572" i="8"/>
  <c r="A1572" i="8"/>
  <c r="B1571" i="8"/>
  <c r="A1571" i="8"/>
  <c r="B1570" i="8"/>
  <c r="A1570" i="8"/>
  <c r="B1569" i="8"/>
  <c r="A1569" i="8"/>
  <c r="B1568" i="8"/>
  <c r="A1568" i="8"/>
  <c r="B1567" i="8"/>
  <c r="A1567" i="8"/>
  <c r="B1566" i="8"/>
  <c r="A1566" i="8"/>
  <c r="B1565" i="8"/>
  <c r="A1565" i="8"/>
  <c r="B1564" i="8"/>
  <c r="A1564" i="8"/>
  <c r="B1563" i="8"/>
  <c r="A1563" i="8"/>
  <c r="B1562" i="8"/>
  <c r="A1562" i="8"/>
  <c r="B1561" i="8"/>
  <c r="A1561" i="8"/>
  <c r="B1560" i="8"/>
  <c r="A1560" i="8"/>
  <c r="B1559" i="8"/>
  <c r="A1559" i="8"/>
  <c r="B1558" i="8"/>
  <c r="A1558" i="8"/>
  <c r="B1557" i="8"/>
  <c r="A1557" i="8"/>
  <c r="B1556" i="8"/>
  <c r="A1556" i="8"/>
  <c r="B1555" i="8"/>
  <c r="A1555" i="8"/>
  <c r="B1554" i="8"/>
  <c r="A1554" i="8"/>
  <c r="B1553" i="8"/>
  <c r="A1553" i="8"/>
  <c r="B1552" i="8"/>
  <c r="A1552" i="8"/>
  <c r="B1551" i="8"/>
  <c r="A1551" i="8"/>
  <c r="B1550" i="8"/>
  <c r="A1550" i="8"/>
  <c r="B1549" i="8"/>
  <c r="A1549" i="8"/>
  <c r="B1548" i="8"/>
  <c r="A1548" i="8"/>
  <c r="B1547" i="8"/>
  <c r="A1547" i="8"/>
  <c r="B1546" i="8"/>
  <c r="A1546" i="8"/>
  <c r="B1545" i="8"/>
  <c r="A1545" i="8"/>
  <c r="B1544" i="8"/>
  <c r="A1544" i="8"/>
  <c r="B1543" i="8"/>
  <c r="A1543" i="8"/>
  <c r="B1542" i="8"/>
  <c r="A1542" i="8"/>
  <c r="B1541" i="8"/>
  <c r="A1541" i="8"/>
  <c r="B1540" i="8"/>
  <c r="A1540" i="8"/>
  <c r="B1539" i="8"/>
  <c r="A1539" i="8"/>
  <c r="B1538" i="8"/>
  <c r="A1538" i="8"/>
  <c r="B1537" i="8"/>
  <c r="A1537" i="8"/>
  <c r="B1536" i="8"/>
  <c r="A1536" i="8"/>
  <c r="B1535" i="8"/>
  <c r="A1535" i="8"/>
  <c r="B1534" i="8"/>
  <c r="A1534" i="8"/>
  <c r="B1533" i="8"/>
  <c r="A1533" i="8"/>
  <c r="B1532" i="8"/>
  <c r="A1532" i="8"/>
  <c r="B1531" i="8"/>
  <c r="A1531" i="8"/>
  <c r="B1530" i="8"/>
  <c r="A1530" i="8"/>
  <c r="B1529" i="8"/>
  <c r="A1529" i="8"/>
  <c r="B1528" i="8"/>
  <c r="A1528" i="8"/>
  <c r="B1527" i="8"/>
  <c r="A1527" i="8"/>
  <c r="B1526" i="8"/>
  <c r="A1526" i="8"/>
  <c r="B1525" i="8"/>
  <c r="A1525" i="8"/>
  <c r="B1524" i="8"/>
  <c r="A1524" i="8"/>
  <c r="B1523" i="8"/>
  <c r="A1523" i="8"/>
  <c r="B1522" i="8"/>
  <c r="A1522" i="8"/>
  <c r="B1521" i="8"/>
  <c r="A1521" i="8"/>
  <c r="B1520" i="8"/>
  <c r="A1520" i="8"/>
  <c r="B1519" i="8"/>
  <c r="A1519" i="8"/>
  <c r="B1518" i="8"/>
  <c r="A1518" i="8"/>
  <c r="B1517" i="8"/>
  <c r="A1517" i="8"/>
  <c r="B1516" i="8"/>
  <c r="A1516" i="8"/>
  <c r="B1515" i="8"/>
  <c r="A1515" i="8"/>
  <c r="B1514" i="8"/>
  <c r="A1514" i="8"/>
  <c r="B1513" i="8"/>
  <c r="A1513" i="8"/>
  <c r="B1512" i="8"/>
  <c r="A1512" i="8"/>
  <c r="B1511" i="8"/>
  <c r="A1511" i="8"/>
  <c r="B1510" i="8"/>
  <c r="A1510" i="8"/>
  <c r="B1509" i="8"/>
  <c r="A1509" i="8"/>
  <c r="B1508" i="8"/>
  <c r="A1508" i="8"/>
  <c r="B1507" i="8"/>
  <c r="A1507" i="8"/>
  <c r="B1506" i="8"/>
  <c r="A1506" i="8"/>
  <c r="B1505" i="8"/>
  <c r="A1505" i="8"/>
  <c r="B1504" i="8"/>
  <c r="A1504" i="8"/>
  <c r="B1503" i="8"/>
  <c r="A1503" i="8"/>
  <c r="B1502" i="8"/>
  <c r="A1502" i="8"/>
  <c r="B1501" i="8"/>
  <c r="A1501" i="8"/>
  <c r="B1500" i="8"/>
  <c r="A1500" i="8"/>
  <c r="B1499" i="8"/>
  <c r="A1499" i="8"/>
  <c r="B1498" i="8"/>
  <c r="A1498" i="8"/>
  <c r="B1497" i="8"/>
  <c r="A1497" i="8"/>
  <c r="B1496" i="8"/>
  <c r="A1496" i="8"/>
  <c r="B1495" i="8"/>
  <c r="A1495" i="8"/>
  <c r="B1494" i="8"/>
  <c r="A1494" i="8"/>
  <c r="B1493" i="8"/>
  <c r="A1493" i="8"/>
  <c r="B1492" i="8"/>
  <c r="A1492" i="8"/>
  <c r="B1491" i="8"/>
  <c r="A1491" i="8"/>
  <c r="B1490" i="8"/>
  <c r="A1490" i="8"/>
  <c r="B1489" i="8"/>
  <c r="A1489" i="8"/>
  <c r="B1488" i="8"/>
  <c r="A1488" i="8"/>
  <c r="B1487" i="8"/>
  <c r="A1487" i="8"/>
  <c r="B1486" i="8"/>
  <c r="A1486" i="8"/>
  <c r="B1485" i="8"/>
  <c r="A1485" i="8"/>
  <c r="B1484" i="8"/>
  <c r="A1484" i="8"/>
  <c r="B1483" i="8"/>
  <c r="A1483" i="8"/>
  <c r="B1482" i="8"/>
  <c r="A1482" i="8"/>
  <c r="B1481" i="8"/>
  <c r="A1481" i="8"/>
  <c r="B1480" i="8"/>
  <c r="A1480" i="8"/>
  <c r="B1479" i="8"/>
  <c r="A1479" i="8"/>
  <c r="B1478" i="8"/>
  <c r="A1478" i="8"/>
  <c r="B1477" i="8"/>
  <c r="A1477" i="8"/>
  <c r="B1476" i="8"/>
  <c r="A1476" i="8"/>
  <c r="B1475" i="8"/>
  <c r="A1475" i="8"/>
  <c r="B1474" i="8"/>
  <c r="A1474" i="8"/>
  <c r="B1473" i="8"/>
  <c r="A1473" i="8"/>
  <c r="B1472" i="8"/>
  <c r="A1472" i="8"/>
  <c r="B1471" i="8"/>
  <c r="A1471" i="8"/>
  <c r="B1470" i="8"/>
  <c r="A1470" i="8"/>
  <c r="B1469" i="8"/>
  <c r="A1469" i="8"/>
  <c r="B1468" i="8"/>
  <c r="A1468" i="8"/>
  <c r="B1467" i="8"/>
  <c r="A1467" i="8"/>
  <c r="B1466" i="8"/>
  <c r="A1466" i="8"/>
  <c r="B1465" i="8"/>
  <c r="A1465" i="8"/>
  <c r="B1464" i="8"/>
  <c r="A1464" i="8"/>
  <c r="B1463" i="8"/>
  <c r="A1463" i="8"/>
  <c r="B1462" i="8"/>
  <c r="A1462" i="8"/>
  <c r="B1461" i="8"/>
  <c r="A1461" i="8"/>
  <c r="B1460" i="8"/>
  <c r="A1460" i="8"/>
  <c r="B1459" i="8"/>
  <c r="A1459" i="8"/>
  <c r="B1458" i="8"/>
  <c r="A1458" i="8"/>
  <c r="B1457" i="8"/>
  <c r="A1457" i="8"/>
  <c r="B1456" i="8"/>
  <c r="A1456" i="8"/>
  <c r="B1455" i="8"/>
  <c r="A1455" i="8"/>
  <c r="B1454" i="8"/>
  <c r="A1454" i="8"/>
  <c r="B1453" i="8"/>
  <c r="A1453" i="8"/>
  <c r="B1452" i="8"/>
  <c r="A1452" i="8"/>
  <c r="B1451" i="8"/>
  <c r="A1451" i="8"/>
  <c r="B1450" i="8"/>
  <c r="A1450" i="8"/>
  <c r="B1449" i="8"/>
  <c r="A1449" i="8"/>
  <c r="B1448" i="8"/>
  <c r="A1448" i="8"/>
  <c r="B1447" i="8"/>
  <c r="A1447" i="8"/>
  <c r="B1446" i="8"/>
  <c r="A1446" i="8"/>
  <c r="B1445" i="8"/>
  <c r="A1445" i="8"/>
  <c r="B1444" i="8"/>
  <c r="A1444" i="8"/>
  <c r="B1443" i="8"/>
  <c r="A1443" i="8"/>
  <c r="B1442" i="8"/>
  <c r="A1442" i="8"/>
  <c r="B1441" i="8"/>
  <c r="A1441" i="8"/>
  <c r="B1440" i="8"/>
  <c r="A1440" i="8"/>
  <c r="B1439" i="8"/>
  <c r="A1439" i="8"/>
  <c r="B1438" i="8"/>
  <c r="A1438" i="8"/>
  <c r="B1437" i="8"/>
  <c r="A1437" i="8"/>
  <c r="B1436" i="8"/>
  <c r="A1436" i="8"/>
  <c r="B1435" i="8"/>
  <c r="A1435" i="8"/>
  <c r="B1434" i="8"/>
  <c r="A1434" i="8"/>
  <c r="B1433" i="8"/>
  <c r="A1433" i="8"/>
  <c r="B1432" i="8"/>
  <c r="A1432" i="8"/>
  <c r="B1431" i="8"/>
  <c r="A1431" i="8"/>
  <c r="B1430" i="8"/>
  <c r="A1430" i="8"/>
  <c r="B1429" i="8"/>
  <c r="A1429" i="8"/>
  <c r="B1428" i="8"/>
  <c r="A1428" i="8"/>
  <c r="B1427" i="8"/>
  <c r="A1427" i="8"/>
  <c r="B1426" i="8"/>
  <c r="A1426" i="8"/>
  <c r="B1425" i="8"/>
  <c r="A1425" i="8"/>
  <c r="B1424" i="8"/>
  <c r="A1424" i="8"/>
  <c r="B1423" i="8"/>
  <c r="A1423" i="8"/>
  <c r="B1422" i="8"/>
  <c r="A1422" i="8"/>
  <c r="B1421" i="8"/>
  <c r="A1421" i="8"/>
  <c r="B1420" i="8"/>
  <c r="A1420" i="8"/>
  <c r="B1419" i="8"/>
  <c r="A1419" i="8"/>
  <c r="B1418" i="8"/>
  <c r="A1418" i="8"/>
  <c r="B1417" i="8"/>
  <c r="A1417" i="8"/>
  <c r="B1416" i="8"/>
  <c r="A1416" i="8"/>
  <c r="B1415" i="8"/>
  <c r="A1415" i="8"/>
  <c r="B1414" i="8"/>
  <c r="A1414" i="8"/>
  <c r="B1413" i="8"/>
  <c r="A1413" i="8"/>
  <c r="B1412" i="8"/>
  <c r="A1412" i="8"/>
  <c r="B1411" i="8"/>
  <c r="A1411" i="8"/>
  <c r="B1410" i="8"/>
  <c r="A1410" i="8"/>
  <c r="B1409" i="8"/>
  <c r="A1409" i="8"/>
  <c r="B1408" i="8"/>
  <c r="A1408" i="8"/>
  <c r="B1407" i="8"/>
  <c r="A1407" i="8"/>
  <c r="B1406" i="8"/>
  <c r="A1406" i="8"/>
  <c r="B1405" i="8"/>
  <c r="A1405" i="8"/>
  <c r="B1404" i="8"/>
  <c r="A1404" i="8"/>
  <c r="B1403" i="8"/>
  <c r="A1403" i="8"/>
  <c r="B1402" i="8"/>
  <c r="A1402" i="8"/>
  <c r="B1401" i="8"/>
  <c r="A1401" i="8"/>
  <c r="B1400" i="8"/>
  <c r="A1400" i="8"/>
  <c r="B1399" i="8"/>
  <c r="A1399" i="8"/>
  <c r="B1398" i="8"/>
  <c r="A1398" i="8"/>
  <c r="B1397" i="8"/>
  <c r="A1397" i="8"/>
  <c r="B1396" i="8"/>
  <c r="A1396" i="8"/>
  <c r="B1395" i="8"/>
  <c r="A1395" i="8"/>
  <c r="B1394" i="8"/>
  <c r="A1394" i="8"/>
  <c r="B1393" i="8"/>
  <c r="A1393" i="8"/>
  <c r="B1392" i="8"/>
  <c r="A1392" i="8"/>
  <c r="B1391" i="8"/>
  <c r="A1391" i="8"/>
  <c r="B1390" i="8"/>
  <c r="A1390" i="8"/>
  <c r="B1389" i="8"/>
  <c r="A1389" i="8"/>
  <c r="B1388" i="8"/>
  <c r="A1388" i="8"/>
  <c r="B1387" i="8"/>
  <c r="A1387" i="8"/>
  <c r="B1386" i="8"/>
  <c r="A1386" i="8"/>
  <c r="B1385" i="8"/>
  <c r="A1385" i="8"/>
  <c r="B1384" i="8"/>
  <c r="A1384" i="8"/>
  <c r="B1383" i="8"/>
  <c r="A1383" i="8"/>
  <c r="B1382" i="8"/>
  <c r="A1382" i="8"/>
  <c r="B1381" i="8"/>
  <c r="A1381" i="8"/>
  <c r="B1380" i="8"/>
  <c r="A1380" i="8"/>
  <c r="B1379" i="8"/>
  <c r="A1379" i="8"/>
  <c r="B1378" i="8"/>
  <c r="A1378" i="8"/>
  <c r="B1377" i="8"/>
  <c r="A1377" i="8"/>
  <c r="B1376" i="8"/>
  <c r="A1376" i="8"/>
  <c r="B1375" i="8"/>
  <c r="A1375" i="8"/>
  <c r="B1374" i="8"/>
  <c r="A1374" i="8"/>
  <c r="B1373" i="8"/>
  <c r="A1373" i="8"/>
  <c r="B1372" i="8"/>
  <c r="A1372" i="8"/>
  <c r="B1371" i="8"/>
  <c r="A1371" i="8"/>
  <c r="B1370" i="8"/>
  <c r="A1370" i="8"/>
  <c r="B1369" i="8"/>
  <c r="A1369" i="8"/>
  <c r="B1368" i="8"/>
  <c r="A1368" i="8"/>
  <c r="B1367" i="8"/>
  <c r="A1367" i="8"/>
  <c r="B1366" i="8"/>
  <c r="A1366" i="8"/>
  <c r="B1365" i="8"/>
  <c r="A1365" i="8"/>
  <c r="B1364" i="8"/>
  <c r="A1364" i="8"/>
  <c r="B1363" i="8"/>
  <c r="A1363" i="8"/>
  <c r="B1362" i="8"/>
  <c r="A1362" i="8"/>
  <c r="B1361" i="8"/>
  <c r="A1361" i="8"/>
  <c r="B1360" i="8"/>
  <c r="A1360" i="8"/>
  <c r="B1359" i="8"/>
  <c r="A1359" i="8"/>
  <c r="B1358" i="8"/>
  <c r="A1358" i="8"/>
  <c r="B1357" i="8"/>
  <c r="A1357" i="8"/>
  <c r="B1356" i="8"/>
  <c r="A1356" i="8"/>
  <c r="B1355" i="8"/>
  <c r="A1355" i="8"/>
  <c r="B1354" i="8"/>
  <c r="A1354" i="8"/>
  <c r="B1353" i="8"/>
  <c r="A1353" i="8"/>
  <c r="B1352" i="8"/>
  <c r="A1352" i="8"/>
  <c r="B1351" i="8"/>
  <c r="A1351" i="8"/>
  <c r="B1350" i="8"/>
  <c r="A1350" i="8"/>
  <c r="B1349" i="8"/>
  <c r="A1349" i="8"/>
  <c r="B1348" i="8"/>
  <c r="A1348" i="8"/>
  <c r="B1347" i="8"/>
  <c r="A1347" i="8"/>
  <c r="B1346" i="8"/>
  <c r="A1346" i="8"/>
  <c r="B1345" i="8"/>
  <c r="A1345" i="8"/>
  <c r="B1344" i="8"/>
  <c r="A1344" i="8"/>
  <c r="B1343" i="8"/>
  <c r="A1343" i="8"/>
  <c r="B1342" i="8"/>
  <c r="A1342" i="8"/>
  <c r="B1341" i="8"/>
  <c r="A1341" i="8"/>
  <c r="B1340" i="8"/>
  <c r="A1340" i="8"/>
  <c r="B1339" i="8"/>
  <c r="A1339" i="8"/>
  <c r="B1338" i="8"/>
  <c r="A1338" i="8"/>
  <c r="B1337" i="8"/>
  <c r="A1337" i="8"/>
  <c r="B1336" i="8"/>
  <c r="A1336" i="8"/>
  <c r="B1335" i="8"/>
  <c r="A1335" i="8"/>
  <c r="B1334" i="8"/>
  <c r="A1334" i="8"/>
  <c r="B1333" i="8"/>
  <c r="A1333" i="8"/>
  <c r="B1332" i="8"/>
  <c r="A1332" i="8"/>
  <c r="B1331" i="8"/>
  <c r="A1331" i="8"/>
  <c r="B1330" i="8"/>
  <c r="A1330" i="8"/>
  <c r="B1329" i="8"/>
  <c r="A1329" i="8"/>
  <c r="B1328" i="8"/>
  <c r="A1328" i="8"/>
  <c r="B1327" i="8"/>
  <c r="A1327" i="8"/>
  <c r="B1326" i="8"/>
  <c r="A1326" i="8"/>
  <c r="B1325" i="8"/>
  <c r="A1325" i="8"/>
  <c r="B1324" i="8"/>
  <c r="A1324" i="8"/>
  <c r="B1323" i="8"/>
  <c r="A1323" i="8"/>
  <c r="B1322" i="8"/>
  <c r="A1322" i="8"/>
  <c r="B1321" i="8"/>
  <c r="A1321" i="8"/>
  <c r="B1320" i="8"/>
  <c r="A1320" i="8"/>
  <c r="B1319" i="8"/>
  <c r="A1319" i="8"/>
  <c r="B1318" i="8"/>
  <c r="A1318" i="8"/>
  <c r="B1317" i="8"/>
  <c r="A1317" i="8"/>
  <c r="B1316" i="8"/>
  <c r="A1316" i="8"/>
  <c r="B1315" i="8"/>
  <c r="A1315" i="8"/>
  <c r="B1314" i="8"/>
  <c r="A1314" i="8"/>
  <c r="B1313" i="8"/>
  <c r="A1313" i="8"/>
  <c r="B1312" i="8"/>
  <c r="A1312" i="8"/>
  <c r="B1311" i="8"/>
  <c r="A1311" i="8"/>
  <c r="B1310" i="8"/>
  <c r="A1310" i="8"/>
  <c r="B1309" i="8"/>
  <c r="A1309" i="8"/>
  <c r="B1308" i="8"/>
  <c r="A1308" i="8"/>
  <c r="B1307" i="8"/>
  <c r="A1307" i="8"/>
  <c r="B1306" i="8"/>
  <c r="A1306" i="8"/>
  <c r="B1305" i="8"/>
  <c r="A1305" i="8"/>
  <c r="B1304" i="8"/>
  <c r="A1304" i="8"/>
  <c r="B1303" i="8"/>
  <c r="A1303" i="8"/>
  <c r="B1302" i="8"/>
  <c r="A1302" i="8"/>
  <c r="B1301" i="8"/>
  <c r="A1301" i="8"/>
  <c r="B1300" i="8"/>
  <c r="A1300" i="8"/>
  <c r="B1299" i="8"/>
  <c r="A1299" i="8"/>
  <c r="B1298" i="8"/>
  <c r="A1298" i="8"/>
  <c r="B1297" i="8"/>
  <c r="A1297" i="8"/>
  <c r="B1296" i="8"/>
  <c r="A1296" i="8"/>
  <c r="B1295" i="8"/>
  <c r="A1295" i="8"/>
  <c r="B1294" i="8"/>
  <c r="A1294" i="8"/>
  <c r="B1293" i="8"/>
  <c r="A1293" i="8"/>
  <c r="B1292" i="8"/>
  <c r="A1292" i="8"/>
  <c r="B1291" i="8"/>
  <c r="A1291" i="8"/>
  <c r="B1290" i="8"/>
  <c r="A1290" i="8"/>
  <c r="B1289" i="8"/>
  <c r="A1289" i="8"/>
  <c r="B1288" i="8"/>
  <c r="A1288" i="8"/>
  <c r="B1287" i="8"/>
  <c r="A1287" i="8"/>
  <c r="B1286" i="8"/>
  <c r="A1286" i="8"/>
  <c r="B1285" i="8"/>
  <c r="A1285" i="8"/>
  <c r="B1284" i="8"/>
  <c r="A1284" i="8"/>
  <c r="B1283" i="8"/>
  <c r="A1283" i="8"/>
  <c r="B1282" i="8"/>
  <c r="A1282" i="8"/>
  <c r="B1281" i="8"/>
  <c r="A1281" i="8"/>
  <c r="B1280" i="8"/>
  <c r="A1280" i="8"/>
  <c r="B1279" i="8"/>
  <c r="A1279" i="8"/>
  <c r="B1278" i="8"/>
  <c r="A1278" i="8"/>
  <c r="B1277" i="8"/>
  <c r="A1277" i="8"/>
  <c r="B1276" i="8"/>
  <c r="A1276" i="8"/>
  <c r="B1275" i="8"/>
  <c r="A1275" i="8"/>
  <c r="B1274" i="8"/>
  <c r="A1274" i="8"/>
  <c r="B1273" i="8"/>
  <c r="A1273" i="8"/>
  <c r="B1272" i="8"/>
  <c r="A1272" i="8"/>
  <c r="B1271" i="8"/>
  <c r="A1271" i="8"/>
  <c r="B1270" i="8"/>
  <c r="A1270" i="8"/>
  <c r="B1269" i="8"/>
  <c r="A1269" i="8"/>
  <c r="B1268" i="8"/>
  <c r="A1268" i="8"/>
  <c r="B1267" i="8"/>
  <c r="A1267" i="8"/>
  <c r="B1266" i="8"/>
  <c r="A1266" i="8"/>
  <c r="B1265" i="8"/>
  <c r="A1265" i="8"/>
  <c r="B1264" i="8"/>
  <c r="A1264" i="8"/>
  <c r="B1263" i="8"/>
  <c r="A1263" i="8"/>
  <c r="B1262" i="8"/>
  <c r="A1262" i="8"/>
  <c r="B1261" i="8"/>
  <c r="A1261" i="8"/>
  <c r="B1260" i="8"/>
  <c r="A1260" i="8"/>
  <c r="B1259" i="8"/>
  <c r="A1259" i="8"/>
  <c r="B1258" i="8"/>
  <c r="A1258" i="8"/>
  <c r="B1257" i="8"/>
  <c r="A1257" i="8"/>
  <c r="B1256" i="8"/>
  <c r="A1256" i="8"/>
  <c r="B1255" i="8"/>
  <c r="A1255" i="8"/>
  <c r="B1254" i="8"/>
  <c r="A1254" i="8"/>
  <c r="B1253" i="8"/>
  <c r="A1253" i="8"/>
  <c r="B1252" i="8"/>
  <c r="A1252" i="8"/>
  <c r="B1251" i="8"/>
  <c r="A1251" i="8"/>
  <c r="B1250" i="8"/>
  <c r="A1250" i="8"/>
  <c r="B1249" i="8"/>
  <c r="A1249" i="8"/>
  <c r="B1248" i="8"/>
  <c r="A1248" i="8"/>
  <c r="B1247" i="8"/>
  <c r="A1247" i="8"/>
  <c r="B1246" i="8"/>
  <c r="A1246" i="8"/>
  <c r="B1245" i="8"/>
  <c r="A1245" i="8"/>
  <c r="B1244" i="8"/>
  <c r="A1244" i="8"/>
  <c r="B1243" i="8"/>
  <c r="A1243" i="8"/>
  <c r="B1242" i="8"/>
  <c r="A1242" i="8"/>
  <c r="B1241" i="8"/>
  <c r="A1241" i="8"/>
  <c r="B1240" i="8"/>
  <c r="A1240" i="8"/>
  <c r="B1239" i="8"/>
  <c r="A1239" i="8"/>
  <c r="B1238" i="8"/>
  <c r="A1238" i="8"/>
  <c r="B1237" i="8"/>
  <c r="A1237" i="8"/>
  <c r="B1236" i="8"/>
  <c r="A1236" i="8"/>
  <c r="B1235" i="8"/>
  <c r="A1235" i="8"/>
  <c r="B1234" i="8"/>
  <c r="A1234" i="8"/>
  <c r="B1233" i="8"/>
  <c r="A1233" i="8"/>
  <c r="B1232" i="8"/>
  <c r="A1232" i="8"/>
  <c r="B1231" i="8"/>
  <c r="A1231" i="8"/>
  <c r="B1230" i="8"/>
  <c r="A1230" i="8"/>
  <c r="B1229" i="8"/>
  <c r="A1229" i="8"/>
  <c r="B1228" i="8"/>
  <c r="A1228" i="8"/>
  <c r="B1227" i="8"/>
  <c r="A1227" i="8"/>
  <c r="B1226" i="8"/>
  <c r="A1226" i="8"/>
  <c r="B1225" i="8"/>
  <c r="A1225" i="8"/>
  <c r="B1224" i="8"/>
  <c r="A1224" i="8"/>
  <c r="B1223" i="8"/>
  <c r="A1223" i="8"/>
  <c r="B1222" i="8"/>
  <c r="A1222" i="8"/>
  <c r="B1221" i="8"/>
  <c r="A1221" i="8"/>
  <c r="B1220" i="8"/>
  <c r="A1220" i="8"/>
  <c r="B1219" i="8"/>
  <c r="A1219" i="8"/>
  <c r="B1218" i="8"/>
  <c r="A1218" i="8"/>
  <c r="B1217" i="8"/>
  <c r="A1217" i="8"/>
  <c r="B1216" i="8"/>
  <c r="A1216" i="8"/>
  <c r="B1215" i="8"/>
  <c r="A1215" i="8"/>
  <c r="B1214" i="8"/>
  <c r="A1214" i="8"/>
  <c r="B1213" i="8"/>
  <c r="A1213" i="8"/>
  <c r="B1212" i="8"/>
  <c r="A1212" i="8"/>
  <c r="B1211" i="8"/>
  <c r="A1211" i="8"/>
  <c r="B1210" i="8"/>
  <c r="A1210" i="8"/>
  <c r="B1209" i="8"/>
  <c r="A1209" i="8"/>
  <c r="B1208" i="8"/>
  <c r="A1208" i="8"/>
  <c r="B1207" i="8"/>
  <c r="A1207" i="8"/>
  <c r="B1206" i="8"/>
  <c r="A1206" i="8"/>
  <c r="B1205" i="8"/>
  <c r="A1205" i="8"/>
  <c r="B1204" i="8"/>
  <c r="A1204" i="8"/>
  <c r="B1203" i="8"/>
  <c r="A1203" i="8"/>
  <c r="B1202" i="8"/>
  <c r="A1202" i="8"/>
  <c r="B1201" i="8"/>
  <c r="A1201" i="8"/>
  <c r="B1200" i="8"/>
  <c r="A1200" i="8"/>
  <c r="B1199" i="8"/>
  <c r="A1199" i="8"/>
  <c r="B1198" i="8"/>
  <c r="A1198" i="8"/>
  <c r="B1197" i="8"/>
  <c r="A1197" i="8"/>
  <c r="B1196" i="8"/>
  <c r="A1196" i="8"/>
  <c r="B1195" i="8"/>
  <c r="A1195" i="8"/>
  <c r="B1194" i="8"/>
  <c r="A1194" i="8"/>
  <c r="B1193" i="8"/>
  <c r="A1193" i="8"/>
  <c r="B1192" i="8"/>
  <c r="A1192" i="8"/>
  <c r="B1191" i="8"/>
  <c r="A1191" i="8"/>
  <c r="B1190" i="8"/>
  <c r="A1190" i="8"/>
  <c r="B1189" i="8"/>
  <c r="A1189" i="8"/>
  <c r="B1188" i="8"/>
  <c r="A1188" i="8"/>
  <c r="B1187" i="8"/>
  <c r="A1187" i="8"/>
  <c r="B1186" i="8"/>
  <c r="A1186" i="8"/>
  <c r="B1185" i="8"/>
  <c r="A1185" i="8"/>
  <c r="B1184" i="8"/>
  <c r="A1184" i="8"/>
  <c r="B1183" i="8"/>
  <c r="A1183" i="8"/>
  <c r="B1182" i="8"/>
  <c r="A1182" i="8"/>
  <c r="B1181" i="8"/>
  <c r="A1181" i="8"/>
  <c r="B1180" i="8"/>
  <c r="A1180" i="8"/>
  <c r="B1179" i="8"/>
  <c r="A1179" i="8"/>
  <c r="B1178" i="8"/>
  <c r="A1178" i="8"/>
  <c r="B1177" i="8"/>
  <c r="A1177" i="8"/>
  <c r="B1176" i="8"/>
  <c r="A1176" i="8"/>
  <c r="B1175" i="8"/>
  <c r="A1175" i="8"/>
  <c r="B1174" i="8"/>
  <c r="A1174" i="8"/>
  <c r="B1173" i="8"/>
  <c r="A1173" i="8"/>
  <c r="B1172" i="8"/>
  <c r="A1172" i="8"/>
  <c r="B1171" i="8"/>
  <c r="A1171" i="8"/>
  <c r="B1170" i="8"/>
  <c r="A1170" i="8"/>
  <c r="B1169" i="8"/>
  <c r="A1169" i="8"/>
  <c r="B1168" i="8"/>
  <c r="A1168" i="8"/>
  <c r="B1167" i="8"/>
  <c r="A1167" i="8"/>
  <c r="B1166" i="8"/>
  <c r="A1166" i="8"/>
  <c r="B1165" i="8"/>
  <c r="A1165" i="8"/>
  <c r="B1164" i="8"/>
  <c r="A1164" i="8"/>
  <c r="B1163" i="8"/>
  <c r="A1163" i="8"/>
  <c r="B1162" i="8"/>
  <c r="A1162" i="8"/>
  <c r="B1161" i="8"/>
  <c r="A1161" i="8"/>
  <c r="B1160" i="8"/>
  <c r="A1160" i="8"/>
  <c r="B1159" i="8"/>
  <c r="A1159" i="8"/>
  <c r="B1158" i="8"/>
  <c r="A1158" i="8"/>
  <c r="B1157" i="8"/>
  <c r="A1157" i="8"/>
  <c r="B1156" i="8"/>
  <c r="A1156" i="8"/>
  <c r="B1155" i="8"/>
  <c r="A1155" i="8"/>
  <c r="B1154" i="8"/>
  <c r="A1154" i="8"/>
  <c r="B1153" i="8"/>
  <c r="A1153" i="8"/>
  <c r="B1152" i="8"/>
  <c r="A1152" i="8"/>
  <c r="B1151" i="8"/>
  <c r="A1151" i="8"/>
  <c r="B1150" i="8"/>
  <c r="A1150" i="8"/>
  <c r="B1149" i="8"/>
  <c r="A1149" i="8"/>
  <c r="B1148" i="8"/>
  <c r="A1148" i="8"/>
  <c r="B1147" i="8"/>
  <c r="A1147" i="8"/>
  <c r="B1146" i="8"/>
  <c r="A1146" i="8"/>
  <c r="B1145" i="8"/>
  <c r="A1145" i="8"/>
  <c r="B1144" i="8"/>
  <c r="A1144" i="8"/>
  <c r="B1143" i="8"/>
  <c r="A1143" i="8"/>
  <c r="B1142" i="8"/>
  <c r="A1142" i="8"/>
  <c r="B1141" i="8"/>
  <c r="A1141" i="8"/>
  <c r="B1140" i="8"/>
  <c r="A1140" i="8"/>
  <c r="B1139" i="8"/>
  <c r="A1139" i="8"/>
  <c r="B1138" i="8"/>
  <c r="A1138" i="8"/>
  <c r="B1137" i="8"/>
  <c r="A1137" i="8"/>
  <c r="B1136" i="8"/>
  <c r="A1136" i="8"/>
  <c r="B1135" i="8"/>
  <c r="A1135" i="8"/>
  <c r="B1134" i="8"/>
  <c r="A1134" i="8"/>
  <c r="B1133" i="8"/>
  <c r="A1133" i="8"/>
  <c r="B1132" i="8"/>
  <c r="A1132" i="8"/>
  <c r="B1131" i="8"/>
  <c r="A1131" i="8"/>
  <c r="B1130" i="8"/>
  <c r="A1130" i="8"/>
  <c r="B1129" i="8"/>
  <c r="A1129" i="8"/>
  <c r="B1128" i="8"/>
  <c r="A1128" i="8"/>
  <c r="B1127" i="8"/>
  <c r="A1127" i="8"/>
  <c r="B1126" i="8"/>
  <c r="A1126" i="8"/>
  <c r="B1125" i="8"/>
  <c r="A1125" i="8"/>
  <c r="B1124" i="8"/>
  <c r="A1124" i="8"/>
  <c r="B1123" i="8"/>
  <c r="A1123" i="8"/>
  <c r="B1122" i="8"/>
  <c r="A1122" i="8"/>
  <c r="B1121" i="8"/>
  <c r="A1121" i="8"/>
  <c r="B1120" i="8"/>
  <c r="A1120" i="8"/>
  <c r="B1119" i="8"/>
  <c r="A1119" i="8"/>
  <c r="B1118" i="8"/>
  <c r="A1118" i="8"/>
  <c r="B1117" i="8"/>
  <c r="A1117" i="8"/>
  <c r="B1116" i="8"/>
  <c r="A1116" i="8"/>
  <c r="B1115" i="8"/>
  <c r="A1115" i="8"/>
  <c r="B1114" i="8"/>
  <c r="A1114" i="8"/>
  <c r="B1113" i="8"/>
  <c r="A1113" i="8"/>
  <c r="B1112" i="8"/>
  <c r="A1112" i="8"/>
  <c r="B1111" i="8"/>
  <c r="A1111" i="8"/>
  <c r="B1110" i="8"/>
  <c r="A1110" i="8"/>
  <c r="B1109" i="8"/>
  <c r="A1109" i="8"/>
  <c r="B1108" i="8"/>
  <c r="A1108" i="8"/>
  <c r="B1107" i="8"/>
  <c r="A1107" i="8"/>
  <c r="B1106" i="8"/>
  <c r="A1106" i="8"/>
  <c r="B1105" i="8"/>
  <c r="A1105" i="8"/>
  <c r="B1104" i="8"/>
  <c r="A1104" i="8"/>
  <c r="B1103" i="8"/>
  <c r="A1103" i="8"/>
  <c r="B1102" i="8"/>
  <c r="A1102" i="8"/>
  <c r="B1101" i="8"/>
  <c r="A1101" i="8"/>
  <c r="B1100" i="8"/>
  <c r="A1100" i="8"/>
  <c r="B1099" i="8"/>
  <c r="A1099" i="8"/>
  <c r="B1098" i="8"/>
  <c r="A1098" i="8"/>
  <c r="B1097" i="8"/>
  <c r="A1097" i="8"/>
  <c r="B1096" i="8"/>
  <c r="A1096" i="8"/>
  <c r="B1095" i="8"/>
  <c r="A1095" i="8"/>
  <c r="B1094" i="8"/>
  <c r="A1094" i="8"/>
  <c r="B1093" i="8"/>
  <c r="A1093" i="8"/>
  <c r="B1092" i="8"/>
  <c r="A1092" i="8"/>
  <c r="B1091" i="8"/>
  <c r="A1091" i="8"/>
  <c r="B1090" i="8"/>
  <c r="A1090" i="8"/>
  <c r="B1089" i="8"/>
  <c r="A1089" i="8"/>
  <c r="B1088" i="8"/>
  <c r="A1088" i="8"/>
  <c r="B1087" i="8"/>
  <c r="A1087" i="8"/>
  <c r="B1086" i="8"/>
  <c r="A1086" i="8"/>
  <c r="B1085" i="8"/>
  <c r="A1085" i="8"/>
  <c r="B1084" i="8"/>
  <c r="A1084" i="8"/>
  <c r="B1083" i="8"/>
  <c r="A1083" i="8"/>
  <c r="B1082" i="8"/>
  <c r="A1082" i="8"/>
  <c r="B1081" i="8"/>
  <c r="A1081" i="8"/>
  <c r="B1080" i="8"/>
  <c r="A1080" i="8"/>
  <c r="B1079" i="8"/>
  <c r="A1079" i="8"/>
  <c r="B1078" i="8"/>
  <c r="A1078" i="8"/>
  <c r="B1077" i="8"/>
  <c r="A1077" i="8"/>
  <c r="B1076" i="8"/>
  <c r="A1076" i="8"/>
  <c r="B1075" i="8"/>
  <c r="A1075" i="8"/>
  <c r="B1074" i="8"/>
  <c r="A1074" i="8"/>
  <c r="B1073" i="8"/>
  <c r="A1073" i="8"/>
  <c r="B1072" i="8"/>
  <c r="A1072" i="8"/>
  <c r="B1071" i="8"/>
  <c r="A1071" i="8"/>
  <c r="B1070" i="8"/>
  <c r="A1070" i="8"/>
  <c r="B1069" i="8"/>
  <c r="A1069" i="8"/>
  <c r="B1068" i="8"/>
  <c r="A1068" i="8"/>
  <c r="B1067" i="8"/>
  <c r="A1067" i="8"/>
  <c r="B1066" i="8"/>
  <c r="A1066" i="8"/>
  <c r="B1065" i="8"/>
  <c r="A1065" i="8"/>
  <c r="B1064" i="8"/>
  <c r="A1064" i="8"/>
  <c r="B1063" i="8"/>
  <c r="A1063" i="8"/>
  <c r="B1062" i="8"/>
  <c r="A1062" i="8"/>
  <c r="B1061" i="8"/>
  <c r="A1061" i="8"/>
  <c r="B1060" i="8"/>
  <c r="A1060" i="8"/>
  <c r="B1059" i="8"/>
  <c r="A1059" i="8"/>
  <c r="B1058" i="8"/>
  <c r="A1058" i="8"/>
  <c r="B1057" i="8"/>
  <c r="A1057" i="8"/>
  <c r="B1056" i="8"/>
  <c r="A1056" i="8"/>
  <c r="B1055" i="8"/>
  <c r="A1055" i="8"/>
  <c r="B1054" i="8"/>
  <c r="A1054" i="8"/>
  <c r="B1053" i="8"/>
  <c r="A1053" i="8"/>
  <c r="B1052" i="8"/>
  <c r="A1052" i="8"/>
  <c r="B1051" i="8"/>
  <c r="A1051" i="8"/>
  <c r="B1050" i="8"/>
  <c r="A1050" i="8"/>
  <c r="B1049" i="8"/>
  <c r="A1049" i="8"/>
  <c r="B1048" i="8"/>
  <c r="A1048" i="8"/>
  <c r="B1047" i="8"/>
  <c r="A1047" i="8"/>
  <c r="B1046" i="8"/>
  <c r="A1046" i="8"/>
  <c r="B1045" i="8"/>
  <c r="A1045" i="8"/>
  <c r="B1044" i="8"/>
  <c r="A1044" i="8"/>
  <c r="B1043" i="8"/>
  <c r="A1043" i="8"/>
  <c r="B1042" i="8"/>
  <c r="A1042" i="8"/>
  <c r="B1041" i="8"/>
  <c r="A1041" i="8"/>
  <c r="B1040" i="8"/>
  <c r="A1040" i="8"/>
  <c r="B1039" i="8"/>
  <c r="A1039" i="8"/>
  <c r="B1038" i="8"/>
  <c r="A1038" i="8"/>
  <c r="B1037" i="8"/>
  <c r="A1037" i="8"/>
  <c r="B1036" i="8"/>
  <c r="A1036" i="8"/>
  <c r="B1035" i="8"/>
  <c r="A1035" i="8"/>
  <c r="B1034" i="8"/>
  <c r="A1034" i="8"/>
  <c r="B1033" i="8"/>
  <c r="A1033" i="8"/>
  <c r="B1032" i="8"/>
  <c r="A1032" i="8"/>
  <c r="B1031" i="8"/>
  <c r="A1031" i="8"/>
  <c r="B1030" i="8"/>
  <c r="A1030" i="8"/>
  <c r="B1029" i="8"/>
  <c r="A1029" i="8"/>
  <c r="B1028" i="8"/>
  <c r="A1028" i="8"/>
  <c r="B1027" i="8"/>
  <c r="A1027" i="8"/>
  <c r="B1026" i="8"/>
  <c r="A1026" i="8"/>
  <c r="B1025" i="8"/>
  <c r="A1025" i="8"/>
  <c r="B1024" i="8"/>
  <c r="A1024" i="8"/>
  <c r="B1023" i="8"/>
  <c r="A1023" i="8"/>
  <c r="B1022" i="8"/>
  <c r="A1022" i="8"/>
  <c r="B1021" i="8"/>
  <c r="A1021" i="8"/>
  <c r="B1020" i="8"/>
  <c r="A1020" i="8"/>
  <c r="B1019" i="8"/>
  <c r="A1019" i="8"/>
  <c r="B1018" i="8"/>
  <c r="A1018" i="8"/>
  <c r="B1017" i="8"/>
  <c r="A1017" i="8"/>
  <c r="B1016" i="8"/>
  <c r="A1016" i="8"/>
  <c r="B1015" i="8"/>
  <c r="A1015" i="8"/>
  <c r="B1014" i="8"/>
  <c r="A1014" i="8"/>
  <c r="B1013" i="8"/>
  <c r="A1013" i="8"/>
  <c r="B1012" i="8"/>
  <c r="A1012" i="8"/>
  <c r="B1011" i="8"/>
  <c r="A1011" i="8"/>
  <c r="B1010" i="8"/>
  <c r="A1010" i="8"/>
  <c r="B1009" i="8"/>
  <c r="A1009" i="8"/>
  <c r="B1008" i="8"/>
  <c r="A1008" i="8"/>
  <c r="B1007" i="8"/>
  <c r="A1007" i="8"/>
  <c r="B1006" i="8"/>
  <c r="A1006" i="8"/>
  <c r="B1005" i="8"/>
  <c r="A1005" i="8"/>
  <c r="B1004" i="8"/>
  <c r="A1004" i="8"/>
  <c r="B1003" i="8"/>
  <c r="A1003" i="8"/>
  <c r="B1002" i="8"/>
  <c r="A1002" i="8"/>
  <c r="B1001" i="8"/>
  <c r="A1001" i="8"/>
  <c r="B1000" i="8"/>
  <c r="A1000" i="8"/>
  <c r="B999" i="8"/>
  <c r="A999" i="8"/>
  <c r="B998" i="8"/>
  <c r="A998" i="8"/>
  <c r="B997" i="8"/>
  <c r="A997" i="8"/>
  <c r="B996" i="8"/>
  <c r="A996" i="8"/>
  <c r="B995" i="8"/>
  <c r="A995" i="8"/>
  <c r="B994" i="8"/>
  <c r="A994" i="8"/>
  <c r="B993" i="8"/>
  <c r="A993" i="8"/>
  <c r="B992" i="8"/>
  <c r="A992" i="8"/>
  <c r="B991" i="8"/>
  <c r="A991" i="8"/>
  <c r="B990" i="8"/>
  <c r="A990" i="8"/>
  <c r="B989" i="8"/>
  <c r="A989" i="8"/>
  <c r="B988" i="8"/>
  <c r="A988" i="8"/>
  <c r="B987" i="8"/>
  <c r="A987" i="8"/>
  <c r="B986" i="8"/>
  <c r="A986" i="8"/>
  <c r="B985" i="8"/>
  <c r="A985" i="8"/>
  <c r="B984" i="8"/>
  <c r="A984" i="8"/>
  <c r="B983" i="8"/>
  <c r="A983" i="8"/>
  <c r="B982" i="8"/>
  <c r="A982" i="8"/>
  <c r="B981" i="8"/>
  <c r="A981" i="8"/>
  <c r="B980" i="8"/>
  <c r="A980" i="8"/>
  <c r="B979" i="8"/>
  <c r="A979" i="8"/>
  <c r="B978" i="8"/>
  <c r="A978" i="8"/>
  <c r="B977" i="8"/>
  <c r="A977" i="8"/>
  <c r="B976" i="8"/>
  <c r="A976" i="8"/>
  <c r="B975" i="8"/>
  <c r="A975" i="8"/>
  <c r="B974" i="8"/>
  <c r="A974" i="8"/>
  <c r="B973" i="8"/>
  <c r="A973" i="8"/>
  <c r="B972" i="8"/>
  <c r="A972" i="8"/>
  <c r="B971" i="8"/>
  <c r="A971" i="8"/>
  <c r="B970" i="8"/>
  <c r="A970" i="8"/>
  <c r="B969" i="8"/>
  <c r="A969" i="8"/>
  <c r="B968" i="8"/>
  <c r="A968" i="8"/>
  <c r="B967" i="8"/>
  <c r="A967" i="8"/>
  <c r="B966" i="8"/>
  <c r="A966" i="8"/>
  <c r="B965" i="8"/>
  <c r="A965" i="8"/>
  <c r="B964" i="8"/>
  <c r="A964" i="8"/>
  <c r="B963" i="8"/>
  <c r="A963" i="8"/>
  <c r="B962" i="8"/>
  <c r="A962" i="8"/>
  <c r="B961" i="8"/>
  <c r="A961" i="8"/>
  <c r="B960" i="8"/>
  <c r="A960" i="8"/>
  <c r="B959" i="8"/>
  <c r="A959" i="8"/>
  <c r="B958" i="8"/>
  <c r="A958" i="8"/>
  <c r="B957" i="8"/>
  <c r="A957" i="8"/>
  <c r="B956" i="8"/>
  <c r="A956" i="8"/>
  <c r="B955" i="8"/>
  <c r="A955" i="8"/>
  <c r="B954" i="8"/>
  <c r="A954" i="8"/>
  <c r="B953" i="8"/>
  <c r="A953" i="8"/>
  <c r="B952" i="8"/>
  <c r="A952" i="8"/>
  <c r="B951" i="8"/>
  <c r="A951" i="8"/>
  <c r="B950" i="8"/>
  <c r="A950" i="8"/>
  <c r="B949" i="8"/>
  <c r="A949" i="8"/>
  <c r="B948" i="8"/>
  <c r="A948" i="8"/>
  <c r="B947" i="8"/>
  <c r="A947" i="8"/>
  <c r="B946" i="8"/>
  <c r="A946" i="8"/>
  <c r="B945" i="8"/>
  <c r="A945" i="8"/>
  <c r="B944" i="8"/>
  <c r="A944" i="8"/>
  <c r="B943" i="8"/>
  <c r="A943" i="8"/>
  <c r="B942" i="8"/>
  <c r="A942" i="8"/>
  <c r="B941" i="8"/>
  <c r="A941" i="8"/>
  <c r="B940" i="8"/>
  <c r="A940" i="8"/>
  <c r="B939" i="8"/>
  <c r="A939" i="8"/>
  <c r="B938" i="8"/>
  <c r="A938" i="8"/>
  <c r="B937" i="8"/>
  <c r="A937" i="8"/>
  <c r="B936" i="8"/>
  <c r="A936" i="8"/>
  <c r="B935" i="8"/>
  <c r="A935" i="8"/>
  <c r="B934" i="8"/>
  <c r="A934" i="8"/>
  <c r="B933" i="8"/>
  <c r="A933" i="8"/>
  <c r="B932" i="8"/>
  <c r="A932" i="8"/>
  <c r="B931" i="8"/>
  <c r="A931" i="8"/>
  <c r="B930" i="8"/>
  <c r="A930" i="8"/>
  <c r="B929" i="8"/>
  <c r="A929" i="8"/>
  <c r="B928" i="8"/>
  <c r="A928" i="8"/>
  <c r="B927" i="8"/>
  <c r="A927" i="8"/>
  <c r="B926" i="8"/>
  <c r="A926" i="8"/>
  <c r="B925" i="8"/>
  <c r="A925" i="8"/>
  <c r="B924" i="8"/>
  <c r="A924" i="8"/>
  <c r="B923" i="8"/>
  <c r="A923" i="8"/>
  <c r="B922" i="8"/>
  <c r="A922" i="8"/>
  <c r="B921" i="8"/>
  <c r="A921" i="8"/>
  <c r="B920" i="8"/>
  <c r="A920" i="8"/>
  <c r="B919" i="8"/>
  <c r="A919" i="8"/>
  <c r="B918" i="8"/>
  <c r="A918" i="8"/>
  <c r="B917" i="8"/>
  <c r="A917" i="8"/>
  <c r="B916" i="8"/>
  <c r="A916" i="8"/>
  <c r="B915" i="8"/>
  <c r="A915" i="8"/>
  <c r="B914" i="8"/>
  <c r="A914" i="8"/>
  <c r="B913" i="8"/>
  <c r="A913" i="8"/>
  <c r="B912" i="8"/>
  <c r="A912" i="8"/>
  <c r="B911" i="8"/>
  <c r="A911" i="8"/>
  <c r="B910" i="8"/>
  <c r="A910" i="8"/>
  <c r="B909" i="8"/>
  <c r="A909" i="8"/>
  <c r="B908" i="8"/>
  <c r="A908" i="8"/>
  <c r="B907" i="8"/>
  <c r="A907" i="8"/>
  <c r="B906" i="8"/>
  <c r="A906" i="8"/>
  <c r="B905" i="8"/>
  <c r="A905" i="8"/>
  <c r="B904" i="8"/>
  <c r="A904" i="8"/>
  <c r="B903" i="8"/>
  <c r="A903" i="8"/>
  <c r="B902" i="8"/>
  <c r="A902" i="8"/>
  <c r="B901" i="8"/>
  <c r="A901" i="8"/>
  <c r="B900" i="8"/>
  <c r="A900" i="8"/>
  <c r="B899" i="8"/>
  <c r="A899" i="8"/>
  <c r="B898" i="8"/>
  <c r="A898" i="8"/>
  <c r="B897" i="8"/>
  <c r="A897" i="8"/>
  <c r="B896" i="8"/>
  <c r="A896" i="8"/>
  <c r="B895" i="8"/>
  <c r="A895" i="8"/>
  <c r="B894" i="8"/>
  <c r="A894" i="8"/>
  <c r="B893" i="8"/>
  <c r="A893" i="8"/>
  <c r="B892" i="8"/>
  <c r="A892" i="8"/>
  <c r="B891" i="8"/>
  <c r="A891" i="8"/>
  <c r="B890" i="8"/>
  <c r="A890" i="8"/>
  <c r="B889" i="8"/>
  <c r="A889" i="8"/>
  <c r="B888" i="8"/>
  <c r="A888" i="8"/>
  <c r="B887" i="8"/>
  <c r="A887" i="8"/>
  <c r="B886" i="8"/>
  <c r="A886" i="8"/>
  <c r="B885" i="8"/>
  <c r="A885" i="8"/>
  <c r="B884" i="8"/>
  <c r="A884" i="8"/>
  <c r="B883" i="8"/>
  <c r="A883" i="8"/>
  <c r="B882" i="8"/>
  <c r="A882" i="8"/>
  <c r="B881" i="8"/>
  <c r="A881" i="8"/>
  <c r="B880" i="8"/>
  <c r="A880" i="8"/>
  <c r="B879" i="8"/>
  <c r="A879" i="8"/>
  <c r="B878" i="8"/>
  <c r="A878" i="8"/>
  <c r="B877" i="8"/>
  <c r="A877" i="8"/>
  <c r="B876" i="8"/>
  <c r="A876" i="8"/>
  <c r="B875" i="8"/>
  <c r="A875" i="8"/>
  <c r="B874" i="8"/>
  <c r="A874" i="8"/>
  <c r="B873" i="8"/>
  <c r="A873" i="8"/>
  <c r="B872" i="8"/>
  <c r="A872" i="8"/>
  <c r="B871" i="8"/>
  <c r="A871" i="8"/>
  <c r="B870" i="8"/>
  <c r="A870" i="8"/>
  <c r="B869" i="8"/>
  <c r="A869" i="8"/>
  <c r="B868" i="8"/>
  <c r="A868" i="8"/>
  <c r="B867" i="8"/>
  <c r="A867" i="8"/>
  <c r="B866" i="8"/>
  <c r="A866" i="8"/>
  <c r="B865" i="8"/>
  <c r="A865" i="8"/>
  <c r="B864" i="8"/>
  <c r="A864" i="8"/>
  <c r="B863" i="8"/>
  <c r="A863" i="8"/>
  <c r="B862" i="8"/>
  <c r="A862" i="8"/>
  <c r="B861" i="8"/>
  <c r="A861" i="8"/>
  <c r="B860" i="8"/>
  <c r="A860" i="8"/>
  <c r="B859" i="8"/>
  <c r="A859" i="8"/>
  <c r="B858" i="8"/>
  <c r="A858" i="8"/>
  <c r="B857" i="8"/>
  <c r="A857" i="8"/>
  <c r="B856" i="8"/>
  <c r="A856" i="8"/>
  <c r="B855" i="8"/>
  <c r="A855" i="8"/>
  <c r="B854" i="8"/>
  <c r="A854" i="8"/>
  <c r="B853" i="8"/>
  <c r="A853" i="8"/>
  <c r="B852" i="8"/>
  <c r="A852" i="8"/>
  <c r="B851" i="8"/>
  <c r="A851" i="8"/>
  <c r="B850" i="8"/>
  <c r="A850" i="8"/>
  <c r="B849" i="8"/>
  <c r="A849" i="8"/>
  <c r="B848" i="8"/>
  <c r="A848" i="8"/>
  <c r="B847" i="8"/>
  <c r="A847" i="8"/>
  <c r="B846" i="8"/>
  <c r="A846" i="8"/>
  <c r="B845" i="8"/>
  <c r="A845" i="8"/>
  <c r="B844" i="8"/>
  <c r="A844" i="8"/>
  <c r="B843" i="8"/>
  <c r="A843" i="8"/>
  <c r="B842" i="8"/>
  <c r="A842" i="8"/>
  <c r="B841" i="8"/>
  <c r="A841" i="8"/>
  <c r="B840" i="8"/>
  <c r="A840" i="8"/>
  <c r="B839" i="8"/>
  <c r="A839" i="8"/>
  <c r="B838" i="8"/>
  <c r="A838" i="8"/>
  <c r="B837" i="8"/>
  <c r="A837" i="8"/>
  <c r="B836" i="8"/>
  <c r="A836" i="8"/>
  <c r="B835" i="8"/>
  <c r="A835" i="8"/>
  <c r="B834" i="8"/>
  <c r="A834" i="8"/>
  <c r="B833" i="8"/>
  <c r="A833" i="8"/>
  <c r="B832" i="8"/>
  <c r="A832" i="8"/>
  <c r="B831" i="8"/>
  <c r="A831" i="8"/>
  <c r="B830" i="8"/>
  <c r="A830" i="8"/>
  <c r="B829" i="8"/>
  <c r="A829" i="8"/>
  <c r="B828" i="8"/>
  <c r="A828" i="8"/>
  <c r="B827" i="8"/>
  <c r="A827" i="8"/>
  <c r="B826" i="8"/>
  <c r="A826" i="8"/>
  <c r="B825" i="8"/>
  <c r="A825" i="8"/>
  <c r="B824" i="8"/>
  <c r="A824" i="8"/>
  <c r="B823" i="8"/>
  <c r="A823" i="8"/>
  <c r="B822" i="8"/>
  <c r="A822" i="8"/>
  <c r="B821" i="8"/>
  <c r="A821" i="8"/>
  <c r="B820" i="8"/>
  <c r="A820" i="8"/>
  <c r="B819" i="8"/>
  <c r="A819" i="8"/>
  <c r="B818" i="8"/>
  <c r="A818" i="8"/>
  <c r="B817" i="8"/>
  <c r="A817" i="8"/>
  <c r="B816" i="8"/>
  <c r="A816" i="8"/>
  <c r="B815" i="8"/>
  <c r="A815" i="8"/>
  <c r="B814" i="8"/>
  <c r="A814" i="8"/>
  <c r="B813" i="8"/>
  <c r="A813" i="8"/>
  <c r="B812" i="8"/>
  <c r="A812" i="8"/>
  <c r="B811" i="8"/>
  <c r="A811" i="8"/>
  <c r="B810" i="8"/>
  <c r="A810" i="8"/>
  <c r="B809" i="8"/>
  <c r="A809" i="8"/>
  <c r="B808" i="8"/>
  <c r="A808" i="8"/>
  <c r="B807" i="8"/>
  <c r="A807" i="8"/>
  <c r="B806" i="8"/>
  <c r="A806" i="8"/>
  <c r="B805" i="8"/>
  <c r="A805" i="8"/>
  <c r="B804" i="8"/>
  <c r="A804" i="8"/>
  <c r="B803" i="8"/>
  <c r="A803" i="8"/>
  <c r="B802" i="8"/>
  <c r="A802" i="8"/>
  <c r="B801" i="8"/>
  <c r="A801" i="8"/>
  <c r="B800" i="8"/>
  <c r="A800" i="8"/>
  <c r="B799" i="8"/>
  <c r="A799" i="8"/>
  <c r="B798" i="8"/>
  <c r="A798" i="8"/>
  <c r="B797" i="8"/>
  <c r="A797" i="8"/>
  <c r="B796" i="8"/>
  <c r="A796" i="8"/>
  <c r="B795" i="8"/>
  <c r="A795" i="8"/>
  <c r="B794" i="8"/>
  <c r="A794" i="8"/>
  <c r="B793" i="8"/>
  <c r="A793" i="8"/>
  <c r="B792" i="8"/>
  <c r="A792" i="8"/>
  <c r="B791" i="8"/>
  <c r="A791" i="8"/>
  <c r="B790" i="8"/>
  <c r="A790" i="8"/>
  <c r="B789" i="8"/>
  <c r="A789" i="8"/>
  <c r="B788" i="8"/>
  <c r="A788" i="8"/>
  <c r="B787" i="8"/>
  <c r="A787" i="8"/>
  <c r="B786" i="8"/>
  <c r="A786" i="8"/>
  <c r="B785" i="8"/>
  <c r="A785" i="8"/>
  <c r="B784" i="8"/>
  <c r="A784" i="8"/>
  <c r="B783" i="8"/>
  <c r="A783" i="8"/>
  <c r="B782" i="8"/>
  <c r="A782" i="8"/>
  <c r="B781" i="8"/>
  <c r="A781" i="8"/>
  <c r="B780" i="8"/>
  <c r="A780" i="8"/>
  <c r="B779" i="8"/>
  <c r="A779" i="8"/>
  <c r="B778" i="8"/>
  <c r="A778" i="8"/>
  <c r="B777" i="8"/>
  <c r="A777" i="8"/>
  <c r="B776" i="8"/>
  <c r="A776" i="8"/>
  <c r="B775" i="8"/>
  <c r="A775" i="8"/>
  <c r="B774" i="8"/>
  <c r="A774" i="8"/>
  <c r="B773" i="8"/>
  <c r="A773" i="8"/>
  <c r="B772" i="8"/>
  <c r="A772" i="8"/>
  <c r="B771" i="8"/>
  <c r="A771" i="8"/>
  <c r="B770" i="8"/>
  <c r="A770" i="8"/>
  <c r="B769" i="8"/>
  <c r="A769" i="8"/>
  <c r="B768" i="8"/>
  <c r="A768" i="8"/>
  <c r="B767" i="8"/>
  <c r="A767" i="8"/>
  <c r="B766" i="8"/>
  <c r="A766" i="8"/>
  <c r="B765" i="8"/>
  <c r="A765" i="8"/>
  <c r="B764" i="8"/>
  <c r="A764" i="8"/>
  <c r="B763" i="8"/>
  <c r="A763" i="8"/>
  <c r="B762" i="8"/>
  <c r="A762" i="8"/>
  <c r="B761" i="8"/>
  <c r="A761" i="8"/>
  <c r="B760" i="8"/>
  <c r="A760" i="8"/>
  <c r="B759" i="8"/>
  <c r="A759" i="8"/>
  <c r="B758" i="8"/>
  <c r="A758" i="8"/>
  <c r="B757" i="8"/>
  <c r="A757" i="8"/>
  <c r="B756" i="8"/>
  <c r="A756" i="8"/>
  <c r="B755" i="8"/>
  <c r="A755" i="8"/>
  <c r="B754" i="8"/>
  <c r="A754" i="8"/>
  <c r="B753" i="8"/>
  <c r="A753" i="8"/>
  <c r="B752" i="8"/>
  <c r="A752" i="8"/>
  <c r="B751" i="8"/>
  <c r="A751" i="8"/>
  <c r="B750" i="8"/>
  <c r="A750" i="8"/>
  <c r="B749" i="8"/>
  <c r="A749" i="8"/>
  <c r="B748" i="8"/>
  <c r="A748" i="8"/>
  <c r="B747" i="8"/>
  <c r="A747" i="8"/>
  <c r="B746" i="8"/>
  <c r="A746" i="8"/>
  <c r="B745" i="8"/>
  <c r="A745" i="8"/>
  <c r="B744" i="8"/>
  <c r="A744" i="8"/>
  <c r="B743" i="8"/>
  <c r="A743" i="8"/>
  <c r="B742" i="8"/>
  <c r="A742" i="8"/>
  <c r="B741" i="8"/>
  <c r="A741" i="8"/>
  <c r="B740" i="8"/>
  <c r="A740" i="8"/>
  <c r="B739" i="8"/>
  <c r="A739" i="8"/>
  <c r="B738" i="8"/>
  <c r="A738" i="8"/>
  <c r="B737" i="8"/>
  <c r="A737" i="8"/>
  <c r="B736" i="8"/>
  <c r="A736" i="8"/>
  <c r="B735" i="8"/>
  <c r="A735" i="8"/>
  <c r="B734" i="8"/>
  <c r="A734" i="8"/>
  <c r="B733" i="8"/>
  <c r="A733" i="8"/>
  <c r="B732" i="8"/>
  <c r="A732" i="8"/>
  <c r="B731" i="8"/>
  <c r="A731" i="8"/>
  <c r="B730" i="8"/>
  <c r="A730" i="8"/>
  <c r="B729" i="8"/>
  <c r="A729" i="8"/>
  <c r="B728" i="8"/>
  <c r="A728" i="8"/>
  <c r="B727" i="8"/>
  <c r="A727" i="8"/>
  <c r="B726" i="8"/>
  <c r="A726" i="8"/>
  <c r="B725" i="8"/>
  <c r="A725" i="8"/>
  <c r="B724" i="8"/>
  <c r="A724" i="8"/>
  <c r="B723" i="8"/>
  <c r="A723" i="8"/>
  <c r="B722" i="8"/>
  <c r="A722" i="8"/>
  <c r="B721" i="8"/>
  <c r="A721" i="8"/>
  <c r="B720" i="8"/>
  <c r="A720" i="8"/>
  <c r="B719" i="8"/>
  <c r="A719" i="8"/>
  <c r="B718" i="8"/>
  <c r="A718" i="8"/>
  <c r="B717" i="8"/>
  <c r="A717" i="8"/>
  <c r="B716" i="8"/>
  <c r="A716" i="8"/>
  <c r="B715" i="8"/>
  <c r="A715" i="8"/>
  <c r="B714" i="8"/>
  <c r="A714" i="8"/>
  <c r="B713" i="8"/>
  <c r="A713" i="8"/>
  <c r="B712" i="8"/>
  <c r="A712" i="8"/>
  <c r="B711" i="8"/>
  <c r="A711" i="8"/>
  <c r="B710" i="8"/>
  <c r="A710" i="8"/>
  <c r="B709" i="8"/>
  <c r="A709" i="8"/>
  <c r="B708" i="8"/>
  <c r="A708" i="8"/>
  <c r="B707" i="8"/>
  <c r="A707" i="8"/>
  <c r="B706" i="8"/>
  <c r="A706" i="8"/>
  <c r="B705" i="8"/>
  <c r="A705" i="8"/>
  <c r="B704" i="8"/>
  <c r="A704" i="8"/>
  <c r="B703" i="8"/>
  <c r="A703" i="8"/>
  <c r="B702" i="8"/>
  <c r="A702" i="8"/>
  <c r="B701" i="8"/>
  <c r="A701" i="8"/>
  <c r="B700" i="8"/>
  <c r="A700" i="8"/>
  <c r="B699" i="8"/>
  <c r="A699" i="8"/>
  <c r="B698" i="8"/>
  <c r="A698" i="8"/>
  <c r="B697" i="8"/>
  <c r="A697" i="8"/>
  <c r="B696" i="8"/>
  <c r="A696" i="8"/>
  <c r="B695" i="8"/>
  <c r="A695" i="8"/>
  <c r="B694" i="8"/>
  <c r="A694" i="8"/>
  <c r="B693" i="8"/>
  <c r="A693" i="8"/>
  <c r="B692" i="8"/>
  <c r="A692" i="8"/>
  <c r="B691" i="8"/>
  <c r="A691" i="8"/>
  <c r="B690" i="8"/>
  <c r="A690" i="8"/>
  <c r="B689" i="8"/>
  <c r="A689" i="8"/>
  <c r="B688" i="8"/>
  <c r="A688" i="8"/>
  <c r="B687" i="8"/>
  <c r="A687" i="8"/>
  <c r="B686" i="8"/>
  <c r="A686" i="8"/>
  <c r="B685" i="8"/>
  <c r="A685" i="8"/>
  <c r="B684" i="8"/>
  <c r="A684" i="8"/>
  <c r="B683" i="8"/>
  <c r="A683" i="8"/>
  <c r="B682" i="8"/>
  <c r="A682" i="8"/>
  <c r="B681" i="8"/>
  <c r="A681" i="8"/>
  <c r="B680" i="8"/>
  <c r="A680" i="8"/>
  <c r="B679" i="8"/>
  <c r="A679" i="8"/>
  <c r="B678" i="8"/>
  <c r="A678" i="8"/>
  <c r="B677" i="8"/>
  <c r="A677" i="8"/>
  <c r="B676" i="8"/>
  <c r="A676" i="8"/>
  <c r="B675" i="8"/>
  <c r="A675" i="8"/>
  <c r="B674" i="8"/>
  <c r="A674" i="8"/>
  <c r="B673" i="8"/>
  <c r="A673" i="8"/>
  <c r="B672" i="8"/>
  <c r="A672" i="8"/>
  <c r="B671" i="8"/>
  <c r="A671" i="8"/>
  <c r="B670" i="8"/>
  <c r="A670" i="8"/>
  <c r="B669" i="8"/>
  <c r="A669" i="8"/>
  <c r="B668" i="8"/>
  <c r="A668" i="8"/>
  <c r="B667" i="8"/>
  <c r="A667" i="8"/>
  <c r="B666" i="8"/>
  <c r="A666" i="8"/>
  <c r="B665" i="8"/>
  <c r="A665" i="8"/>
  <c r="B664" i="8"/>
  <c r="A664" i="8"/>
  <c r="B663" i="8"/>
  <c r="A663" i="8"/>
  <c r="B662" i="8"/>
  <c r="A662" i="8"/>
  <c r="B661" i="8"/>
  <c r="A661" i="8"/>
  <c r="B660" i="8"/>
  <c r="A660" i="8"/>
  <c r="B659" i="8"/>
  <c r="A659" i="8"/>
  <c r="B658" i="8"/>
  <c r="A658" i="8"/>
  <c r="B657" i="8"/>
  <c r="A657" i="8"/>
  <c r="B656" i="8"/>
  <c r="A656" i="8"/>
  <c r="B655" i="8"/>
  <c r="A655" i="8"/>
  <c r="B654" i="8"/>
  <c r="A654" i="8"/>
  <c r="B653" i="8"/>
  <c r="A653" i="8"/>
  <c r="B652" i="8"/>
  <c r="A652" i="8"/>
  <c r="B651" i="8"/>
  <c r="A651" i="8"/>
  <c r="B650" i="8"/>
  <c r="A650" i="8"/>
  <c r="B649" i="8"/>
  <c r="A649" i="8"/>
  <c r="B648" i="8"/>
  <c r="A648" i="8"/>
  <c r="B647" i="8"/>
  <c r="A647" i="8"/>
  <c r="B646" i="8"/>
  <c r="A646" i="8"/>
  <c r="B645" i="8"/>
  <c r="A645" i="8"/>
  <c r="B644" i="8"/>
  <c r="A644" i="8"/>
  <c r="B643" i="8"/>
  <c r="A643" i="8"/>
  <c r="B642" i="8"/>
  <c r="A642" i="8"/>
  <c r="B641" i="8"/>
  <c r="A641" i="8"/>
  <c r="B640" i="8"/>
  <c r="A640" i="8"/>
  <c r="B639" i="8"/>
  <c r="A639" i="8"/>
  <c r="B638" i="8"/>
  <c r="A638" i="8"/>
  <c r="B637" i="8"/>
  <c r="A637" i="8"/>
  <c r="B636" i="8"/>
  <c r="A636" i="8"/>
  <c r="B635" i="8"/>
  <c r="A635" i="8"/>
  <c r="B634" i="8"/>
  <c r="A634" i="8"/>
  <c r="B633" i="8"/>
  <c r="A633" i="8"/>
  <c r="B632" i="8"/>
  <c r="A632" i="8"/>
  <c r="B631" i="8"/>
  <c r="A631" i="8"/>
  <c r="B630" i="8"/>
  <c r="A630" i="8"/>
  <c r="B629" i="8"/>
  <c r="A629" i="8"/>
  <c r="B628" i="8"/>
  <c r="A628" i="8"/>
  <c r="B627" i="8"/>
  <c r="A627" i="8"/>
  <c r="B626" i="8"/>
  <c r="A626" i="8"/>
  <c r="B625" i="8"/>
  <c r="A625" i="8"/>
  <c r="B624" i="8"/>
  <c r="A624" i="8"/>
  <c r="B623" i="8"/>
  <c r="A623" i="8"/>
  <c r="B622" i="8"/>
  <c r="A622" i="8"/>
  <c r="B621" i="8"/>
  <c r="A621" i="8"/>
  <c r="B620" i="8"/>
  <c r="A620" i="8"/>
  <c r="B619" i="8"/>
  <c r="A619" i="8"/>
  <c r="B618" i="8"/>
  <c r="A618" i="8"/>
  <c r="B617" i="8"/>
  <c r="A617" i="8"/>
  <c r="B616" i="8"/>
  <c r="A616" i="8"/>
  <c r="B615" i="8"/>
  <c r="A615" i="8"/>
  <c r="B614" i="8"/>
  <c r="A614" i="8"/>
  <c r="B613" i="8"/>
  <c r="A613" i="8"/>
  <c r="B612" i="8"/>
  <c r="A612" i="8"/>
  <c r="B611" i="8"/>
  <c r="A611" i="8"/>
  <c r="B610" i="8"/>
  <c r="A610" i="8"/>
  <c r="B609" i="8"/>
  <c r="A609" i="8"/>
  <c r="B608" i="8"/>
  <c r="A608" i="8"/>
  <c r="B607" i="8"/>
  <c r="A607" i="8"/>
  <c r="B606" i="8"/>
  <c r="A606" i="8"/>
  <c r="B605" i="8"/>
  <c r="A605" i="8"/>
  <c r="B604" i="8"/>
  <c r="A604" i="8"/>
  <c r="B603" i="8"/>
  <c r="A603" i="8"/>
  <c r="B602" i="8"/>
  <c r="A602" i="8"/>
  <c r="B601" i="8"/>
  <c r="A601" i="8"/>
  <c r="B600" i="8"/>
  <c r="A600" i="8"/>
  <c r="B599" i="8"/>
  <c r="A599" i="8"/>
  <c r="B598" i="8"/>
  <c r="A598" i="8"/>
  <c r="B597" i="8"/>
  <c r="A597" i="8"/>
  <c r="B596" i="8"/>
  <c r="A596" i="8"/>
  <c r="B595" i="8"/>
  <c r="A595" i="8"/>
  <c r="B594" i="8"/>
  <c r="A594" i="8"/>
  <c r="B593" i="8"/>
  <c r="A593" i="8"/>
  <c r="B592" i="8"/>
  <c r="A592" i="8"/>
  <c r="B591" i="8"/>
  <c r="A591" i="8"/>
  <c r="B590" i="8"/>
  <c r="A590" i="8"/>
  <c r="B589" i="8"/>
  <c r="A589" i="8"/>
  <c r="B588" i="8"/>
  <c r="A588" i="8"/>
  <c r="B587" i="8"/>
  <c r="A587" i="8"/>
  <c r="B586" i="8"/>
  <c r="A586" i="8"/>
  <c r="B585" i="8"/>
  <c r="A585" i="8"/>
  <c r="B584" i="8"/>
  <c r="A584" i="8"/>
  <c r="B583" i="8"/>
  <c r="A583" i="8"/>
  <c r="B582" i="8"/>
  <c r="A582" i="8"/>
  <c r="B581" i="8"/>
  <c r="A581" i="8"/>
  <c r="B580" i="8"/>
  <c r="A580" i="8"/>
  <c r="B579" i="8"/>
  <c r="A579" i="8"/>
  <c r="B578" i="8"/>
  <c r="A578" i="8"/>
  <c r="B577" i="8"/>
  <c r="A577" i="8"/>
  <c r="B576" i="8"/>
  <c r="A576" i="8"/>
  <c r="B575" i="8"/>
  <c r="A575" i="8"/>
  <c r="B574" i="8"/>
  <c r="A574" i="8"/>
  <c r="B573" i="8"/>
  <c r="A573" i="8"/>
  <c r="B572" i="8"/>
  <c r="A572" i="8"/>
  <c r="B571" i="8"/>
  <c r="A571" i="8"/>
  <c r="B570" i="8"/>
  <c r="A570" i="8"/>
  <c r="B569" i="8"/>
  <c r="A569" i="8"/>
  <c r="B568" i="8"/>
  <c r="A568" i="8"/>
  <c r="B567" i="8"/>
  <c r="A567" i="8"/>
  <c r="B566" i="8"/>
  <c r="A566" i="8"/>
  <c r="B565" i="8"/>
  <c r="A565" i="8"/>
  <c r="B564" i="8"/>
  <c r="A564" i="8"/>
  <c r="B563" i="8"/>
  <c r="A563" i="8"/>
  <c r="B562" i="8"/>
  <c r="A562" i="8"/>
  <c r="B561" i="8"/>
  <c r="A561" i="8"/>
  <c r="B560" i="8"/>
  <c r="A560" i="8"/>
  <c r="B559" i="8"/>
  <c r="A559" i="8"/>
  <c r="B558" i="8"/>
  <c r="A558" i="8"/>
  <c r="B557" i="8"/>
  <c r="A557" i="8"/>
  <c r="B556" i="8"/>
  <c r="A556" i="8"/>
  <c r="B555" i="8"/>
  <c r="A555" i="8"/>
  <c r="B554" i="8"/>
  <c r="A554" i="8"/>
  <c r="B553" i="8"/>
  <c r="A553" i="8"/>
  <c r="B552" i="8"/>
  <c r="A552" i="8"/>
  <c r="B551" i="8"/>
  <c r="A551" i="8"/>
  <c r="B550" i="8"/>
  <c r="A550" i="8"/>
  <c r="B549" i="8"/>
  <c r="A549" i="8"/>
  <c r="B548" i="8"/>
  <c r="A548" i="8"/>
  <c r="B547" i="8"/>
  <c r="A547" i="8"/>
  <c r="B546" i="8"/>
  <c r="A546" i="8"/>
  <c r="B545" i="8"/>
  <c r="A545" i="8"/>
  <c r="B544" i="8"/>
  <c r="A544" i="8"/>
  <c r="B543" i="8"/>
  <c r="A543" i="8"/>
  <c r="B542" i="8"/>
  <c r="A542" i="8"/>
  <c r="B541" i="8"/>
  <c r="A541" i="8"/>
  <c r="B540" i="8"/>
  <c r="A540" i="8"/>
  <c r="B539" i="8"/>
  <c r="A539" i="8"/>
  <c r="B538" i="8"/>
  <c r="A538" i="8"/>
  <c r="B537" i="8"/>
  <c r="A537" i="8"/>
  <c r="B536" i="8"/>
  <c r="A536" i="8"/>
  <c r="B535" i="8"/>
  <c r="A535" i="8"/>
  <c r="B534" i="8"/>
  <c r="A534" i="8"/>
  <c r="B533" i="8"/>
  <c r="A533" i="8"/>
  <c r="B532" i="8"/>
  <c r="A532" i="8"/>
  <c r="B531" i="8"/>
  <c r="A531" i="8"/>
  <c r="B530" i="8"/>
  <c r="A530" i="8"/>
  <c r="B529" i="8"/>
  <c r="A529" i="8"/>
  <c r="B528" i="8"/>
  <c r="A528" i="8"/>
  <c r="B527" i="8"/>
  <c r="A527" i="8"/>
  <c r="B526" i="8"/>
  <c r="A526" i="8"/>
  <c r="B525" i="8"/>
  <c r="A525" i="8"/>
  <c r="B524" i="8"/>
  <c r="A524" i="8"/>
  <c r="B523" i="8"/>
  <c r="A523" i="8"/>
  <c r="B522" i="8"/>
  <c r="A522" i="8"/>
  <c r="B521" i="8"/>
  <c r="A521" i="8"/>
  <c r="B520" i="8"/>
  <c r="A520" i="8"/>
  <c r="B519" i="8"/>
  <c r="A519" i="8"/>
  <c r="B518" i="8"/>
  <c r="A518" i="8"/>
  <c r="B517" i="8"/>
  <c r="A517" i="8"/>
  <c r="B516" i="8"/>
  <c r="A516" i="8"/>
  <c r="B515" i="8"/>
  <c r="A515" i="8"/>
  <c r="B514" i="8"/>
  <c r="A514" i="8"/>
  <c r="B513" i="8"/>
  <c r="A513" i="8"/>
  <c r="B512" i="8"/>
  <c r="A512" i="8"/>
  <c r="B511" i="8"/>
  <c r="A511" i="8"/>
  <c r="B510" i="8"/>
  <c r="A510" i="8"/>
  <c r="B509" i="8"/>
  <c r="A509" i="8"/>
  <c r="B508" i="8"/>
  <c r="A508" i="8"/>
  <c r="B507" i="8"/>
  <c r="A507" i="8"/>
  <c r="B506" i="8"/>
  <c r="A506" i="8"/>
  <c r="B505" i="8"/>
  <c r="A505" i="8"/>
  <c r="B504" i="8"/>
  <c r="A504" i="8"/>
  <c r="B503" i="8"/>
  <c r="A503" i="8"/>
  <c r="B502" i="8"/>
  <c r="A502" i="8"/>
  <c r="B501" i="8"/>
  <c r="A501" i="8"/>
  <c r="B500" i="8"/>
  <c r="A500" i="8"/>
  <c r="B499" i="8"/>
  <c r="A499" i="8"/>
  <c r="B498" i="8"/>
  <c r="A498" i="8"/>
  <c r="B497" i="8"/>
  <c r="A497" i="8"/>
  <c r="B496" i="8"/>
  <c r="A496" i="8"/>
  <c r="B495" i="8"/>
  <c r="A495" i="8"/>
  <c r="B494" i="8"/>
  <c r="A494" i="8"/>
  <c r="B493" i="8"/>
  <c r="A493" i="8"/>
  <c r="B492" i="8"/>
  <c r="A492" i="8"/>
  <c r="B491" i="8"/>
  <c r="A491" i="8"/>
  <c r="B490" i="8"/>
  <c r="A490" i="8"/>
  <c r="B489" i="8"/>
  <c r="A489" i="8"/>
  <c r="B488" i="8"/>
  <c r="A488" i="8"/>
  <c r="B487" i="8"/>
  <c r="A487" i="8"/>
  <c r="B486" i="8"/>
  <c r="A486" i="8"/>
  <c r="B485" i="8"/>
  <c r="A485" i="8"/>
  <c r="B484" i="8"/>
  <c r="A484" i="8"/>
  <c r="B483" i="8"/>
  <c r="A483" i="8"/>
  <c r="B482" i="8"/>
  <c r="A482" i="8"/>
  <c r="B481" i="8"/>
  <c r="A481" i="8"/>
  <c r="B480" i="8"/>
  <c r="A480" i="8"/>
  <c r="B479" i="8"/>
  <c r="A479" i="8"/>
  <c r="B478" i="8"/>
  <c r="A478" i="8"/>
  <c r="B477" i="8"/>
  <c r="A477" i="8"/>
  <c r="B476" i="8"/>
  <c r="A476" i="8"/>
  <c r="B475" i="8"/>
  <c r="A475" i="8"/>
  <c r="B474" i="8"/>
  <c r="A474" i="8"/>
  <c r="B473" i="8"/>
  <c r="A473" i="8"/>
  <c r="B472" i="8"/>
  <c r="A472" i="8"/>
  <c r="B471" i="8"/>
  <c r="A471" i="8"/>
  <c r="B470" i="8"/>
  <c r="A470" i="8"/>
  <c r="B469" i="8"/>
  <c r="A469" i="8"/>
  <c r="B468" i="8"/>
  <c r="A468" i="8"/>
  <c r="B467" i="8"/>
  <c r="A467" i="8"/>
  <c r="B466" i="8"/>
  <c r="A466" i="8"/>
  <c r="B465" i="8"/>
  <c r="A465" i="8"/>
  <c r="B464" i="8"/>
  <c r="A464" i="8"/>
  <c r="B463" i="8"/>
  <c r="A463" i="8"/>
  <c r="B462" i="8"/>
  <c r="A462" i="8"/>
  <c r="B461" i="8"/>
  <c r="A461" i="8"/>
  <c r="B460" i="8"/>
  <c r="A460" i="8"/>
  <c r="B459" i="8"/>
  <c r="A459" i="8"/>
  <c r="B458" i="8"/>
  <c r="A458" i="8"/>
  <c r="B457" i="8"/>
  <c r="A457" i="8"/>
  <c r="B456" i="8"/>
  <c r="A456" i="8"/>
  <c r="B455" i="8"/>
  <c r="A455" i="8"/>
  <c r="B454" i="8"/>
  <c r="A454" i="8"/>
  <c r="B453" i="8"/>
  <c r="A453" i="8"/>
  <c r="B452" i="8"/>
  <c r="A452" i="8"/>
  <c r="B451" i="8"/>
  <c r="A451" i="8"/>
  <c r="B450" i="8"/>
  <c r="A450" i="8"/>
  <c r="B449" i="8"/>
  <c r="A449" i="8"/>
  <c r="B448" i="8"/>
  <c r="A448" i="8"/>
  <c r="B447" i="8"/>
  <c r="A447" i="8"/>
  <c r="B446" i="8"/>
  <c r="A446" i="8"/>
  <c r="B445" i="8"/>
  <c r="A445" i="8"/>
  <c r="B444" i="8"/>
  <c r="A444" i="8"/>
  <c r="B443" i="8"/>
  <c r="A443" i="8"/>
  <c r="B442" i="8"/>
  <c r="A442" i="8"/>
  <c r="B441" i="8"/>
  <c r="A441" i="8"/>
  <c r="B440" i="8"/>
  <c r="A440" i="8"/>
  <c r="B439" i="8"/>
  <c r="A439" i="8"/>
  <c r="B438" i="8"/>
  <c r="A438" i="8"/>
  <c r="B437" i="8"/>
  <c r="A437" i="8"/>
  <c r="B436" i="8"/>
  <c r="A436" i="8"/>
  <c r="B435" i="8"/>
  <c r="A435" i="8"/>
  <c r="B434" i="8"/>
  <c r="A434" i="8"/>
  <c r="B433" i="8"/>
  <c r="A433" i="8"/>
  <c r="B432" i="8"/>
  <c r="A432" i="8"/>
  <c r="B431" i="8"/>
  <c r="A431" i="8"/>
  <c r="B430" i="8"/>
  <c r="A430" i="8"/>
  <c r="B429" i="8"/>
  <c r="A429" i="8"/>
  <c r="B428" i="8"/>
  <c r="A428" i="8"/>
  <c r="B427" i="8"/>
  <c r="A427" i="8"/>
  <c r="B426" i="8"/>
  <c r="A426" i="8"/>
  <c r="B425" i="8"/>
  <c r="A425" i="8"/>
  <c r="B424" i="8"/>
  <c r="A424" i="8"/>
  <c r="B423" i="8"/>
  <c r="A423" i="8"/>
  <c r="B422" i="8"/>
  <c r="A422" i="8"/>
  <c r="B421" i="8"/>
  <c r="A421" i="8"/>
  <c r="B420" i="8"/>
  <c r="A420" i="8"/>
  <c r="B419" i="8"/>
  <c r="A419" i="8"/>
  <c r="B418" i="8"/>
  <c r="A418" i="8"/>
  <c r="B417" i="8"/>
  <c r="A417" i="8"/>
  <c r="B416" i="8"/>
  <c r="A416" i="8"/>
  <c r="B415" i="8"/>
  <c r="A415" i="8"/>
  <c r="B414" i="8"/>
  <c r="A414" i="8"/>
  <c r="B413" i="8"/>
  <c r="A413" i="8"/>
  <c r="B412" i="8"/>
  <c r="A412" i="8"/>
  <c r="B411" i="8"/>
  <c r="A411" i="8"/>
  <c r="B410" i="8"/>
  <c r="A410" i="8"/>
  <c r="B409" i="8"/>
  <c r="A409" i="8"/>
  <c r="B408" i="8"/>
  <c r="A408" i="8"/>
  <c r="B407" i="8"/>
  <c r="A407" i="8"/>
  <c r="B406" i="8"/>
  <c r="A406" i="8"/>
  <c r="B405" i="8"/>
  <c r="A405" i="8"/>
  <c r="B404" i="8"/>
  <c r="A404" i="8"/>
  <c r="B403" i="8"/>
  <c r="A403" i="8"/>
  <c r="B402" i="8"/>
  <c r="A402" i="8"/>
  <c r="B401" i="8"/>
  <c r="A401" i="8"/>
  <c r="B400" i="8"/>
  <c r="A400" i="8"/>
  <c r="B399" i="8"/>
  <c r="A399" i="8"/>
  <c r="B398" i="8"/>
  <c r="A398" i="8"/>
  <c r="B397" i="8"/>
  <c r="A397" i="8"/>
  <c r="B396" i="8"/>
  <c r="A396" i="8"/>
  <c r="B395" i="8"/>
  <c r="A395" i="8"/>
  <c r="B394" i="8"/>
  <c r="A394" i="8"/>
  <c r="B393" i="8"/>
  <c r="A393" i="8"/>
  <c r="B392" i="8"/>
  <c r="A392" i="8"/>
  <c r="B391" i="8"/>
  <c r="A391" i="8"/>
  <c r="B390" i="8"/>
  <c r="A390" i="8"/>
  <c r="B389" i="8"/>
  <c r="A389" i="8"/>
  <c r="B388" i="8"/>
  <c r="A388" i="8"/>
  <c r="B387" i="8"/>
  <c r="A387" i="8"/>
  <c r="B386" i="8"/>
  <c r="A386" i="8"/>
  <c r="B385" i="8"/>
  <c r="A385" i="8"/>
  <c r="B384" i="8"/>
  <c r="A384" i="8"/>
  <c r="B383" i="8"/>
  <c r="A383" i="8"/>
  <c r="B382" i="8"/>
  <c r="A382" i="8"/>
  <c r="B381" i="8"/>
  <c r="A381" i="8"/>
  <c r="B380" i="8"/>
  <c r="A380" i="8"/>
  <c r="B379" i="8"/>
  <c r="A379" i="8"/>
  <c r="B378" i="8"/>
  <c r="A378" i="8"/>
  <c r="B377" i="8"/>
  <c r="A377" i="8"/>
  <c r="B376" i="8"/>
  <c r="A376" i="8"/>
  <c r="B375" i="8"/>
  <c r="A375" i="8"/>
  <c r="B374" i="8"/>
  <c r="A374" i="8"/>
  <c r="B373" i="8"/>
  <c r="A373" i="8"/>
  <c r="B372" i="8"/>
  <c r="A372" i="8"/>
  <c r="B371" i="8"/>
  <c r="A371" i="8"/>
  <c r="B370" i="8"/>
  <c r="A370" i="8"/>
  <c r="B369" i="8"/>
  <c r="A369" i="8"/>
  <c r="B368" i="8"/>
  <c r="A368" i="8"/>
  <c r="B367" i="8"/>
  <c r="A367" i="8"/>
  <c r="B366" i="8"/>
  <c r="A366" i="8"/>
  <c r="B365" i="8"/>
  <c r="A365" i="8"/>
  <c r="B364" i="8"/>
  <c r="A364" i="8"/>
  <c r="B363" i="8"/>
  <c r="A363" i="8"/>
  <c r="B362" i="8"/>
  <c r="A362" i="8"/>
  <c r="B361" i="8"/>
  <c r="A361" i="8"/>
  <c r="B360" i="8"/>
  <c r="A360" i="8"/>
  <c r="B359" i="8"/>
  <c r="A359" i="8"/>
  <c r="B358" i="8"/>
  <c r="A358" i="8"/>
  <c r="B357" i="8"/>
  <c r="A357" i="8"/>
  <c r="B356" i="8"/>
  <c r="A356" i="8"/>
  <c r="B355" i="8"/>
  <c r="A355" i="8"/>
  <c r="B354" i="8"/>
  <c r="A354" i="8"/>
  <c r="B353" i="8"/>
  <c r="A353" i="8"/>
  <c r="B352" i="8"/>
  <c r="A352" i="8"/>
  <c r="B351" i="8"/>
  <c r="A351" i="8"/>
  <c r="B350" i="8"/>
  <c r="A350" i="8"/>
  <c r="B349" i="8"/>
  <c r="A349" i="8"/>
  <c r="B348" i="8"/>
  <c r="A348" i="8"/>
  <c r="B347" i="8"/>
  <c r="A347" i="8"/>
  <c r="B346" i="8"/>
  <c r="A346" i="8"/>
  <c r="B345" i="8"/>
  <c r="A345" i="8"/>
  <c r="B344" i="8"/>
  <c r="A344" i="8"/>
  <c r="B343" i="8"/>
  <c r="A343" i="8"/>
  <c r="B342" i="8"/>
  <c r="A342" i="8"/>
  <c r="B341" i="8"/>
  <c r="A341" i="8"/>
  <c r="B340" i="8"/>
  <c r="A340" i="8"/>
  <c r="B339" i="8"/>
  <c r="A339" i="8"/>
  <c r="B338" i="8"/>
  <c r="A338" i="8"/>
  <c r="B337" i="8"/>
  <c r="A337" i="8"/>
  <c r="B336" i="8"/>
  <c r="A336" i="8"/>
  <c r="B335" i="8"/>
  <c r="A335" i="8"/>
  <c r="B334" i="8"/>
  <c r="A334" i="8"/>
  <c r="B333" i="8"/>
  <c r="A333" i="8"/>
  <c r="B332" i="8"/>
  <c r="A332" i="8"/>
  <c r="B331" i="8"/>
  <c r="A331" i="8"/>
  <c r="B330" i="8"/>
  <c r="A330" i="8"/>
  <c r="B329" i="8"/>
  <c r="A329" i="8"/>
  <c r="B328" i="8"/>
  <c r="A328" i="8"/>
  <c r="B327" i="8"/>
  <c r="A327" i="8"/>
  <c r="B326" i="8"/>
  <c r="A326" i="8"/>
  <c r="B325" i="8"/>
  <c r="A325" i="8"/>
  <c r="B324" i="8"/>
  <c r="A324" i="8"/>
  <c r="B323" i="8"/>
  <c r="A323" i="8"/>
  <c r="B322" i="8"/>
  <c r="A322" i="8"/>
  <c r="B321" i="8"/>
  <c r="A321" i="8"/>
  <c r="B320" i="8"/>
  <c r="A320" i="8"/>
  <c r="B319" i="8"/>
  <c r="A319" i="8"/>
  <c r="B318" i="8"/>
  <c r="A318" i="8"/>
  <c r="B317" i="8"/>
  <c r="A317" i="8"/>
  <c r="B316" i="8"/>
  <c r="A316" i="8"/>
  <c r="B315" i="8"/>
  <c r="A315" i="8"/>
  <c r="B314" i="8"/>
  <c r="A314" i="8"/>
  <c r="B313" i="8"/>
  <c r="A313" i="8"/>
  <c r="B312" i="8"/>
  <c r="A312" i="8"/>
  <c r="B311" i="8"/>
  <c r="A311" i="8"/>
  <c r="B310" i="8"/>
  <c r="A310" i="8"/>
  <c r="B309" i="8"/>
  <c r="A309" i="8"/>
  <c r="B308" i="8"/>
  <c r="A308" i="8"/>
  <c r="B307" i="8"/>
  <c r="A307" i="8"/>
  <c r="B306" i="8"/>
  <c r="A306" i="8"/>
  <c r="B305" i="8"/>
  <c r="A305" i="8"/>
  <c r="B304" i="8"/>
  <c r="A304" i="8"/>
  <c r="B303" i="8"/>
  <c r="A303" i="8"/>
  <c r="B302" i="8"/>
  <c r="A302" i="8"/>
  <c r="B301" i="8"/>
  <c r="A301" i="8"/>
  <c r="B300" i="8"/>
  <c r="A300" i="8"/>
  <c r="B299" i="8"/>
  <c r="A299" i="8"/>
  <c r="B298" i="8"/>
  <c r="A298" i="8"/>
  <c r="B297" i="8"/>
  <c r="A297" i="8"/>
  <c r="B296" i="8"/>
  <c r="A296" i="8"/>
  <c r="B295" i="8"/>
  <c r="A295" i="8"/>
  <c r="B294" i="8"/>
  <c r="A294" i="8"/>
  <c r="B293" i="8"/>
  <c r="A293" i="8"/>
  <c r="B292" i="8"/>
  <c r="A292" i="8"/>
  <c r="B291" i="8"/>
  <c r="A291" i="8"/>
  <c r="B290" i="8"/>
  <c r="A290" i="8"/>
  <c r="B289" i="8"/>
  <c r="A289" i="8"/>
  <c r="B288" i="8"/>
  <c r="A288" i="8"/>
  <c r="B287" i="8"/>
  <c r="A287" i="8"/>
  <c r="B286" i="8"/>
  <c r="A286" i="8"/>
  <c r="B285" i="8"/>
  <c r="A285" i="8"/>
  <c r="B284" i="8"/>
  <c r="A284" i="8"/>
  <c r="B283" i="8"/>
  <c r="A283" i="8"/>
  <c r="B282" i="8"/>
  <c r="A282" i="8"/>
  <c r="B281" i="8"/>
  <c r="A281" i="8"/>
  <c r="B280" i="8"/>
  <c r="A280" i="8"/>
  <c r="B279" i="8"/>
  <c r="A279" i="8"/>
  <c r="B278" i="8"/>
  <c r="A278" i="8"/>
  <c r="B277" i="8"/>
  <c r="A277" i="8"/>
  <c r="B276" i="8"/>
  <c r="A276" i="8"/>
  <c r="B275" i="8"/>
  <c r="A275" i="8"/>
  <c r="B274" i="8"/>
  <c r="A274" i="8"/>
  <c r="B273" i="8"/>
  <c r="A273" i="8"/>
  <c r="B272" i="8"/>
  <c r="A272" i="8"/>
  <c r="B271" i="8"/>
  <c r="A271" i="8"/>
  <c r="B270" i="8"/>
  <c r="A270" i="8"/>
  <c r="B269" i="8"/>
  <c r="A269" i="8"/>
  <c r="B268" i="8"/>
  <c r="A268" i="8"/>
  <c r="B267" i="8"/>
  <c r="A267" i="8"/>
  <c r="B266" i="8"/>
  <c r="A266" i="8"/>
  <c r="B265" i="8"/>
  <c r="A265" i="8"/>
  <c r="B264" i="8"/>
  <c r="A264" i="8"/>
  <c r="B263" i="8"/>
  <c r="A263" i="8"/>
  <c r="B262" i="8"/>
  <c r="A262" i="8"/>
  <c r="B261" i="8"/>
  <c r="A261" i="8"/>
  <c r="B260" i="8"/>
  <c r="A260" i="8"/>
  <c r="B259" i="8"/>
  <c r="A259" i="8"/>
  <c r="B258" i="8"/>
  <c r="A258" i="8"/>
  <c r="B257" i="8"/>
  <c r="A257" i="8"/>
  <c r="B256" i="8"/>
  <c r="A256" i="8"/>
  <c r="B255" i="8"/>
  <c r="A255" i="8"/>
  <c r="B254" i="8"/>
  <c r="A254" i="8"/>
  <c r="B253" i="8"/>
  <c r="A253" i="8"/>
  <c r="B252" i="8"/>
  <c r="A252" i="8"/>
  <c r="B251" i="8"/>
  <c r="A251" i="8"/>
  <c r="B250" i="8"/>
  <c r="A250" i="8"/>
  <c r="B249" i="8"/>
  <c r="A249" i="8"/>
  <c r="B248" i="8"/>
  <c r="A248" i="8"/>
  <c r="B247" i="8"/>
  <c r="A247" i="8"/>
  <c r="B246" i="8"/>
  <c r="A246" i="8"/>
  <c r="B245" i="8"/>
  <c r="A245" i="8"/>
  <c r="B244" i="8"/>
  <c r="A244" i="8"/>
  <c r="B243" i="8"/>
  <c r="A243" i="8"/>
  <c r="B242" i="8"/>
  <c r="A242" i="8"/>
  <c r="B241" i="8"/>
  <c r="A241" i="8"/>
  <c r="B240" i="8"/>
  <c r="A240" i="8"/>
  <c r="B239" i="8"/>
  <c r="A239" i="8"/>
  <c r="B238" i="8"/>
  <c r="A238" i="8"/>
  <c r="B237" i="8"/>
  <c r="A237" i="8"/>
  <c r="B236" i="8"/>
  <c r="A236" i="8"/>
  <c r="B235" i="8"/>
  <c r="A235" i="8"/>
  <c r="B234" i="8"/>
  <c r="A234" i="8"/>
  <c r="B233" i="8"/>
  <c r="A233" i="8"/>
  <c r="B232" i="8"/>
  <c r="A232" i="8"/>
  <c r="B231" i="8"/>
  <c r="A231" i="8"/>
  <c r="B230" i="8"/>
  <c r="A230" i="8"/>
  <c r="B229" i="8"/>
  <c r="A229" i="8"/>
  <c r="B228" i="8"/>
  <c r="A228" i="8"/>
  <c r="B227" i="8"/>
  <c r="A227" i="8"/>
  <c r="B226" i="8"/>
  <c r="A226" i="8"/>
  <c r="B225" i="8"/>
  <c r="A225" i="8"/>
  <c r="B224" i="8"/>
  <c r="A224" i="8"/>
  <c r="B223" i="8"/>
  <c r="A223" i="8"/>
  <c r="B222" i="8"/>
  <c r="A222" i="8"/>
  <c r="B221" i="8"/>
  <c r="A221" i="8"/>
  <c r="B220" i="8"/>
  <c r="A220" i="8"/>
  <c r="B219" i="8"/>
  <c r="A219" i="8"/>
  <c r="B218" i="8"/>
  <c r="A218" i="8"/>
  <c r="B217" i="8"/>
  <c r="A217" i="8"/>
  <c r="B216" i="8"/>
  <c r="A216" i="8"/>
  <c r="B215" i="8"/>
  <c r="A215" i="8"/>
  <c r="B214" i="8"/>
  <c r="A214" i="8"/>
  <c r="B213" i="8"/>
  <c r="A213" i="8"/>
  <c r="B212" i="8"/>
  <c r="A212" i="8"/>
  <c r="B211" i="8"/>
  <c r="A211" i="8"/>
  <c r="B210" i="8"/>
  <c r="A210" i="8"/>
  <c r="B209" i="8"/>
  <c r="A209" i="8"/>
  <c r="B208" i="8"/>
  <c r="A208" i="8"/>
  <c r="B207" i="8"/>
  <c r="A207" i="8"/>
  <c r="B206" i="8"/>
  <c r="A206" i="8"/>
  <c r="B205" i="8"/>
  <c r="A205" i="8"/>
  <c r="B204" i="8"/>
  <c r="A204" i="8"/>
  <c r="B203" i="8"/>
  <c r="A203" i="8"/>
  <c r="B202" i="8"/>
  <c r="A202" i="8"/>
  <c r="B201" i="8"/>
  <c r="A201" i="8"/>
  <c r="B200" i="8"/>
  <c r="A200" i="8"/>
  <c r="B199" i="8"/>
  <c r="A199" i="8"/>
  <c r="B198" i="8"/>
  <c r="A198" i="8"/>
  <c r="B197" i="8"/>
  <c r="A197" i="8"/>
  <c r="B196" i="8"/>
  <c r="A196" i="8"/>
  <c r="B195" i="8"/>
  <c r="A195" i="8"/>
  <c r="B194" i="8"/>
  <c r="A194" i="8"/>
  <c r="B193" i="8"/>
  <c r="A193" i="8"/>
  <c r="B192" i="8"/>
  <c r="A192" i="8"/>
  <c r="B191" i="8"/>
  <c r="A191" i="8"/>
  <c r="B190" i="8"/>
  <c r="A190" i="8"/>
  <c r="B189" i="8"/>
  <c r="A189" i="8"/>
  <c r="B188" i="8"/>
  <c r="A188" i="8"/>
  <c r="B187" i="8"/>
  <c r="A187" i="8"/>
  <c r="B186" i="8"/>
  <c r="A186" i="8"/>
  <c r="B185" i="8"/>
  <c r="A185" i="8"/>
  <c r="B184" i="8"/>
  <c r="A184" i="8"/>
  <c r="B183" i="8"/>
  <c r="A183" i="8"/>
  <c r="B182" i="8"/>
  <c r="A182" i="8"/>
  <c r="B181" i="8"/>
  <c r="A181" i="8"/>
  <c r="B180" i="8"/>
  <c r="A180" i="8"/>
  <c r="B179" i="8"/>
  <c r="A179" i="8"/>
  <c r="B178" i="8"/>
  <c r="A178" i="8"/>
  <c r="B177" i="8"/>
  <c r="A177" i="8"/>
  <c r="B176" i="8"/>
  <c r="A176" i="8"/>
  <c r="B175" i="8"/>
  <c r="A175" i="8"/>
  <c r="B174" i="8"/>
  <c r="A174" i="8"/>
  <c r="B173" i="8"/>
  <c r="A173" i="8"/>
  <c r="B172" i="8"/>
  <c r="A172" i="8"/>
  <c r="B171" i="8"/>
  <c r="A171" i="8"/>
  <c r="B170" i="8"/>
  <c r="A170" i="8"/>
  <c r="B169" i="8"/>
  <c r="A169" i="8"/>
  <c r="B168" i="8"/>
  <c r="A168" i="8"/>
  <c r="B167" i="8"/>
  <c r="A167" i="8"/>
  <c r="B166" i="8"/>
  <c r="A166" i="8"/>
  <c r="B165" i="8"/>
  <c r="A165" i="8"/>
  <c r="B164" i="8"/>
  <c r="A164" i="8"/>
  <c r="B163" i="8"/>
  <c r="A163" i="8"/>
  <c r="B162" i="8"/>
  <c r="A162" i="8"/>
  <c r="B161" i="8"/>
  <c r="A161" i="8"/>
  <c r="B160" i="8"/>
  <c r="A160" i="8"/>
  <c r="B159" i="8"/>
  <c r="A159" i="8"/>
  <c r="B158" i="8"/>
  <c r="A158" i="8"/>
  <c r="B157" i="8"/>
  <c r="A157" i="8"/>
  <c r="B156" i="8"/>
  <c r="A156" i="8"/>
  <c r="B155" i="8"/>
  <c r="A155" i="8"/>
  <c r="B154" i="8"/>
  <c r="A154" i="8"/>
  <c r="B153" i="8"/>
  <c r="A153" i="8"/>
  <c r="B152" i="8"/>
  <c r="A152" i="8"/>
  <c r="B151" i="8"/>
  <c r="A151" i="8"/>
  <c r="B150" i="8"/>
  <c r="A150" i="8"/>
  <c r="B149" i="8"/>
  <c r="A149" i="8"/>
  <c r="B148" i="8"/>
  <c r="A148" i="8"/>
  <c r="B147" i="8"/>
  <c r="A147" i="8"/>
  <c r="B146" i="8"/>
  <c r="A146" i="8"/>
  <c r="B145" i="8"/>
  <c r="A145" i="8"/>
  <c r="B144" i="8"/>
  <c r="A144" i="8"/>
  <c r="B143" i="8"/>
  <c r="A143" i="8"/>
  <c r="B142" i="8"/>
  <c r="A142" i="8"/>
  <c r="B141" i="8"/>
  <c r="A141" i="8"/>
  <c r="B140" i="8"/>
  <c r="A140" i="8"/>
  <c r="B139" i="8"/>
  <c r="A139" i="8"/>
  <c r="B138" i="8"/>
  <c r="A138" i="8"/>
  <c r="B137" i="8"/>
  <c r="A137" i="8"/>
  <c r="B136" i="8"/>
  <c r="A136" i="8"/>
  <c r="B135" i="8"/>
  <c r="A135" i="8"/>
  <c r="B134" i="8"/>
  <c r="A134" i="8"/>
  <c r="B133" i="8"/>
  <c r="A133" i="8"/>
  <c r="B132" i="8"/>
  <c r="A132" i="8"/>
  <c r="B131" i="8"/>
  <c r="A131" i="8"/>
  <c r="B130" i="8"/>
  <c r="A130" i="8"/>
  <c r="B129" i="8"/>
  <c r="A129" i="8"/>
  <c r="B128" i="8"/>
  <c r="A128" i="8"/>
  <c r="B127" i="8"/>
  <c r="A127" i="8"/>
  <c r="B126" i="8"/>
  <c r="A126" i="8"/>
  <c r="B125" i="8"/>
  <c r="A125" i="8"/>
  <c r="B124" i="8"/>
  <c r="A124" i="8"/>
  <c r="B123" i="8"/>
  <c r="A123" i="8"/>
  <c r="B122" i="8"/>
  <c r="A122" i="8"/>
  <c r="B121" i="8"/>
  <c r="A121" i="8"/>
  <c r="B120" i="8"/>
  <c r="A120" i="8"/>
  <c r="B119" i="8"/>
  <c r="A119" i="8"/>
  <c r="B118" i="8"/>
  <c r="A118" i="8"/>
  <c r="B117" i="8"/>
  <c r="A117" i="8"/>
  <c r="B116" i="8"/>
  <c r="A116" i="8"/>
  <c r="B115" i="8"/>
  <c r="A115" i="8"/>
  <c r="B114" i="8"/>
  <c r="A114" i="8"/>
  <c r="B113" i="8"/>
  <c r="A113" i="8"/>
  <c r="B112" i="8"/>
  <c r="A112" i="8"/>
  <c r="B111" i="8"/>
  <c r="A111" i="8"/>
  <c r="B110" i="8"/>
  <c r="A110" i="8"/>
  <c r="B109" i="8"/>
  <c r="A109" i="8"/>
  <c r="B108" i="8"/>
  <c r="A108" i="8"/>
  <c r="B107" i="8"/>
  <c r="A107" i="8"/>
  <c r="B106" i="8"/>
  <c r="A106" i="8"/>
  <c r="B105" i="8"/>
  <c r="A105" i="8"/>
  <c r="B104" i="8"/>
  <c r="A104" i="8"/>
  <c r="B103" i="8"/>
  <c r="A103" i="8"/>
  <c r="B102" i="8"/>
  <c r="A102" i="8"/>
  <c r="B101" i="8"/>
  <c r="A101" i="8"/>
  <c r="B100" i="8"/>
  <c r="A100" i="8"/>
  <c r="B99" i="8"/>
  <c r="A99" i="8"/>
  <c r="B98" i="8"/>
  <c r="A98" i="8"/>
  <c r="B97" i="8"/>
  <c r="A97" i="8"/>
  <c r="B96" i="8"/>
  <c r="A96" i="8"/>
  <c r="B95" i="8"/>
  <c r="A95" i="8"/>
  <c r="B94" i="8"/>
  <c r="A94" i="8"/>
  <c r="B93" i="8"/>
  <c r="A93" i="8"/>
  <c r="B92" i="8"/>
  <c r="A92" i="8"/>
  <c r="B91" i="8"/>
  <c r="A91" i="8"/>
  <c r="B90" i="8"/>
  <c r="A90" i="8"/>
  <c r="B89" i="8"/>
  <c r="A89" i="8"/>
  <c r="B88" i="8"/>
  <c r="A88" i="8"/>
  <c r="B87" i="8"/>
  <c r="A87" i="8"/>
  <c r="B86" i="8"/>
  <c r="A86" i="8"/>
  <c r="B85" i="8"/>
  <c r="A85" i="8"/>
  <c r="B84" i="8"/>
  <c r="A84" i="8"/>
  <c r="B83" i="8"/>
  <c r="A83" i="8"/>
  <c r="B82" i="8"/>
  <c r="A82" i="8"/>
  <c r="B81" i="8"/>
  <c r="A81" i="8"/>
  <c r="B80" i="8"/>
  <c r="A80" i="8"/>
  <c r="B79" i="8"/>
  <c r="A79" i="8"/>
  <c r="B78" i="8"/>
  <c r="A78" i="8"/>
  <c r="B77" i="8"/>
  <c r="A77" i="8"/>
  <c r="B76" i="8"/>
  <c r="A76" i="8"/>
  <c r="B75" i="8"/>
  <c r="A75" i="8"/>
  <c r="B74" i="8"/>
  <c r="A74" i="8"/>
  <c r="B73" i="8"/>
  <c r="A73" i="8"/>
  <c r="B72" i="8"/>
  <c r="A72" i="8"/>
  <c r="B71" i="8"/>
  <c r="A71" i="8"/>
  <c r="B70" i="8"/>
  <c r="A70" i="8"/>
  <c r="B69" i="8"/>
  <c r="A69" i="8"/>
  <c r="B68" i="8"/>
  <c r="A68" i="8"/>
  <c r="B67" i="8"/>
  <c r="A67" i="8"/>
  <c r="B66" i="8"/>
  <c r="A66" i="8"/>
  <c r="B65" i="8"/>
  <c r="A65" i="8"/>
  <c r="B64" i="8"/>
  <c r="A64" i="8"/>
  <c r="B63" i="8"/>
  <c r="A63" i="8"/>
  <c r="B62" i="8"/>
  <c r="A62" i="8"/>
  <c r="B61" i="8"/>
  <c r="A61" i="8"/>
  <c r="B60" i="8"/>
  <c r="A60" i="8"/>
  <c r="B59" i="8"/>
  <c r="A59" i="8"/>
  <c r="B58" i="8"/>
  <c r="A58" i="8"/>
  <c r="B57" i="8"/>
  <c r="A57" i="8"/>
  <c r="B56" i="8"/>
  <c r="A56" i="8"/>
  <c r="B55" i="8"/>
  <c r="A55" i="8"/>
  <c r="B54" i="8"/>
  <c r="A54" i="8"/>
  <c r="B53" i="8"/>
  <c r="A53" i="8"/>
  <c r="B52" i="8"/>
  <c r="A52" i="8"/>
  <c r="B51" i="8"/>
  <c r="A51" i="8"/>
  <c r="B50" i="8"/>
  <c r="A50" i="8"/>
  <c r="B49" i="8"/>
  <c r="A49" i="8"/>
  <c r="B48" i="8"/>
  <c r="A48" i="8"/>
  <c r="B47" i="8"/>
  <c r="A47" i="8"/>
  <c r="B46" i="8"/>
  <c r="A46" i="8"/>
  <c r="B45" i="8"/>
  <c r="A45" i="8"/>
  <c r="B44" i="8"/>
  <c r="A44" i="8"/>
  <c r="B43" i="8"/>
  <c r="A43" i="8"/>
  <c r="B42" i="8"/>
  <c r="A42" i="8"/>
  <c r="B41" i="8"/>
  <c r="A41" i="8"/>
  <c r="B40" i="8"/>
  <c r="A40" i="8"/>
  <c r="B39" i="8"/>
  <c r="A39" i="8"/>
  <c r="B38" i="8"/>
  <c r="A38" i="8"/>
  <c r="B37" i="8"/>
  <c r="A37" i="8"/>
  <c r="B36" i="8"/>
  <c r="A36" i="8"/>
  <c r="B35" i="8"/>
  <c r="A35" i="8"/>
  <c r="B34" i="8"/>
  <c r="A34" i="8"/>
  <c r="B33" i="8"/>
  <c r="A33" i="8"/>
  <c r="B32" i="8"/>
  <c r="A32" i="8"/>
  <c r="B31" i="8"/>
  <c r="A31" i="8"/>
  <c r="B30" i="8"/>
  <c r="A30" i="8"/>
  <c r="B29" i="8"/>
  <c r="A29" i="8"/>
  <c r="B28" i="8"/>
  <c r="A28" i="8"/>
  <c r="B27" i="8"/>
  <c r="A27" i="8"/>
  <c r="B26" i="8"/>
  <c r="A26" i="8"/>
  <c r="B25" i="8"/>
  <c r="A25" i="8"/>
  <c r="B24" i="8"/>
  <c r="A24" i="8"/>
  <c r="B23" i="8"/>
  <c r="A23" i="8"/>
  <c r="B22" i="8"/>
  <c r="A22" i="8"/>
  <c r="B21" i="8"/>
  <c r="A21" i="8"/>
  <c r="B20" i="8"/>
  <c r="A20" i="8"/>
  <c r="B19" i="8"/>
  <c r="A19" i="8"/>
  <c r="B18" i="8"/>
  <c r="A18" i="8"/>
  <c r="B17" i="8"/>
  <c r="A17" i="8"/>
  <c r="B16" i="8"/>
  <c r="A16" i="8"/>
  <c r="B15" i="8"/>
  <c r="A15" i="8"/>
  <c r="B14" i="8"/>
  <c r="A14" i="8"/>
  <c r="B13" i="8"/>
  <c r="A13" i="8"/>
  <c r="B12" i="8"/>
  <c r="A12" i="8"/>
  <c r="B11" i="8"/>
  <c r="A11" i="8"/>
  <c r="B10" i="8"/>
  <c r="A10" i="8"/>
  <c r="B9" i="8"/>
  <c r="A9" i="8"/>
  <c r="B8" i="8"/>
  <c r="A8" i="8"/>
  <c r="B7" i="8"/>
  <c r="A7" i="8"/>
  <c r="B6" i="8"/>
  <c r="A6" i="8"/>
  <c r="B5" i="8"/>
  <c r="A5" i="8"/>
  <c r="B4" i="8"/>
  <c r="A4" i="8"/>
  <c r="B3" i="8"/>
  <c r="A3" i="8"/>
  <c r="B2" i="8"/>
  <c r="A2" i="8"/>
  <c r="B1" i="8"/>
  <c r="B1775" i="7"/>
  <c r="A1775" i="7"/>
  <c r="B1774" i="7"/>
  <c r="A1774" i="7"/>
  <c r="B1773" i="7"/>
  <c r="A1773" i="7"/>
  <c r="B1772" i="7"/>
  <c r="A1772" i="7"/>
  <c r="B1771" i="7"/>
  <c r="A1771" i="7"/>
  <c r="B1770" i="7"/>
  <c r="A1770" i="7"/>
  <c r="B1769" i="7"/>
  <c r="A1769" i="7"/>
  <c r="B1768" i="7"/>
  <c r="A1768" i="7"/>
  <c r="B1767" i="7"/>
  <c r="A1767" i="7"/>
  <c r="B1766" i="7"/>
  <c r="A1766" i="7"/>
  <c r="B1765" i="7"/>
  <c r="A1765" i="7"/>
  <c r="B1764" i="7"/>
  <c r="A1764" i="7"/>
  <c r="B1763" i="7"/>
  <c r="A1763" i="7"/>
  <c r="B1762" i="7"/>
  <c r="A1762" i="7"/>
  <c r="B1761" i="7"/>
  <c r="A1761" i="7"/>
  <c r="B1760" i="7"/>
  <c r="A1760" i="7"/>
  <c r="B1759" i="7"/>
  <c r="A1759" i="7"/>
  <c r="B1758" i="7"/>
  <c r="A1758" i="7"/>
  <c r="B1757" i="7"/>
  <c r="A1757" i="7"/>
  <c r="B1756" i="7"/>
  <c r="A1756" i="7"/>
  <c r="B1755" i="7"/>
  <c r="A1755" i="7"/>
  <c r="B1754" i="7"/>
  <c r="A1754" i="7"/>
  <c r="B1753" i="7"/>
  <c r="A1753" i="7"/>
  <c r="B1752" i="7"/>
  <c r="A1752" i="7"/>
  <c r="B1751" i="7"/>
  <c r="A1751" i="7"/>
  <c r="B1750" i="7"/>
  <c r="A1750" i="7"/>
  <c r="B1749" i="7"/>
  <c r="A1749" i="7"/>
  <c r="B1748" i="7"/>
  <c r="A1748" i="7"/>
  <c r="B1747" i="7"/>
  <c r="A1747" i="7"/>
  <c r="B1746" i="7"/>
  <c r="A1746" i="7"/>
  <c r="B1745" i="7"/>
  <c r="A1745" i="7"/>
  <c r="B1744" i="7"/>
  <c r="A1744" i="7"/>
  <c r="B1743" i="7"/>
  <c r="A1743" i="7"/>
  <c r="B1742" i="7"/>
  <c r="A1742" i="7"/>
  <c r="B1741" i="7"/>
  <c r="A1741" i="7"/>
  <c r="B1740" i="7"/>
  <c r="A1740" i="7"/>
  <c r="B1739" i="7"/>
  <c r="A1739" i="7"/>
  <c r="B1738" i="7"/>
  <c r="A1738" i="7"/>
  <c r="B1737" i="7"/>
  <c r="A1737" i="7"/>
  <c r="B1736" i="7"/>
  <c r="A1736" i="7"/>
  <c r="B1735" i="7"/>
  <c r="A1735" i="7"/>
  <c r="B1734" i="7"/>
  <c r="A1734" i="7"/>
  <c r="B1733" i="7"/>
  <c r="A1733" i="7"/>
  <c r="B1732" i="7"/>
  <c r="A1732" i="7"/>
  <c r="B1731" i="7"/>
  <c r="A1731" i="7"/>
  <c r="B1730" i="7"/>
  <c r="A1730" i="7"/>
  <c r="B1729" i="7"/>
  <c r="A1729" i="7"/>
  <c r="B1728" i="7"/>
  <c r="A1728" i="7"/>
  <c r="B1727" i="7"/>
  <c r="A1727" i="7"/>
  <c r="B1726" i="7"/>
  <c r="A1726" i="7"/>
  <c r="B1725" i="7"/>
  <c r="A1725" i="7"/>
  <c r="B1724" i="7"/>
  <c r="A1724" i="7"/>
  <c r="B1723" i="7"/>
  <c r="A1723" i="7"/>
  <c r="B1722" i="7"/>
  <c r="A1722" i="7"/>
  <c r="B1721" i="7"/>
  <c r="A1721" i="7"/>
  <c r="B1720" i="7"/>
  <c r="A1720" i="7"/>
  <c r="B1719" i="7"/>
  <c r="A1719" i="7"/>
  <c r="B1718" i="7"/>
  <c r="A1718" i="7"/>
  <c r="B1717" i="7"/>
  <c r="A1717" i="7"/>
  <c r="B1716" i="7"/>
  <c r="A1716" i="7"/>
  <c r="B1715" i="7"/>
  <c r="A1715" i="7"/>
  <c r="B1714" i="7"/>
  <c r="A1714" i="7"/>
  <c r="B1713" i="7"/>
  <c r="A1713" i="7"/>
  <c r="B1712" i="7"/>
  <c r="A1712" i="7"/>
  <c r="B1711" i="7"/>
  <c r="A1711" i="7"/>
  <c r="B1710" i="7"/>
  <c r="A1710" i="7"/>
  <c r="B1709" i="7"/>
  <c r="A1709" i="7"/>
  <c r="B1708" i="7"/>
  <c r="A1708" i="7"/>
  <c r="B1707" i="7"/>
  <c r="A1707" i="7"/>
  <c r="B1706" i="7"/>
  <c r="A1706" i="7"/>
  <c r="B1705" i="7"/>
  <c r="A1705" i="7"/>
  <c r="B1704" i="7"/>
  <c r="A1704" i="7"/>
  <c r="B1703" i="7"/>
  <c r="A1703" i="7"/>
  <c r="B1702" i="7"/>
  <c r="A1702" i="7"/>
  <c r="B1701" i="7"/>
  <c r="A1701" i="7"/>
  <c r="B1700" i="7"/>
  <c r="A1700" i="7"/>
  <c r="B1699" i="7"/>
  <c r="A1699" i="7"/>
  <c r="B1698" i="7"/>
  <c r="A1698" i="7"/>
  <c r="B1697" i="7"/>
  <c r="A1697" i="7"/>
  <c r="B1696" i="7"/>
  <c r="A1696" i="7"/>
  <c r="B1695" i="7"/>
  <c r="A1695" i="7"/>
  <c r="B1694" i="7"/>
  <c r="A1694" i="7"/>
  <c r="B1693" i="7"/>
  <c r="A1693" i="7"/>
  <c r="B1692" i="7"/>
  <c r="A1692" i="7"/>
  <c r="B1691" i="7"/>
  <c r="A1691" i="7"/>
  <c r="B1690" i="7"/>
  <c r="A1690" i="7"/>
  <c r="B1689" i="7"/>
  <c r="A1689" i="7"/>
  <c r="B1688" i="7"/>
  <c r="A1688" i="7"/>
  <c r="B1687" i="7"/>
  <c r="A1687" i="7"/>
  <c r="B1686" i="7"/>
  <c r="A1686" i="7"/>
  <c r="B1685" i="7"/>
  <c r="A1685" i="7"/>
  <c r="B1684" i="7"/>
  <c r="A1684" i="7"/>
  <c r="B1683" i="7"/>
  <c r="A1683" i="7"/>
  <c r="B1682" i="7"/>
  <c r="A1682" i="7"/>
  <c r="B1681" i="7"/>
  <c r="A1681" i="7"/>
  <c r="B1680" i="7"/>
  <c r="A1680" i="7"/>
  <c r="B1679" i="7"/>
  <c r="A1679" i="7"/>
  <c r="B1678" i="7"/>
  <c r="A1678" i="7"/>
  <c r="B1677" i="7"/>
  <c r="A1677" i="7"/>
  <c r="B1676" i="7"/>
  <c r="A1676" i="7"/>
  <c r="B1675" i="7"/>
  <c r="A1675" i="7"/>
  <c r="B1674" i="7"/>
  <c r="A1674" i="7"/>
  <c r="B1673" i="7"/>
  <c r="A1673" i="7"/>
  <c r="B1672" i="7"/>
  <c r="A1672" i="7"/>
  <c r="B1671" i="7"/>
  <c r="A1671" i="7"/>
  <c r="B1670" i="7"/>
  <c r="A1670" i="7"/>
  <c r="B1669" i="7"/>
  <c r="A1669" i="7"/>
  <c r="B1668" i="7"/>
  <c r="A1668" i="7"/>
  <c r="B1667" i="7"/>
  <c r="A1667" i="7"/>
  <c r="B1666" i="7"/>
  <c r="A1666" i="7"/>
  <c r="B1665" i="7"/>
  <c r="A1665" i="7"/>
  <c r="B1664" i="7"/>
  <c r="A1664" i="7"/>
  <c r="B1663" i="7"/>
  <c r="A1663" i="7"/>
  <c r="B1662" i="7"/>
  <c r="A1662" i="7"/>
  <c r="B1661" i="7"/>
  <c r="A1661" i="7"/>
  <c r="B1660" i="7"/>
  <c r="A1660" i="7"/>
  <c r="B1659" i="7"/>
  <c r="A1659" i="7"/>
  <c r="B1658" i="7"/>
  <c r="A1658" i="7"/>
  <c r="B1657" i="7"/>
  <c r="A1657" i="7"/>
  <c r="B1656" i="7"/>
  <c r="A1656" i="7"/>
  <c r="B1655" i="7"/>
  <c r="A1655" i="7"/>
  <c r="B1654" i="7"/>
  <c r="A1654" i="7"/>
  <c r="B1653" i="7"/>
  <c r="A1653" i="7"/>
  <c r="B1652" i="7"/>
  <c r="A1652" i="7"/>
  <c r="B1651" i="7"/>
  <c r="A1651" i="7"/>
  <c r="B1650" i="7"/>
  <c r="A1650" i="7"/>
  <c r="B1649" i="7"/>
  <c r="A1649" i="7"/>
  <c r="B1648" i="7"/>
  <c r="A1648" i="7"/>
  <c r="B1647" i="7"/>
  <c r="A1647" i="7"/>
  <c r="B1646" i="7"/>
  <c r="A1646" i="7"/>
  <c r="B1645" i="7"/>
  <c r="A1645" i="7"/>
  <c r="B1644" i="7"/>
  <c r="A1644" i="7"/>
  <c r="B1643" i="7"/>
  <c r="A1643" i="7"/>
  <c r="B1642" i="7"/>
  <c r="A1642" i="7"/>
  <c r="B1641" i="7"/>
  <c r="A1641" i="7"/>
  <c r="B1640" i="7"/>
  <c r="A1640" i="7"/>
  <c r="B1639" i="7"/>
  <c r="A1639" i="7"/>
  <c r="B1638" i="7"/>
  <c r="A1638" i="7"/>
  <c r="B1637" i="7"/>
  <c r="A1637" i="7"/>
  <c r="B1636" i="7"/>
  <c r="A1636" i="7"/>
  <c r="B1635" i="7"/>
  <c r="A1635" i="7"/>
  <c r="B1634" i="7"/>
  <c r="A1634" i="7"/>
  <c r="B1633" i="7"/>
  <c r="A1633" i="7"/>
  <c r="B1632" i="7"/>
  <c r="A1632" i="7"/>
  <c r="B1631" i="7"/>
  <c r="A1631" i="7"/>
  <c r="B1630" i="7"/>
  <c r="A1630" i="7"/>
  <c r="B1629" i="7"/>
  <c r="A1629" i="7"/>
  <c r="B1628" i="7"/>
  <c r="A1628" i="7"/>
  <c r="B1627" i="7"/>
  <c r="A1627" i="7"/>
  <c r="B1626" i="7"/>
  <c r="A1626" i="7"/>
  <c r="B1625" i="7"/>
  <c r="A1625" i="7"/>
  <c r="B1624" i="7"/>
  <c r="A1624" i="7"/>
  <c r="B1623" i="7"/>
  <c r="A1623" i="7"/>
  <c r="B1622" i="7"/>
  <c r="A1622" i="7"/>
  <c r="B1621" i="7"/>
  <c r="A1621" i="7"/>
  <c r="B1620" i="7"/>
  <c r="A1620" i="7"/>
  <c r="B1619" i="7"/>
  <c r="A1619" i="7"/>
  <c r="B1618" i="7"/>
  <c r="A1618" i="7"/>
  <c r="B1617" i="7"/>
  <c r="A1617" i="7"/>
  <c r="B1616" i="7"/>
  <c r="A1616" i="7"/>
  <c r="B1615" i="7"/>
  <c r="A1615" i="7"/>
  <c r="B1614" i="7"/>
  <c r="A1614" i="7"/>
  <c r="B1613" i="7"/>
  <c r="A1613" i="7"/>
  <c r="B1612" i="7"/>
  <c r="A1612" i="7"/>
  <c r="B1611" i="7"/>
  <c r="A1611" i="7"/>
  <c r="B1610" i="7"/>
  <c r="A1610" i="7"/>
  <c r="B1609" i="7"/>
  <c r="A1609" i="7"/>
  <c r="B1608" i="7"/>
  <c r="A1608" i="7"/>
  <c r="B1607" i="7"/>
  <c r="A1607" i="7"/>
  <c r="B1606" i="7"/>
  <c r="A1606" i="7"/>
  <c r="B1605" i="7"/>
  <c r="A1605" i="7"/>
  <c r="B1604" i="7"/>
  <c r="A1604" i="7"/>
  <c r="B1603" i="7"/>
  <c r="A1603" i="7"/>
  <c r="B1602" i="7"/>
  <c r="A1602" i="7"/>
  <c r="B1601" i="7"/>
  <c r="A1601" i="7"/>
  <c r="B1600" i="7"/>
  <c r="A1600" i="7"/>
  <c r="B1599" i="7"/>
  <c r="A1599" i="7"/>
  <c r="B1598" i="7"/>
  <c r="A1598" i="7"/>
  <c r="B1597" i="7"/>
  <c r="A1597" i="7"/>
  <c r="B1596" i="7"/>
  <c r="A1596" i="7"/>
  <c r="B1595" i="7"/>
  <c r="A1595" i="7"/>
  <c r="B1594" i="7"/>
  <c r="A1594" i="7"/>
  <c r="B1593" i="7"/>
  <c r="A1593" i="7"/>
  <c r="B1592" i="7"/>
  <c r="A1592" i="7"/>
  <c r="B1591" i="7"/>
  <c r="A1591" i="7"/>
  <c r="B1590" i="7"/>
  <c r="A1590" i="7"/>
  <c r="B1589" i="7"/>
  <c r="A1589" i="7"/>
  <c r="B1588" i="7"/>
  <c r="A1588" i="7"/>
  <c r="B1587" i="7"/>
  <c r="A1587" i="7"/>
  <c r="B1586" i="7"/>
  <c r="A1586" i="7"/>
  <c r="B1585" i="7"/>
  <c r="A1585" i="7"/>
  <c r="B1584" i="7"/>
  <c r="A1584" i="7"/>
  <c r="B1583" i="7"/>
  <c r="A1583" i="7"/>
  <c r="B1582" i="7"/>
  <c r="A1582" i="7"/>
  <c r="B1581" i="7"/>
  <c r="A1581" i="7"/>
  <c r="B1580" i="7"/>
  <c r="A1580" i="7"/>
  <c r="B1579" i="7"/>
  <c r="A1579" i="7"/>
  <c r="B1578" i="7"/>
  <c r="A1578" i="7"/>
  <c r="B1577" i="7"/>
  <c r="A1577" i="7"/>
  <c r="B1576" i="7"/>
  <c r="A1576" i="7"/>
  <c r="B1575" i="7"/>
  <c r="A1575" i="7"/>
  <c r="B1574" i="7"/>
  <c r="A1574" i="7"/>
  <c r="B1573" i="7"/>
  <c r="A1573" i="7"/>
  <c r="B1572" i="7"/>
  <c r="A1572" i="7"/>
  <c r="B1571" i="7"/>
  <c r="A1571" i="7"/>
  <c r="B1570" i="7"/>
  <c r="A1570" i="7"/>
  <c r="B1569" i="7"/>
  <c r="A1569" i="7"/>
  <c r="B1568" i="7"/>
  <c r="A1568" i="7"/>
  <c r="B1567" i="7"/>
  <c r="A1567" i="7"/>
  <c r="B1566" i="7"/>
  <c r="A1566" i="7"/>
  <c r="B1565" i="7"/>
  <c r="A1565" i="7"/>
  <c r="B1564" i="7"/>
  <c r="A1564" i="7"/>
  <c r="B1563" i="7"/>
  <c r="A1563" i="7"/>
  <c r="B1562" i="7"/>
  <c r="A1562" i="7"/>
  <c r="B1561" i="7"/>
  <c r="A1561" i="7"/>
  <c r="B1560" i="7"/>
  <c r="A1560" i="7"/>
  <c r="B1559" i="7"/>
  <c r="A1559" i="7"/>
  <c r="B1558" i="7"/>
  <c r="A1558" i="7"/>
  <c r="B1557" i="7"/>
  <c r="A1557" i="7"/>
  <c r="B1556" i="7"/>
  <c r="A1556" i="7"/>
  <c r="B1555" i="7"/>
  <c r="A1555" i="7"/>
  <c r="B1554" i="7"/>
  <c r="A1554" i="7"/>
  <c r="B1553" i="7"/>
  <c r="A1553" i="7"/>
  <c r="B1552" i="7"/>
  <c r="A1552" i="7"/>
  <c r="B1551" i="7"/>
  <c r="A1551" i="7"/>
  <c r="B1550" i="7"/>
  <c r="A1550" i="7"/>
  <c r="B1549" i="7"/>
  <c r="A1549" i="7"/>
  <c r="B1548" i="7"/>
  <c r="A1548" i="7"/>
  <c r="B1547" i="7"/>
  <c r="A1547" i="7"/>
  <c r="B1546" i="7"/>
  <c r="A1546" i="7"/>
  <c r="B1545" i="7"/>
  <c r="A1545" i="7"/>
  <c r="B1544" i="7"/>
  <c r="A1544" i="7"/>
  <c r="B1543" i="7"/>
  <c r="A1543" i="7"/>
  <c r="B1542" i="7"/>
  <c r="A1542" i="7"/>
  <c r="B1541" i="7"/>
  <c r="A1541" i="7"/>
  <c r="B1540" i="7"/>
  <c r="A1540" i="7"/>
  <c r="B1539" i="7"/>
  <c r="A1539" i="7"/>
  <c r="B1538" i="7"/>
  <c r="A1538" i="7"/>
  <c r="B1537" i="7"/>
  <c r="A1537" i="7"/>
  <c r="B1536" i="7"/>
  <c r="A1536" i="7"/>
  <c r="B1535" i="7"/>
  <c r="A1535" i="7"/>
  <c r="B1534" i="7"/>
  <c r="A1534" i="7"/>
  <c r="B1533" i="7"/>
  <c r="A1533" i="7"/>
  <c r="B1532" i="7"/>
  <c r="A1532" i="7"/>
  <c r="B1531" i="7"/>
  <c r="A1531" i="7"/>
  <c r="B1530" i="7"/>
  <c r="A1530" i="7"/>
  <c r="B1529" i="7"/>
  <c r="A1529" i="7"/>
  <c r="B1528" i="7"/>
  <c r="A1528" i="7"/>
  <c r="B1527" i="7"/>
  <c r="A1527" i="7"/>
  <c r="B1526" i="7"/>
  <c r="A1526" i="7"/>
  <c r="B1525" i="7"/>
  <c r="A1525" i="7"/>
  <c r="B1524" i="7"/>
  <c r="A1524" i="7"/>
  <c r="B1523" i="7"/>
  <c r="A1523" i="7"/>
  <c r="B1522" i="7"/>
  <c r="A1522" i="7"/>
  <c r="B1521" i="7"/>
  <c r="A1521" i="7"/>
  <c r="B1520" i="7"/>
  <c r="A1520" i="7"/>
  <c r="B1519" i="7"/>
  <c r="A1519" i="7"/>
  <c r="B1518" i="7"/>
  <c r="A1518" i="7"/>
  <c r="B1517" i="7"/>
  <c r="A1517" i="7"/>
  <c r="B1516" i="7"/>
  <c r="A1516" i="7"/>
  <c r="B1515" i="7"/>
  <c r="A1515" i="7"/>
  <c r="B1514" i="7"/>
  <c r="A1514" i="7"/>
  <c r="B1513" i="7"/>
  <c r="A1513" i="7"/>
  <c r="B1512" i="7"/>
  <c r="A1512" i="7"/>
  <c r="B1511" i="7"/>
  <c r="A1511" i="7"/>
  <c r="B1510" i="7"/>
  <c r="A1510" i="7"/>
  <c r="B1509" i="7"/>
  <c r="A1509" i="7"/>
  <c r="B1508" i="7"/>
  <c r="A1508" i="7"/>
  <c r="B1507" i="7"/>
  <c r="A1507" i="7"/>
  <c r="B1506" i="7"/>
  <c r="A1506" i="7"/>
  <c r="B1505" i="7"/>
  <c r="A1505" i="7"/>
  <c r="B1504" i="7"/>
  <c r="A1504" i="7"/>
  <c r="B1503" i="7"/>
  <c r="A1503" i="7"/>
  <c r="B1502" i="7"/>
  <c r="A1502" i="7"/>
  <c r="B1501" i="7"/>
  <c r="A1501" i="7"/>
  <c r="B1500" i="7"/>
  <c r="A1500" i="7"/>
  <c r="B1499" i="7"/>
  <c r="A1499" i="7"/>
  <c r="B1498" i="7"/>
  <c r="A1498" i="7"/>
  <c r="B1497" i="7"/>
  <c r="A1497" i="7"/>
  <c r="B1496" i="7"/>
  <c r="A1496" i="7"/>
  <c r="B1495" i="7"/>
  <c r="A1495" i="7"/>
  <c r="B1494" i="7"/>
  <c r="A1494" i="7"/>
  <c r="B1493" i="7"/>
  <c r="A1493" i="7"/>
  <c r="B1492" i="7"/>
  <c r="A1492" i="7"/>
  <c r="B1491" i="7"/>
  <c r="A1491" i="7"/>
  <c r="B1490" i="7"/>
  <c r="A1490" i="7"/>
  <c r="B1489" i="7"/>
  <c r="A1489" i="7"/>
  <c r="B1488" i="7"/>
  <c r="A1488" i="7"/>
  <c r="B1487" i="7"/>
  <c r="A1487" i="7"/>
  <c r="B1486" i="7"/>
  <c r="A1486" i="7"/>
  <c r="B1485" i="7"/>
  <c r="A1485" i="7"/>
  <c r="B1484" i="7"/>
  <c r="A1484" i="7"/>
  <c r="B1483" i="7"/>
  <c r="A1483" i="7"/>
  <c r="B1482" i="7"/>
  <c r="A1482" i="7"/>
  <c r="B1481" i="7"/>
  <c r="A1481" i="7"/>
  <c r="B1480" i="7"/>
  <c r="A1480" i="7"/>
  <c r="B1479" i="7"/>
  <c r="A1479" i="7"/>
  <c r="B1478" i="7"/>
  <c r="A1478" i="7"/>
  <c r="B1477" i="7"/>
  <c r="A1477" i="7"/>
  <c r="B1476" i="7"/>
  <c r="A1476" i="7"/>
  <c r="B1475" i="7"/>
  <c r="A1475" i="7"/>
  <c r="B1474" i="7"/>
  <c r="A1474" i="7"/>
  <c r="B1473" i="7"/>
  <c r="A1473" i="7"/>
  <c r="B1472" i="7"/>
  <c r="A1472" i="7"/>
  <c r="B1471" i="7"/>
  <c r="A1471" i="7"/>
  <c r="B1470" i="7"/>
  <c r="A1470" i="7"/>
  <c r="B1469" i="7"/>
  <c r="A1469" i="7"/>
  <c r="B1468" i="7"/>
  <c r="A1468" i="7"/>
  <c r="B1467" i="7"/>
  <c r="A1467" i="7"/>
  <c r="B1466" i="7"/>
  <c r="A1466" i="7"/>
  <c r="B1465" i="7"/>
  <c r="A1465" i="7"/>
  <c r="B1464" i="7"/>
  <c r="A1464" i="7"/>
  <c r="B1463" i="7"/>
  <c r="A1463" i="7"/>
  <c r="B1462" i="7"/>
  <c r="A1462" i="7"/>
  <c r="B1461" i="7"/>
  <c r="A1461" i="7"/>
  <c r="B1460" i="7"/>
  <c r="A1460" i="7"/>
  <c r="B1459" i="7"/>
  <c r="A1459" i="7"/>
  <c r="B1458" i="7"/>
  <c r="A1458" i="7"/>
  <c r="B1457" i="7"/>
  <c r="A1457" i="7"/>
  <c r="B1456" i="7"/>
  <c r="A1456" i="7"/>
  <c r="B1455" i="7"/>
  <c r="A1455" i="7"/>
  <c r="B1454" i="7"/>
  <c r="A1454" i="7"/>
  <c r="B1453" i="7"/>
  <c r="A1453" i="7"/>
  <c r="B1452" i="7"/>
  <c r="A1452" i="7"/>
  <c r="B1451" i="7"/>
  <c r="A1451" i="7"/>
  <c r="B1450" i="7"/>
  <c r="A1450" i="7"/>
  <c r="B1449" i="7"/>
  <c r="A1449" i="7"/>
  <c r="B1448" i="7"/>
  <c r="A1448" i="7"/>
  <c r="B1447" i="7"/>
  <c r="A1447" i="7"/>
  <c r="B1446" i="7"/>
  <c r="A1446" i="7"/>
  <c r="B1445" i="7"/>
  <c r="A1445" i="7"/>
  <c r="B1444" i="7"/>
  <c r="A1444" i="7"/>
  <c r="B1443" i="7"/>
  <c r="A1443" i="7"/>
  <c r="B1442" i="7"/>
  <c r="A1442" i="7"/>
  <c r="B1441" i="7"/>
  <c r="A1441" i="7"/>
  <c r="B1440" i="7"/>
  <c r="A1440" i="7"/>
  <c r="B1439" i="7"/>
  <c r="A1439" i="7"/>
  <c r="B1438" i="7"/>
  <c r="A1438" i="7"/>
  <c r="B1437" i="7"/>
  <c r="A1437" i="7"/>
  <c r="B1436" i="7"/>
  <c r="A1436" i="7"/>
  <c r="B1435" i="7"/>
  <c r="A1435" i="7"/>
  <c r="B1434" i="7"/>
  <c r="A1434" i="7"/>
  <c r="B1433" i="7"/>
  <c r="A1433" i="7"/>
  <c r="B1432" i="7"/>
  <c r="A1432" i="7"/>
  <c r="B1431" i="7"/>
  <c r="A1431" i="7"/>
  <c r="B1430" i="7"/>
  <c r="A1430" i="7"/>
  <c r="B1429" i="7"/>
  <c r="A1429" i="7"/>
  <c r="B1428" i="7"/>
  <c r="A1428" i="7"/>
  <c r="B1427" i="7"/>
  <c r="A1427" i="7"/>
  <c r="B1426" i="7"/>
  <c r="A1426" i="7"/>
  <c r="B1425" i="7"/>
  <c r="A1425" i="7"/>
  <c r="B1424" i="7"/>
  <c r="A1424" i="7"/>
  <c r="B1423" i="7"/>
  <c r="A1423" i="7"/>
  <c r="B1422" i="7"/>
  <c r="A1422" i="7"/>
  <c r="B1421" i="7"/>
  <c r="A1421" i="7"/>
  <c r="B1420" i="7"/>
  <c r="A1420" i="7"/>
  <c r="B1419" i="7"/>
  <c r="A1419" i="7"/>
  <c r="B1418" i="7"/>
  <c r="A1418" i="7"/>
  <c r="B1417" i="7"/>
  <c r="A1417" i="7"/>
  <c r="B1416" i="7"/>
  <c r="A1416" i="7"/>
  <c r="B1415" i="7"/>
  <c r="A1415" i="7"/>
  <c r="B1414" i="7"/>
  <c r="A1414" i="7"/>
  <c r="B1413" i="7"/>
  <c r="A1413" i="7"/>
  <c r="B1412" i="7"/>
  <c r="A1412" i="7"/>
  <c r="B1411" i="7"/>
  <c r="A1411" i="7"/>
  <c r="B1410" i="7"/>
  <c r="A1410" i="7"/>
  <c r="B1409" i="7"/>
  <c r="A1409" i="7"/>
  <c r="B1408" i="7"/>
  <c r="A1408" i="7"/>
  <c r="B1407" i="7"/>
  <c r="A1407" i="7"/>
  <c r="B1406" i="7"/>
  <c r="A1406" i="7"/>
  <c r="B1405" i="7"/>
  <c r="A1405" i="7"/>
  <c r="B1404" i="7"/>
  <c r="A1404" i="7"/>
  <c r="B1403" i="7"/>
  <c r="A1403" i="7"/>
  <c r="B1402" i="7"/>
  <c r="A1402" i="7"/>
  <c r="B1401" i="7"/>
  <c r="A1401" i="7"/>
  <c r="B1400" i="7"/>
  <c r="A1400" i="7"/>
  <c r="B1399" i="7"/>
  <c r="A1399" i="7"/>
  <c r="B1398" i="7"/>
  <c r="A1398" i="7"/>
  <c r="B1397" i="7"/>
  <c r="A1397" i="7"/>
  <c r="B1396" i="7"/>
  <c r="A1396" i="7"/>
  <c r="B1395" i="7"/>
  <c r="A1395" i="7"/>
  <c r="B1394" i="7"/>
  <c r="A1394" i="7"/>
  <c r="B1393" i="7"/>
  <c r="A1393" i="7"/>
  <c r="B1392" i="7"/>
  <c r="A1392" i="7"/>
  <c r="B1391" i="7"/>
  <c r="A1391" i="7"/>
  <c r="B1390" i="7"/>
  <c r="A1390" i="7"/>
  <c r="B1389" i="7"/>
  <c r="A1389" i="7"/>
  <c r="B1388" i="7"/>
  <c r="A1388" i="7"/>
  <c r="B1387" i="7"/>
  <c r="A1387" i="7"/>
  <c r="B1386" i="7"/>
  <c r="A1386" i="7"/>
  <c r="B1385" i="7"/>
  <c r="A1385" i="7"/>
  <c r="B1384" i="7"/>
  <c r="A1384" i="7"/>
  <c r="B1383" i="7"/>
  <c r="A1383" i="7"/>
  <c r="B1382" i="7"/>
  <c r="A1382" i="7"/>
  <c r="B1381" i="7"/>
  <c r="A1381" i="7"/>
  <c r="B1380" i="7"/>
  <c r="A1380" i="7"/>
  <c r="B1379" i="7"/>
  <c r="A1379" i="7"/>
  <c r="B1378" i="7"/>
  <c r="A1378" i="7"/>
  <c r="B1377" i="7"/>
  <c r="A1377" i="7"/>
  <c r="B1376" i="7"/>
  <c r="A1376" i="7"/>
  <c r="B1375" i="7"/>
  <c r="A1375" i="7"/>
  <c r="B1374" i="7"/>
  <c r="A1374" i="7"/>
  <c r="B1373" i="7"/>
  <c r="A1373" i="7"/>
  <c r="B1372" i="7"/>
  <c r="A1372" i="7"/>
  <c r="B1371" i="7"/>
  <c r="A1371" i="7"/>
  <c r="B1370" i="7"/>
  <c r="A1370" i="7"/>
  <c r="B1369" i="7"/>
  <c r="A1369" i="7"/>
  <c r="B1368" i="7"/>
  <c r="A1368" i="7"/>
  <c r="B1367" i="7"/>
  <c r="A1367" i="7"/>
  <c r="B1366" i="7"/>
  <c r="A1366" i="7"/>
  <c r="B1365" i="7"/>
  <c r="A1365" i="7"/>
  <c r="B1364" i="7"/>
  <c r="A1364" i="7"/>
  <c r="B1363" i="7"/>
  <c r="A1363" i="7"/>
  <c r="B1362" i="7"/>
  <c r="A1362" i="7"/>
  <c r="B1361" i="7"/>
  <c r="A1361" i="7"/>
  <c r="B1360" i="7"/>
  <c r="A1360" i="7"/>
  <c r="B1359" i="7"/>
  <c r="A1359" i="7"/>
  <c r="B1358" i="7"/>
  <c r="A1358" i="7"/>
  <c r="B1357" i="7"/>
  <c r="A1357" i="7"/>
  <c r="B1356" i="7"/>
  <c r="A1356" i="7"/>
  <c r="B1355" i="7"/>
  <c r="A1355" i="7"/>
  <c r="B1354" i="7"/>
  <c r="A1354" i="7"/>
  <c r="B1353" i="7"/>
  <c r="A1353" i="7"/>
  <c r="B1352" i="7"/>
  <c r="A1352" i="7"/>
  <c r="B1351" i="7"/>
  <c r="A1351" i="7"/>
  <c r="B1350" i="7"/>
  <c r="A1350" i="7"/>
  <c r="B1349" i="7"/>
  <c r="A1349" i="7"/>
  <c r="B1348" i="7"/>
  <c r="A1348" i="7"/>
  <c r="B1347" i="7"/>
  <c r="A1347" i="7"/>
  <c r="B1346" i="7"/>
  <c r="A1346" i="7"/>
  <c r="B1345" i="7"/>
  <c r="A1345" i="7"/>
  <c r="B1344" i="7"/>
  <c r="A1344" i="7"/>
  <c r="B1343" i="7"/>
  <c r="A1343" i="7"/>
  <c r="B1342" i="7"/>
  <c r="A1342" i="7"/>
  <c r="B1341" i="7"/>
  <c r="A1341" i="7"/>
  <c r="B1340" i="7"/>
  <c r="A1340" i="7"/>
  <c r="B1339" i="7"/>
  <c r="A1339" i="7"/>
  <c r="B1338" i="7"/>
  <c r="A1338" i="7"/>
  <c r="B1337" i="7"/>
  <c r="A1337" i="7"/>
  <c r="B1336" i="7"/>
  <c r="A1336" i="7"/>
  <c r="B1335" i="7"/>
  <c r="A1335" i="7"/>
  <c r="B1334" i="7"/>
  <c r="A1334" i="7"/>
  <c r="B1333" i="7"/>
  <c r="A1333" i="7"/>
  <c r="B1332" i="7"/>
  <c r="A1332" i="7"/>
  <c r="B1331" i="7"/>
  <c r="A1331" i="7"/>
  <c r="B1330" i="7"/>
  <c r="A1330" i="7"/>
  <c r="B1329" i="7"/>
  <c r="A1329" i="7"/>
  <c r="B1328" i="7"/>
  <c r="A1328" i="7"/>
  <c r="B1327" i="7"/>
  <c r="A1327" i="7"/>
  <c r="B1326" i="7"/>
  <c r="A1326" i="7"/>
  <c r="B1325" i="7"/>
  <c r="A1325" i="7"/>
  <c r="B1324" i="7"/>
  <c r="A1324" i="7"/>
  <c r="B1323" i="7"/>
  <c r="A1323" i="7"/>
  <c r="B1322" i="7"/>
  <c r="A1322" i="7"/>
  <c r="B1321" i="7"/>
  <c r="A1321" i="7"/>
  <c r="B1320" i="7"/>
  <c r="A1320" i="7"/>
  <c r="B1319" i="7"/>
  <c r="A1319" i="7"/>
  <c r="B1318" i="7"/>
  <c r="A1318" i="7"/>
  <c r="B1317" i="7"/>
  <c r="A1317" i="7"/>
  <c r="B1316" i="7"/>
  <c r="A1316" i="7"/>
  <c r="B1315" i="7"/>
  <c r="A1315" i="7"/>
  <c r="B1314" i="7"/>
  <c r="A1314" i="7"/>
  <c r="B1313" i="7"/>
  <c r="A1313" i="7"/>
  <c r="B1312" i="7"/>
  <c r="A1312" i="7"/>
  <c r="B1311" i="7"/>
  <c r="A1311" i="7"/>
  <c r="B1310" i="7"/>
  <c r="A1310" i="7"/>
  <c r="B1309" i="7"/>
  <c r="A1309" i="7"/>
  <c r="B1308" i="7"/>
  <c r="A1308" i="7"/>
  <c r="B1307" i="7"/>
  <c r="A1307" i="7"/>
  <c r="B1306" i="7"/>
  <c r="A1306" i="7"/>
  <c r="B1305" i="7"/>
  <c r="A1305" i="7"/>
  <c r="B1304" i="7"/>
  <c r="A1304" i="7"/>
  <c r="B1303" i="7"/>
  <c r="A1303" i="7"/>
  <c r="B1302" i="7"/>
  <c r="A1302" i="7"/>
  <c r="B1301" i="7"/>
  <c r="A1301" i="7"/>
  <c r="B1300" i="7"/>
  <c r="A1300" i="7"/>
  <c r="B1299" i="7"/>
  <c r="A1299" i="7"/>
  <c r="B1298" i="7"/>
  <c r="A1298" i="7"/>
  <c r="B1297" i="7"/>
  <c r="A1297" i="7"/>
  <c r="B1296" i="7"/>
  <c r="A1296" i="7"/>
  <c r="B1295" i="7"/>
  <c r="A1295" i="7"/>
  <c r="B1294" i="7"/>
  <c r="A1294" i="7"/>
  <c r="B1293" i="7"/>
  <c r="A1293" i="7"/>
  <c r="B1292" i="7"/>
  <c r="A1292" i="7"/>
  <c r="B1291" i="7"/>
  <c r="A1291" i="7"/>
  <c r="B1290" i="7"/>
  <c r="A1290" i="7"/>
  <c r="B1289" i="7"/>
  <c r="A1289" i="7"/>
  <c r="B1288" i="7"/>
  <c r="A1288" i="7"/>
  <c r="B1287" i="7"/>
  <c r="A1287" i="7"/>
  <c r="B1286" i="7"/>
  <c r="A1286" i="7"/>
  <c r="B1285" i="7"/>
  <c r="A1285" i="7"/>
  <c r="B1284" i="7"/>
  <c r="A1284" i="7"/>
  <c r="B1283" i="7"/>
  <c r="A1283" i="7"/>
  <c r="B1282" i="7"/>
  <c r="A1282" i="7"/>
  <c r="B1281" i="7"/>
  <c r="A1281" i="7"/>
  <c r="B1280" i="7"/>
  <c r="A1280" i="7"/>
  <c r="B1279" i="7"/>
  <c r="A1279" i="7"/>
  <c r="B1278" i="7"/>
  <c r="A1278" i="7"/>
  <c r="B1277" i="7"/>
  <c r="A1277" i="7"/>
  <c r="B1276" i="7"/>
  <c r="A1276" i="7"/>
  <c r="B1275" i="7"/>
  <c r="A1275" i="7"/>
  <c r="B1274" i="7"/>
  <c r="A1274" i="7"/>
  <c r="B1273" i="7"/>
  <c r="A1273" i="7"/>
  <c r="B1272" i="7"/>
  <c r="A1272" i="7"/>
  <c r="B1271" i="7"/>
  <c r="A1271" i="7"/>
  <c r="B1270" i="7"/>
  <c r="A1270" i="7"/>
  <c r="B1269" i="7"/>
  <c r="A1269" i="7"/>
  <c r="B1268" i="7"/>
  <c r="A1268" i="7"/>
  <c r="B1267" i="7"/>
  <c r="A1267" i="7"/>
  <c r="B1266" i="7"/>
  <c r="A1266" i="7"/>
  <c r="B1265" i="7"/>
  <c r="A1265" i="7"/>
  <c r="B1264" i="7"/>
  <c r="A1264" i="7"/>
  <c r="B1263" i="7"/>
  <c r="A1263" i="7"/>
  <c r="B1262" i="7"/>
  <c r="A1262" i="7"/>
  <c r="B1261" i="7"/>
  <c r="A1261" i="7"/>
  <c r="B1260" i="7"/>
  <c r="A1260" i="7"/>
  <c r="B1259" i="7"/>
  <c r="A1259" i="7"/>
  <c r="B1258" i="7"/>
  <c r="A1258" i="7"/>
  <c r="B1257" i="7"/>
  <c r="A1257" i="7"/>
  <c r="B1256" i="7"/>
  <c r="A1256" i="7"/>
  <c r="B1255" i="7"/>
  <c r="A1255" i="7"/>
  <c r="B1254" i="7"/>
  <c r="A1254" i="7"/>
  <c r="B1253" i="7"/>
  <c r="A1253" i="7"/>
  <c r="B1252" i="7"/>
  <c r="A1252" i="7"/>
  <c r="B1251" i="7"/>
  <c r="A1251" i="7"/>
  <c r="B1250" i="7"/>
  <c r="A1250" i="7"/>
  <c r="B1249" i="7"/>
  <c r="A1249" i="7"/>
  <c r="B1248" i="7"/>
  <c r="A1248" i="7"/>
  <c r="B1247" i="7"/>
  <c r="A1247" i="7"/>
  <c r="B1246" i="7"/>
  <c r="A1246" i="7"/>
  <c r="B1245" i="7"/>
  <c r="A1245" i="7"/>
  <c r="B1244" i="7"/>
  <c r="A1244" i="7"/>
  <c r="B1243" i="7"/>
  <c r="A1243" i="7"/>
  <c r="B1242" i="7"/>
  <c r="A1242" i="7"/>
  <c r="B1241" i="7"/>
  <c r="A1241" i="7"/>
  <c r="B1240" i="7"/>
  <c r="A1240" i="7"/>
  <c r="B1239" i="7"/>
  <c r="A1239" i="7"/>
  <c r="B1238" i="7"/>
  <c r="A1238" i="7"/>
  <c r="B1237" i="7"/>
  <c r="A1237" i="7"/>
  <c r="B1236" i="7"/>
  <c r="A1236" i="7"/>
  <c r="B1235" i="7"/>
  <c r="A1235" i="7"/>
  <c r="B1234" i="7"/>
  <c r="A1234" i="7"/>
  <c r="B1233" i="7"/>
  <c r="A1233" i="7"/>
  <c r="B1232" i="7"/>
  <c r="A1232" i="7"/>
  <c r="B1231" i="7"/>
  <c r="A1231" i="7"/>
  <c r="B1230" i="7"/>
  <c r="A1230" i="7"/>
  <c r="B1229" i="7"/>
  <c r="A1229" i="7"/>
  <c r="B1228" i="7"/>
  <c r="A1228" i="7"/>
  <c r="B1227" i="7"/>
  <c r="A1227" i="7"/>
  <c r="B1226" i="7"/>
  <c r="A1226" i="7"/>
  <c r="B1225" i="7"/>
  <c r="A1225" i="7"/>
  <c r="B1224" i="7"/>
  <c r="A1224" i="7"/>
  <c r="B1223" i="7"/>
  <c r="A1223" i="7"/>
  <c r="B1222" i="7"/>
  <c r="A1222" i="7"/>
  <c r="B1221" i="7"/>
  <c r="A1221" i="7"/>
  <c r="B1220" i="7"/>
  <c r="A1220" i="7"/>
  <c r="B1219" i="7"/>
  <c r="A1219" i="7"/>
  <c r="B1218" i="7"/>
  <c r="A1218" i="7"/>
  <c r="B1217" i="7"/>
  <c r="A1217" i="7"/>
  <c r="B1216" i="7"/>
  <c r="A1216" i="7"/>
  <c r="B1215" i="7"/>
  <c r="A1215" i="7"/>
  <c r="B1214" i="7"/>
  <c r="A1214" i="7"/>
  <c r="B1213" i="7"/>
  <c r="A1213" i="7"/>
  <c r="B1212" i="7"/>
  <c r="A1212" i="7"/>
  <c r="B1211" i="7"/>
  <c r="A1211" i="7"/>
  <c r="B1210" i="7"/>
  <c r="A1210" i="7"/>
  <c r="B1209" i="7"/>
  <c r="A1209" i="7"/>
  <c r="B1208" i="7"/>
  <c r="A1208" i="7"/>
  <c r="B1207" i="7"/>
  <c r="A1207" i="7"/>
  <c r="B1206" i="7"/>
  <c r="A1206" i="7"/>
  <c r="B1205" i="7"/>
  <c r="A1205" i="7"/>
  <c r="B1204" i="7"/>
  <c r="A1204" i="7"/>
  <c r="B1203" i="7"/>
  <c r="A1203" i="7"/>
  <c r="B1202" i="7"/>
  <c r="A1202" i="7"/>
  <c r="B1201" i="7"/>
  <c r="A1201" i="7"/>
  <c r="B1200" i="7"/>
  <c r="A1200" i="7"/>
  <c r="B1199" i="7"/>
  <c r="A1199" i="7"/>
  <c r="B1198" i="7"/>
  <c r="A1198" i="7"/>
  <c r="B1197" i="7"/>
  <c r="A1197" i="7"/>
  <c r="B1196" i="7"/>
  <c r="A1196" i="7"/>
  <c r="B1195" i="7"/>
  <c r="A1195" i="7"/>
  <c r="B1194" i="7"/>
  <c r="A1194" i="7"/>
  <c r="B1193" i="7"/>
  <c r="A1193" i="7"/>
  <c r="B1192" i="7"/>
  <c r="A1192" i="7"/>
  <c r="B1191" i="7"/>
  <c r="A1191" i="7"/>
  <c r="B1190" i="7"/>
  <c r="A1190" i="7"/>
  <c r="B1189" i="7"/>
  <c r="A1189" i="7"/>
  <c r="B1188" i="7"/>
  <c r="A1188" i="7"/>
  <c r="B1187" i="7"/>
  <c r="A1187" i="7"/>
  <c r="B1186" i="7"/>
  <c r="A1186" i="7"/>
  <c r="B1185" i="7"/>
  <c r="A1185" i="7"/>
  <c r="B1184" i="7"/>
  <c r="A1184" i="7"/>
  <c r="B1183" i="7"/>
  <c r="A1183" i="7"/>
  <c r="B1182" i="7"/>
  <c r="A1182" i="7"/>
  <c r="B1181" i="7"/>
  <c r="A1181" i="7"/>
  <c r="B1180" i="7"/>
  <c r="A1180" i="7"/>
  <c r="B1179" i="7"/>
  <c r="A1179" i="7"/>
  <c r="B1178" i="7"/>
  <c r="A1178" i="7"/>
  <c r="B1177" i="7"/>
  <c r="A1177" i="7"/>
  <c r="B1176" i="7"/>
  <c r="A1176" i="7"/>
  <c r="B1175" i="7"/>
  <c r="A1175" i="7"/>
  <c r="B1174" i="7"/>
  <c r="A1174" i="7"/>
  <c r="B1173" i="7"/>
  <c r="A1173" i="7"/>
  <c r="B1172" i="7"/>
  <c r="A1172" i="7"/>
  <c r="B1171" i="7"/>
  <c r="A1171" i="7"/>
  <c r="B1170" i="7"/>
  <c r="A1170" i="7"/>
  <c r="B1169" i="7"/>
  <c r="A1169" i="7"/>
  <c r="B1168" i="7"/>
  <c r="A1168" i="7"/>
  <c r="B1167" i="7"/>
  <c r="A1167" i="7"/>
  <c r="B1166" i="7"/>
  <c r="A1166" i="7"/>
  <c r="B1165" i="7"/>
  <c r="A1165" i="7"/>
  <c r="B1164" i="7"/>
  <c r="A1164" i="7"/>
  <c r="B1163" i="7"/>
  <c r="A1163" i="7"/>
  <c r="B1162" i="7"/>
  <c r="A1162" i="7"/>
  <c r="B1161" i="7"/>
  <c r="A1161" i="7"/>
  <c r="B1160" i="7"/>
  <c r="A1160" i="7"/>
  <c r="B1159" i="7"/>
  <c r="A1159" i="7"/>
  <c r="B1158" i="7"/>
  <c r="A1158" i="7"/>
  <c r="B1157" i="7"/>
  <c r="A1157" i="7"/>
  <c r="B1156" i="7"/>
  <c r="A1156" i="7"/>
  <c r="B1155" i="7"/>
  <c r="A1155" i="7"/>
  <c r="B1154" i="7"/>
  <c r="A1154" i="7"/>
  <c r="B1153" i="7"/>
  <c r="A1153" i="7"/>
  <c r="B1152" i="7"/>
  <c r="A1152" i="7"/>
  <c r="B1151" i="7"/>
  <c r="A1151" i="7"/>
  <c r="B1150" i="7"/>
  <c r="A1150" i="7"/>
  <c r="B1149" i="7"/>
  <c r="A1149" i="7"/>
  <c r="B1148" i="7"/>
  <c r="A1148" i="7"/>
  <c r="B1147" i="7"/>
  <c r="A1147" i="7"/>
  <c r="B1146" i="7"/>
  <c r="A1146" i="7"/>
  <c r="B1145" i="7"/>
  <c r="A1145" i="7"/>
  <c r="B1144" i="7"/>
  <c r="A1144" i="7"/>
  <c r="B1143" i="7"/>
  <c r="A1143" i="7"/>
  <c r="B1142" i="7"/>
  <c r="A1142" i="7"/>
  <c r="B1141" i="7"/>
  <c r="A1141" i="7"/>
  <c r="B1140" i="7"/>
  <c r="A1140" i="7"/>
  <c r="B1139" i="7"/>
  <c r="A1139" i="7"/>
  <c r="B1138" i="7"/>
  <c r="A1138" i="7"/>
  <c r="B1137" i="7"/>
  <c r="A1137" i="7"/>
  <c r="B1136" i="7"/>
  <c r="A1136" i="7"/>
  <c r="B1135" i="7"/>
  <c r="A1135" i="7"/>
  <c r="B1134" i="7"/>
  <c r="A1134" i="7"/>
  <c r="B1133" i="7"/>
  <c r="A1133" i="7"/>
  <c r="B1132" i="7"/>
  <c r="A1132" i="7"/>
  <c r="B1131" i="7"/>
  <c r="A1131" i="7"/>
  <c r="B1130" i="7"/>
  <c r="A1130" i="7"/>
  <c r="B1129" i="7"/>
  <c r="A1129" i="7"/>
  <c r="B1128" i="7"/>
  <c r="A1128" i="7"/>
  <c r="B1127" i="7"/>
  <c r="A1127" i="7"/>
  <c r="B1126" i="7"/>
  <c r="A1126" i="7"/>
  <c r="B1125" i="7"/>
  <c r="A1125" i="7"/>
  <c r="B1124" i="7"/>
  <c r="A1124" i="7"/>
  <c r="B1123" i="7"/>
  <c r="A1123" i="7"/>
  <c r="B1122" i="7"/>
  <c r="A1122" i="7"/>
  <c r="B1121" i="7"/>
  <c r="A1121" i="7"/>
  <c r="B1120" i="7"/>
  <c r="A1120" i="7"/>
  <c r="B1119" i="7"/>
  <c r="A1119" i="7"/>
  <c r="B1118" i="7"/>
  <c r="A1118" i="7"/>
  <c r="B1117" i="7"/>
  <c r="A1117" i="7"/>
  <c r="B1116" i="7"/>
  <c r="A1116" i="7"/>
  <c r="B1115" i="7"/>
  <c r="A1115" i="7"/>
  <c r="B1114" i="7"/>
  <c r="A1114" i="7"/>
  <c r="B1113" i="7"/>
  <c r="A1113" i="7"/>
  <c r="B1112" i="7"/>
  <c r="A1112" i="7"/>
  <c r="B1111" i="7"/>
  <c r="A1111" i="7"/>
  <c r="B1110" i="7"/>
  <c r="A1110" i="7"/>
  <c r="B1109" i="7"/>
  <c r="A1109" i="7"/>
  <c r="B1108" i="7"/>
  <c r="A1108" i="7"/>
  <c r="B1107" i="7"/>
  <c r="A1107" i="7"/>
  <c r="B1106" i="7"/>
  <c r="A1106" i="7"/>
  <c r="B1105" i="7"/>
  <c r="A1105" i="7"/>
  <c r="B1104" i="7"/>
  <c r="A1104" i="7"/>
  <c r="B1103" i="7"/>
  <c r="A1103" i="7"/>
  <c r="B1102" i="7"/>
  <c r="A1102" i="7"/>
  <c r="B1101" i="7"/>
  <c r="A1101" i="7"/>
  <c r="B1100" i="7"/>
  <c r="A1100" i="7"/>
  <c r="B1099" i="7"/>
  <c r="A1099" i="7"/>
  <c r="B1098" i="7"/>
  <c r="A1098" i="7"/>
  <c r="B1097" i="7"/>
  <c r="A1097" i="7"/>
  <c r="B1096" i="7"/>
  <c r="A1096" i="7"/>
  <c r="B1095" i="7"/>
  <c r="A1095" i="7"/>
  <c r="B1094" i="7"/>
  <c r="A1094" i="7"/>
  <c r="B1093" i="7"/>
  <c r="A1093" i="7"/>
  <c r="B1092" i="7"/>
  <c r="A1092" i="7"/>
  <c r="B1091" i="7"/>
  <c r="A1091" i="7"/>
  <c r="B1090" i="7"/>
  <c r="A1090" i="7"/>
  <c r="B1089" i="7"/>
  <c r="A1089" i="7"/>
  <c r="B1088" i="7"/>
  <c r="A1088" i="7"/>
  <c r="B1087" i="7"/>
  <c r="A1087" i="7"/>
  <c r="B1086" i="7"/>
  <c r="A1086" i="7"/>
  <c r="B1085" i="7"/>
  <c r="A1085" i="7"/>
  <c r="B1084" i="7"/>
  <c r="A1084" i="7"/>
  <c r="B1083" i="7"/>
  <c r="A1083" i="7"/>
  <c r="B1082" i="7"/>
  <c r="A1082" i="7"/>
  <c r="B1081" i="7"/>
  <c r="A1081" i="7"/>
  <c r="B1080" i="7"/>
  <c r="A1080" i="7"/>
  <c r="B1079" i="7"/>
  <c r="A1079" i="7"/>
  <c r="B1078" i="7"/>
  <c r="A1078" i="7"/>
  <c r="B1077" i="7"/>
  <c r="A1077" i="7"/>
  <c r="B1076" i="7"/>
  <c r="A1076" i="7"/>
  <c r="B1075" i="7"/>
  <c r="A1075" i="7"/>
  <c r="B1074" i="7"/>
  <c r="A1074" i="7"/>
  <c r="B1073" i="7"/>
  <c r="A1073" i="7"/>
  <c r="B1072" i="7"/>
  <c r="A1072" i="7"/>
  <c r="B1071" i="7"/>
  <c r="A1071" i="7"/>
  <c r="B1070" i="7"/>
  <c r="A1070" i="7"/>
  <c r="B1069" i="7"/>
  <c r="A1069" i="7"/>
  <c r="B1068" i="7"/>
  <c r="A1068" i="7"/>
  <c r="B1067" i="7"/>
  <c r="A1067" i="7"/>
  <c r="B1066" i="7"/>
  <c r="A1066" i="7"/>
  <c r="B1065" i="7"/>
  <c r="A1065" i="7"/>
  <c r="B1064" i="7"/>
  <c r="A1064" i="7"/>
  <c r="B1063" i="7"/>
  <c r="A1063" i="7"/>
  <c r="B1062" i="7"/>
  <c r="A1062" i="7"/>
  <c r="B1061" i="7"/>
  <c r="A1061" i="7"/>
  <c r="B1060" i="7"/>
  <c r="A1060" i="7"/>
  <c r="B1059" i="7"/>
  <c r="A1059" i="7"/>
  <c r="B1058" i="7"/>
  <c r="A1058" i="7"/>
  <c r="B1057" i="7"/>
  <c r="A1057" i="7"/>
  <c r="B1056" i="7"/>
  <c r="A1056" i="7"/>
  <c r="B1055" i="7"/>
  <c r="A1055" i="7"/>
  <c r="B1054" i="7"/>
  <c r="A1054" i="7"/>
  <c r="B1053" i="7"/>
  <c r="A1053" i="7"/>
  <c r="B1052" i="7"/>
  <c r="A1052" i="7"/>
  <c r="B1051" i="7"/>
  <c r="A1051" i="7"/>
  <c r="B1050" i="7"/>
  <c r="A1050" i="7"/>
  <c r="B1049" i="7"/>
  <c r="A1049" i="7"/>
  <c r="B1048" i="7"/>
  <c r="A1048" i="7"/>
  <c r="B1047" i="7"/>
  <c r="A1047" i="7"/>
  <c r="B1046" i="7"/>
  <c r="A1046" i="7"/>
  <c r="B1045" i="7"/>
  <c r="A1045" i="7"/>
  <c r="B1044" i="7"/>
  <c r="A1044" i="7"/>
  <c r="B1043" i="7"/>
  <c r="A1043" i="7"/>
  <c r="B1042" i="7"/>
  <c r="A1042" i="7"/>
  <c r="B1041" i="7"/>
  <c r="A1041" i="7"/>
  <c r="B1040" i="7"/>
  <c r="A1040" i="7"/>
  <c r="B1039" i="7"/>
  <c r="A1039" i="7"/>
  <c r="B1038" i="7"/>
  <c r="A1038" i="7"/>
  <c r="B1037" i="7"/>
  <c r="A1037" i="7"/>
  <c r="B1036" i="7"/>
  <c r="A1036" i="7"/>
  <c r="B1035" i="7"/>
  <c r="A1035" i="7"/>
  <c r="B1034" i="7"/>
  <c r="A1034" i="7"/>
  <c r="B1033" i="7"/>
  <c r="A1033" i="7"/>
  <c r="B1032" i="7"/>
  <c r="A1032" i="7"/>
  <c r="B1031" i="7"/>
  <c r="A1031" i="7"/>
  <c r="B1030" i="7"/>
  <c r="A1030" i="7"/>
  <c r="B1029" i="7"/>
  <c r="A1029" i="7"/>
  <c r="B1028" i="7"/>
  <c r="A1028" i="7"/>
  <c r="B1027" i="7"/>
  <c r="A1027" i="7"/>
  <c r="B1026" i="7"/>
  <c r="A1026" i="7"/>
  <c r="B1025" i="7"/>
  <c r="A1025" i="7"/>
  <c r="B1024" i="7"/>
  <c r="A1024" i="7"/>
  <c r="B1023" i="7"/>
  <c r="A1023" i="7"/>
  <c r="B1022" i="7"/>
  <c r="A1022" i="7"/>
  <c r="B1021" i="7"/>
  <c r="A1021" i="7"/>
  <c r="B1020" i="7"/>
  <c r="A1020" i="7"/>
  <c r="B1019" i="7"/>
  <c r="A1019" i="7"/>
  <c r="B1018" i="7"/>
  <c r="A1018" i="7"/>
  <c r="B1017" i="7"/>
  <c r="A1017" i="7"/>
  <c r="B1016" i="7"/>
  <c r="A1016" i="7"/>
  <c r="B1015" i="7"/>
  <c r="A1015" i="7"/>
  <c r="B1014" i="7"/>
  <c r="A1014" i="7"/>
  <c r="B1013" i="7"/>
  <c r="A1013" i="7"/>
  <c r="B1012" i="7"/>
  <c r="A1012" i="7"/>
  <c r="B1011" i="7"/>
  <c r="A1011" i="7"/>
  <c r="B1010" i="7"/>
  <c r="A1010" i="7"/>
  <c r="B1009" i="7"/>
  <c r="A1009" i="7"/>
  <c r="B1008" i="7"/>
  <c r="A1008" i="7"/>
  <c r="B1007" i="7"/>
  <c r="A1007" i="7"/>
  <c r="B1006" i="7"/>
  <c r="A1006" i="7"/>
  <c r="B1005" i="7"/>
  <c r="A1005" i="7"/>
  <c r="B1004" i="7"/>
  <c r="A1004" i="7"/>
  <c r="B1003" i="7"/>
  <c r="A1003" i="7"/>
  <c r="B1002" i="7"/>
  <c r="A1002" i="7"/>
  <c r="B1001" i="7"/>
  <c r="A1001" i="7"/>
  <c r="B1000" i="7"/>
  <c r="A1000" i="7"/>
  <c r="B999" i="7"/>
  <c r="A999" i="7"/>
  <c r="B998" i="7"/>
  <c r="A998" i="7"/>
  <c r="B997" i="7"/>
  <c r="A997" i="7"/>
  <c r="B996" i="7"/>
  <c r="A996" i="7"/>
  <c r="B995" i="7"/>
  <c r="A995" i="7"/>
  <c r="B994" i="7"/>
  <c r="A994" i="7"/>
  <c r="B993" i="7"/>
  <c r="A993" i="7"/>
  <c r="B992" i="7"/>
  <c r="A992" i="7"/>
  <c r="B991" i="7"/>
  <c r="A991" i="7"/>
  <c r="B990" i="7"/>
  <c r="A990" i="7"/>
  <c r="B989" i="7"/>
  <c r="A989" i="7"/>
  <c r="B988" i="7"/>
  <c r="A988" i="7"/>
  <c r="B987" i="7"/>
  <c r="A987" i="7"/>
  <c r="B986" i="7"/>
  <c r="A986" i="7"/>
  <c r="B985" i="7"/>
  <c r="A985" i="7"/>
  <c r="B984" i="7"/>
  <c r="A984" i="7"/>
  <c r="B983" i="7"/>
  <c r="A983" i="7"/>
  <c r="B982" i="7"/>
  <c r="A982" i="7"/>
  <c r="B981" i="7"/>
  <c r="A981" i="7"/>
  <c r="B980" i="7"/>
  <c r="A980" i="7"/>
  <c r="B979" i="7"/>
  <c r="A979" i="7"/>
  <c r="B978" i="7"/>
  <c r="A978" i="7"/>
  <c r="B977" i="7"/>
  <c r="A977" i="7"/>
  <c r="B976" i="7"/>
  <c r="A976" i="7"/>
  <c r="B975" i="7"/>
  <c r="A975" i="7"/>
  <c r="B974" i="7"/>
  <c r="A974" i="7"/>
  <c r="B973" i="7"/>
  <c r="A973" i="7"/>
  <c r="B972" i="7"/>
  <c r="A972" i="7"/>
  <c r="B971" i="7"/>
  <c r="A971" i="7"/>
  <c r="B970" i="7"/>
  <c r="A970" i="7"/>
  <c r="B969" i="7"/>
  <c r="A969" i="7"/>
  <c r="B968" i="7"/>
  <c r="A968" i="7"/>
  <c r="B967" i="7"/>
  <c r="A967" i="7"/>
  <c r="B966" i="7"/>
  <c r="A966" i="7"/>
  <c r="B965" i="7"/>
  <c r="A965" i="7"/>
  <c r="B964" i="7"/>
  <c r="A964" i="7"/>
  <c r="B963" i="7"/>
  <c r="A963" i="7"/>
  <c r="B962" i="7"/>
  <c r="A962" i="7"/>
  <c r="B961" i="7"/>
  <c r="A961" i="7"/>
  <c r="B960" i="7"/>
  <c r="A960" i="7"/>
  <c r="B959" i="7"/>
  <c r="A959" i="7"/>
  <c r="B958" i="7"/>
  <c r="A958" i="7"/>
  <c r="B957" i="7"/>
  <c r="A957" i="7"/>
  <c r="B956" i="7"/>
  <c r="A956" i="7"/>
  <c r="B955" i="7"/>
  <c r="A955" i="7"/>
  <c r="B954" i="7"/>
  <c r="A954" i="7"/>
  <c r="B953" i="7"/>
  <c r="A953" i="7"/>
  <c r="B952" i="7"/>
  <c r="A952" i="7"/>
  <c r="B951" i="7"/>
  <c r="A951" i="7"/>
  <c r="B950" i="7"/>
  <c r="A950" i="7"/>
  <c r="B949" i="7"/>
  <c r="A949" i="7"/>
  <c r="B948" i="7"/>
  <c r="A948" i="7"/>
  <c r="B947" i="7"/>
  <c r="A947" i="7"/>
  <c r="B946" i="7"/>
  <c r="A946" i="7"/>
  <c r="B945" i="7"/>
  <c r="A945" i="7"/>
  <c r="B944" i="7"/>
  <c r="A944" i="7"/>
  <c r="B943" i="7"/>
  <c r="A943" i="7"/>
  <c r="B942" i="7"/>
  <c r="A942" i="7"/>
  <c r="B941" i="7"/>
  <c r="A941" i="7"/>
  <c r="B940" i="7"/>
  <c r="A940" i="7"/>
  <c r="B939" i="7"/>
  <c r="A939" i="7"/>
  <c r="B938" i="7"/>
  <c r="A938" i="7"/>
  <c r="B937" i="7"/>
  <c r="A937" i="7"/>
  <c r="B936" i="7"/>
  <c r="A936" i="7"/>
  <c r="B935" i="7"/>
  <c r="A935" i="7"/>
  <c r="B934" i="7"/>
  <c r="A934" i="7"/>
  <c r="B933" i="7"/>
  <c r="A933" i="7"/>
  <c r="B932" i="7"/>
  <c r="A932" i="7"/>
  <c r="B931" i="7"/>
  <c r="A931" i="7"/>
  <c r="B930" i="7"/>
  <c r="A930" i="7"/>
  <c r="B929" i="7"/>
  <c r="A929" i="7"/>
  <c r="B928" i="7"/>
  <c r="A928" i="7"/>
  <c r="B927" i="7"/>
  <c r="A927" i="7"/>
  <c r="B926" i="7"/>
  <c r="A926" i="7"/>
  <c r="B925" i="7"/>
  <c r="A925" i="7"/>
  <c r="B924" i="7"/>
  <c r="A924" i="7"/>
  <c r="B923" i="7"/>
  <c r="A923" i="7"/>
  <c r="B922" i="7"/>
  <c r="A922" i="7"/>
  <c r="B921" i="7"/>
  <c r="A921" i="7"/>
  <c r="B920" i="7"/>
  <c r="A920" i="7"/>
  <c r="B919" i="7"/>
  <c r="A919" i="7"/>
  <c r="B918" i="7"/>
  <c r="A918" i="7"/>
  <c r="B917" i="7"/>
  <c r="A917" i="7"/>
  <c r="B916" i="7"/>
  <c r="A916" i="7"/>
  <c r="B915" i="7"/>
  <c r="A915" i="7"/>
  <c r="B914" i="7"/>
  <c r="A914" i="7"/>
  <c r="B913" i="7"/>
  <c r="A913" i="7"/>
  <c r="B912" i="7"/>
  <c r="A912" i="7"/>
  <c r="B911" i="7"/>
  <c r="A911" i="7"/>
  <c r="B910" i="7"/>
  <c r="A910" i="7"/>
  <c r="B909" i="7"/>
  <c r="A909" i="7"/>
  <c r="B908" i="7"/>
  <c r="A908" i="7"/>
  <c r="B907" i="7"/>
  <c r="A907" i="7"/>
  <c r="B906" i="7"/>
  <c r="A906" i="7"/>
  <c r="B905" i="7"/>
  <c r="A905" i="7"/>
  <c r="B904" i="7"/>
  <c r="A904" i="7"/>
  <c r="B903" i="7"/>
  <c r="A903" i="7"/>
  <c r="B902" i="7"/>
  <c r="A902" i="7"/>
  <c r="B901" i="7"/>
  <c r="A901" i="7"/>
  <c r="B900" i="7"/>
  <c r="A900" i="7"/>
  <c r="B899" i="7"/>
  <c r="A899" i="7"/>
  <c r="B898" i="7"/>
  <c r="A898" i="7"/>
  <c r="B897" i="7"/>
  <c r="A897" i="7"/>
  <c r="B896" i="7"/>
  <c r="A896" i="7"/>
  <c r="B895" i="7"/>
  <c r="A895" i="7"/>
  <c r="B894" i="7"/>
  <c r="A894" i="7"/>
  <c r="B893" i="7"/>
  <c r="A893" i="7"/>
  <c r="B892" i="7"/>
  <c r="A892" i="7"/>
  <c r="B891" i="7"/>
  <c r="A891" i="7"/>
  <c r="B890" i="7"/>
  <c r="A890" i="7"/>
  <c r="B889" i="7"/>
  <c r="A889" i="7"/>
  <c r="B888" i="7"/>
  <c r="A888" i="7"/>
  <c r="B887" i="7"/>
  <c r="A887" i="7"/>
  <c r="B886" i="7"/>
  <c r="A886" i="7"/>
  <c r="B885" i="7"/>
  <c r="A885" i="7"/>
  <c r="B884" i="7"/>
  <c r="A884" i="7"/>
  <c r="B883" i="7"/>
  <c r="A883" i="7"/>
  <c r="B882" i="7"/>
  <c r="A882" i="7"/>
  <c r="B881" i="7"/>
  <c r="A881" i="7"/>
  <c r="B880" i="7"/>
  <c r="A880" i="7"/>
  <c r="B879" i="7"/>
  <c r="A879" i="7"/>
  <c r="B878" i="7"/>
  <c r="A878" i="7"/>
  <c r="B877" i="7"/>
  <c r="A877" i="7"/>
  <c r="B876" i="7"/>
  <c r="A876" i="7"/>
  <c r="B875" i="7"/>
  <c r="A875" i="7"/>
  <c r="B874" i="7"/>
  <c r="A874" i="7"/>
  <c r="B873" i="7"/>
  <c r="A873" i="7"/>
  <c r="B872" i="7"/>
  <c r="A872" i="7"/>
  <c r="B871" i="7"/>
  <c r="A871" i="7"/>
  <c r="B870" i="7"/>
  <c r="A870" i="7"/>
  <c r="B869" i="7"/>
  <c r="A869" i="7"/>
  <c r="B868" i="7"/>
  <c r="A868" i="7"/>
  <c r="B867" i="7"/>
  <c r="A867" i="7"/>
  <c r="B866" i="7"/>
  <c r="A866" i="7"/>
  <c r="B865" i="7"/>
  <c r="A865" i="7"/>
  <c r="B864" i="7"/>
  <c r="A864" i="7"/>
  <c r="B863" i="7"/>
  <c r="A863" i="7"/>
  <c r="B862" i="7"/>
  <c r="A862" i="7"/>
  <c r="B861" i="7"/>
  <c r="A861" i="7"/>
  <c r="B860" i="7"/>
  <c r="A860" i="7"/>
  <c r="B859" i="7"/>
  <c r="A859" i="7"/>
  <c r="B858" i="7"/>
  <c r="A858" i="7"/>
  <c r="B857" i="7"/>
  <c r="A857" i="7"/>
  <c r="B856" i="7"/>
  <c r="A856" i="7"/>
  <c r="B855" i="7"/>
  <c r="A855" i="7"/>
  <c r="B854" i="7"/>
  <c r="A854" i="7"/>
  <c r="B853" i="7"/>
  <c r="A853" i="7"/>
  <c r="B852" i="7"/>
  <c r="A852" i="7"/>
  <c r="B851" i="7"/>
  <c r="A851" i="7"/>
  <c r="B850" i="7"/>
  <c r="A850" i="7"/>
  <c r="B849" i="7"/>
  <c r="A849" i="7"/>
  <c r="B848" i="7"/>
  <c r="A848" i="7"/>
  <c r="B847" i="7"/>
  <c r="A847" i="7"/>
  <c r="B846" i="7"/>
  <c r="A846" i="7"/>
  <c r="B845" i="7"/>
  <c r="A845" i="7"/>
  <c r="B844" i="7"/>
  <c r="A844" i="7"/>
  <c r="B843" i="7"/>
  <c r="A843" i="7"/>
  <c r="B842" i="7"/>
  <c r="A842" i="7"/>
  <c r="B841" i="7"/>
  <c r="A841" i="7"/>
  <c r="B840" i="7"/>
  <c r="A840" i="7"/>
  <c r="B839" i="7"/>
  <c r="A839" i="7"/>
  <c r="B838" i="7"/>
  <c r="A838" i="7"/>
  <c r="B837" i="7"/>
  <c r="A837" i="7"/>
  <c r="B836" i="7"/>
  <c r="A836" i="7"/>
  <c r="B835" i="7"/>
  <c r="A835" i="7"/>
  <c r="B834" i="7"/>
  <c r="A834" i="7"/>
  <c r="B833" i="7"/>
  <c r="A833" i="7"/>
  <c r="B832" i="7"/>
  <c r="A832" i="7"/>
  <c r="B831" i="7"/>
  <c r="A831" i="7"/>
  <c r="B830" i="7"/>
  <c r="A830" i="7"/>
  <c r="B829" i="7"/>
  <c r="A829" i="7"/>
  <c r="B828" i="7"/>
  <c r="A828" i="7"/>
  <c r="B827" i="7"/>
  <c r="A827" i="7"/>
  <c r="B826" i="7"/>
  <c r="A826" i="7"/>
  <c r="B825" i="7"/>
  <c r="A825" i="7"/>
  <c r="B824" i="7"/>
  <c r="A824" i="7"/>
  <c r="B823" i="7"/>
  <c r="A823" i="7"/>
  <c r="B822" i="7"/>
  <c r="A822" i="7"/>
  <c r="B821" i="7"/>
  <c r="A821" i="7"/>
  <c r="B820" i="7"/>
  <c r="A820" i="7"/>
  <c r="B819" i="7"/>
  <c r="A819" i="7"/>
  <c r="B818" i="7"/>
  <c r="A818" i="7"/>
  <c r="B817" i="7"/>
  <c r="A817" i="7"/>
  <c r="B816" i="7"/>
  <c r="A816" i="7"/>
  <c r="B815" i="7"/>
  <c r="A815" i="7"/>
  <c r="B814" i="7"/>
  <c r="A814" i="7"/>
  <c r="B813" i="7"/>
  <c r="A813" i="7"/>
  <c r="B812" i="7"/>
  <c r="A812" i="7"/>
  <c r="B811" i="7"/>
  <c r="A811" i="7"/>
  <c r="B810" i="7"/>
  <c r="A810" i="7"/>
  <c r="B809" i="7"/>
  <c r="A809" i="7"/>
  <c r="B808" i="7"/>
  <c r="A808" i="7"/>
  <c r="B807" i="7"/>
  <c r="A807" i="7"/>
  <c r="B806" i="7"/>
  <c r="A806" i="7"/>
  <c r="B805" i="7"/>
  <c r="A805" i="7"/>
  <c r="B804" i="7"/>
  <c r="A804" i="7"/>
  <c r="B803" i="7"/>
  <c r="A803" i="7"/>
  <c r="B802" i="7"/>
  <c r="A802" i="7"/>
  <c r="B801" i="7"/>
  <c r="A801" i="7"/>
  <c r="B800" i="7"/>
  <c r="A800" i="7"/>
  <c r="B799" i="7"/>
  <c r="A799" i="7"/>
  <c r="B798" i="7"/>
  <c r="A798" i="7"/>
  <c r="B797" i="7"/>
  <c r="A797" i="7"/>
  <c r="B796" i="7"/>
  <c r="A796" i="7"/>
  <c r="B795" i="7"/>
  <c r="A795" i="7"/>
  <c r="B794" i="7"/>
  <c r="A794" i="7"/>
  <c r="B793" i="7"/>
  <c r="A793" i="7"/>
  <c r="B792" i="7"/>
  <c r="A792" i="7"/>
  <c r="B791" i="7"/>
  <c r="A791" i="7"/>
  <c r="B790" i="7"/>
  <c r="A790" i="7"/>
  <c r="B789" i="7"/>
  <c r="A789" i="7"/>
  <c r="B788" i="7"/>
  <c r="A788" i="7"/>
  <c r="B787" i="7"/>
  <c r="A787" i="7"/>
  <c r="B786" i="7"/>
  <c r="A786" i="7"/>
  <c r="B785" i="7"/>
  <c r="A785" i="7"/>
  <c r="B784" i="7"/>
  <c r="A784" i="7"/>
  <c r="B783" i="7"/>
  <c r="A783" i="7"/>
  <c r="B782" i="7"/>
  <c r="A782" i="7"/>
  <c r="B781" i="7"/>
  <c r="A781" i="7"/>
  <c r="B780" i="7"/>
  <c r="A780" i="7"/>
  <c r="B779" i="7"/>
  <c r="A779" i="7"/>
  <c r="B778" i="7"/>
  <c r="A778" i="7"/>
  <c r="B777" i="7"/>
  <c r="A777" i="7"/>
  <c r="B776" i="7"/>
  <c r="A776" i="7"/>
  <c r="B775" i="7"/>
  <c r="A775" i="7"/>
  <c r="B774" i="7"/>
  <c r="A774" i="7"/>
  <c r="B773" i="7"/>
  <c r="A773" i="7"/>
  <c r="B772" i="7"/>
  <c r="A772" i="7"/>
  <c r="B771" i="7"/>
  <c r="A771" i="7"/>
  <c r="B770" i="7"/>
  <c r="A770" i="7"/>
  <c r="B769" i="7"/>
  <c r="A769" i="7"/>
  <c r="B768" i="7"/>
  <c r="A768" i="7"/>
  <c r="B767" i="7"/>
  <c r="A767" i="7"/>
  <c r="B766" i="7"/>
  <c r="A766" i="7"/>
  <c r="B765" i="7"/>
  <c r="A765" i="7"/>
  <c r="B764" i="7"/>
  <c r="A764" i="7"/>
  <c r="B763" i="7"/>
  <c r="A763" i="7"/>
  <c r="B762" i="7"/>
  <c r="A762" i="7"/>
  <c r="B761" i="7"/>
  <c r="A761" i="7"/>
  <c r="B760" i="7"/>
  <c r="A760" i="7"/>
  <c r="B759" i="7"/>
  <c r="A759" i="7"/>
  <c r="B758" i="7"/>
  <c r="A758" i="7"/>
  <c r="B757" i="7"/>
  <c r="A757" i="7"/>
  <c r="B756" i="7"/>
  <c r="A756" i="7"/>
  <c r="B755" i="7"/>
  <c r="A755" i="7"/>
  <c r="B754" i="7"/>
  <c r="A754" i="7"/>
  <c r="B753" i="7"/>
  <c r="A753" i="7"/>
  <c r="B752" i="7"/>
  <c r="A752" i="7"/>
  <c r="B751" i="7"/>
  <c r="A751" i="7"/>
  <c r="B750" i="7"/>
  <c r="A750" i="7"/>
  <c r="B749" i="7"/>
  <c r="A749" i="7"/>
  <c r="B748" i="7"/>
  <c r="A748" i="7"/>
  <c r="B747" i="7"/>
  <c r="A747" i="7"/>
  <c r="B746" i="7"/>
  <c r="A746" i="7"/>
  <c r="B745" i="7"/>
  <c r="A745" i="7"/>
  <c r="B744" i="7"/>
  <c r="A744" i="7"/>
  <c r="B743" i="7"/>
  <c r="A743" i="7"/>
  <c r="B742" i="7"/>
  <c r="A742" i="7"/>
  <c r="B741" i="7"/>
  <c r="A741" i="7"/>
  <c r="B740" i="7"/>
  <c r="A740" i="7"/>
  <c r="B739" i="7"/>
  <c r="A739" i="7"/>
  <c r="B738" i="7"/>
  <c r="A738" i="7"/>
  <c r="B737" i="7"/>
  <c r="A737" i="7"/>
  <c r="B736" i="7"/>
  <c r="A736" i="7"/>
  <c r="B735" i="7"/>
  <c r="A735" i="7"/>
  <c r="B734" i="7"/>
  <c r="A734" i="7"/>
  <c r="B733" i="7"/>
  <c r="A733" i="7"/>
  <c r="B732" i="7"/>
  <c r="A732" i="7"/>
  <c r="B731" i="7"/>
  <c r="A731" i="7"/>
  <c r="B730" i="7"/>
  <c r="A730" i="7"/>
  <c r="B729" i="7"/>
  <c r="A729" i="7"/>
  <c r="B728" i="7"/>
  <c r="A728" i="7"/>
  <c r="B727" i="7"/>
  <c r="A727" i="7"/>
  <c r="B726" i="7"/>
  <c r="A726" i="7"/>
  <c r="B725" i="7"/>
  <c r="A725" i="7"/>
  <c r="B724" i="7"/>
  <c r="A724" i="7"/>
  <c r="B723" i="7"/>
  <c r="A723" i="7"/>
  <c r="B722" i="7"/>
  <c r="A722" i="7"/>
  <c r="B721" i="7"/>
  <c r="A721" i="7"/>
  <c r="B720" i="7"/>
  <c r="A720" i="7"/>
  <c r="B719" i="7"/>
  <c r="A719" i="7"/>
  <c r="B718" i="7"/>
  <c r="A718" i="7"/>
  <c r="B717" i="7"/>
  <c r="A717" i="7"/>
  <c r="B716" i="7"/>
  <c r="A716" i="7"/>
  <c r="B715" i="7"/>
  <c r="A715" i="7"/>
  <c r="B714" i="7"/>
  <c r="A714" i="7"/>
  <c r="B713" i="7"/>
  <c r="A713" i="7"/>
  <c r="B712" i="7"/>
  <c r="A712" i="7"/>
  <c r="B711" i="7"/>
  <c r="A711" i="7"/>
  <c r="B710" i="7"/>
  <c r="A710" i="7"/>
  <c r="B709" i="7"/>
  <c r="A709" i="7"/>
  <c r="B708" i="7"/>
  <c r="A708" i="7"/>
  <c r="B707" i="7"/>
  <c r="A707" i="7"/>
  <c r="B706" i="7"/>
  <c r="A706" i="7"/>
  <c r="B705" i="7"/>
  <c r="A705" i="7"/>
  <c r="B704" i="7"/>
  <c r="A704" i="7"/>
  <c r="B703" i="7"/>
  <c r="A703" i="7"/>
  <c r="B702" i="7"/>
  <c r="A702" i="7"/>
  <c r="B701" i="7"/>
  <c r="A701" i="7"/>
  <c r="B700" i="7"/>
  <c r="A700" i="7"/>
  <c r="B699" i="7"/>
  <c r="A699" i="7"/>
  <c r="B698" i="7"/>
  <c r="A698" i="7"/>
  <c r="B697" i="7"/>
  <c r="A697" i="7"/>
  <c r="B696" i="7"/>
  <c r="A696" i="7"/>
  <c r="B695" i="7"/>
  <c r="A695" i="7"/>
  <c r="B694" i="7"/>
  <c r="A694" i="7"/>
  <c r="B693" i="7"/>
  <c r="A693" i="7"/>
  <c r="B692" i="7"/>
  <c r="A692" i="7"/>
  <c r="B691" i="7"/>
  <c r="A691" i="7"/>
  <c r="B690" i="7"/>
  <c r="A690" i="7"/>
  <c r="B689" i="7"/>
  <c r="A689" i="7"/>
  <c r="B688" i="7"/>
  <c r="A688" i="7"/>
  <c r="B687" i="7"/>
  <c r="A687" i="7"/>
  <c r="B686" i="7"/>
  <c r="A686" i="7"/>
  <c r="B685" i="7"/>
  <c r="A685" i="7"/>
  <c r="B684" i="7"/>
  <c r="A684" i="7"/>
  <c r="B683" i="7"/>
  <c r="A683" i="7"/>
  <c r="B682" i="7"/>
  <c r="A682" i="7"/>
  <c r="B681" i="7"/>
  <c r="A681" i="7"/>
  <c r="B680" i="7"/>
  <c r="A680" i="7"/>
  <c r="B679" i="7"/>
  <c r="A679" i="7"/>
  <c r="B678" i="7"/>
  <c r="A678" i="7"/>
  <c r="B677" i="7"/>
  <c r="A677" i="7"/>
  <c r="B676" i="7"/>
  <c r="A676" i="7"/>
  <c r="B675" i="7"/>
  <c r="A675" i="7"/>
  <c r="B674" i="7"/>
  <c r="A674" i="7"/>
  <c r="B673" i="7"/>
  <c r="A673" i="7"/>
  <c r="B672" i="7"/>
  <c r="A672" i="7"/>
  <c r="B671" i="7"/>
  <c r="A671" i="7"/>
  <c r="B670" i="7"/>
  <c r="A670" i="7"/>
  <c r="B669" i="7"/>
  <c r="A669" i="7"/>
  <c r="B668" i="7"/>
  <c r="A668" i="7"/>
  <c r="B667" i="7"/>
  <c r="A667" i="7"/>
  <c r="B666" i="7"/>
  <c r="A666" i="7"/>
  <c r="B665" i="7"/>
  <c r="A665" i="7"/>
  <c r="B664" i="7"/>
  <c r="A664" i="7"/>
  <c r="B663" i="7"/>
  <c r="A663" i="7"/>
  <c r="B662" i="7"/>
  <c r="A662" i="7"/>
  <c r="B661" i="7"/>
  <c r="A661" i="7"/>
  <c r="B660" i="7"/>
  <c r="A660" i="7"/>
  <c r="B659" i="7"/>
  <c r="A659" i="7"/>
  <c r="B658" i="7"/>
  <c r="A658" i="7"/>
  <c r="B657" i="7"/>
  <c r="A657" i="7"/>
  <c r="B656" i="7"/>
  <c r="A656" i="7"/>
  <c r="B655" i="7"/>
  <c r="A655" i="7"/>
  <c r="B654" i="7"/>
  <c r="A654" i="7"/>
  <c r="B653" i="7"/>
  <c r="A653" i="7"/>
  <c r="B652" i="7"/>
  <c r="A652" i="7"/>
  <c r="B651" i="7"/>
  <c r="A651" i="7"/>
  <c r="B650" i="7"/>
  <c r="A650" i="7"/>
  <c r="B649" i="7"/>
  <c r="A649" i="7"/>
  <c r="B648" i="7"/>
  <c r="A648" i="7"/>
  <c r="B647" i="7"/>
  <c r="A647" i="7"/>
  <c r="B646" i="7"/>
  <c r="A646" i="7"/>
  <c r="B645" i="7"/>
  <c r="A645" i="7"/>
  <c r="B644" i="7"/>
  <c r="A644" i="7"/>
  <c r="B643" i="7"/>
  <c r="A643" i="7"/>
  <c r="B642" i="7"/>
  <c r="A642" i="7"/>
  <c r="B641" i="7"/>
  <c r="A641" i="7"/>
  <c r="B640" i="7"/>
  <c r="A640" i="7"/>
  <c r="B639" i="7"/>
  <c r="A639" i="7"/>
  <c r="B638" i="7"/>
  <c r="A638" i="7"/>
  <c r="B637" i="7"/>
  <c r="A637" i="7"/>
  <c r="B636" i="7"/>
  <c r="A636" i="7"/>
  <c r="B635" i="7"/>
  <c r="A635" i="7"/>
  <c r="B634" i="7"/>
  <c r="A634" i="7"/>
  <c r="B633" i="7"/>
  <c r="A633" i="7"/>
  <c r="B632" i="7"/>
  <c r="A632" i="7"/>
  <c r="B631" i="7"/>
  <c r="A631" i="7"/>
  <c r="B630" i="7"/>
  <c r="A630" i="7"/>
  <c r="B629" i="7"/>
  <c r="A629" i="7"/>
  <c r="B628" i="7"/>
  <c r="A628" i="7"/>
  <c r="B627" i="7"/>
  <c r="A627" i="7"/>
  <c r="B626" i="7"/>
  <c r="A626" i="7"/>
  <c r="B625" i="7"/>
  <c r="A625" i="7"/>
  <c r="B624" i="7"/>
  <c r="A624" i="7"/>
  <c r="B623" i="7"/>
  <c r="A623" i="7"/>
  <c r="B622" i="7"/>
  <c r="A622" i="7"/>
  <c r="B621" i="7"/>
  <c r="A621" i="7"/>
  <c r="B620" i="7"/>
  <c r="A620" i="7"/>
  <c r="B619" i="7"/>
  <c r="A619" i="7"/>
  <c r="B618" i="7"/>
  <c r="A618" i="7"/>
  <c r="B617" i="7"/>
  <c r="A617" i="7"/>
  <c r="B616" i="7"/>
  <c r="A616" i="7"/>
  <c r="B615" i="7"/>
  <c r="A615" i="7"/>
  <c r="B614" i="7"/>
  <c r="A614" i="7"/>
  <c r="B613" i="7"/>
  <c r="A613" i="7"/>
  <c r="B612" i="7"/>
  <c r="A612" i="7"/>
  <c r="B611" i="7"/>
  <c r="A611" i="7"/>
  <c r="B610" i="7"/>
  <c r="A610" i="7"/>
  <c r="B609" i="7"/>
  <c r="A609" i="7"/>
  <c r="B608" i="7"/>
  <c r="A608" i="7"/>
  <c r="B607" i="7"/>
  <c r="A607" i="7"/>
  <c r="B606" i="7"/>
  <c r="A606" i="7"/>
  <c r="B605" i="7"/>
  <c r="A605" i="7"/>
  <c r="B604" i="7"/>
  <c r="A604" i="7"/>
  <c r="B603" i="7"/>
  <c r="A603" i="7"/>
  <c r="B602" i="7"/>
  <c r="A602" i="7"/>
  <c r="B601" i="7"/>
  <c r="A601" i="7"/>
  <c r="B600" i="7"/>
  <c r="A600" i="7"/>
  <c r="B599" i="7"/>
  <c r="A599" i="7"/>
  <c r="B598" i="7"/>
  <c r="A598" i="7"/>
  <c r="B597" i="7"/>
  <c r="A597" i="7"/>
  <c r="B596" i="7"/>
  <c r="A596" i="7"/>
  <c r="B595" i="7"/>
  <c r="A595" i="7"/>
  <c r="B594" i="7"/>
  <c r="A594" i="7"/>
  <c r="B593" i="7"/>
  <c r="A593" i="7"/>
  <c r="B592" i="7"/>
  <c r="A592" i="7"/>
  <c r="B591" i="7"/>
  <c r="A591" i="7"/>
  <c r="B590" i="7"/>
  <c r="A590" i="7"/>
  <c r="B589" i="7"/>
  <c r="A589" i="7"/>
  <c r="B588" i="7"/>
  <c r="A588" i="7"/>
  <c r="B587" i="7"/>
  <c r="A587" i="7"/>
  <c r="B586" i="7"/>
  <c r="A586" i="7"/>
  <c r="B585" i="7"/>
  <c r="A585" i="7"/>
  <c r="B584" i="7"/>
  <c r="A584" i="7"/>
  <c r="B583" i="7"/>
  <c r="A583" i="7"/>
  <c r="B582" i="7"/>
  <c r="A582" i="7"/>
  <c r="B581" i="7"/>
  <c r="A581" i="7"/>
  <c r="B580" i="7"/>
  <c r="A580" i="7"/>
  <c r="B579" i="7"/>
  <c r="A579" i="7"/>
  <c r="B578" i="7"/>
  <c r="A578" i="7"/>
  <c r="B577" i="7"/>
  <c r="A577" i="7"/>
  <c r="B576" i="7"/>
  <c r="A576" i="7"/>
  <c r="B575" i="7"/>
  <c r="A575" i="7"/>
  <c r="B574" i="7"/>
  <c r="A574" i="7"/>
  <c r="B573" i="7"/>
  <c r="A573" i="7"/>
  <c r="B572" i="7"/>
  <c r="A572" i="7"/>
  <c r="B571" i="7"/>
  <c r="A571" i="7"/>
  <c r="B570" i="7"/>
  <c r="A570" i="7"/>
  <c r="B569" i="7"/>
  <c r="A569" i="7"/>
  <c r="B568" i="7"/>
  <c r="A568" i="7"/>
  <c r="B567" i="7"/>
  <c r="A567" i="7"/>
  <c r="B566" i="7"/>
  <c r="A566" i="7"/>
  <c r="B565" i="7"/>
  <c r="A565" i="7"/>
  <c r="B564" i="7"/>
  <c r="A564" i="7"/>
  <c r="B563" i="7"/>
  <c r="A563" i="7"/>
  <c r="B562" i="7"/>
  <c r="A562" i="7"/>
  <c r="B561" i="7"/>
  <c r="A561" i="7"/>
  <c r="B560" i="7"/>
  <c r="A560" i="7"/>
  <c r="B559" i="7"/>
  <c r="A559" i="7"/>
  <c r="B558" i="7"/>
  <c r="A558" i="7"/>
  <c r="B557" i="7"/>
  <c r="A557" i="7"/>
  <c r="B556" i="7"/>
  <c r="A556" i="7"/>
  <c r="B555" i="7"/>
  <c r="A555" i="7"/>
  <c r="B554" i="7"/>
  <c r="A554" i="7"/>
  <c r="B553" i="7"/>
  <c r="A553" i="7"/>
  <c r="B552" i="7"/>
  <c r="A552" i="7"/>
  <c r="B551" i="7"/>
  <c r="A551" i="7"/>
  <c r="B550" i="7"/>
  <c r="A550" i="7"/>
  <c r="B549" i="7"/>
  <c r="A549" i="7"/>
  <c r="B548" i="7"/>
  <c r="A548" i="7"/>
  <c r="B547" i="7"/>
  <c r="A547" i="7"/>
  <c r="B546" i="7"/>
  <c r="A546" i="7"/>
  <c r="B545" i="7"/>
  <c r="A545" i="7"/>
  <c r="B544" i="7"/>
  <c r="A544" i="7"/>
  <c r="B543" i="7"/>
  <c r="A543" i="7"/>
  <c r="B542" i="7"/>
  <c r="A542" i="7"/>
  <c r="B541" i="7"/>
  <c r="A541" i="7"/>
  <c r="B540" i="7"/>
  <c r="A540" i="7"/>
  <c r="B539" i="7"/>
  <c r="A539" i="7"/>
  <c r="B538" i="7"/>
  <c r="A538" i="7"/>
  <c r="B537" i="7"/>
  <c r="A537" i="7"/>
  <c r="B536" i="7"/>
  <c r="A536" i="7"/>
  <c r="B535" i="7"/>
  <c r="A535" i="7"/>
  <c r="B534" i="7"/>
  <c r="A534" i="7"/>
  <c r="B533" i="7"/>
  <c r="A533" i="7"/>
  <c r="B532" i="7"/>
  <c r="A532" i="7"/>
  <c r="B531" i="7"/>
  <c r="A531" i="7"/>
  <c r="B530" i="7"/>
  <c r="A530" i="7"/>
  <c r="B529" i="7"/>
  <c r="A529" i="7"/>
  <c r="B528" i="7"/>
  <c r="A528" i="7"/>
  <c r="B527" i="7"/>
  <c r="A527" i="7"/>
  <c r="B526" i="7"/>
  <c r="A526" i="7"/>
  <c r="B525" i="7"/>
  <c r="A525" i="7"/>
  <c r="B524" i="7"/>
  <c r="A524" i="7"/>
  <c r="B523" i="7"/>
  <c r="A523" i="7"/>
  <c r="B522" i="7"/>
  <c r="A522" i="7"/>
  <c r="B521" i="7"/>
  <c r="A521" i="7"/>
  <c r="B520" i="7"/>
  <c r="A520" i="7"/>
  <c r="B519" i="7"/>
  <c r="A519" i="7"/>
  <c r="B518" i="7"/>
  <c r="A518" i="7"/>
  <c r="B517" i="7"/>
  <c r="A517" i="7"/>
  <c r="B516" i="7"/>
  <c r="A516" i="7"/>
  <c r="B515" i="7"/>
  <c r="A515" i="7"/>
  <c r="B514" i="7"/>
  <c r="A514" i="7"/>
  <c r="B513" i="7"/>
  <c r="A513" i="7"/>
  <c r="B512" i="7"/>
  <c r="A512" i="7"/>
  <c r="B511" i="7"/>
  <c r="A511" i="7"/>
  <c r="B510" i="7"/>
  <c r="A510" i="7"/>
  <c r="B509" i="7"/>
  <c r="A509" i="7"/>
  <c r="B508" i="7"/>
  <c r="A508" i="7"/>
  <c r="B507" i="7"/>
  <c r="A507" i="7"/>
  <c r="B506" i="7"/>
  <c r="A506" i="7"/>
  <c r="B505" i="7"/>
  <c r="A505" i="7"/>
  <c r="B504" i="7"/>
  <c r="A504" i="7"/>
  <c r="B503" i="7"/>
  <c r="A503" i="7"/>
  <c r="B502" i="7"/>
  <c r="A502" i="7"/>
  <c r="B501" i="7"/>
  <c r="A501" i="7"/>
  <c r="B500" i="7"/>
  <c r="A500" i="7"/>
  <c r="B499" i="7"/>
  <c r="A499" i="7"/>
  <c r="B498" i="7"/>
  <c r="A498" i="7"/>
  <c r="B497" i="7"/>
  <c r="A497" i="7"/>
  <c r="B496" i="7"/>
  <c r="A496" i="7"/>
  <c r="B495" i="7"/>
  <c r="A495" i="7"/>
  <c r="B494" i="7"/>
  <c r="A494" i="7"/>
  <c r="B493" i="7"/>
  <c r="A493" i="7"/>
  <c r="B492" i="7"/>
  <c r="A492" i="7"/>
  <c r="B491" i="7"/>
  <c r="A491" i="7"/>
  <c r="B490" i="7"/>
  <c r="A490" i="7"/>
  <c r="B489" i="7"/>
  <c r="A489" i="7"/>
  <c r="B488" i="7"/>
  <c r="A488" i="7"/>
  <c r="B487" i="7"/>
  <c r="A487" i="7"/>
  <c r="B486" i="7"/>
  <c r="A486" i="7"/>
  <c r="B485" i="7"/>
  <c r="A485" i="7"/>
  <c r="B484" i="7"/>
  <c r="A484" i="7"/>
  <c r="B483" i="7"/>
  <c r="A483" i="7"/>
  <c r="B482" i="7"/>
  <c r="A482" i="7"/>
  <c r="B481" i="7"/>
  <c r="A481" i="7"/>
  <c r="B480" i="7"/>
  <c r="A480" i="7"/>
  <c r="B479" i="7"/>
  <c r="A479" i="7"/>
  <c r="B478" i="7"/>
  <c r="A478" i="7"/>
  <c r="B477" i="7"/>
  <c r="A477" i="7"/>
  <c r="B476" i="7"/>
  <c r="A476" i="7"/>
  <c r="B475" i="7"/>
  <c r="A475" i="7"/>
  <c r="B474" i="7"/>
  <c r="A474" i="7"/>
  <c r="B473" i="7"/>
  <c r="A473" i="7"/>
  <c r="B472" i="7"/>
  <c r="A472" i="7"/>
  <c r="B471" i="7"/>
  <c r="A471" i="7"/>
  <c r="B470" i="7"/>
  <c r="A470" i="7"/>
  <c r="B469" i="7"/>
  <c r="A469" i="7"/>
  <c r="B468" i="7"/>
  <c r="A468" i="7"/>
  <c r="B467" i="7"/>
  <c r="A467" i="7"/>
  <c r="B466" i="7"/>
  <c r="A466" i="7"/>
  <c r="B465" i="7"/>
  <c r="A465" i="7"/>
  <c r="B464" i="7"/>
  <c r="A464" i="7"/>
  <c r="B463" i="7"/>
  <c r="A463" i="7"/>
  <c r="B462" i="7"/>
  <c r="A462" i="7"/>
  <c r="B461" i="7"/>
  <c r="A461" i="7"/>
  <c r="B460" i="7"/>
  <c r="A460" i="7"/>
  <c r="B459" i="7"/>
  <c r="A459" i="7"/>
  <c r="B458" i="7"/>
  <c r="A458" i="7"/>
  <c r="B457" i="7"/>
  <c r="A457" i="7"/>
  <c r="B456" i="7"/>
  <c r="A456" i="7"/>
  <c r="B455" i="7"/>
  <c r="A455" i="7"/>
  <c r="B454" i="7"/>
  <c r="A454" i="7"/>
  <c r="B453" i="7"/>
  <c r="A453" i="7"/>
  <c r="B452" i="7"/>
  <c r="A452" i="7"/>
  <c r="B451" i="7"/>
  <c r="A451" i="7"/>
  <c r="B450" i="7"/>
  <c r="A450" i="7"/>
  <c r="B449" i="7"/>
  <c r="A449" i="7"/>
  <c r="B448" i="7"/>
  <c r="A448" i="7"/>
  <c r="B447" i="7"/>
  <c r="A447" i="7"/>
  <c r="B446" i="7"/>
  <c r="A446" i="7"/>
  <c r="B445" i="7"/>
  <c r="A445" i="7"/>
  <c r="B444" i="7"/>
  <c r="A444" i="7"/>
  <c r="B443" i="7"/>
  <c r="A443" i="7"/>
  <c r="B442" i="7"/>
  <c r="A442" i="7"/>
  <c r="B441" i="7"/>
  <c r="A441" i="7"/>
  <c r="B440" i="7"/>
  <c r="A440" i="7"/>
  <c r="B439" i="7"/>
  <c r="A439" i="7"/>
  <c r="B438" i="7"/>
  <c r="A438" i="7"/>
  <c r="B437" i="7"/>
  <c r="A437" i="7"/>
  <c r="B436" i="7"/>
  <c r="A436" i="7"/>
  <c r="B435" i="7"/>
  <c r="A435" i="7"/>
  <c r="B434" i="7"/>
  <c r="A434" i="7"/>
  <c r="B433" i="7"/>
  <c r="A433" i="7"/>
  <c r="B432" i="7"/>
  <c r="A432" i="7"/>
  <c r="B431" i="7"/>
  <c r="A431" i="7"/>
  <c r="B430" i="7"/>
  <c r="A430" i="7"/>
  <c r="B429" i="7"/>
  <c r="A429" i="7"/>
  <c r="B428" i="7"/>
  <c r="A428" i="7"/>
  <c r="B427" i="7"/>
  <c r="A427" i="7"/>
  <c r="B426" i="7"/>
  <c r="A426" i="7"/>
  <c r="B425" i="7"/>
  <c r="A425" i="7"/>
  <c r="B424" i="7"/>
  <c r="A424" i="7"/>
  <c r="B423" i="7"/>
  <c r="A423" i="7"/>
  <c r="B422" i="7"/>
  <c r="A422" i="7"/>
  <c r="B421" i="7"/>
  <c r="A421" i="7"/>
  <c r="B420" i="7"/>
  <c r="A420" i="7"/>
  <c r="B419" i="7"/>
  <c r="A419" i="7"/>
  <c r="B418" i="7"/>
  <c r="A418" i="7"/>
  <c r="B417" i="7"/>
  <c r="A417" i="7"/>
  <c r="B416" i="7"/>
  <c r="A416" i="7"/>
  <c r="B415" i="7"/>
  <c r="A415" i="7"/>
  <c r="B414" i="7"/>
  <c r="A414" i="7"/>
  <c r="B413" i="7"/>
  <c r="A413" i="7"/>
  <c r="B412" i="7"/>
  <c r="A412" i="7"/>
  <c r="B411" i="7"/>
  <c r="A411" i="7"/>
  <c r="B410" i="7"/>
  <c r="A410" i="7"/>
  <c r="B409" i="7"/>
  <c r="A409" i="7"/>
  <c r="B408" i="7"/>
  <c r="A408" i="7"/>
  <c r="B407" i="7"/>
  <c r="A407" i="7"/>
  <c r="B406" i="7"/>
  <c r="A406" i="7"/>
  <c r="B405" i="7"/>
  <c r="A405" i="7"/>
  <c r="B404" i="7"/>
  <c r="A404" i="7"/>
  <c r="B403" i="7"/>
  <c r="A403" i="7"/>
  <c r="B402" i="7"/>
  <c r="A402" i="7"/>
  <c r="B401" i="7"/>
  <c r="A401" i="7"/>
  <c r="B400" i="7"/>
  <c r="A400" i="7"/>
  <c r="B399" i="7"/>
  <c r="A399" i="7"/>
  <c r="B398" i="7"/>
  <c r="A398" i="7"/>
  <c r="B397" i="7"/>
  <c r="A397" i="7"/>
  <c r="B396" i="7"/>
  <c r="A396" i="7"/>
  <c r="B395" i="7"/>
  <c r="A395" i="7"/>
  <c r="B394" i="7"/>
  <c r="A394" i="7"/>
  <c r="B393" i="7"/>
  <c r="A393" i="7"/>
  <c r="B392" i="7"/>
  <c r="A392" i="7"/>
  <c r="B391" i="7"/>
  <c r="A391" i="7"/>
  <c r="B390" i="7"/>
  <c r="A390" i="7"/>
  <c r="B389" i="7"/>
  <c r="A389" i="7"/>
  <c r="B388" i="7"/>
  <c r="A388" i="7"/>
  <c r="B387" i="7"/>
  <c r="A387" i="7"/>
  <c r="B386" i="7"/>
  <c r="A386" i="7"/>
  <c r="B385" i="7"/>
  <c r="A385" i="7"/>
  <c r="B384" i="7"/>
  <c r="A384" i="7"/>
  <c r="B383" i="7"/>
  <c r="A383" i="7"/>
  <c r="B382" i="7"/>
  <c r="A382" i="7"/>
  <c r="B381" i="7"/>
  <c r="A381" i="7"/>
  <c r="B380" i="7"/>
  <c r="A380" i="7"/>
  <c r="B379" i="7"/>
  <c r="A379" i="7"/>
  <c r="B378" i="7"/>
  <c r="A378" i="7"/>
  <c r="B377" i="7"/>
  <c r="A377" i="7"/>
  <c r="B376" i="7"/>
  <c r="A376" i="7"/>
  <c r="B375" i="7"/>
  <c r="A375" i="7"/>
  <c r="B374" i="7"/>
  <c r="A374" i="7"/>
  <c r="B373" i="7"/>
  <c r="A373" i="7"/>
  <c r="B372" i="7"/>
  <c r="A372" i="7"/>
  <c r="B371" i="7"/>
  <c r="A371" i="7"/>
  <c r="B370" i="7"/>
  <c r="A370" i="7"/>
  <c r="B369" i="7"/>
  <c r="A369" i="7"/>
  <c r="B368" i="7"/>
  <c r="A368" i="7"/>
  <c r="B367" i="7"/>
  <c r="A367" i="7"/>
  <c r="B366" i="7"/>
  <c r="A366" i="7"/>
  <c r="B365" i="7"/>
  <c r="A365" i="7"/>
  <c r="B364" i="7"/>
  <c r="A364" i="7"/>
  <c r="B363" i="7"/>
  <c r="A363" i="7"/>
  <c r="B362" i="7"/>
  <c r="A362" i="7"/>
  <c r="B361" i="7"/>
  <c r="A361" i="7"/>
  <c r="B360" i="7"/>
  <c r="A360" i="7"/>
  <c r="B359" i="7"/>
  <c r="A359" i="7"/>
  <c r="B358" i="7"/>
  <c r="A358" i="7"/>
  <c r="B357" i="7"/>
  <c r="A357" i="7"/>
  <c r="B356" i="7"/>
  <c r="A356" i="7"/>
  <c r="B355" i="7"/>
  <c r="A355" i="7"/>
  <c r="B354" i="7"/>
  <c r="A354" i="7"/>
  <c r="B353" i="7"/>
  <c r="A353" i="7"/>
  <c r="B352" i="7"/>
  <c r="A352" i="7"/>
  <c r="B351" i="7"/>
  <c r="A351" i="7"/>
  <c r="B350" i="7"/>
  <c r="A350" i="7"/>
  <c r="B349" i="7"/>
  <c r="A349" i="7"/>
  <c r="B348" i="7"/>
  <c r="A348" i="7"/>
  <c r="B347" i="7"/>
  <c r="A347" i="7"/>
  <c r="B346" i="7"/>
  <c r="A346" i="7"/>
  <c r="B345" i="7"/>
  <c r="A345" i="7"/>
  <c r="B344" i="7"/>
  <c r="A344" i="7"/>
  <c r="B343" i="7"/>
  <c r="A343" i="7"/>
  <c r="B342" i="7"/>
  <c r="A342" i="7"/>
  <c r="B341" i="7"/>
  <c r="A341" i="7"/>
  <c r="B340" i="7"/>
  <c r="A340" i="7"/>
  <c r="B339" i="7"/>
  <c r="A339" i="7"/>
  <c r="B338" i="7"/>
  <c r="A338" i="7"/>
  <c r="B337" i="7"/>
  <c r="A337" i="7"/>
  <c r="B336" i="7"/>
  <c r="A336" i="7"/>
  <c r="B335" i="7"/>
  <c r="A335" i="7"/>
  <c r="B334" i="7"/>
  <c r="A334" i="7"/>
  <c r="B333" i="7"/>
  <c r="A333" i="7"/>
  <c r="B332" i="7"/>
  <c r="A332" i="7"/>
  <c r="B331" i="7"/>
  <c r="A331" i="7"/>
  <c r="B330" i="7"/>
  <c r="A330" i="7"/>
  <c r="B329" i="7"/>
  <c r="A329" i="7"/>
  <c r="B328" i="7"/>
  <c r="A328" i="7"/>
  <c r="B327" i="7"/>
  <c r="A327" i="7"/>
  <c r="B326" i="7"/>
  <c r="A326" i="7"/>
  <c r="B325" i="7"/>
  <c r="A325" i="7"/>
  <c r="B324" i="7"/>
  <c r="A324" i="7"/>
  <c r="B323" i="7"/>
  <c r="A323" i="7"/>
  <c r="B322" i="7"/>
  <c r="A322" i="7"/>
  <c r="B321" i="7"/>
  <c r="A321" i="7"/>
  <c r="B320" i="7"/>
  <c r="A320" i="7"/>
  <c r="B319" i="7"/>
  <c r="A319" i="7"/>
  <c r="B318" i="7"/>
  <c r="A318" i="7"/>
  <c r="B317" i="7"/>
  <c r="A317" i="7"/>
  <c r="B316" i="7"/>
  <c r="A316" i="7"/>
  <c r="B315" i="7"/>
  <c r="A315" i="7"/>
  <c r="B314" i="7"/>
  <c r="A314" i="7"/>
  <c r="B313" i="7"/>
  <c r="A313" i="7"/>
  <c r="B312" i="7"/>
  <c r="A312" i="7"/>
  <c r="B311" i="7"/>
  <c r="A311" i="7"/>
  <c r="B310" i="7"/>
  <c r="A310" i="7"/>
  <c r="B309" i="7"/>
  <c r="A309" i="7"/>
  <c r="B308" i="7"/>
  <c r="A308" i="7"/>
  <c r="B307" i="7"/>
  <c r="A307" i="7"/>
  <c r="B306" i="7"/>
  <c r="A306" i="7"/>
  <c r="B305" i="7"/>
  <c r="A305" i="7"/>
  <c r="B304" i="7"/>
  <c r="A304" i="7"/>
  <c r="B303" i="7"/>
  <c r="A303" i="7"/>
  <c r="B302" i="7"/>
  <c r="A302" i="7"/>
  <c r="B301" i="7"/>
  <c r="A301" i="7"/>
  <c r="B300" i="7"/>
  <c r="A300" i="7"/>
  <c r="B299" i="7"/>
  <c r="A299" i="7"/>
  <c r="B298" i="7"/>
  <c r="A298" i="7"/>
  <c r="B297" i="7"/>
  <c r="A297" i="7"/>
  <c r="B296" i="7"/>
  <c r="A296" i="7"/>
  <c r="B295" i="7"/>
  <c r="A295" i="7"/>
  <c r="B294" i="7"/>
  <c r="A294" i="7"/>
  <c r="B293" i="7"/>
  <c r="A293" i="7"/>
  <c r="B292" i="7"/>
  <c r="A292" i="7"/>
  <c r="B291" i="7"/>
  <c r="A291" i="7"/>
  <c r="B290" i="7"/>
  <c r="A290" i="7"/>
  <c r="B289" i="7"/>
  <c r="A289" i="7"/>
  <c r="B288" i="7"/>
  <c r="A288" i="7"/>
  <c r="B287" i="7"/>
  <c r="A287" i="7"/>
  <c r="B286" i="7"/>
  <c r="A286" i="7"/>
  <c r="B285" i="7"/>
  <c r="A285" i="7"/>
  <c r="B284" i="7"/>
  <c r="A284" i="7"/>
  <c r="B283" i="7"/>
  <c r="A283" i="7"/>
  <c r="B282" i="7"/>
  <c r="A282" i="7"/>
  <c r="B281" i="7"/>
  <c r="A281" i="7"/>
  <c r="B280" i="7"/>
  <c r="A280" i="7"/>
  <c r="B279" i="7"/>
  <c r="A279" i="7"/>
  <c r="B278" i="7"/>
  <c r="A278" i="7"/>
  <c r="B277" i="7"/>
  <c r="A277" i="7"/>
  <c r="B276" i="7"/>
  <c r="A276" i="7"/>
  <c r="B275" i="7"/>
  <c r="A275" i="7"/>
  <c r="B274" i="7"/>
  <c r="A274" i="7"/>
  <c r="B273" i="7"/>
  <c r="A273" i="7"/>
  <c r="B272" i="7"/>
  <c r="A272" i="7"/>
  <c r="B271" i="7"/>
  <c r="A271" i="7"/>
  <c r="B270" i="7"/>
  <c r="A270" i="7"/>
  <c r="B269" i="7"/>
  <c r="A269" i="7"/>
  <c r="B268" i="7"/>
  <c r="A268" i="7"/>
  <c r="B267" i="7"/>
  <c r="A267" i="7"/>
  <c r="B266" i="7"/>
  <c r="A266" i="7"/>
  <c r="B265" i="7"/>
  <c r="A265" i="7"/>
  <c r="B264" i="7"/>
  <c r="A264" i="7"/>
  <c r="B263" i="7"/>
  <c r="A263" i="7"/>
  <c r="B262" i="7"/>
  <c r="A262" i="7"/>
  <c r="B261" i="7"/>
  <c r="A261" i="7"/>
  <c r="B260" i="7"/>
  <c r="A260" i="7"/>
  <c r="B259" i="7"/>
  <c r="A259" i="7"/>
  <c r="B258" i="7"/>
  <c r="A258" i="7"/>
  <c r="B257" i="7"/>
  <c r="A257" i="7"/>
  <c r="B256" i="7"/>
  <c r="A256" i="7"/>
  <c r="B255" i="7"/>
  <c r="A255" i="7"/>
  <c r="B254" i="7"/>
  <c r="A254" i="7"/>
  <c r="B253" i="7"/>
  <c r="A253" i="7"/>
  <c r="B252" i="7"/>
  <c r="A252" i="7"/>
  <c r="B251" i="7"/>
  <c r="A251" i="7"/>
  <c r="B250" i="7"/>
  <c r="A250" i="7"/>
  <c r="B249" i="7"/>
  <c r="A249" i="7"/>
  <c r="B248" i="7"/>
  <c r="A248" i="7"/>
  <c r="B247" i="7"/>
  <c r="A247" i="7"/>
  <c r="B246" i="7"/>
  <c r="A246" i="7"/>
  <c r="B245" i="7"/>
  <c r="A245" i="7"/>
  <c r="B244" i="7"/>
  <c r="A244" i="7"/>
  <c r="B243" i="7"/>
  <c r="A243" i="7"/>
  <c r="B242" i="7"/>
  <c r="A242" i="7"/>
  <c r="B241" i="7"/>
  <c r="A241" i="7"/>
  <c r="B240" i="7"/>
  <c r="A240" i="7"/>
  <c r="B239" i="7"/>
  <c r="A239" i="7"/>
  <c r="B238" i="7"/>
  <c r="A238" i="7"/>
  <c r="B237" i="7"/>
  <c r="A237" i="7"/>
  <c r="B236" i="7"/>
  <c r="A236" i="7"/>
  <c r="B235" i="7"/>
  <c r="A235" i="7"/>
  <c r="B234" i="7"/>
  <c r="A234" i="7"/>
  <c r="B233" i="7"/>
  <c r="A233" i="7"/>
  <c r="B232" i="7"/>
  <c r="A232" i="7"/>
  <c r="B231" i="7"/>
  <c r="A231" i="7"/>
  <c r="B230" i="7"/>
  <c r="A230" i="7"/>
  <c r="B229" i="7"/>
  <c r="A229" i="7"/>
  <c r="B228" i="7"/>
  <c r="A228" i="7"/>
  <c r="B227" i="7"/>
  <c r="A227" i="7"/>
  <c r="B226" i="7"/>
  <c r="A226" i="7"/>
  <c r="B225" i="7"/>
  <c r="A225" i="7"/>
  <c r="B224" i="7"/>
  <c r="A224" i="7"/>
  <c r="B223" i="7"/>
  <c r="A223" i="7"/>
  <c r="B222" i="7"/>
  <c r="A222" i="7"/>
  <c r="B221" i="7"/>
  <c r="A221" i="7"/>
  <c r="B220" i="7"/>
  <c r="A220" i="7"/>
  <c r="B219" i="7"/>
  <c r="A219" i="7"/>
  <c r="B218" i="7"/>
  <c r="A218" i="7"/>
  <c r="B217" i="7"/>
  <c r="A217" i="7"/>
  <c r="B216" i="7"/>
  <c r="A216" i="7"/>
  <c r="B215" i="7"/>
  <c r="A215" i="7"/>
  <c r="B214" i="7"/>
  <c r="A214" i="7"/>
  <c r="B213" i="7"/>
  <c r="A213" i="7"/>
  <c r="B212" i="7"/>
  <c r="A212" i="7"/>
  <c r="B211" i="7"/>
  <c r="A211" i="7"/>
  <c r="B210" i="7"/>
  <c r="A210" i="7"/>
  <c r="B209" i="7"/>
  <c r="A209" i="7"/>
  <c r="B208" i="7"/>
  <c r="A208" i="7"/>
  <c r="B207" i="7"/>
  <c r="A207" i="7"/>
  <c r="B206" i="7"/>
  <c r="A206" i="7"/>
  <c r="B205" i="7"/>
  <c r="A205" i="7"/>
  <c r="B204" i="7"/>
  <c r="A204" i="7"/>
  <c r="B203" i="7"/>
  <c r="A203" i="7"/>
  <c r="B202" i="7"/>
  <c r="A202" i="7"/>
  <c r="B201" i="7"/>
  <c r="A201" i="7"/>
  <c r="B200" i="7"/>
  <c r="A200" i="7"/>
  <c r="B199" i="7"/>
  <c r="A199" i="7"/>
  <c r="B198" i="7"/>
  <c r="A198" i="7"/>
  <c r="B197" i="7"/>
  <c r="A197" i="7"/>
  <c r="B196" i="7"/>
  <c r="A196" i="7"/>
  <c r="B195" i="7"/>
  <c r="A195" i="7"/>
  <c r="B194" i="7"/>
  <c r="A194" i="7"/>
  <c r="B193" i="7"/>
  <c r="A193" i="7"/>
  <c r="B192" i="7"/>
  <c r="A192" i="7"/>
  <c r="B191" i="7"/>
  <c r="A191" i="7"/>
  <c r="B190" i="7"/>
  <c r="A190" i="7"/>
  <c r="B189" i="7"/>
  <c r="A189" i="7"/>
  <c r="B188" i="7"/>
  <c r="A188" i="7"/>
  <c r="B187" i="7"/>
  <c r="A187" i="7"/>
  <c r="B186" i="7"/>
  <c r="A186" i="7"/>
  <c r="B185" i="7"/>
  <c r="A185" i="7"/>
  <c r="B184" i="7"/>
  <c r="A184" i="7"/>
  <c r="B183" i="7"/>
  <c r="A183" i="7"/>
  <c r="B182" i="7"/>
  <c r="A182" i="7"/>
  <c r="B181" i="7"/>
  <c r="A181" i="7"/>
  <c r="B180" i="7"/>
  <c r="A180" i="7"/>
  <c r="B179" i="7"/>
  <c r="A179" i="7"/>
  <c r="B178" i="7"/>
  <c r="A178" i="7"/>
  <c r="B177" i="7"/>
  <c r="A177" i="7"/>
  <c r="B176" i="7"/>
  <c r="A176" i="7"/>
  <c r="B175" i="7"/>
  <c r="A175" i="7"/>
  <c r="B174" i="7"/>
  <c r="A174" i="7"/>
  <c r="B173" i="7"/>
  <c r="A173" i="7"/>
  <c r="B172" i="7"/>
  <c r="A172" i="7"/>
  <c r="B171" i="7"/>
  <c r="A171" i="7"/>
  <c r="B170" i="7"/>
  <c r="A170" i="7"/>
  <c r="B169" i="7"/>
  <c r="A169" i="7"/>
  <c r="B168" i="7"/>
  <c r="A168" i="7"/>
  <c r="B167" i="7"/>
  <c r="A167" i="7"/>
  <c r="B166" i="7"/>
  <c r="A166" i="7"/>
  <c r="B165" i="7"/>
  <c r="A165" i="7"/>
  <c r="B164" i="7"/>
  <c r="A164" i="7"/>
  <c r="B163" i="7"/>
  <c r="A163" i="7"/>
  <c r="B162" i="7"/>
  <c r="A162" i="7"/>
  <c r="B161" i="7"/>
  <c r="A161" i="7"/>
  <c r="B160" i="7"/>
  <c r="A160" i="7"/>
  <c r="B159" i="7"/>
  <c r="A159" i="7"/>
  <c r="B158" i="7"/>
  <c r="A158" i="7"/>
  <c r="B157" i="7"/>
  <c r="A157" i="7"/>
  <c r="B156" i="7"/>
  <c r="A156" i="7"/>
  <c r="B155" i="7"/>
  <c r="A155" i="7"/>
  <c r="B154" i="7"/>
  <c r="A154" i="7"/>
  <c r="B153" i="7"/>
  <c r="A153" i="7"/>
  <c r="B152" i="7"/>
  <c r="A152" i="7"/>
  <c r="B151" i="7"/>
  <c r="A151" i="7"/>
  <c r="B150" i="7"/>
  <c r="A150" i="7"/>
  <c r="B149" i="7"/>
  <c r="A149" i="7"/>
  <c r="B148" i="7"/>
  <c r="A148" i="7"/>
  <c r="B147" i="7"/>
  <c r="A147" i="7"/>
  <c r="B146" i="7"/>
  <c r="A146" i="7"/>
  <c r="B145" i="7"/>
  <c r="A145" i="7"/>
  <c r="B144" i="7"/>
  <c r="A144" i="7"/>
  <c r="B143" i="7"/>
  <c r="A143" i="7"/>
  <c r="B142" i="7"/>
  <c r="A142" i="7"/>
  <c r="B141" i="7"/>
  <c r="A141" i="7"/>
  <c r="B140" i="7"/>
  <c r="A140" i="7"/>
  <c r="B139" i="7"/>
  <c r="A139" i="7"/>
  <c r="B138" i="7"/>
  <c r="A138" i="7"/>
  <c r="B137" i="7"/>
  <c r="A137" i="7"/>
  <c r="B136" i="7"/>
  <c r="A136" i="7"/>
  <c r="B135" i="7"/>
  <c r="A135" i="7"/>
  <c r="B134" i="7"/>
  <c r="A134" i="7"/>
  <c r="B133" i="7"/>
  <c r="A133" i="7"/>
  <c r="B132" i="7"/>
  <c r="A132" i="7"/>
  <c r="B131" i="7"/>
  <c r="A131" i="7"/>
  <c r="B130" i="7"/>
  <c r="A130" i="7"/>
  <c r="B129" i="7"/>
  <c r="A129" i="7"/>
  <c r="B128" i="7"/>
  <c r="A128" i="7"/>
  <c r="B127" i="7"/>
  <c r="A127" i="7"/>
  <c r="B126" i="7"/>
  <c r="A126" i="7"/>
  <c r="B125" i="7"/>
  <c r="A125" i="7"/>
  <c r="B124" i="7"/>
  <c r="A124" i="7"/>
  <c r="B123" i="7"/>
  <c r="A123" i="7"/>
  <c r="B122" i="7"/>
  <c r="A122" i="7"/>
  <c r="B121" i="7"/>
  <c r="A121" i="7"/>
  <c r="B120" i="7"/>
  <c r="A120" i="7"/>
  <c r="B119" i="7"/>
  <c r="A119" i="7"/>
  <c r="B118" i="7"/>
  <c r="A118" i="7"/>
  <c r="B117" i="7"/>
  <c r="A117" i="7"/>
  <c r="B116" i="7"/>
  <c r="A116" i="7"/>
  <c r="B115" i="7"/>
  <c r="A115" i="7"/>
  <c r="B114" i="7"/>
  <c r="A114" i="7"/>
  <c r="B113" i="7"/>
  <c r="A113" i="7"/>
  <c r="B112" i="7"/>
  <c r="A112" i="7"/>
  <c r="B111" i="7"/>
  <c r="A111" i="7"/>
  <c r="B110" i="7"/>
  <c r="A110" i="7"/>
  <c r="B109" i="7"/>
  <c r="A109" i="7"/>
  <c r="B108" i="7"/>
  <c r="A108" i="7"/>
  <c r="B107" i="7"/>
  <c r="A107" i="7"/>
  <c r="B106" i="7"/>
  <c r="A106" i="7"/>
  <c r="B105" i="7"/>
  <c r="A105" i="7"/>
  <c r="B104" i="7"/>
  <c r="A104" i="7"/>
  <c r="B103" i="7"/>
  <c r="A103" i="7"/>
  <c r="B102" i="7"/>
  <c r="A102" i="7"/>
  <c r="B101" i="7"/>
  <c r="A101" i="7"/>
  <c r="B100" i="7"/>
  <c r="A100" i="7"/>
  <c r="B99" i="7"/>
  <c r="A99" i="7"/>
  <c r="B98" i="7"/>
  <c r="A98" i="7"/>
  <c r="B97" i="7"/>
  <c r="A97" i="7"/>
  <c r="B96" i="7"/>
  <c r="A96" i="7"/>
  <c r="B95" i="7"/>
  <c r="A95" i="7"/>
  <c r="B94" i="7"/>
  <c r="A94" i="7"/>
  <c r="B93" i="7"/>
  <c r="A93" i="7"/>
  <c r="B92" i="7"/>
  <c r="A92" i="7"/>
  <c r="B91" i="7"/>
  <c r="A91" i="7"/>
  <c r="B90" i="7"/>
  <c r="A90" i="7"/>
  <c r="B89" i="7"/>
  <c r="A89" i="7"/>
  <c r="B88" i="7"/>
  <c r="A88" i="7"/>
  <c r="B87" i="7"/>
  <c r="A87" i="7"/>
  <c r="B86" i="7"/>
  <c r="A86" i="7"/>
  <c r="B85" i="7"/>
  <c r="A85" i="7"/>
  <c r="B84" i="7"/>
  <c r="A84" i="7"/>
  <c r="B83" i="7"/>
  <c r="A83" i="7"/>
  <c r="B82" i="7"/>
  <c r="A82" i="7"/>
  <c r="B81" i="7"/>
  <c r="A81" i="7"/>
  <c r="B80" i="7"/>
  <c r="A80" i="7"/>
  <c r="B79" i="7"/>
  <c r="A79" i="7"/>
  <c r="B78" i="7"/>
  <c r="A78" i="7"/>
  <c r="B77" i="7"/>
  <c r="A77" i="7"/>
  <c r="B76" i="7"/>
  <c r="A76" i="7"/>
  <c r="B75" i="7"/>
  <c r="A75" i="7"/>
  <c r="B74" i="7"/>
  <c r="A74" i="7"/>
  <c r="B73" i="7"/>
  <c r="A73" i="7"/>
  <c r="B72" i="7"/>
  <c r="A72" i="7"/>
  <c r="B71" i="7"/>
  <c r="A71" i="7"/>
  <c r="B70" i="7"/>
  <c r="A70" i="7"/>
  <c r="B69" i="7"/>
  <c r="A69" i="7"/>
  <c r="B68" i="7"/>
  <c r="A68" i="7"/>
  <c r="B67" i="7"/>
  <c r="A67" i="7"/>
  <c r="B66" i="7"/>
  <c r="A66" i="7"/>
  <c r="B65" i="7"/>
  <c r="A65" i="7"/>
  <c r="B64" i="7"/>
  <c r="A64" i="7"/>
  <c r="B63" i="7"/>
  <c r="A63" i="7"/>
  <c r="B62" i="7"/>
  <c r="A62" i="7"/>
  <c r="B61" i="7"/>
  <c r="A61" i="7"/>
  <c r="B60" i="7"/>
  <c r="A60" i="7"/>
  <c r="B59" i="7"/>
  <c r="A59" i="7"/>
  <c r="B58" i="7"/>
  <c r="A58" i="7"/>
  <c r="B57" i="7"/>
  <c r="A57" i="7"/>
  <c r="B56" i="7"/>
  <c r="A56" i="7"/>
  <c r="B55" i="7"/>
  <c r="A55" i="7"/>
  <c r="B54" i="7"/>
  <c r="A54" i="7"/>
  <c r="B53" i="7"/>
  <c r="A53" i="7"/>
  <c r="B52" i="7"/>
  <c r="A52" i="7"/>
  <c r="B51" i="7"/>
  <c r="A51" i="7"/>
  <c r="B50" i="7"/>
  <c r="A50" i="7"/>
  <c r="B49" i="7"/>
  <c r="A49" i="7"/>
  <c r="B48" i="7"/>
  <c r="A48" i="7"/>
  <c r="B47" i="7"/>
  <c r="A47" i="7"/>
  <c r="B46" i="7"/>
  <c r="A46" i="7"/>
  <c r="B45" i="7"/>
  <c r="A45" i="7"/>
  <c r="B44" i="7"/>
  <c r="A44" i="7"/>
  <c r="B43" i="7"/>
  <c r="A43" i="7"/>
  <c r="B42" i="7"/>
  <c r="A42" i="7"/>
  <c r="B41" i="7"/>
  <c r="A41" i="7"/>
  <c r="B40" i="7"/>
  <c r="A40" i="7"/>
  <c r="B39" i="7"/>
  <c r="A39" i="7"/>
  <c r="B38" i="7"/>
  <c r="A38" i="7"/>
  <c r="B37" i="7"/>
  <c r="A37" i="7"/>
  <c r="B36" i="7"/>
  <c r="A36" i="7"/>
  <c r="B35" i="7"/>
  <c r="A35" i="7"/>
  <c r="B34" i="7"/>
  <c r="A34" i="7"/>
  <c r="B33" i="7"/>
  <c r="A33" i="7"/>
  <c r="B32" i="7"/>
  <c r="A32" i="7"/>
  <c r="B31" i="7"/>
  <c r="A31" i="7"/>
  <c r="B30" i="7"/>
  <c r="A30" i="7"/>
  <c r="B29" i="7"/>
  <c r="A29" i="7"/>
  <c r="B28" i="7"/>
  <c r="A28" i="7"/>
  <c r="B27" i="7"/>
  <c r="A27" i="7"/>
  <c r="B26" i="7"/>
  <c r="A26" i="7"/>
  <c r="B25" i="7"/>
  <c r="A25" i="7"/>
  <c r="B24" i="7"/>
  <c r="A24" i="7"/>
  <c r="B23" i="7"/>
  <c r="A23" i="7"/>
  <c r="B22" i="7"/>
  <c r="A22" i="7"/>
  <c r="B21" i="7"/>
  <c r="A21" i="7"/>
  <c r="B20" i="7"/>
  <c r="A20" i="7"/>
  <c r="B19" i="7"/>
  <c r="A19" i="7"/>
  <c r="B18" i="7"/>
  <c r="A18" i="7"/>
  <c r="B17" i="7"/>
  <c r="A17" i="7"/>
  <c r="B16" i="7"/>
  <c r="A16" i="7"/>
  <c r="B15" i="7"/>
  <c r="A15" i="7"/>
  <c r="B14" i="7"/>
  <c r="A14" i="7"/>
  <c r="B13" i="7"/>
  <c r="A13" i="7"/>
  <c r="B12" i="7"/>
  <c r="A12" i="7"/>
  <c r="B11" i="7"/>
  <c r="A11" i="7"/>
  <c r="B10" i="7"/>
  <c r="A10" i="7"/>
  <c r="B9" i="7"/>
  <c r="A9" i="7"/>
  <c r="B8" i="7"/>
  <c r="A8" i="7"/>
  <c r="B7" i="7"/>
  <c r="A7" i="7"/>
  <c r="B6" i="7"/>
  <c r="A6" i="7"/>
  <c r="B5" i="7"/>
  <c r="A5" i="7"/>
  <c r="B4" i="7"/>
  <c r="A4" i="7"/>
  <c r="B3" i="7"/>
  <c r="A3" i="7"/>
  <c r="B2" i="7"/>
  <c r="A2" i="7"/>
  <c r="B1" i="7"/>
  <c r="B1773" i="6"/>
  <c r="A1773" i="6"/>
  <c r="B1772" i="6"/>
  <c r="A1772" i="6"/>
  <c r="B1771" i="6"/>
  <c r="A1771" i="6"/>
  <c r="B1770" i="6"/>
  <c r="A1770" i="6"/>
  <c r="B1769" i="6"/>
  <c r="A1769" i="6"/>
  <c r="B1768" i="6"/>
  <c r="A1768" i="6"/>
  <c r="B1767" i="6"/>
  <c r="A1767" i="6"/>
  <c r="B1766" i="6"/>
  <c r="A1766" i="6"/>
  <c r="B1765" i="6"/>
  <c r="A1765" i="6"/>
  <c r="B1764" i="6"/>
  <c r="A1764" i="6"/>
  <c r="B1763" i="6"/>
  <c r="A1763" i="6"/>
  <c r="B1762" i="6"/>
  <c r="A1762" i="6"/>
  <c r="B1761" i="6"/>
  <c r="A1761" i="6"/>
  <c r="B1760" i="6"/>
  <c r="A1760" i="6"/>
  <c r="B1759" i="6"/>
  <c r="A1759" i="6"/>
  <c r="B1758" i="6"/>
  <c r="A1758" i="6"/>
  <c r="B1757" i="6"/>
  <c r="A1757" i="6"/>
  <c r="B1756" i="6"/>
  <c r="A1756" i="6"/>
  <c r="B1755" i="6"/>
  <c r="A1755" i="6"/>
  <c r="B1754" i="6"/>
  <c r="A1754" i="6"/>
  <c r="B1753" i="6"/>
  <c r="A1753" i="6"/>
  <c r="B1752" i="6"/>
  <c r="A1752" i="6"/>
  <c r="B1751" i="6"/>
  <c r="A1751" i="6"/>
  <c r="B1750" i="6"/>
  <c r="A1750" i="6"/>
  <c r="B1749" i="6"/>
  <c r="A1749" i="6"/>
  <c r="B1748" i="6"/>
  <c r="A1748" i="6"/>
  <c r="B1747" i="6"/>
  <c r="A1747" i="6"/>
  <c r="B1746" i="6"/>
  <c r="A1746" i="6"/>
  <c r="B1745" i="6"/>
  <c r="A1745" i="6"/>
  <c r="B1744" i="6"/>
  <c r="A1744" i="6"/>
  <c r="B1743" i="6"/>
  <c r="A1743" i="6"/>
  <c r="B1742" i="6"/>
  <c r="A1742" i="6"/>
  <c r="B1741" i="6"/>
  <c r="A1741" i="6"/>
  <c r="B1740" i="6"/>
  <c r="A1740" i="6"/>
  <c r="B1739" i="6"/>
  <c r="A1739" i="6"/>
  <c r="B1738" i="6"/>
  <c r="A1738" i="6"/>
  <c r="B1737" i="6"/>
  <c r="A1737" i="6"/>
  <c r="B1736" i="6"/>
  <c r="A1736" i="6"/>
  <c r="B1735" i="6"/>
  <c r="A1735" i="6"/>
  <c r="B1734" i="6"/>
  <c r="A1734" i="6"/>
  <c r="B1733" i="6"/>
  <c r="A1733" i="6"/>
  <c r="B1732" i="6"/>
  <c r="A1732" i="6"/>
  <c r="B1731" i="6"/>
  <c r="A1731" i="6"/>
  <c r="B1730" i="6"/>
  <c r="A1730" i="6"/>
  <c r="B1729" i="6"/>
  <c r="A1729" i="6"/>
  <c r="B1728" i="6"/>
  <c r="A1728" i="6"/>
  <c r="B1727" i="6"/>
  <c r="A1727" i="6"/>
  <c r="B1726" i="6"/>
  <c r="A1726" i="6"/>
  <c r="B1725" i="6"/>
  <c r="A1725" i="6"/>
  <c r="B1724" i="6"/>
  <c r="A1724" i="6"/>
  <c r="B1723" i="6"/>
  <c r="A1723" i="6"/>
  <c r="B1722" i="6"/>
  <c r="A1722" i="6"/>
  <c r="B1721" i="6"/>
  <c r="A1721" i="6"/>
  <c r="B1720" i="6"/>
  <c r="A1720" i="6"/>
  <c r="B1719" i="6"/>
  <c r="A1719" i="6"/>
  <c r="B1718" i="6"/>
  <c r="A1718" i="6"/>
  <c r="B1717" i="6"/>
  <c r="A1717" i="6"/>
  <c r="B1716" i="6"/>
  <c r="A1716" i="6"/>
  <c r="B1715" i="6"/>
  <c r="A1715" i="6"/>
  <c r="B1714" i="6"/>
  <c r="A1714" i="6"/>
  <c r="B1713" i="6"/>
  <c r="A1713" i="6"/>
  <c r="B1712" i="6"/>
  <c r="A1712" i="6"/>
  <c r="B1711" i="6"/>
  <c r="A1711" i="6"/>
  <c r="B1710" i="6"/>
  <c r="A1710" i="6"/>
  <c r="B1709" i="6"/>
  <c r="A1709" i="6"/>
  <c r="B1708" i="6"/>
  <c r="A1708" i="6"/>
  <c r="B1707" i="6"/>
  <c r="A1707" i="6"/>
  <c r="B1706" i="6"/>
  <c r="A1706" i="6"/>
  <c r="B1705" i="6"/>
  <c r="A1705" i="6"/>
  <c r="B1704" i="6"/>
  <c r="A1704" i="6"/>
  <c r="B1703" i="6"/>
  <c r="A1703" i="6"/>
  <c r="B1702" i="6"/>
  <c r="A1702" i="6"/>
  <c r="B1701" i="6"/>
  <c r="A1701" i="6"/>
  <c r="B1700" i="6"/>
  <c r="A1700" i="6"/>
  <c r="B1699" i="6"/>
  <c r="A1699" i="6"/>
  <c r="B1698" i="6"/>
  <c r="A1698" i="6"/>
  <c r="B1697" i="6"/>
  <c r="A1697" i="6"/>
  <c r="B1696" i="6"/>
  <c r="A1696" i="6"/>
  <c r="B1695" i="6"/>
  <c r="A1695" i="6"/>
  <c r="B1694" i="6"/>
  <c r="A1694" i="6"/>
  <c r="B1693" i="6"/>
  <c r="A1693" i="6"/>
  <c r="B1692" i="6"/>
  <c r="A1692" i="6"/>
  <c r="B1691" i="6"/>
  <c r="A1691" i="6"/>
  <c r="B1690" i="6"/>
  <c r="A1690" i="6"/>
  <c r="B1689" i="6"/>
  <c r="A1689" i="6"/>
  <c r="B1688" i="6"/>
  <c r="A1688" i="6"/>
  <c r="B1687" i="6"/>
  <c r="A1687" i="6"/>
  <c r="B1686" i="6"/>
  <c r="A1686" i="6"/>
  <c r="B1685" i="6"/>
  <c r="A1685" i="6"/>
  <c r="B1684" i="6"/>
  <c r="A1684" i="6"/>
  <c r="B1683" i="6"/>
  <c r="A1683" i="6"/>
  <c r="B1682" i="6"/>
  <c r="A1682" i="6"/>
  <c r="B1681" i="6"/>
  <c r="A1681" i="6"/>
  <c r="B1680" i="6"/>
  <c r="A1680" i="6"/>
  <c r="B1679" i="6"/>
  <c r="A1679" i="6"/>
  <c r="B1678" i="6"/>
  <c r="A1678" i="6"/>
  <c r="B1677" i="6"/>
  <c r="A1677" i="6"/>
  <c r="B1676" i="6"/>
  <c r="A1676" i="6"/>
  <c r="B1675" i="6"/>
  <c r="A1675" i="6"/>
  <c r="B1674" i="6"/>
  <c r="A1674" i="6"/>
  <c r="B1673" i="6"/>
  <c r="A1673" i="6"/>
  <c r="B1672" i="6"/>
  <c r="A1672" i="6"/>
  <c r="B1671" i="6"/>
  <c r="A1671" i="6"/>
  <c r="B1670" i="6"/>
  <c r="A1670" i="6"/>
  <c r="B1669" i="6"/>
  <c r="A1669" i="6"/>
  <c r="B1668" i="6"/>
  <c r="A1668" i="6"/>
  <c r="B1667" i="6"/>
  <c r="A1667" i="6"/>
  <c r="B1666" i="6"/>
  <c r="A1666" i="6"/>
  <c r="B1665" i="6"/>
  <c r="A1665" i="6"/>
  <c r="B1664" i="6"/>
  <c r="A1664" i="6"/>
  <c r="B1663" i="6"/>
  <c r="A1663" i="6"/>
  <c r="B1662" i="6"/>
  <c r="A1662" i="6"/>
  <c r="B1661" i="6"/>
  <c r="A1661" i="6"/>
  <c r="B1660" i="6"/>
  <c r="A1660" i="6"/>
  <c r="B1659" i="6"/>
  <c r="A1659" i="6"/>
  <c r="B1658" i="6"/>
  <c r="A1658" i="6"/>
  <c r="B1657" i="6"/>
  <c r="A1657" i="6"/>
  <c r="B1656" i="6"/>
  <c r="A1656" i="6"/>
  <c r="B1655" i="6"/>
  <c r="A1655" i="6"/>
  <c r="B1654" i="6"/>
  <c r="A1654" i="6"/>
  <c r="B1653" i="6"/>
  <c r="A1653" i="6"/>
  <c r="B1652" i="6"/>
  <c r="A1652" i="6"/>
  <c r="B1651" i="6"/>
  <c r="A1651" i="6"/>
  <c r="B1650" i="6"/>
  <c r="A1650" i="6"/>
  <c r="B1649" i="6"/>
  <c r="A1649" i="6"/>
  <c r="B1648" i="6"/>
  <c r="A1648" i="6"/>
  <c r="B1647" i="6"/>
  <c r="A1647" i="6"/>
  <c r="B1646" i="6"/>
  <c r="A1646" i="6"/>
  <c r="B1645" i="6"/>
  <c r="A1645" i="6"/>
  <c r="B1644" i="6"/>
  <c r="A1644" i="6"/>
  <c r="B1643" i="6"/>
  <c r="A1643" i="6"/>
  <c r="B1642" i="6"/>
  <c r="A1642" i="6"/>
  <c r="B1641" i="6"/>
  <c r="A1641" i="6"/>
  <c r="B1640" i="6"/>
  <c r="A1640" i="6"/>
  <c r="B1639" i="6"/>
  <c r="A1639" i="6"/>
  <c r="B1638" i="6"/>
  <c r="A1638" i="6"/>
  <c r="B1637" i="6"/>
  <c r="A1637" i="6"/>
  <c r="B1636" i="6"/>
  <c r="A1636" i="6"/>
  <c r="B1635" i="6"/>
  <c r="A1635" i="6"/>
  <c r="B1634" i="6"/>
  <c r="A1634" i="6"/>
  <c r="B1633" i="6"/>
  <c r="A1633" i="6"/>
  <c r="B1632" i="6"/>
  <c r="A1632" i="6"/>
  <c r="B1631" i="6"/>
  <c r="A1631" i="6"/>
  <c r="B1630" i="6"/>
  <c r="A1630" i="6"/>
  <c r="B1629" i="6"/>
  <c r="A1629" i="6"/>
  <c r="B1628" i="6"/>
  <c r="A1628" i="6"/>
  <c r="B1627" i="6"/>
  <c r="A1627" i="6"/>
  <c r="B1626" i="6"/>
  <c r="A1626" i="6"/>
  <c r="B1625" i="6"/>
  <c r="A1625" i="6"/>
  <c r="B1624" i="6"/>
  <c r="A1624" i="6"/>
  <c r="B1623" i="6"/>
  <c r="A1623" i="6"/>
  <c r="B1622" i="6"/>
  <c r="A1622" i="6"/>
  <c r="B1621" i="6"/>
  <c r="A1621" i="6"/>
  <c r="B1620" i="6"/>
  <c r="A1620" i="6"/>
  <c r="B1619" i="6"/>
  <c r="A1619" i="6"/>
  <c r="B1618" i="6"/>
  <c r="A1618" i="6"/>
  <c r="B1617" i="6"/>
  <c r="A1617" i="6"/>
  <c r="B1616" i="6"/>
  <c r="A1616" i="6"/>
  <c r="B1615" i="6"/>
  <c r="A1615" i="6"/>
  <c r="B1614" i="6"/>
  <c r="A1614" i="6"/>
  <c r="B1613" i="6"/>
  <c r="A1613" i="6"/>
  <c r="B1612" i="6"/>
  <c r="A1612" i="6"/>
  <c r="B1611" i="6"/>
  <c r="A1611" i="6"/>
  <c r="B1610" i="6"/>
  <c r="A1610" i="6"/>
  <c r="B1609" i="6"/>
  <c r="A1609" i="6"/>
  <c r="B1608" i="6"/>
  <c r="A1608" i="6"/>
  <c r="B1607" i="6"/>
  <c r="A1607" i="6"/>
  <c r="B1606" i="6"/>
  <c r="A1606" i="6"/>
  <c r="B1605" i="6"/>
  <c r="A1605" i="6"/>
  <c r="B1604" i="6"/>
  <c r="A1604" i="6"/>
  <c r="B1603" i="6"/>
  <c r="A1603" i="6"/>
  <c r="B1602" i="6"/>
  <c r="A1602" i="6"/>
  <c r="B1601" i="6"/>
  <c r="A1601" i="6"/>
  <c r="B1600" i="6"/>
  <c r="A1600" i="6"/>
  <c r="B1599" i="6"/>
  <c r="A1599" i="6"/>
  <c r="B1598" i="6"/>
  <c r="A1598" i="6"/>
  <c r="B1597" i="6"/>
  <c r="A1597" i="6"/>
  <c r="B1596" i="6"/>
  <c r="A1596" i="6"/>
  <c r="B1595" i="6"/>
  <c r="A1595" i="6"/>
  <c r="B1594" i="6"/>
  <c r="A1594" i="6"/>
  <c r="B1593" i="6"/>
  <c r="A1593" i="6"/>
  <c r="B1592" i="6"/>
  <c r="A1592" i="6"/>
  <c r="B1591" i="6"/>
  <c r="A1591" i="6"/>
  <c r="B1590" i="6"/>
  <c r="A1590" i="6"/>
  <c r="B1589" i="6"/>
  <c r="A1589" i="6"/>
  <c r="B1588" i="6"/>
  <c r="A1588" i="6"/>
  <c r="B1587" i="6"/>
  <c r="A1587" i="6"/>
  <c r="B1586" i="6"/>
  <c r="A1586" i="6"/>
  <c r="B1585" i="6"/>
  <c r="A1585" i="6"/>
  <c r="B1584" i="6"/>
  <c r="A1584" i="6"/>
  <c r="B1583" i="6"/>
  <c r="A1583" i="6"/>
  <c r="B1582" i="6"/>
  <c r="A1582" i="6"/>
  <c r="B1581" i="6"/>
  <c r="A1581" i="6"/>
  <c r="B1580" i="6"/>
  <c r="A1580" i="6"/>
  <c r="B1579" i="6"/>
  <c r="A1579" i="6"/>
  <c r="B1578" i="6"/>
  <c r="A1578" i="6"/>
  <c r="B1577" i="6"/>
  <c r="A1577" i="6"/>
  <c r="B1576" i="6"/>
  <c r="A1576" i="6"/>
  <c r="B1575" i="6"/>
  <c r="A1575" i="6"/>
  <c r="B1574" i="6"/>
  <c r="A1574" i="6"/>
  <c r="B1573" i="6"/>
  <c r="A1573" i="6"/>
  <c r="B1572" i="6"/>
  <c r="A1572" i="6"/>
  <c r="B1571" i="6"/>
  <c r="A1571" i="6"/>
  <c r="B1570" i="6"/>
  <c r="A1570" i="6"/>
  <c r="B1569" i="6"/>
  <c r="A1569" i="6"/>
  <c r="B1568" i="6"/>
  <c r="A1568" i="6"/>
  <c r="B1567" i="6"/>
  <c r="A1567" i="6"/>
  <c r="B1566" i="6"/>
  <c r="A1566" i="6"/>
  <c r="B1565" i="6"/>
  <c r="A1565" i="6"/>
  <c r="B1564" i="6"/>
  <c r="A1564" i="6"/>
  <c r="B1563" i="6"/>
  <c r="A1563" i="6"/>
  <c r="B1562" i="6"/>
  <c r="A1562" i="6"/>
  <c r="B1561" i="6"/>
  <c r="A1561" i="6"/>
  <c r="B1560" i="6"/>
  <c r="A1560" i="6"/>
  <c r="B1559" i="6"/>
  <c r="A1559" i="6"/>
  <c r="B1558" i="6"/>
  <c r="A1558" i="6"/>
  <c r="B1557" i="6"/>
  <c r="A1557" i="6"/>
  <c r="B1556" i="6"/>
  <c r="A1556" i="6"/>
  <c r="B1555" i="6"/>
  <c r="A1555" i="6"/>
  <c r="B1554" i="6"/>
  <c r="A1554" i="6"/>
  <c r="B1553" i="6"/>
  <c r="A1553" i="6"/>
  <c r="B1552" i="6"/>
  <c r="A1552" i="6"/>
  <c r="B1551" i="6"/>
  <c r="A1551" i="6"/>
  <c r="B1550" i="6"/>
  <c r="A1550" i="6"/>
  <c r="B1549" i="6"/>
  <c r="A1549" i="6"/>
  <c r="B1548" i="6"/>
  <c r="A1548" i="6"/>
  <c r="B1547" i="6"/>
  <c r="A1547" i="6"/>
  <c r="B1546" i="6"/>
  <c r="A1546" i="6"/>
  <c r="B1545" i="6"/>
  <c r="A1545" i="6"/>
  <c r="B1544" i="6"/>
  <c r="A1544" i="6"/>
  <c r="B1543" i="6"/>
  <c r="A1543" i="6"/>
  <c r="B1542" i="6"/>
  <c r="A1542" i="6"/>
  <c r="B1541" i="6"/>
  <c r="A1541" i="6"/>
  <c r="B1540" i="6"/>
  <c r="A1540" i="6"/>
  <c r="B1539" i="6"/>
  <c r="A1539" i="6"/>
  <c r="B1538" i="6"/>
  <c r="A1538" i="6"/>
  <c r="B1537" i="6"/>
  <c r="A1537" i="6"/>
  <c r="B1536" i="6"/>
  <c r="A1536" i="6"/>
  <c r="B1535" i="6"/>
  <c r="A1535" i="6"/>
  <c r="B1534" i="6"/>
  <c r="A1534" i="6"/>
  <c r="B1533" i="6"/>
  <c r="A1533" i="6"/>
  <c r="B1532" i="6"/>
  <c r="A1532" i="6"/>
  <c r="B1531" i="6"/>
  <c r="A1531" i="6"/>
  <c r="B1530" i="6"/>
  <c r="A1530" i="6"/>
  <c r="B1529" i="6"/>
  <c r="A1529" i="6"/>
  <c r="B1528" i="6"/>
  <c r="A1528" i="6"/>
  <c r="B1527" i="6"/>
  <c r="A1527" i="6"/>
  <c r="B1526" i="6"/>
  <c r="A1526" i="6"/>
  <c r="B1525" i="6"/>
  <c r="A1525" i="6"/>
  <c r="B1524" i="6"/>
  <c r="A1524" i="6"/>
  <c r="B1523" i="6"/>
  <c r="A1523" i="6"/>
  <c r="B1522" i="6"/>
  <c r="A1522" i="6"/>
  <c r="B1521" i="6"/>
  <c r="A1521" i="6"/>
  <c r="B1520" i="6"/>
  <c r="A1520" i="6"/>
  <c r="B1519" i="6"/>
  <c r="A1519" i="6"/>
  <c r="B1518" i="6"/>
  <c r="A1518" i="6"/>
  <c r="B1517" i="6"/>
  <c r="A1517" i="6"/>
  <c r="B1516" i="6"/>
  <c r="A1516" i="6"/>
  <c r="B1515" i="6"/>
  <c r="A1515" i="6"/>
  <c r="B1514" i="6"/>
  <c r="A1514" i="6"/>
  <c r="B1513" i="6"/>
  <c r="A1513" i="6"/>
  <c r="B1512" i="6"/>
  <c r="A1512" i="6"/>
  <c r="B1511" i="6"/>
  <c r="A1511" i="6"/>
  <c r="B1510" i="6"/>
  <c r="A1510" i="6"/>
  <c r="B1509" i="6"/>
  <c r="A1509" i="6"/>
  <c r="B1508" i="6"/>
  <c r="A1508" i="6"/>
  <c r="B1507" i="6"/>
  <c r="A1507" i="6"/>
  <c r="B1506" i="6"/>
  <c r="A1506" i="6"/>
  <c r="B1505" i="6"/>
  <c r="A1505" i="6"/>
  <c r="B1504" i="6"/>
  <c r="A1504" i="6"/>
  <c r="B1503" i="6"/>
  <c r="A1503" i="6"/>
  <c r="B1502" i="6"/>
  <c r="A1502" i="6"/>
  <c r="B1501" i="6"/>
  <c r="A1501" i="6"/>
  <c r="B1500" i="6"/>
  <c r="A1500" i="6"/>
  <c r="B1499" i="6"/>
  <c r="A1499" i="6"/>
  <c r="B1498" i="6"/>
  <c r="A1498" i="6"/>
  <c r="B1497" i="6"/>
  <c r="A1497" i="6"/>
  <c r="B1496" i="6"/>
  <c r="A1496" i="6"/>
  <c r="B1495" i="6"/>
  <c r="A1495" i="6"/>
  <c r="B1494" i="6"/>
  <c r="A1494" i="6"/>
  <c r="B1493" i="6"/>
  <c r="A1493" i="6"/>
  <c r="B1492" i="6"/>
  <c r="A1492" i="6"/>
  <c r="B1491" i="6"/>
  <c r="A1491" i="6"/>
  <c r="B1490" i="6"/>
  <c r="A1490" i="6"/>
  <c r="B1489" i="6"/>
  <c r="A1489" i="6"/>
  <c r="B1488" i="6"/>
  <c r="A1488" i="6"/>
  <c r="B1487" i="6"/>
  <c r="A1487" i="6"/>
  <c r="B1486" i="6"/>
  <c r="A1486" i="6"/>
  <c r="B1485" i="6"/>
  <c r="A1485" i="6"/>
  <c r="B1484" i="6"/>
  <c r="A1484" i="6"/>
  <c r="B1483" i="6"/>
  <c r="A1483" i="6"/>
  <c r="B1482" i="6"/>
  <c r="A1482" i="6"/>
  <c r="B1481" i="6"/>
  <c r="A1481" i="6"/>
  <c r="B1480" i="6"/>
  <c r="A1480" i="6"/>
  <c r="B1479" i="6"/>
  <c r="A1479" i="6"/>
  <c r="B1478" i="6"/>
  <c r="A1478" i="6"/>
  <c r="B1477" i="6"/>
  <c r="A1477" i="6"/>
  <c r="B1476" i="6"/>
  <c r="A1476" i="6"/>
  <c r="B1475" i="6"/>
  <c r="A1475" i="6"/>
  <c r="B1474" i="6"/>
  <c r="A1474" i="6"/>
  <c r="B1473" i="6"/>
  <c r="A1473" i="6"/>
  <c r="B1472" i="6"/>
  <c r="A1472" i="6"/>
  <c r="B1471" i="6"/>
  <c r="A1471" i="6"/>
  <c r="B1470" i="6"/>
  <c r="A1470" i="6"/>
  <c r="B1469" i="6"/>
  <c r="A1469" i="6"/>
  <c r="B1468" i="6"/>
  <c r="A1468" i="6"/>
  <c r="B1467" i="6"/>
  <c r="A1467" i="6"/>
  <c r="B1466" i="6"/>
  <c r="A1466" i="6"/>
  <c r="B1465" i="6"/>
  <c r="A1465" i="6"/>
  <c r="B1464" i="6"/>
  <c r="A1464" i="6"/>
  <c r="B1463" i="6"/>
  <c r="A1463" i="6"/>
  <c r="B1462" i="6"/>
  <c r="A1462" i="6"/>
  <c r="B1461" i="6"/>
  <c r="A1461" i="6"/>
  <c r="B1460" i="6"/>
  <c r="A1460" i="6"/>
  <c r="B1459" i="6"/>
  <c r="A1459" i="6"/>
  <c r="B1458" i="6"/>
  <c r="A1458" i="6"/>
  <c r="B1457" i="6"/>
  <c r="A1457" i="6"/>
  <c r="B1456" i="6"/>
  <c r="A1456" i="6"/>
  <c r="B1455" i="6"/>
  <c r="A1455" i="6"/>
  <c r="B1454" i="6"/>
  <c r="A1454" i="6"/>
  <c r="B1453" i="6"/>
  <c r="A1453" i="6"/>
  <c r="B1452" i="6"/>
  <c r="A1452" i="6"/>
  <c r="B1451" i="6"/>
  <c r="A1451" i="6"/>
  <c r="B1450" i="6"/>
  <c r="A1450" i="6"/>
  <c r="B1449" i="6"/>
  <c r="A1449" i="6"/>
  <c r="B1448" i="6"/>
  <c r="A1448" i="6"/>
  <c r="B1447" i="6"/>
  <c r="A1447" i="6"/>
  <c r="B1446" i="6"/>
  <c r="A1446" i="6"/>
  <c r="B1445" i="6"/>
  <c r="A1445" i="6"/>
  <c r="B1444" i="6"/>
  <c r="A1444" i="6"/>
  <c r="B1443" i="6"/>
  <c r="A1443" i="6"/>
  <c r="B1442" i="6"/>
  <c r="A1442" i="6"/>
  <c r="B1441" i="6"/>
  <c r="A1441" i="6"/>
  <c r="B1440" i="6"/>
  <c r="A1440" i="6"/>
  <c r="B1439" i="6"/>
  <c r="A1439" i="6"/>
  <c r="B1438" i="6"/>
  <c r="A1438" i="6"/>
  <c r="B1437" i="6"/>
  <c r="A1437" i="6"/>
  <c r="B1436" i="6"/>
  <c r="A1436" i="6"/>
  <c r="B1435" i="6"/>
  <c r="A1435" i="6"/>
  <c r="B1434" i="6"/>
  <c r="A1434" i="6"/>
  <c r="B1433" i="6"/>
  <c r="A1433" i="6"/>
  <c r="B1432" i="6"/>
  <c r="A1432" i="6"/>
  <c r="B1431" i="6"/>
  <c r="A1431" i="6"/>
  <c r="B1430" i="6"/>
  <c r="A1430" i="6"/>
  <c r="B1429" i="6"/>
  <c r="A1429" i="6"/>
  <c r="B1428" i="6"/>
  <c r="A1428" i="6"/>
  <c r="B1427" i="6"/>
  <c r="A1427" i="6"/>
  <c r="B1426" i="6"/>
  <c r="A1426" i="6"/>
  <c r="B1425" i="6"/>
  <c r="A1425" i="6"/>
  <c r="B1424" i="6"/>
  <c r="A1424" i="6"/>
  <c r="B1423" i="6"/>
  <c r="A1423" i="6"/>
  <c r="B1422" i="6"/>
  <c r="A1422" i="6"/>
  <c r="B1421" i="6"/>
  <c r="A1421" i="6"/>
  <c r="B1420" i="6"/>
  <c r="A1420" i="6"/>
  <c r="B1419" i="6"/>
  <c r="A1419" i="6"/>
  <c r="B1418" i="6"/>
  <c r="A1418" i="6"/>
  <c r="B1417" i="6"/>
  <c r="A1417" i="6"/>
  <c r="B1416" i="6"/>
  <c r="A1416" i="6"/>
  <c r="B1415" i="6"/>
  <c r="A1415" i="6"/>
  <c r="B1414" i="6"/>
  <c r="A1414" i="6"/>
  <c r="B1413" i="6"/>
  <c r="A1413" i="6"/>
  <c r="B1412" i="6"/>
  <c r="A1412" i="6"/>
  <c r="B1411" i="6"/>
  <c r="A1411" i="6"/>
  <c r="B1410" i="6"/>
  <c r="A1410" i="6"/>
  <c r="B1409" i="6"/>
  <c r="A1409" i="6"/>
  <c r="B1408" i="6"/>
  <c r="A1408" i="6"/>
  <c r="B1407" i="6"/>
  <c r="A1407" i="6"/>
  <c r="B1406" i="6"/>
  <c r="A1406" i="6"/>
  <c r="B1405" i="6"/>
  <c r="A1405" i="6"/>
  <c r="B1404" i="6"/>
  <c r="A1404" i="6"/>
  <c r="B1403" i="6"/>
  <c r="A1403" i="6"/>
  <c r="B1402" i="6"/>
  <c r="A1402" i="6"/>
  <c r="B1401" i="6"/>
  <c r="A1401" i="6"/>
  <c r="B1400" i="6"/>
  <c r="A1400" i="6"/>
  <c r="B1399" i="6"/>
  <c r="A1399" i="6"/>
  <c r="B1398" i="6"/>
  <c r="A1398" i="6"/>
  <c r="B1397" i="6"/>
  <c r="A1397" i="6"/>
  <c r="B1396" i="6"/>
  <c r="A1396" i="6"/>
  <c r="B1395" i="6"/>
  <c r="A1395" i="6"/>
  <c r="B1394" i="6"/>
  <c r="A1394" i="6"/>
  <c r="B1393" i="6"/>
  <c r="A1393" i="6"/>
  <c r="B1392" i="6"/>
  <c r="A1392" i="6"/>
  <c r="B1391" i="6"/>
  <c r="A1391" i="6"/>
  <c r="B1390" i="6"/>
  <c r="A1390" i="6"/>
  <c r="B1389" i="6"/>
  <c r="A1389" i="6"/>
  <c r="B1388" i="6"/>
  <c r="A1388" i="6"/>
  <c r="B1387" i="6"/>
  <c r="A1387" i="6"/>
  <c r="B1386" i="6"/>
  <c r="A1386" i="6"/>
  <c r="B1385" i="6"/>
  <c r="A1385" i="6"/>
  <c r="B1384" i="6"/>
  <c r="A1384" i="6"/>
  <c r="B1383" i="6"/>
  <c r="A1383" i="6"/>
  <c r="B1382" i="6"/>
  <c r="A1382" i="6"/>
  <c r="B1381" i="6"/>
  <c r="A1381" i="6"/>
  <c r="B1380" i="6"/>
  <c r="A1380" i="6"/>
  <c r="B1379" i="6"/>
  <c r="A1379" i="6"/>
  <c r="B1378" i="6"/>
  <c r="A1378" i="6"/>
  <c r="B1377" i="6"/>
  <c r="A1377" i="6"/>
  <c r="B1376" i="6"/>
  <c r="A1376" i="6"/>
  <c r="B1375" i="6"/>
  <c r="A1375" i="6"/>
  <c r="B1374" i="6"/>
  <c r="A1374" i="6"/>
  <c r="B1373" i="6"/>
  <c r="A1373" i="6"/>
  <c r="B1372" i="6"/>
  <c r="A1372" i="6"/>
  <c r="B1371" i="6"/>
  <c r="A1371" i="6"/>
  <c r="B1370" i="6"/>
  <c r="A1370" i="6"/>
  <c r="B1369" i="6"/>
  <c r="A1369" i="6"/>
  <c r="B1368" i="6"/>
  <c r="A1368" i="6"/>
  <c r="B1367" i="6"/>
  <c r="A1367" i="6"/>
  <c r="B1366" i="6"/>
  <c r="A1366" i="6"/>
  <c r="B1365" i="6"/>
  <c r="A1365" i="6"/>
  <c r="B1364" i="6"/>
  <c r="A1364" i="6"/>
  <c r="B1363" i="6"/>
  <c r="A1363" i="6"/>
  <c r="B1362" i="6"/>
  <c r="A1362" i="6"/>
  <c r="B1361" i="6"/>
  <c r="A1361" i="6"/>
  <c r="B1360" i="6"/>
  <c r="A1360" i="6"/>
  <c r="B1359" i="6"/>
  <c r="A1359" i="6"/>
  <c r="B1358" i="6"/>
  <c r="A1358" i="6"/>
  <c r="B1357" i="6"/>
  <c r="A1357" i="6"/>
  <c r="B1356" i="6"/>
  <c r="A1356" i="6"/>
  <c r="B1355" i="6"/>
  <c r="A1355" i="6"/>
  <c r="B1354" i="6"/>
  <c r="A1354" i="6"/>
  <c r="B1353" i="6"/>
  <c r="A1353" i="6"/>
  <c r="B1352" i="6"/>
  <c r="A1352" i="6"/>
  <c r="B1351" i="6"/>
  <c r="A1351" i="6"/>
  <c r="B1350" i="6"/>
  <c r="A1350" i="6"/>
  <c r="B1349" i="6"/>
  <c r="A1349" i="6"/>
  <c r="B1348" i="6"/>
  <c r="A1348" i="6"/>
  <c r="B1347" i="6"/>
  <c r="A1347" i="6"/>
  <c r="B1346" i="6"/>
  <c r="A1346" i="6"/>
  <c r="B1345" i="6"/>
  <c r="A1345" i="6"/>
  <c r="B1344" i="6"/>
  <c r="A1344" i="6"/>
  <c r="B1343" i="6"/>
  <c r="A1343" i="6"/>
  <c r="B1342" i="6"/>
  <c r="A1342" i="6"/>
  <c r="B1341" i="6"/>
  <c r="A1341" i="6"/>
  <c r="B1340" i="6"/>
  <c r="A1340" i="6"/>
  <c r="B1339" i="6"/>
  <c r="A1339" i="6"/>
  <c r="B1338" i="6"/>
  <c r="A1338" i="6"/>
  <c r="B1337" i="6"/>
  <c r="A1337" i="6"/>
  <c r="B1336" i="6"/>
  <c r="A1336" i="6"/>
  <c r="B1335" i="6"/>
  <c r="A1335" i="6"/>
  <c r="B1334" i="6"/>
  <c r="A1334" i="6"/>
  <c r="B1333" i="6"/>
  <c r="A1333" i="6"/>
  <c r="B1332" i="6"/>
  <c r="A1332" i="6"/>
  <c r="B1331" i="6"/>
  <c r="A1331" i="6"/>
  <c r="B1330" i="6"/>
  <c r="A1330" i="6"/>
  <c r="B1329" i="6"/>
  <c r="A1329" i="6"/>
  <c r="B1328" i="6"/>
  <c r="A1328" i="6"/>
  <c r="B1327" i="6"/>
  <c r="A1327" i="6"/>
  <c r="B1326" i="6"/>
  <c r="A1326" i="6"/>
  <c r="B1325" i="6"/>
  <c r="A1325" i="6"/>
  <c r="B1324" i="6"/>
  <c r="A1324" i="6"/>
  <c r="B1323" i="6"/>
  <c r="A1323" i="6"/>
  <c r="B1322" i="6"/>
  <c r="A1322" i="6"/>
  <c r="B1321" i="6"/>
  <c r="A1321" i="6"/>
  <c r="B1320" i="6"/>
  <c r="A1320" i="6"/>
  <c r="B1319" i="6"/>
  <c r="A1319" i="6"/>
  <c r="B1318" i="6"/>
  <c r="A1318" i="6"/>
  <c r="B1317" i="6"/>
  <c r="A1317" i="6"/>
  <c r="B1316" i="6"/>
  <c r="A1316" i="6"/>
  <c r="B1315" i="6"/>
  <c r="A1315" i="6"/>
  <c r="B1314" i="6"/>
  <c r="A1314" i="6"/>
  <c r="B1313" i="6"/>
  <c r="A1313" i="6"/>
  <c r="B1312" i="6"/>
  <c r="A1312" i="6"/>
  <c r="B1311" i="6"/>
  <c r="A1311" i="6"/>
  <c r="B1310" i="6"/>
  <c r="A1310" i="6"/>
  <c r="B1309" i="6"/>
  <c r="A1309" i="6"/>
  <c r="B1308" i="6"/>
  <c r="A1308" i="6"/>
  <c r="B1307" i="6"/>
  <c r="A1307" i="6"/>
  <c r="B1306" i="6"/>
  <c r="A1306" i="6"/>
  <c r="B1305" i="6"/>
  <c r="A1305" i="6"/>
  <c r="B1304" i="6"/>
  <c r="A1304" i="6"/>
  <c r="B1303" i="6"/>
  <c r="A1303" i="6"/>
  <c r="B1302" i="6"/>
  <c r="A1302" i="6"/>
  <c r="B1301" i="6"/>
  <c r="A1301" i="6"/>
  <c r="B1300" i="6"/>
  <c r="A1300" i="6"/>
  <c r="B1299" i="6"/>
  <c r="A1299" i="6"/>
  <c r="B1298" i="6"/>
  <c r="A1298" i="6"/>
  <c r="B1297" i="6"/>
  <c r="A1297" i="6"/>
  <c r="B1296" i="6"/>
  <c r="A1296" i="6"/>
  <c r="B1295" i="6"/>
  <c r="A1295" i="6"/>
  <c r="B1294" i="6"/>
  <c r="A1294" i="6"/>
  <c r="B1293" i="6"/>
  <c r="A1293" i="6"/>
  <c r="B1292" i="6"/>
  <c r="A1292" i="6"/>
  <c r="B1291" i="6"/>
  <c r="A1291" i="6"/>
  <c r="B1290" i="6"/>
  <c r="A1290" i="6"/>
  <c r="B1289" i="6"/>
  <c r="A1289" i="6"/>
  <c r="B1288" i="6"/>
  <c r="A1288" i="6"/>
  <c r="B1287" i="6"/>
  <c r="A1287" i="6"/>
  <c r="B1286" i="6"/>
  <c r="A1286" i="6"/>
  <c r="B1285" i="6"/>
  <c r="A1285" i="6"/>
  <c r="B1284" i="6"/>
  <c r="A1284" i="6"/>
  <c r="B1283" i="6"/>
  <c r="A1283" i="6"/>
  <c r="B1282" i="6"/>
  <c r="A1282" i="6"/>
  <c r="B1281" i="6"/>
  <c r="A1281" i="6"/>
  <c r="B1280" i="6"/>
  <c r="A1280" i="6"/>
  <c r="B1279" i="6"/>
  <c r="A1279" i="6"/>
  <c r="B1278" i="6"/>
  <c r="A1278" i="6"/>
  <c r="B1277" i="6"/>
  <c r="A1277" i="6"/>
  <c r="B1276" i="6"/>
  <c r="A1276" i="6"/>
  <c r="B1275" i="6"/>
  <c r="A1275" i="6"/>
  <c r="B1274" i="6"/>
  <c r="A1274" i="6"/>
  <c r="B1273" i="6"/>
  <c r="A1273" i="6"/>
  <c r="B1272" i="6"/>
  <c r="A1272" i="6"/>
  <c r="B1271" i="6"/>
  <c r="A1271" i="6"/>
  <c r="B1270" i="6"/>
  <c r="A1270" i="6"/>
  <c r="B1269" i="6"/>
  <c r="A1269" i="6"/>
  <c r="B1268" i="6"/>
  <c r="A1268" i="6"/>
  <c r="B1267" i="6"/>
  <c r="A1267" i="6"/>
  <c r="B1266" i="6"/>
  <c r="A1266" i="6"/>
  <c r="B1265" i="6"/>
  <c r="A1265" i="6"/>
  <c r="B1264" i="6"/>
  <c r="A1264" i="6"/>
  <c r="B1263" i="6"/>
  <c r="A1263" i="6"/>
  <c r="B1262" i="6"/>
  <c r="A1262" i="6"/>
  <c r="B1261" i="6"/>
  <c r="A1261" i="6"/>
  <c r="B1260" i="6"/>
  <c r="A1260" i="6"/>
  <c r="B1259" i="6"/>
  <c r="A1259" i="6"/>
  <c r="B1258" i="6"/>
  <c r="A1258" i="6"/>
  <c r="B1257" i="6"/>
  <c r="A1257" i="6"/>
  <c r="B1256" i="6"/>
  <c r="A1256" i="6"/>
  <c r="B1255" i="6"/>
  <c r="A1255" i="6"/>
  <c r="B1254" i="6"/>
  <c r="A1254" i="6"/>
  <c r="B1253" i="6"/>
  <c r="A1253" i="6"/>
  <c r="B1252" i="6"/>
  <c r="A1252" i="6"/>
  <c r="B1251" i="6"/>
  <c r="A1251" i="6"/>
  <c r="B1250" i="6"/>
  <c r="A1250" i="6"/>
  <c r="B1249" i="6"/>
  <c r="A1249" i="6"/>
  <c r="B1248" i="6"/>
  <c r="A1248" i="6"/>
  <c r="B1247" i="6"/>
  <c r="A1247" i="6"/>
  <c r="B1246" i="6"/>
  <c r="A1246" i="6"/>
  <c r="B1245" i="6"/>
  <c r="A1245" i="6"/>
  <c r="B1244" i="6"/>
  <c r="A1244" i="6"/>
  <c r="B1243" i="6"/>
  <c r="A1243" i="6"/>
  <c r="B1242" i="6"/>
  <c r="A1242" i="6"/>
  <c r="B1241" i="6"/>
  <c r="A1241" i="6"/>
  <c r="B1240" i="6"/>
  <c r="A1240" i="6"/>
  <c r="B1239" i="6"/>
  <c r="A1239" i="6"/>
  <c r="B1238" i="6"/>
  <c r="A1238" i="6"/>
  <c r="B1237" i="6"/>
  <c r="A1237" i="6"/>
  <c r="B1236" i="6"/>
  <c r="A1236" i="6"/>
  <c r="B1235" i="6"/>
  <c r="A1235" i="6"/>
  <c r="B1234" i="6"/>
  <c r="A1234" i="6"/>
  <c r="B1233" i="6"/>
  <c r="A1233" i="6"/>
  <c r="B1232" i="6"/>
  <c r="A1232" i="6"/>
  <c r="B1231" i="6"/>
  <c r="A1231" i="6"/>
  <c r="B1230" i="6"/>
  <c r="A1230" i="6"/>
  <c r="B1229" i="6"/>
  <c r="A1229" i="6"/>
  <c r="B1228" i="6"/>
  <c r="A1228" i="6"/>
  <c r="B1227" i="6"/>
  <c r="A1227" i="6"/>
  <c r="B1226" i="6"/>
  <c r="A1226" i="6"/>
  <c r="B1225" i="6"/>
  <c r="A1225" i="6"/>
  <c r="B1224" i="6"/>
  <c r="A1224" i="6"/>
  <c r="B1223" i="6"/>
  <c r="A1223" i="6"/>
  <c r="B1222" i="6"/>
  <c r="A1222" i="6"/>
  <c r="B1221" i="6"/>
  <c r="A1221" i="6"/>
  <c r="B1220" i="6"/>
  <c r="A1220" i="6"/>
  <c r="B1219" i="6"/>
  <c r="A1219" i="6"/>
  <c r="B1218" i="6"/>
  <c r="A1218" i="6"/>
  <c r="B1217" i="6"/>
  <c r="A1217" i="6"/>
  <c r="B1216" i="6"/>
  <c r="A1216" i="6"/>
  <c r="B1215" i="6"/>
  <c r="A1215" i="6"/>
  <c r="B1214" i="6"/>
  <c r="A1214" i="6"/>
  <c r="B1213" i="6"/>
  <c r="A1213" i="6"/>
  <c r="B1212" i="6"/>
  <c r="A1212" i="6"/>
  <c r="B1211" i="6"/>
  <c r="A1211" i="6"/>
  <c r="B1210" i="6"/>
  <c r="A1210" i="6"/>
  <c r="B1209" i="6"/>
  <c r="A1209" i="6"/>
  <c r="B1208" i="6"/>
  <c r="A1208" i="6"/>
  <c r="B1207" i="6"/>
  <c r="A1207" i="6"/>
  <c r="B1206" i="6"/>
  <c r="A1206" i="6"/>
  <c r="B1205" i="6"/>
  <c r="A1205" i="6"/>
  <c r="B1204" i="6"/>
  <c r="A1204" i="6"/>
  <c r="B1203" i="6"/>
  <c r="A1203" i="6"/>
  <c r="B1202" i="6"/>
  <c r="A1202" i="6"/>
  <c r="B1201" i="6"/>
  <c r="A1201" i="6"/>
  <c r="B1200" i="6"/>
  <c r="A1200" i="6"/>
  <c r="B1199" i="6"/>
  <c r="A1199" i="6"/>
  <c r="B1198" i="6"/>
  <c r="A1198" i="6"/>
  <c r="B1197" i="6"/>
  <c r="A1197" i="6"/>
  <c r="B1196" i="6"/>
  <c r="A1196" i="6"/>
  <c r="B1195" i="6"/>
  <c r="A1195" i="6"/>
  <c r="B1194" i="6"/>
  <c r="A1194" i="6"/>
  <c r="B1193" i="6"/>
  <c r="A1193" i="6"/>
  <c r="B1192" i="6"/>
  <c r="A1192" i="6"/>
  <c r="B1191" i="6"/>
  <c r="A1191" i="6"/>
  <c r="B1190" i="6"/>
  <c r="A1190" i="6"/>
  <c r="B1189" i="6"/>
  <c r="A1189" i="6"/>
  <c r="B1188" i="6"/>
  <c r="A1188" i="6"/>
  <c r="B1187" i="6"/>
  <c r="A1187" i="6"/>
  <c r="B1186" i="6"/>
  <c r="A1186" i="6"/>
  <c r="B1185" i="6"/>
  <c r="A1185" i="6"/>
  <c r="B1184" i="6"/>
  <c r="A1184" i="6"/>
  <c r="B1183" i="6"/>
  <c r="A1183" i="6"/>
  <c r="B1182" i="6"/>
  <c r="A1182" i="6"/>
  <c r="B1181" i="6"/>
  <c r="A1181" i="6"/>
  <c r="B1180" i="6"/>
  <c r="A1180" i="6"/>
  <c r="B1179" i="6"/>
  <c r="A1179" i="6"/>
  <c r="B1178" i="6"/>
  <c r="A1178" i="6"/>
  <c r="B1177" i="6"/>
  <c r="A1177" i="6"/>
  <c r="B1176" i="6"/>
  <c r="A1176" i="6"/>
  <c r="B1175" i="6"/>
  <c r="A1175" i="6"/>
  <c r="B1174" i="6"/>
  <c r="A1174" i="6"/>
  <c r="B1173" i="6"/>
  <c r="A1173" i="6"/>
  <c r="B1172" i="6"/>
  <c r="A1172" i="6"/>
  <c r="B1171" i="6"/>
  <c r="A1171" i="6"/>
  <c r="B1170" i="6"/>
  <c r="A1170" i="6"/>
  <c r="B1169" i="6"/>
  <c r="A1169" i="6"/>
  <c r="B1168" i="6"/>
  <c r="A1168" i="6"/>
  <c r="B1167" i="6"/>
  <c r="A1167" i="6"/>
  <c r="B1166" i="6"/>
  <c r="A1166" i="6"/>
  <c r="B1165" i="6"/>
  <c r="A1165" i="6"/>
  <c r="B1164" i="6"/>
  <c r="A1164" i="6"/>
  <c r="B1163" i="6"/>
  <c r="A1163" i="6"/>
  <c r="B1162" i="6"/>
  <c r="A1162" i="6"/>
  <c r="B1161" i="6"/>
  <c r="A1161" i="6"/>
  <c r="B1160" i="6"/>
  <c r="A1160" i="6"/>
  <c r="B1159" i="6"/>
  <c r="A1159" i="6"/>
  <c r="B1158" i="6"/>
  <c r="A1158" i="6"/>
  <c r="B1157" i="6"/>
  <c r="A1157" i="6"/>
  <c r="B1156" i="6"/>
  <c r="A1156" i="6"/>
  <c r="B1155" i="6"/>
  <c r="A1155" i="6"/>
  <c r="B1154" i="6"/>
  <c r="A1154" i="6"/>
  <c r="B1153" i="6"/>
  <c r="A1153" i="6"/>
  <c r="B1152" i="6"/>
  <c r="A1152" i="6"/>
  <c r="B1151" i="6"/>
  <c r="A1151" i="6"/>
  <c r="B1150" i="6"/>
  <c r="A1150" i="6"/>
  <c r="B1149" i="6"/>
  <c r="A1149" i="6"/>
  <c r="B1148" i="6"/>
  <c r="A1148" i="6"/>
  <c r="B1147" i="6"/>
  <c r="A1147" i="6"/>
  <c r="B1146" i="6"/>
  <c r="A1146" i="6"/>
  <c r="B1145" i="6"/>
  <c r="A1145" i="6"/>
  <c r="B1144" i="6"/>
  <c r="A1144" i="6"/>
  <c r="B1143" i="6"/>
  <c r="A1143" i="6"/>
  <c r="B1142" i="6"/>
  <c r="A1142" i="6"/>
  <c r="B1141" i="6"/>
  <c r="A1141" i="6"/>
  <c r="B1140" i="6"/>
  <c r="A1140" i="6"/>
  <c r="B1139" i="6"/>
  <c r="A1139" i="6"/>
  <c r="B1138" i="6"/>
  <c r="A1138" i="6"/>
  <c r="B1137" i="6"/>
  <c r="A1137" i="6"/>
  <c r="B1136" i="6"/>
  <c r="A1136" i="6"/>
  <c r="B1135" i="6"/>
  <c r="A1135" i="6"/>
  <c r="B1134" i="6"/>
  <c r="A1134" i="6"/>
  <c r="B1133" i="6"/>
  <c r="A1133" i="6"/>
  <c r="B1132" i="6"/>
  <c r="A1132" i="6"/>
  <c r="B1131" i="6"/>
  <c r="A1131" i="6"/>
  <c r="B1130" i="6"/>
  <c r="A1130" i="6"/>
  <c r="B1129" i="6"/>
  <c r="A1129" i="6"/>
  <c r="B1128" i="6"/>
  <c r="A1128" i="6"/>
  <c r="B1127" i="6"/>
  <c r="A1127" i="6"/>
  <c r="B1126" i="6"/>
  <c r="A1126" i="6"/>
  <c r="B1125" i="6"/>
  <c r="A1125" i="6"/>
  <c r="B1124" i="6"/>
  <c r="A1124" i="6"/>
  <c r="B1123" i="6"/>
  <c r="A1123" i="6"/>
  <c r="B1122" i="6"/>
  <c r="A1122" i="6"/>
  <c r="B1121" i="6"/>
  <c r="A1121" i="6"/>
  <c r="B1120" i="6"/>
  <c r="A1120" i="6"/>
  <c r="B1119" i="6"/>
  <c r="A1119" i="6"/>
  <c r="B1118" i="6"/>
  <c r="A1118" i="6"/>
  <c r="B1117" i="6"/>
  <c r="A1117" i="6"/>
  <c r="B1116" i="6"/>
  <c r="A1116" i="6"/>
  <c r="B1115" i="6"/>
  <c r="A1115" i="6"/>
  <c r="B1114" i="6"/>
  <c r="A1114" i="6"/>
  <c r="B1113" i="6"/>
  <c r="A1113" i="6"/>
  <c r="B1112" i="6"/>
  <c r="A1112" i="6"/>
  <c r="B1111" i="6"/>
  <c r="A1111" i="6"/>
  <c r="B1110" i="6"/>
  <c r="A1110" i="6"/>
  <c r="B1109" i="6"/>
  <c r="A1109" i="6"/>
  <c r="B1108" i="6"/>
  <c r="A1108" i="6"/>
  <c r="B1107" i="6"/>
  <c r="A1107" i="6"/>
  <c r="B1106" i="6"/>
  <c r="A1106" i="6"/>
  <c r="B1105" i="6"/>
  <c r="A1105" i="6"/>
  <c r="B1104" i="6"/>
  <c r="A1104" i="6"/>
  <c r="B1103" i="6"/>
  <c r="A1103" i="6"/>
  <c r="B1102" i="6"/>
  <c r="A1102" i="6"/>
  <c r="B1101" i="6"/>
  <c r="A1101" i="6"/>
  <c r="B1100" i="6"/>
  <c r="A1100" i="6"/>
  <c r="B1099" i="6"/>
  <c r="A1099" i="6"/>
  <c r="B1098" i="6"/>
  <c r="A1098" i="6"/>
  <c r="B1097" i="6"/>
  <c r="A1097" i="6"/>
  <c r="B1096" i="6"/>
  <c r="A1096" i="6"/>
  <c r="B1095" i="6"/>
  <c r="A1095" i="6"/>
  <c r="B1094" i="6"/>
  <c r="A1094" i="6"/>
  <c r="B1093" i="6"/>
  <c r="A1093" i="6"/>
  <c r="B1092" i="6"/>
  <c r="A1092" i="6"/>
  <c r="B1091" i="6"/>
  <c r="A1091" i="6"/>
  <c r="B1090" i="6"/>
  <c r="A1090" i="6"/>
  <c r="B1089" i="6"/>
  <c r="A1089" i="6"/>
  <c r="B1088" i="6"/>
  <c r="A1088" i="6"/>
  <c r="B1087" i="6"/>
  <c r="A1087" i="6"/>
  <c r="B1086" i="6"/>
  <c r="A1086" i="6"/>
  <c r="B1085" i="6"/>
  <c r="A1085" i="6"/>
  <c r="B1084" i="6"/>
  <c r="A1084" i="6"/>
  <c r="B1083" i="6"/>
  <c r="A1083" i="6"/>
  <c r="B1082" i="6"/>
  <c r="A1082" i="6"/>
  <c r="B1081" i="6"/>
  <c r="A1081" i="6"/>
  <c r="B1080" i="6"/>
  <c r="A1080" i="6"/>
  <c r="B1079" i="6"/>
  <c r="A1079" i="6"/>
  <c r="B1078" i="6"/>
  <c r="A1078" i="6"/>
  <c r="B1077" i="6"/>
  <c r="A1077" i="6"/>
  <c r="B1076" i="6"/>
  <c r="A1076" i="6"/>
  <c r="B1075" i="6"/>
  <c r="A1075" i="6"/>
  <c r="B1074" i="6"/>
  <c r="A1074" i="6"/>
  <c r="B1073" i="6"/>
  <c r="A1073" i="6"/>
  <c r="B1072" i="6"/>
  <c r="A1072" i="6"/>
  <c r="B1071" i="6"/>
  <c r="A1071" i="6"/>
  <c r="B1070" i="6"/>
  <c r="A1070" i="6"/>
  <c r="B1069" i="6"/>
  <c r="A1069" i="6"/>
  <c r="B1068" i="6"/>
  <c r="A1068" i="6"/>
  <c r="B1067" i="6"/>
  <c r="A1067" i="6"/>
  <c r="B1066" i="6"/>
  <c r="A1066" i="6"/>
  <c r="B1065" i="6"/>
  <c r="A1065" i="6"/>
  <c r="B1064" i="6"/>
  <c r="A1064" i="6"/>
  <c r="B1063" i="6"/>
  <c r="A1063" i="6"/>
  <c r="B1062" i="6"/>
  <c r="A1062" i="6"/>
  <c r="B1061" i="6"/>
  <c r="A1061" i="6"/>
  <c r="B1060" i="6"/>
  <c r="A1060" i="6"/>
  <c r="B1059" i="6"/>
  <c r="A1059" i="6"/>
  <c r="B1058" i="6"/>
  <c r="A1058" i="6"/>
  <c r="B1057" i="6"/>
  <c r="A1057" i="6"/>
  <c r="B1056" i="6"/>
  <c r="A1056" i="6"/>
  <c r="B1055" i="6"/>
  <c r="A1055" i="6"/>
  <c r="B1054" i="6"/>
  <c r="A1054" i="6"/>
  <c r="B1053" i="6"/>
  <c r="A1053" i="6"/>
  <c r="B1052" i="6"/>
  <c r="A1052" i="6"/>
  <c r="B1051" i="6"/>
  <c r="A1051" i="6"/>
  <c r="B1050" i="6"/>
  <c r="A1050" i="6"/>
  <c r="B1049" i="6"/>
  <c r="A1049" i="6"/>
  <c r="B1048" i="6"/>
  <c r="A1048" i="6"/>
  <c r="B1047" i="6"/>
  <c r="A1047" i="6"/>
  <c r="B1046" i="6"/>
  <c r="A1046" i="6"/>
  <c r="B1045" i="6"/>
  <c r="A1045" i="6"/>
  <c r="B1044" i="6"/>
  <c r="A1044" i="6"/>
  <c r="B1043" i="6"/>
  <c r="A1043" i="6"/>
  <c r="B1042" i="6"/>
  <c r="A1042" i="6"/>
  <c r="B1041" i="6"/>
  <c r="A1041" i="6"/>
  <c r="B1040" i="6"/>
  <c r="A1040" i="6"/>
  <c r="B1039" i="6"/>
  <c r="A1039" i="6"/>
  <c r="B1038" i="6"/>
  <c r="A1038" i="6"/>
  <c r="B1037" i="6"/>
  <c r="A1037" i="6"/>
  <c r="B1036" i="6"/>
  <c r="A1036" i="6"/>
  <c r="B1035" i="6"/>
  <c r="A1035" i="6"/>
  <c r="B1034" i="6"/>
  <c r="A1034" i="6"/>
  <c r="B1033" i="6"/>
  <c r="A1033" i="6"/>
  <c r="B1032" i="6"/>
  <c r="A1032" i="6"/>
  <c r="B1031" i="6"/>
  <c r="A1031" i="6"/>
  <c r="B1030" i="6"/>
  <c r="A1030" i="6"/>
  <c r="B1029" i="6"/>
  <c r="A1029" i="6"/>
  <c r="B1028" i="6"/>
  <c r="A1028" i="6"/>
  <c r="B1027" i="6"/>
  <c r="A1027" i="6"/>
  <c r="B1026" i="6"/>
  <c r="A1026" i="6"/>
  <c r="B1025" i="6"/>
  <c r="A1025" i="6"/>
  <c r="B1024" i="6"/>
  <c r="A1024" i="6"/>
  <c r="B1023" i="6"/>
  <c r="A1023" i="6"/>
  <c r="B1022" i="6"/>
  <c r="A1022" i="6"/>
  <c r="B1021" i="6"/>
  <c r="A1021" i="6"/>
  <c r="B1020" i="6"/>
  <c r="A1020" i="6"/>
  <c r="B1019" i="6"/>
  <c r="A1019" i="6"/>
  <c r="B1018" i="6"/>
  <c r="A1018" i="6"/>
  <c r="B1017" i="6"/>
  <c r="A1017" i="6"/>
  <c r="B1016" i="6"/>
  <c r="A1016" i="6"/>
  <c r="B1015" i="6"/>
  <c r="A1015" i="6"/>
  <c r="B1014" i="6"/>
  <c r="A1014" i="6"/>
  <c r="B1013" i="6"/>
  <c r="A1013" i="6"/>
  <c r="B1012" i="6"/>
  <c r="A1012" i="6"/>
  <c r="B1011" i="6"/>
  <c r="A1011" i="6"/>
  <c r="B1010" i="6"/>
  <c r="A1010" i="6"/>
  <c r="B1009" i="6"/>
  <c r="A1009" i="6"/>
  <c r="B1008" i="6"/>
  <c r="A1008" i="6"/>
  <c r="B1007" i="6"/>
  <c r="A1007" i="6"/>
  <c r="B1006" i="6"/>
  <c r="A1006" i="6"/>
  <c r="B1005" i="6"/>
  <c r="A1005" i="6"/>
  <c r="B1004" i="6"/>
  <c r="A1004" i="6"/>
  <c r="B1003" i="6"/>
  <c r="A1003" i="6"/>
  <c r="B1002" i="6"/>
  <c r="A1002" i="6"/>
  <c r="B1001" i="6"/>
  <c r="A1001" i="6"/>
  <c r="B1000" i="6"/>
  <c r="A1000" i="6"/>
  <c r="B999" i="6"/>
  <c r="A999" i="6"/>
  <c r="B998" i="6"/>
  <c r="A998" i="6"/>
  <c r="B997" i="6"/>
  <c r="A997" i="6"/>
  <c r="B996" i="6"/>
  <c r="A996" i="6"/>
  <c r="B995" i="6"/>
  <c r="A995" i="6"/>
  <c r="B994" i="6"/>
  <c r="A994" i="6"/>
  <c r="B993" i="6"/>
  <c r="A993" i="6"/>
  <c r="B992" i="6"/>
  <c r="A992" i="6"/>
  <c r="B991" i="6"/>
  <c r="A991" i="6"/>
  <c r="B990" i="6"/>
  <c r="A990" i="6"/>
  <c r="B989" i="6"/>
  <c r="A989" i="6"/>
  <c r="B988" i="6"/>
  <c r="A988" i="6"/>
  <c r="B987" i="6"/>
  <c r="A987" i="6"/>
  <c r="B986" i="6"/>
  <c r="A986" i="6"/>
  <c r="B985" i="6"/>
  <c r="A985" i="6"/>
  <c r="B984" i="6"/>
  <c r="A984" i="6"/>
  <c r="B983" i="6"/>
  <c r="A983" i="6"/>
  <c r="B982" i="6"/>
  <c r="A982" i="6"/>
  <c r="B981" i="6"/>
  <c r="A981" i="6"/>
  <c r="B980" i="6"/>
  <c r="A980" i="6"/>
  <c r="B979" i="6"/>
  <c r="A979" i="6"/>
  <c r="B978" i="6"/>
  <c r="A978" i="6"/>
  <c r="B977" i="6"/>
  <c r="A977" i="6"/>
  <c r="B976" i="6"/>
  <c r="A976" i="6"/>
  <c r="B975" i="6"/>
  <c r="A975" i="6"/>
  <c r="B974" i="6"/>
  <c r="A974" i="6"/>
  <c r="B973" i="6"/>
  <c r="A973" i="6"/>
  <c r="B972" i="6"/>
  <c r="A972" i="6"/>
  <c r="B971" i="6"/>
  <c r="A971" i="6"/>
  <c r="B970" i="6"/>
  <c r="A970" i="6"/>
  <c r="B969" i="6"/>
  <c r="A969" i="6"/>
  <c r="B968" i="6"/>
  <c r="A968" i="6"/>
  <c r="B967" i="6"/>
  <c r="A967" i="6"/>
  <c r="B966" i="6"/>
  <c r="A966" i="6"/>
  <c r="B965" i="6"/>
  <c r="A965" i="6"/>
  <c r="B964" i="6"/>
  <c r="A964" i="6"/>
  <c r="B963" i="6"/>
  <c r="A963" i="6"/>
  <c r="B962" i="6"/>
  <c r="A962" i="6"/>
  <c r="B961" i="6"/>
  <c r="A961" i="6"/>
  <c r="B960" i="6"/>
  <c r="A960" i="6"/>
  <c r="B959" i="6"/>
  <c r="A959" i="6"/>
  <c r="B958" i="6"/>
  <c r="A958" i="6"/>
  <c r="B957" i="6"/>
  <c r="A957" i="6"/>
  <c r="B956" i="6"/>
  <c r="A956" i="6"/>
  <c r="B955" i="6"/>
  <c r="A955" i="6"/>
  <c r="B954" i="6"/>
  <c r="A954" i="6"/>
  <c r="B953" i="6"/>
  <c r="A953" i="6"/>
  <c r="B952" i="6"/>
  <c r="A952" i="6"/>
  <c r="B951" i="6"/>
  <c r="A951" i="6"/>
  <c r="B950" i="6"/>
  <c r="A950" i="6"/>
  <c r="B949" i="6"/>
  <c r="A949" i="6"/>
  <c r="B948" i="6"/>
  <c r="A948" i="6"/>
  <c r="B947" i="6"/>
  <c r="A947" i="6"/>
  <c r="B946" i="6"/>
  <c r="A946" i="6"/>
  <c r="B945" i="6"/>
  <c r="A945" i="6"/>
  <c r="B944" i="6"/>
  <c r="A944" i="6"/>
  <c r="B943" i="6"/>
  <c r="A943" i="6"/>
  <c r="B942" i="6"/>
  <c r="A942" i="6"/>
  <c r="B941" i="6"/>
  <c r="A941" i="6"/>
  <c r="B940" i="6"/>
  <c r="A940" i="6"/>
  <c r="B939" i="6"/>
  <c r="A939" i="6"/>
  <c r="B938" i="6"/>
  <c r="A938" i="6"/>
  <c r="B937" i="6"/>
  <c r="A937" i="6"/>
  <c r="B936" i="6"/>
  <c r="A936" i="6"/>
  <c r="B935" i="6"/>
  <c r="A935" i="6"/>
  <c r="B934" i="6"/>
  <c r="A934" i="6"/>
  <c r="B933" i="6"/>
  <c r="A933" i="6"/>
  <c r="B932" i="6"/>
  <c r="A932" i="6"/>
  <c r="B931" i="6"/>
  <c r="A931" i="6"/>
  <c r="B930" i="6"/>
  <c r="A930" i="6"/>
  <c r="B929" i="6"/>
  <c r="A929" i="6"/>
  <c r="B928" i="6"/>
  <c r="A928" i="6"/>
  <c r="B927" i="6"/>
  <c r="A927" i="6"/>
  <c r="B926" i="6"/>
  <c r="A926" i="6"/>
  <c r="B925" i="6"/>
  <c r="A925" i="6"/>
  <c r="B924" i="6"/>
  <c r="A924" i="6"/>
  <c r="B923" i="6"/>
  <c r="A923" i="6"/>
  <c r="B922" i="6"/>
  <c r="A922" i="6"/>
  <c r="B921" i="6"/>
  <c r="A921" i="6"/>
  <c r="B920" i="6"/>
  <c r="A920" i="6"/>
  <c r="B919" i="6"/>
  <c r="A919" i="6"/>
  <c r="B918" i="6"/>
  <c r="A918" i="6"/>
  <c r="B917" i="6"/>
  <c r="A917" i="6"/>
  <c r="B916" i="6"/>
  <c r="A916" i="6"/>
  <c r="B915" i="6"/>
  <c r="A915" i="6"/>
  <c r="B914" i="6"/>
  <c r="A914" i="6"/>
  <c r="B913" i="6"/>
  <c r="A913" i="6"/>
  <c r="B912" i="6"/>
  <c r="A912" i="6"/>
  <c r="B911" i="6"/>
  <c r="A911" i="6"/>
  <c r="B910" i="6"/>
  <c r="A910" i="6"/>
  <c r="B909" i="6"/>
  <c r="A909" i="6"/>
  <c r="B908" i="6"/>
  <c r="A908" i="6"/>
  <c r="B907" i="6"/>
  <c r="A907" i="6"/>
  <c r="B906" i="6"/>
  <c r="A906" i="6"/>
  <c r="B905" i="6"/>
  <c r="A905" i="6"/>
  <c r="B904" i="6"/>
  <c r="A904" i="6"/>
  <c r="B903" i="6"/>
  <c r="A903" i="6"/>
  <c r="B902" i="6"/>
  <c r="A902" i="6"/>
  <c r="B901" i="6"/>
  <c r="A901" i="6"/>
  <c r="B900" i="6"/>
  <c r="A900" i="6"/>
  <c r="B899" i="6"/>
  <c r="A899" i="6"/>
  <c r="B898" i="6"/>
  <c r="A898" i="6"/>
  <c r="B897" i="6"/>
  <c r="A897" i="6"/>
  <c r="B896" i="6"/>
  <c r="A896" i="6"/>
  <c r="B895" i="6"/>
  <c r="A895" i="6"/>
  <c r="B894" i="6"/>
  <c r="A894" i="6"/>
  <c r="B893" i="6"/>
  <c r="A893" i="6"/>
  <c r="B892" i="6"/>
  <c r="A892" i="6"/>
  <c r="B891" i="6"/>
  <c r="A891" i="6"/>
  <c r="B890" i="6"/>
  <c r="A890" i="6"/>
  <c r="B889" i="6"/>
  <c r="A889" i="6"/>
  <c r="B888" i="6"/>
  <c r="A888" i="6"/>
  <c r="B887" i="6"/>
  <c r="A887" i="6"/>
  <c r="B886" i="6"/>
  <c r="A886" i="6"/>
  <c r="B885" i="6"/>
  <c r="A885" i="6"/>
  <c r="B884" i="6"/>
  <c r="A884" i="6"/>
  <c r="B883" i="6"/>
  <c r="A883" i="6"/>
  <c r="B882" i="6"/>
  <c r="A882" i="6"/>
  <c r="B881" i="6"/>
  <c r="A881" i="6"/>
  <c r="B880" i="6"/>
  <c r="A880" i="6"/>
  <c r="B879" i="6"/>
  <c r="A879" i="6"/>
  <c r="B878" i="6"/>
  <c r="A878" i="6"/>
  <c r="B877" i="6"/>
  <c r="A877" i="6"/>
  <c r="B876" i="6"/>
  <c r="A876" i="6"/>
  <c r="B875" i="6"/>
  <c r="A875" i="6"/>
  <c r="B874" i="6"/>
  <c r="A874" i="6"/>
  <c r="B873" i="6"/>
  <c r="A873" i="6"/>
  <c r="B872" i="6"/>
  <c r="A872" i="6"/>
  <c r="B871" i="6"/>
  <c r="A871" i="6"/>
  <c r="B870" i="6"/>
  <c r="A870" i="6"/>
  <c r="B869" i="6"/>
  <c r="A869" i="6"/>
  <c r="B868" i="6"/>
  <c r="A868" i="6"/>
  <c r="B867" i="6"/>
  <c r="A867" i="6"/>
  <c r="B866" i="6"/>
  <c r="A866" i="6"/>
  <c r="B865" i="6"/>
  <c r="A865" i="6"/>
  <c r="B864" i="6"/>
  <c r="A864" i="6"/>
  <c r="B863" i="6"/>
  <c r="A863" i="6"/>
  <c r="B862" i="6"/>
  <c r="A862" i="6"/>
  <c r="B861" i="6"/>
  <c r="A861" i="6"/>
  <c r="B860" i="6"/>
  <c r="A860" i="6"/>
  <c r="B859" i="6"/>
  <c r="A859" i="6"/>
  <c r="B858" i="6"/>
  <c r="A858" i="6"/>
  <c r="B857" i="6"/>
  <c r="A857" i="6"/>
  <c r="B856" i="6"/>
  <c r="A856" i="6"/>
  <c r="B855" i="6"/>
  <c r="A855" i="6"/>
  <c r="B854" i="6"/>
  <c r="A854" i="6"/>
  <c r="B853" i="6"/>
  <c r="A853" i="6"/>
  <c r="B852" i="6"/>
  <c r="A852" i="6"/>
  <c r="B851" i="6"/>
  <c r="A851" i="6"/>
  <c r="B850" i="6"/>
  <c r="A850" i="6"/>
  <c r="B849" i="6"/>
  <c r="A849" i="6"/>
  <c r="B848" i="6"/>
  <c r="A848" i="6"/>
  <c r="B847" i="6"/>
  <c r="A847" i="6"/>
  <c r="B846" i="6"/>
  <c r="A846" i="6"/>
  <c r="B845" i="6"/>
  <c r="A845" i="6"/>
  <c r="B844" i="6"/>
  <c r="A844" i="6"/>
  <c r="B843" i="6"/>
  <c r="A843" i="6"/>
  <c r="B842" i="6"/>
  <c r="A842" i="6"/>
  <c r="B841" i="6"/>
  <c r="A841" i="6"/>
  <c r="B840" i="6"/>
  <c r="A840" i="6"/>
  <c r="B839" i="6"/>
  <c r="A839" i="6"/>
  <c r="B838" i="6"/>
  <c r="A838" i="6"/>
  <c r="B837" i="6"/>
  <c r="A837" i="6"/>
  <c r="B836" i="6"/>
  <c r="A836" i="6"/>
  <c r="B835" i="6"/>
  <c r="A835" i="6"/>
  <c r="B834" i="6"/>
  <c r="A834" i="6"/>
  <c r="B833" i="6"/>
  <c r="A833" i="6"/>
  <c r="B832" i="6"/>
  <c r="A832" i="6"/>
  <c r="B831" i="6"/>
  <c r="A831" i="6"/>
  <c r="B830" i="6"/>
  <c r="A830" i="6"/>
  <c r="B829" i="6"/>
  <c r="A829" i="6"/>
  <c r="B828" i="6"/>
  <c r="A828" i="6"/>
  <c r="B827" i="6"/>
  <c r="A827" i="6"/>
  <c r="B826" i="6"/>
  <c r="A826" i="6"/>
  <c r="B825" i="6"/>
  <c r="A825" i="6"/>
  <c r="B824" i="6"/>
  <c r="A824" i="6"/>
  <c r="B823" i="6"/>
  <c r="A823" i="6"/>
  <c r="B822" i="6"/>
  <c r="A822" i="6"/>
  <c r="B821" i="6"/>
  <c r="A821" i="6"/>
  <c r="B820" i="6"/>
  <c r="A820" i="6"/>
  <c r="B819" i="6"/>
  <c r="A819" i="6"/>
  <c r="B818" i="6"/>
  <c r="A818" i="6"/>
  <c r="B817" i="6"/>
  <c r="A817" i="6"/>
  <c r="B816" i="6"/>
  <c r="A816" i="6"/>
  <c r="B815" i="6"/>
  <c r="A815" i="6"/>
  <c r="B814" i="6"/>
  <c r="A814" i="6"/>
  <c r="B813" i="6"/>
  <c r="A813" i="6"/>
  <c r="B812" i="6"/>
  <c r="A812" i="6"/>
  <c r="B811" i="6"/>
  <c r="A811" i="6"/>
  <c r="B810" i="6"/>
  <c r="A810" i="6"/>
  <c r="B809" i="6"/>
  <c r="A809" i="6"/>
  <c r="B808" i="6"/>
  <c r="A808" i="6"/>
  <c r="B807" i="6"/>
  <c r="A807" i="6"/>
  <c r="B806" i="6"/>
  <c r="A806" i="6"/>
  <c r="B805" i="6"/>
  <c r="A805" i="6"/>
  <c r="B804" i="6"/>
  <c r="A804" i="6"/>
  <c r="B803" i="6"/>
  <c r="A803" i="6"/>
  <c r="B802" i="6"/>
  <c r="A802" i="6"/>
  <c r="B801" i="6"/>
  <c r="A801" i="6"/>
  <c r="B800" i="6"/>
  <c r="A800" i="6"/>
  <c r="B799" i="6"/>
  <c r="A799" i="6"/>
  <c r="B798" i="6"/>
  <c r="A798" i="6"/>
  <c r="B797" i="6"/>
  <c r="A797" i="6"/>
  <c r="B796" i="6"/>
  <c r="A796" i="6"/>
  <c r="B795" i="6"/>
  <c r="A795" i="6"/>
  <c r="B794" i="6"/>
  <c r="A794" i="6"/>
  <c r="B793" i="6"/>
  <c r="A793" i="6"/>
  <c r="B792" i="6"/>
  <c r="A792" i="6"/>
  <c r="B791" i="6"/>
  <c r="A791" i="6"/>
  <c r="B790" i="6"/>
  <c r="A790" i="6"/>
  <c r="B789" i="6"/>
  <c r="A789" i="6"/>
  <c r="B788" i="6"/>
  <c r="A788" i="6"/>
  <c r="B787" i="6"/>
  <c r="A787" i="6"/>
  <c r="B786" i="6"/>
  <c r="A786" i="6"/>
  <c r="B785" i="6"/>
  <c r="A785" i="6"/>
  <c r="B784" i="6"/>
  <c r="A784" i="6"/>
  <c r="B783" i="6"/>
  <c r="A783" i="6"/>
  <c r="B782" i="6"/>
  <c r="A782" i="6"/>
  <c r="B781" i="6"/>
  <c r="A781" i="6"/>
  <c r="B780" i="6"/>
  <c r="A780" i="6"/>
  <c r="B779" i="6"/>
  <c r="A779" i="6"/>
  <c r="B778" i="6"/>
  <c r="A778" i="6"/>
  <c r="B777" i="6"/>
  <c r="A777" i="6"/>
  <c r="B776" i="6"/>
  <c r="A776" i="6"/>
  <c r="B775" i="6"/>
  <c r="A775" i="6"/>
  <c r="B774" i="6"/>
  <c r="A774" i="6"/>
  <c r="B773" i="6"/>
  <c r="A773" i="6"/>
  <c r="B772" i="6"/>
  <c r="A772" i="6"/>
  <c r="B771" i="6"/>
  <c r="A771" i="6"/>
  <c r="B770" i="6"/>
  <c r="A770" i="6"/>
  <c r="B769" i="6"/>
  <c r="A769" i="6"/>
  <c r="B768" i="6"/>
  <c r="A768" i="6"/>
  <c r="B767" i="6"/>
  <c r="A767" i="6"/>
  <c r="B766" i="6"/>
  <c r="A766" i="6"/>
  <c r="B765" i="6"/>
  <c r="A765" i="6"/>
  <c r="B764" i="6"/>
  <c r="A764" i="6"/>
  <c r="B763" i="6"/>
  <c r="A763" i="6"/>
  <c r="B762" i="6"/>
  <c r="A762" i="6"/>
  <c r="B761" i="6"/>
  <c r="A761" i="6"/>
  <c r="B760" i="6"/>
  <c r="A760" i="6"/>
  <c r="B759" i="6"/>
  <c r="A759" i="6"/>
  <c r="B758" i="6"/>
  <c r="A758" i="6"/>
  <c r="B757" i="6"/>
  <c r="A757" i="6"/>
  <c r="B756" i="6"/>
  <c r="A756" i="6"/>
  <c r="B755" i="6"/>
  <c r="A755" i="6"/>
  <c r="B754" i="6"/>
  <c r="A754" i="6"/>
  <c r="B753" i="6"/>
  <c r="A753" i="6"/>
  <c r="B752" i="6"/>
  <c r="A752" i="6"/>
  <c r="B751" i="6"/>
  <c r="A751" i="6"/>
  <c r="B750" i="6"/>
  <c r="A750" i="6"/>
  <c r="B749" i="6"/>
  <c r="A749" i="6"/>
  <c r="B748" i="6"/>
  <c r="A748" i="6"/>
  <c r="B747" i="6"/>
  <c r="A747" i="6"/>
  <c r="B746" i="6"/>
  <c r="A746" i="6"/>
  <c r="B745" i="6"/>
  <c r="A745" i="6"/>
  <c r="B744" i="6"/>
  <c r="A744" i="6"/>
  <c r="B743" i="6"/>
  <c r="A743" i="6"/>
  <c r="B742" i="6"/>
  <c r="A742" i="6"/>
  <c r="B741" i="6"/>
  <c r="A741" i="6"/>
  <c r="B740" i="6"/>
  <c r="A740" i="6"/>
  <c r="B739" i="6"/>
  <c r="A739" i="6"/>
  <c r="B738" i="6"/>
  <c r="A738" i="6"/>
  <c r="B737" i="6"/>
  <c r="A737" i="6"/>
  <c r="B736" i="6"/>
  <c r="A736" i="6"/>
  <c r="B735" i="6"/>
  <c r="A735" i="6"/>
  <c r="B734" i="6"/>
  <c r="A734" i="6"/>
  <c r="B733" i="6"/>
  <c r="A733" i="6"/>
  <c r="B732" i="6"/>
  <c r="A732" i="6"/>
  <c r="B731" i="6"/>
  <c r="A731" i="6"/>
  <c r="B730" i="6"/>
  <c r="A730" i="6"/>
  <c r="B729" i="6"/>
  <c r="A729" i="6"/>
  <c r="B728" i="6"/>
  <c r="A728" i="6"/>
  <c r="B727" i="6"/>
  <c r="A727" i="6"/>
  <c r="B726" i="6"/>
  <c r="A726" i="6"/>
  <c r="B725" i="6"/>
  <c r="A725" i="6"/>
  <c r="B724" i="6"/>
  <c r="A724" i="6"/>
  <c r="B723" i="6"/>
  <c r="A723" i="6"/>
  <c r="B722" i="6"/>
  <c r="A722" i="6"/>
  <c r="B721" i="6"/>
  <c r="A721" i="6"/>
  <c r="B720" i="6"/>
  <c r="A720" i="6"/>
  <c r="B719" i="6"/>
  <c r="A719" i="6"/>
  <c r="B718" i="6"/>
  <c r="A718" i="6"/>
  <c r="B717" i="6"/>
  <c r="A717" i="6"/>
  <c r="B716" i="6"/>
  <c r="A716" i="6"/>
  <c r="B715" i="6"/>
  <c r="A715" i="6"/>
  <c r="B714" i="6"/>
  <c r="A714" i="6"/>
  <c r="B713" i="6"/>
  <c r="A713" i="6"/>
  <c r="B712" i="6"/>
  <c r="A712" i="6"/>
  <c r="B711" i="6"/>
  <c r="A711" i="6"/>
  <c r="B710" i="6"/>
  <c r="A710" i="6"/>
  <c r="B709" i="6"/>
  <c r="A709" i="6"/>
  <c r="B708" i="6"/>
  <c r="A708" i="6"/>
  <c r="B707" i="6"/>
  <c r="A707" i="6"/>
  <c r="B706" i="6"/>
  <c r="A706" i="6"/>
  <c r="B705" i="6"/>
  <c r="A705" i="6"/>
  <c r="B704" i="6"/>
  <c r="A704" i="6"/>
  <c r="B703" i="6"/>
  <c r="A703" i="6"/>
  <c r="B702" i="6"/>
  <c r="A702" i="6"/>
  <c r="B701" i="6"/>
  <c r="A701" i="6"/>
  <c r="B700" i="6"/>
  <c r="A700" i="6"/>
  <c r="B699" i="6"/>
  <c r="A699" i="6"/>
  <c r="B698" i="6"/>
  <c r="A698" i="6"/>
  <c r="B697" i="6"/>
  <c r="A697" i="6"/>
  <c r="B696" i="6"/>
  <c r="A696" i="6"/>
  <c r="B695" i="6"/>
  <c r="A695" i="6"/>
  <c r="B694" i="6"/>
  <c r="A694" i="6"/>
  <c r="B693" i="6"/>
  <c r="A693" i="6"/>
  <c r="B692" i="6"/>
  <c r="A692" i="6"/>
  <c r="B691" i="6"/>
  <c r="A691" i="6"/>
  <c r="B690" i="6"/>
  <c r="A690" i="6"/>
  <c r="B689" i="6"/>
  <c r="A689" i="6"/>
  <c r="B688" i="6"/>
  <c r="A688" i="6"/>
  <c r="B687" i="6"/>
  <c r="A687" i="6"/>
  <c r="B686" i="6"/>
  <c r="A686" i="6"/>
  <c r="B685" i="6"/>
  <c r="A685" i="6"/>
  <c r="B684" i="6"/>
  <c r="A684" i="6"/>
  <c r="B683" i="6"/>
  <c r="A683" i="6"/>
  <c r="B682" i="6"/>
  <c r="A682" i="6"/>
  <c r="B681" i="6"/>
  <c r="A681" i="6"/>
  <c r="B680" i="6"/>
  <c r="A680" i="6"/>
  <c r="B679" i="6"/>
  <c r="A679" i="6"/>
  <c r="B678" i="6"/>
  <c r="A678" i="6"/>
  <c r="B677" i="6"/>
  <c r="A677" i="6"/>
  <c r="B676" i="6"/>
  <c r="A676" i="6"/>
  <c r="B675" i="6"/>
  <c r="A675" i="6"/>
  <c r="B674" i="6"/>
  <c r="A674" i="6"/>
  <c r="B673" i="6"/>
  <c r="A673" i="6"/>
  <c r="B672" i="6"/>
  <c r="A672" i="6"/>
  <c r="B671" i="6"/>
  <c r="A671" i="6"/>
  <c r="B670" i="6"/>
  <c r="A670" i="6"/>
  <c r="B669" i="6"/>
  <c r="A669" i="6"/>
  <c r="B668" i="6"/>
  <c r="A668" i="6"/>
  <c r="B667" i="6"/>
  <c r="A667" i="6"/>
  <c r="B666" i="6"/>
  <c r="A666" i="6"/>
  <c r="B665" i="6"/>
  <c r="A665" i="6"/>
  <c r="B664" i="6"/>
  <c r="A664" i="6"/>
  <c r="B663" i="6"/>
  <c r="A663" i="6"/>
  <c r="B662" i="6"/>
  <c r="A662" i="6"/>
  <c r="B661" i="6"/>
  <c r="A661" i="6"/>
  <c r="B660" i="6"/>
  <c r="A660" i="6"/>
  <c r="B659" i="6"/>
  <c r="A659" i="6"/>
  <c r="B658" i="6"/>
  <c r="A658" i="6"/>
  <c r="B657" i="6"/>
  <c r="A657" i="6"/>
  <c r="B656" i="6"/>
  <c r="A656" i="6"/>
  <c r="B655" i="6"/>
  <c r="A655" i="6"/>
  <c r="B654" i="6"/>
  <c r="A654" i="6"/>
  <c r="B653" i="6"/>
  <c r="A653" i="6"/>
  <c r="B652" i="6"/>
  <c r="A652" i="6"/>
  <c r="B651" i="6"/>
  <c r="A651" i="6"/>
  <c r="B650" i="6"/>
  <c r="A650" i="6"/>
  <c r="B649" i="6"/>
  <c r="A649" i="6"/>
  <c r="B648" i="6"/>
  <c r="A648" i="6"/>
  <c r="B647" i="6"/>
  <c r="A647" i="6"/>
  <c r="B646" i="6"/>
  <c r="A646" i="6"/>
  <c r="B645" i="6"/>
  <c r="A645" i="6"/>
  <c r="B644" i="6"/>
  <c r="A644" i="6"/>
  <c r="B643" i="6"/>
  <c r="A643" i="6"/>
  <c r="B642" i="6"/>
  <c r="A642" i="6"/>
  <c r="B641" i="6"/>
  <c r="A641" i="6"/>
  <c r="B640" i="6"/>
  <c r="A640" i="6"/>
  <c r="B639" i="6"/>
  <c r="A639" i="6"/>
  <c r="B638" i="6"/>
  <c r="A638" i="6"/>
  <c r="B637" i="6"/>
  <c r="A637" i="6"/>
  <c r="B636" i="6"/>
  <c r="A636" i="6"/>
  <c r="B635" i="6"/>
  <c r="A635" i="6"/>
  <c r="B634" i="6"/>
  <c r="A634" i="6"/>
  <c r="B633" i="6"/>
  <c r="A633" i="6"/>
  <c r="B632" i="6"/>
  <c r="A632" i="6"/>
  <c r="B631" i="6"/>
  <c r="A631" i="6"/>
  <c r="B630" i="6"/>
  <c r="A630" i="6"/>
  <c r="B629" i="6"/>
  <c r="A629" i="6"/>
  <c r="B628" i="6"/>
  <c r="A628" i="6"/>
  <c r="B627" i="6"/>
  <c r="A627" i="6"/>
  <c r="B626" i="6"/>
  <c r="A626" i="6"/>
  <c r="B625" i="6"/>
  <c r="A625" i="6"/>
  <c r="B624" i="6"/>
  <c r="A624" i="6"/>
  <c r="B623" i="6"/>
  <c r="A623" i="6"/>
  <c r="B622" i="6"/>
  <c r="A622" i="6"/>
  <c r="B621" i="6"/>
  <c r="A621" i="6"/>
  <c r="B620" i="6"/>
  <c r="A620" i="6"/>
  <c r="B619" i="6"/>
  <c r="A619" i="6"/>
  <c r="B618" i="6"/>
  <c r="A618" i="6"/>
  <c r="B617" i="6"/>
  <c r="A617" i="6"/>
  <c r="B616" i="6"/>
  <c r="A616" i="6"/>
  <c r="B615" i="6"/>
  <c r="A615" i="6"/>
  <c r="B614" i="6"/>
  <c r="A614" i="6"/>
  <c r="B613" i="6"/>
  <c r="A613" i="6"/>
  <c r="B612" i="6"/>
  <c r="A612" i="6"/>
  <c r="B611" i="6"/>
  <c r="A611" i="6"/>
  <c r="B610" i="6"/>
  <c r="A610" i="6"/>
  <c r="B609" i="6"/>
  <c r="A609" i="6"/>
  <c r="B608" i="6"/>
  <c r="A608" i="6"/>
  <c r="B607" i="6"/>
  <c r="A607" i="6"/>
  <c r="B606" i="6"/>
  <c r="A606" i="6"/>
  <c r="B605" i="6"/>
  <c r="A605" i="6"/>
  <c r="B604" i="6"/>
  <c r="A604" i="6"/>
  <c r="B603" i="6"/>
  <c r="A603" i="6"/>
  <c r="B602" i="6"/>
  <c r="A602" i="6"/>
  <c r="B601" i="6"/>
  <c r="A601" i="6"/>
  <c r="B600" i="6"/>
  <c r="A600" i="6"/>
  <c r="B599" i="6"/>
  <c r="A599" i="6"/>
  <c r="B598" i="6"/>
  <c r="A598" i="6"/>
  <c r="B597" i="6"/>
  <c r="A597" i="6"/>
  <c r="B596" i="6"/>
  <c r="A596" i="6"/>
  <c r="B595" i="6"/>
  <c r="A595" i="6"/>
  <c r="B594" i="6"/>
  <c r="A594" i="6"/>
  <c r="B593" i="6"/>
  <c r="A593" i="6"/>
  <c r="B592" i="6"/>
  <c r="A592" i="6"/>
  <c r="B591" i="6"/>
  <c r="A591" i="6"/>
  <c r="B590" i="6"/>
  <c r="A590" i="6"/>
  <c r="B589" i="6"/>
  <c r="A589" i="6"/>
  <c r="B588" i="6"/>
  <c r="A588" i="6"/>
  <c r="B587" i="6"/>
  <c r="A587" i="6"/>
  <c r="B586" i="6"/>
  <c r="A586" i="6"/>
  <c r="B585" i="6"/>
  <c r="A585" i="6"/>
  <c r="B584" i="6"/>
  <c r="A584" i="6"/>
  <c r="B583" i="6"/>
  <c r="A583" i="6"/>
  <c r="B582" i="6"/>
  <c r="A582" i="6"/>
  <c r="B581" i="6"/>
  <c r="A581" i="6"/>
  <c r="B580" i="6"/>
  <c r="A580" i="6"/>
  <c r="B579" i="6"/>
  <c r="A579" i="6"/>
  <c r="B578" i="6"/>
  <c r="A578" i="6"/>
  <c r="B577" i="6"/>
  <c r="A577" i="6"/>
  <c r="B576" i="6"/>
  <c r="A576" i="6"/>
  <c r="B575" i="6"/>
  <c r="A575" i="6"/>
  <c r="B574" i="6"/>
  <c r="A574" i="6"/>
  <c r="B573" i="6"/>
  <c r="A573" i="6"/>
  <c r="B572" i="6"/>
  <c r="A572" i="6"/>
  <c r="B571" i="6"/>
  <c r="A571" i="6"/>
  <c r="B570" i="6"/>
  <c r="A570" i="6"/>
  <c r="B569" i="6"/>
  <c r="A569" i="6"/>
  <c r="B568" i="6"/>
  <c r="A568" i="6"/>
  <c r="B567" i="6"/>
  <c r="A567" i="6"/>
  <c r="B566" i="6"/>
  <c r="A566" i="6"/>
  <c r="B565" i="6"/>
  <c r="A565" i="6"/>
  <c r="B564" i="6"/>
  <c r="A564" i="6"/>
  <c r="B563" i="6"/>
  <c r="A563" i="6"/>
  <c r="B562" i="6"/>
  <c r="A562" i="6"/>
  <c r="B561" i="6"/>
  <c r="A561" i="6"/>
  <c r="B560" i="6"/>
  <c r="A560" i="6"/>
  <c r="B559" i="6"/>
  <c r="A559" i="6"/>
  <c r="B558" i="6"/>
  <c r="A558" i="6"/>
  <c r="B557" i="6"/>
  <c r="A557" i="6"/>
  <c r="B556" i="6"/>
  <c r="A556" i="6"/>
  <c r="B555" i="6"/>
  <c r="A555" i="6"/>
  <c r="B554" i="6"/>
  <c r="A554" i="6"/>
  <c r="B553" i="6"/>
  <c r="A553" i="6"/>
  <c r="B552" i="6"/>
  <c r="A552" i="6"/>
  <c r="B551" i="6"/>
  <c r="A551" i="6"/>
  <c r="B550" i="6"/>
  <c r="A550" i="6"/>
  <c r="B549" i="6"/>
  <c r="A549" i="6"/>
  <c r="B548" i="6"/>
  <c r="A548" i="6"/>
  <c r="B547" i="6"/>
  <c r="A547" i="6"/>
  <c r="B546" i="6"/>
  <c r="A546" i="6"/>
  <c r="B545" i="6"/>
  <c r="A545" i="6"/>
  <c r="B544" i="6"/>
  <c r="A544" i="6"/>
  <c r="B543" i="6"/>
  <c r="A543" i="6"/>
  <c r="B542" i="6"/>
  <c r="A542" i="6"/>
  <c r="B541" i="6"/>
  <c r="A541" i="6"/>
  <c r="B540" i="6"/>
  <c r="A540" i="6"/>
  <c r="B539" i="6"/>
  <c r="A539" i="6"/>
  <c r="B538" i="6"/>
  <c r="A538" i="6"/>
  <c r="B537" i="6"/>
  <c r="A537" i="6"/>
  <c r="B536" i="6"/>
  <c r="A536" i="6"/>
  <c r="B535" i="6"/>
  <c r="A535" i="6"/>
  <c r="B534" i="6"/>
  <c r="A534" i="6"/>
  <c r="B533" i="6"/>
  <c r="A533" i="6"/>
  <c r="B532" i="6"/>
  <c r="A532" i="6"/>
  <c r="B531" i="6"/>
  <c r="A531" i="6"/>
  <c r="B530" i="6"/>
  <c r="A530" i="6"/>
  <c r="B529" i="6"/>
  <c r="A529" i="6"/>
  <c r="B528" i="6"/>
  <c r="A528" i="6"/>
  <c r="B527" i="6"/>
  <c r="A527" i="6"/>
  <c r="B526" i="6"/>
  <c r="A526" i="6"/>
  <c r="B525" i="6"/>
  <c r="A525" i="6"/>
  <c r="B524" i="6"/>
  <c r="A524" i="6"/>
  <c r="B523" i="6"/>
  <c r="A523" i="6"/>
  <c r="B522" i="6"/>
  <c r="A522" i="6"/>
  <c r="B521" i="6"/>
  <c r="A521" i="6"/>
  <c r="B520" i="6"/>
  <c r="A520" i="6"/>
  <c r="B519" i="6"/>
  <c r="A519" i="6"/>
  <c r="B518" i="6"/>
  <c r="A518" i="6"/>
  <c r="B517" i="6"/>
  <c r="A517" i="6"/>
  <c r="B516" i="6"/>
  <c r="A516" i="6"/>
  <c r="B515" i="6"/>
  <c r="A515" i="6"/>
  <c r="B514" i="6"/>
  <c r="A514" i="6"/>
  <c r="B513" i="6"/>
  <c r="A513" i="6"/>
  <c r="B512" i="6"/>
  <c r="A512" i="6"/>
  <c r="B511" i="6"/>
  <c r="A511" i="6"/>
  <c r="B510" i="6"/>
  <c r="A510" i="6"/>
  <c r="B509" i="6"/>
  <c r="A509" i="6"/>
  <c r="B508" i="6"/>
  <c r="A508" i="6"/>
  <c r="B507" i="6"/>
  <c r="A507" i="6"/>
  <c r="B506" i="6"/>
  <c r="A506" i="6"/>
  <c r="B505" i="6"/>
  <c r="A505" i="6"/>
  <c r="B504" i="6"/>
  <c r="A504" i="6"/>
  <c r="B503" i="6"/>
  <c r="A503" i="6"/>
  <c r="B502" i="6"/>
  <c r="A502" i="6"/>
  <c r="B501" i="6"/>
  <c r="A501" i="6"/>
  <c r="B500" i="6"/>
  <c r="A500" i="6"/>
  <c r="B499" i="6"/>
  <c r="A499" i="6"/>
  <c r="B498" i="6"/>
  <c r="A498" i="6"/>
  <c r="B497" i="6"/>
  <c r="A497" i="6"/>
  <c r="B496" i="6"/>
  <c r="A496" i="6"/>
  <c r="B495" i="6"/>
  <c r="A495" i="6"/>
  <c r="B494" i="6"/>
  <c r="A494" i="6"/>
  <c r="B493" i="6"/>
  <c r="A493" i="6"/>
  <c r="B492" i="6"/>
  <c r="A492" i="6"/>
  <c r="B491" i="6"/>
  <c r="A491" i="6"/>
  <c r="B490" i="6"/>
  <c r="A490" i="6"/>
  <c r="B489" i="6"/>
  <c r="A489" i="6"/>
  <c r="B488" i="6"/>
  <c r="A488" i="6"/>
  <c r="B487" i="6"/>
  <c r="A487" i="6"/>
  <c r="B486" i="6"/>
  <c r="A486" i="6"/>
  <c r="B485" i="6"/>
  <c r="A485" i="6"/>
  <c r="B484" i="6"/>
  <c r="A484" i="6"/>
  <c r="B483" i="6"/>
  <c r="A483" i="6"/>
  <c r="B482" i="6"/>
  <c r="A482" i="6"/>
  <c r="B481" i="6"/>
  <c r="A481" i="6"/>
  <c r="B480" i="6"/>
  <c r="A480" i="6"/>
  <c r="B479" i="6"/>
  <c r="A479" i="6"/>
  <c r="B478" i="6"/>
  <c r="A478" i="6"/>
  <c r="B477" i="6"/>
  <c r="A477" i="6"/>
  <c r="B476" i="6"/>
  <c r="A476" i="6"/>
  <c r="B475" i="6"/>
  <c r="A475" i="6"/>
  <c r="B474" i="6"/>
  <c r="A474" i="6"/>
  <c r="B473" i="6"/>
  <c r="A473" i="6"/>
  <c r="B472" i="6"/>
  <c r="A472" i="6"/>
  <c r="B471" i="6"/>
  <c r="A471" i="6"/>
  <c r="B470" i="6"/>
  <c r="A470" i="6"/>
  <c r="B469" i="6"/>
  <c r="A469" i="6"/>
  <c r="B468" i="6"/>
  <c r="A468" i="6"/>
  <c r="B467" i="6"/>
  <c r="A467" i="6"/>
  <c r="B466" i="6"/>
  <c r="A466" i="6"/>
  <c r="B465" i="6"/>
  <c r="A465" i="6"/>
  <c r="B464" i="6"/>
  <c r="A464" i="6"/>
  <c r="B463" i="6"/>
  <c r="A463" i="6"/>
  <c r="B462" i="6"/>
  <c r="A462" i="6"/>
  <c r="B461" i="6"/>
  <c r="A461" i="6"/>
  <c r="B460" i="6"/>
  <c r="A460" i="6"/>
  <c r="B459" i="6"/>
  <c r="A459" i="6"/>
  <c r="B458" i="6"/>
  <c r="A458" i="6"/>
  <c r="B457" i="6"/>
  <c r="A457" i="6"/>
  <c r="B456" i="6"/>
  <c r="A456" i="6"/>
  <c r="B455" i="6"/>
  <c r="A455" i="6"/>
  <c r="B454" i="6"/>
  <c r="A454" i="6"/>
  <c r="B453" i="6"/>
  <c r="A453" i="6"/>
  <c r="B452" i="6"/>
  <c r="A452" i="6"/>
  <c r="B451" i="6"/>
  <c r="A451" i="6"/>
  <c r="B450" i="6"/>
  <c r="A450" i="6"/>
  <c r="B449" i="6"/>
  <c r="A449" i="6"/>
  <c r="B448" i="6"/>
  <c r="A448" i="6"/>
  <c r="B447" i="6"/>
  <c r="A447" i="6"/>
  <c r="B446" i="6"/>
  <c r="A446" i="6"/>
  <c r="B445" i="6"/>
  <c r="A445" i="6"/>
  <c r="B444" i="6"/>
  <c r="A444" i="6"/>
  <c r="B443" i="6"/>
  <c r="A443" i="6"/>
  <c r="B442" i="6"/>
  <c r="A442" i="6"/>
  <c r="B441" i="6"/>
  <c r="A441" i="6"/>
  <c r="B440" i="6"/>
  <c r="A440" i="6"/>
  <c r="B439" i="6"/>
  <c r="A439" i="6"/>
  <c r="B438" i="6"/>
  <c r="A438" i="6"/>
  <c r="B437" i="6"/>
  <c r="A437" i="6"/>
  <c r="B436" i="6"/>
  <c r="A436" i="6"/>
  <c r="B435" i="6"/>
  <c r="A435" i="6"/>
  <c r="B434" i="6"/>
  <c r="A434" i="6"/>
  <c r="B433" i="6"/>
  <c r="A433" i="6"/>
  <c r="B432" i="6"/>
  <c r="A432" i="6"/>
  <c r="B431" i="6"/>
  <c r="A431" i="6"/>
  <c r="B430" i="6"/>
  <c r="A430" i="6"/>
  <c r="B429" i="6"/>
  <c r="A429" i="6"/>
  <c r="B428" i="6"/>
  <c r="A428" i="6"/>
  <c r="B427" i="6"/>
  <c r="A427" i="6"/>
  <c r="B426" i="6"/>
  <c r="A426" i="6"/>
  <c r="B425" i="6"/>
  <c r="A425" i="6"/>
  <c r="B424" i="6"/>
  <c r="A424" i="6"/>
  <c r="B423" i="6"/>
  <c r="A423" i="6"/>
  <c r="B422" i="6"/>
  <c r="A422" i="6"/>
  <c r="B421" i="6"/>
  <c r="A421" i="6"/>
  <c r="B420" i="6"/>
  <c r="A420" i="6"/>
  <c r="B419" i="6"/>
  <c r="A419" i="6"/>
  <c r="B418" i="6"/>
  <c r="A418" i="6"/>
  <c r="B417" i="6"/>
  <c r="A417" i="6"/>
  <c r="B416" i="6"/>
  <c r="A416" i="6"/>
  <c r="B415" i="6"/>
  <c r="A415" i="6"/>
  <c r="B414" i="6"/>
  <c r="A414" i="6"/>
  <c r="B413" i="6"/>
  <c r="A413" i="6"/>
  <c r="B412" i="6"/>
  <c r="A412" i="6"/>
  <c r="B411" i="6"/>
  <c r="A411" i="6"/>
  <c r="B410" i="6"/>
  <c r="A410" i="6"/>
  <c r="B409" i="6"/>
  <c r="A409" i="6"/>
  <c r="B408" i="6"/>
  <c r="A408" i="6"/>
  <c r="B407" i="6"/>
  <c r="A407" i="6"/>
  <c r="B406" i="6"/>
  <c r="A406" i="6"/>
  <c r="B405" i="6"/>
  <c r="A405" i="6"/>
  <c r="B404" i="6"/>
  <c r="A404" i="6"/>
  <c r="B403" i="6"/>
  <c r="A403" i="6"/>
  <c r="B402" i="6"/>
  <c r="A402" i="6"/>
  <c r="B401" i="6"/>
  <c r="A401" i="6"/>
  <c r="B400" i="6"/>
  <c r="A400" i="6"/>
  <c r="B399" i="6"/>
  <c r="A399" i="6"/>
  <c r="B398" i="6"/>
  <c r="A398" i="6"/>
  <c r="B397" i="6"/>
  <c r="A397" i="6"/>
  <c r="B396" i="6"/>
  <c r="A396" i="6"/>
  <c r="B395" i="6"/>
  <c r="A395" i="6"/>
  <c r="B394" i="6"/>
  <c r="A394" i="6"/>
  <c r="B393" i="6"/>
  <c r="A393" i="6"/>
  <c r="B392" i="6"/>
  <c r="A392" i="6"/>
  <c r="B391" i="6"/>
  <c r="A391" i="6"/>
  <c r="B390" i="6"/>
  <c r="A390" i="6"/>
  <c r="B389" i="6"/>
  <c r="A389" i="6"/>
  <c r="B388" i="6"/>
  <c r="A388" i="6"/>
  <c r="B387" i="6"/>
  <c r="A387" i="6"/>
  <c r="B386" i="6"/>
  <c r="A386" i="6"/>
  <c r="B385" i="6"/>
  <c r="A385" i="6"/>
  <c r="B384" i="6"/>
  <c r="A384" i="6"/>
  <c r="B383" i="6"/>
  <c r="A383" i="6"/>
  <c r="B382" i="6"/>
  <c r="A382" i="6"/>
  <c r="B381" i="6"/>
  <c r="A381" i="6"/>
  <c r="B380" i="6"/>
  <c r="A380" i="6"/>
  <c r="B379" i="6"/>
  <c r="A379" i="6"/>
  <c r="B378" i="6"/>
  <c r="A378" i="6"/>
  <c r="B377" i="6"/>
  <c r="A377" i="6"/>
  <c r="B376" i="6"/>
  <c r="A376" i="6"/>
  <c r="B375" i="6"/>
  <c r="A375" i="6"/>
  <c r="B374" i="6"/>
  <c r="A374" i="6"/>
  <c r="B373" i="6"/>
  <c r="A373" i="6"/>
  <c r="B372" i="6"/>
  <c r="A372" i="6"/>
  <c r="B371" i="6"/>
  <c r="A371" i="6"/>
  <c r="B370" i="6"/>
  <c r="A370" i="6"/>
  <c r="B369" i="6"/>
  <c r="A369" i="6"/>
  <c r="B368" i="6"/>
  <c r="A368" i="6"/>
  <c r="B367" i="6"/>
  <c r="A367" i="6"/>
  <c r="B366" i="6"/>
  <c r="A366" i="6"/>
  <c r="B365" i="6"/>
  <c r="A365" i="6"/>
  <c r="B364" i="6"/>
  <c r="A364" i="6"/>
  <c r="B363" i="6"/>
  <c r="A363" i="6"/>
  <c r="B362" i="6"/>
  <c r="A362" i="6"/>
  <c r="B361" i="6"/>
  <c r="A361" i="6"/>
  <c r="B360" i="6"/>
  <c r="A360" i="6"/>
  <c r="B359" i="6"/>
  <c r="A359" i="6"/>
  <c r="B358" i="6"/>
  <c r="A358" i="6"/>
  <c r="B357" i="6"/>
  <c r="A357" i="6"/>
  <c r="B356" i="6"/>
  <c r="A356" i="6"/>
  <c r="B355" i="6"/>
  <c r="A355" i="6"/>
  <c r="B354" i="6"/>
  <c r="A354" i="6"/>
  <c r="B353" i="6"/>
  <c r="A353" i="6"/>
  <c r="B352" i="6"/>
  <c r="A352" i="6"/>
  <c r="B351" i="6"/>
  <c r="A351" i="6"/>
  <c r="B350" i="6"/>
  <c r="A350" i="6"/>
  <c r="B349" i="6"/>
  <c r="A349" i="6"/>
  <c r="B348" i="6"/>
  <c r="A348" i="6"/>
  <c r="B347" i="6"/>
  <c r="A347" i="6"/>
  <c r="B346" i="6"/>
  <c r="A346" i="6"/>
  <c r="B345" i="6"/>
  <c r="A345" i="6"/>
  <c r="B344" i="6"/>
  <c r="A344" i="6"/>
  <c r="B343" i="6"/>
  <c r="A343" i="6"/>
  <c r="B342" i="6"/>
  <c r="A342" i="6"/>
  <c r="B341" i="6"/>
  <c r="A341" i="6"/>
  <c r="B340" i="6"/>
  <c r="A340" i="6"/>
  <c r="B339" i="6"/>
  <c r="A339" i="6"/>
  <c r="B338" i="6"/>
  <c r="A338" i="6"/>
  <c r="B337" i="6"/>
  <c r="A337" i="6"/>
  <c r="B336" i="6"/>
  <c r="A336" i="6"/>
  <c r="B335" i="6"/>
  <c r="A335" i="6"/>
  <c r="B334" i="6"/>
  <c r="A334" i="6"/>
  <c r="B333" i="6"/>
  <c r="A333" i="6"/>
  <c r="B332" i="6"/>
  <c r="A332" i="6"/>
  <c r="B331" i="6"/>
  <c r="A331" i="6"/>
  <c r="B330" i="6"/>
  <c r="A330" i="6"/>
  <c r="B329" i="6"/>
  <c r="A329" i="6"/>
  <c r="B328" i="6"/>
  <c r="A328" i="6"/>
  <c r="B327" i="6"/>
  <c r="A327" i="6"/>
  <c r="B326" i="6"/>
  <c r="A326" i="6"/>
  <c r="B325" i="6"/>
  <c r="A325" i="6"/>
  <c r="B324" i="6"/>
  <c r="A324" i="6"/>
  <c r="B323" i="6"/>
  <c r="A323" i="6"/>
  <c r="B322" i="6"/>
  <c r="A322" i="6"/>
  <c r="B321" i="6"/>
  <c r="A321" i="6"/>
  <c r="B320" i="6"/>
  <c r="A320" i="6"/>
  <c r="B319" i="6"/>
  <c r="A319" i="6"/>
  <c r="B318" i="6"/>
  <c r="A318" i="6"/>
  <c r="B317" i="6"/>
  <c r="A317" i="6"/>
  <c r="B316" i="6"/>
  <c r="A316" i="6"/>
  <c r="B315" i="6"/>
  <c r="A315" i="6"/>
  <c r="B314" i="6"/>
  <c r="A314" i="6"/>
  <c r="B313" i="6"/>
  <c r="A313" i="6"/>
  <c r="B312" i="6"/>
  <c r="A312" i="6"/>
  <c r="B311" i="6"/>
  <c r="A311" i="6"/>
  <c r="B310" i="6"/>
  <c r="A310" i="6"/>
  <c r="B309" i="6"/>
  <c r="A309" i="6"/>
  <c r="B308" i="6"/>
  <c r="A308" i="6"/>
  <c r="B307" i="6"/>
  <c r="A307" i="6"/>
  <c r="B306" i="6"/>
  <c r="A306" i="6"/>
  <c r="B305" i="6"/>
  <c r="A305" i="6"/>
  <c r="B304" i="6"/>
  <c r="A304" i="6"/>
  <c r="B303" i="6"/>
  <c r="A303" i="6"/>
  <c r="B302" i="6"/>
  <c r="A302" i="6"/>
  <c r="B301" i="6"/>
  <c r="A301" i="6"/>
  <c r="B300" i="6"/>
  <c r="A300" i="6"/>
  <c r="B299" i="6"/>
  <c r="A299" i="6"/>
  <c r="B298" i="6"/>
  <c r="A298" i="6"/>
  <c r="B297" i="6"/>
  <c r="A297" i="6"/>
  <c r="B296" i="6"/>
  <c r="A296" i="6"/>
  <c r="B295" i="6"/>
  <c r="A295" i="6"/>
  <c r="B294" i="6"/>
  <c r="A294" i="6"/>
  <c r="B293" i="6"/>
  <c r="A293" i="6"/>
  <c r="B292" i="6"/>
  <c r="A292" i="6"/>
  <c r="B291" i="6"/>
  <c r="A291" i="6"/>
  <c r="B290" i="6"/>
  <c r="A290" i="6"/>
  <c r="B289" i="6"/>
  <c r="A289" i="6"/>
  <c r="B288" i="6"/>
  <c r="A288" i="6"/>
  <c r="B287" i="6"/>
  <c r="A287" i="6"/>
  <c r="B286" i="6"/>
  <c r="A286" i="6"/>
  <c r="B285" i="6"/>
  <c r="A285" i="6"/>
  <c r="B284" i="6"/>
  <c r="A284" i="6"/>
  <c r="B283" i="6"/>
  <c r="A283" i="6"/>
  <c r="B282" i="6"/>
  <c r="A282" i="6"/>
  <c r="B281" i="6"/>
  <c r="A281" i="6"/>
  <c r="B280" i="6"/>
  <c r="A280" i="6"/>
  <c r="B279" i="6"/>
  <c r="A279" i="6"/>
  <c r="B278" i="6"/>
  <c r="A278" i="6"/>
  <c r="B277" i="6"/>
  <c r="A277" i="6"/>
  <c r="B276" i="6"/>
  <c r="A276" i="6"/>
  <c r="B275" i="6"/>
  <c r="A275" i="6"/>
  <c r="B274" i="6"/>
  <c r="A274" i="6"/>
  <c r="B273" i="6"/>
  <c r="A273" i="6"/>
  <c r="B272" i="6"/>
  <c r="A272" i="6"/>
  <c r="B271" i="6"/>
  <c r="A271" i="6"/>
  <c r="B270" i="6"/>
  <c r="A270" i="6"/>
  <c r="B269" i="6"/>
  <c r="A269" i="6"/>
  <c r="B268" i="6"/>
  <c r="A268" i="6"/>
  <c r="B267" i="6"/>
  <c r="A267" i="6"/>
  <c r="B266" i="6"/>
  <c r="A266" i="6"/>
  <c r="B265" i="6"/>
  <c r="A265" i="6"/>
  <c r="B264" i="6"/>
  <c r="A264" i="6"/>
  <c r="B263" i="6"/>
  <c r="A263" i="6"/>
  <c r="B262" i="6"/>
  <c r="A262" i="6"/>
  <c r="B261" i="6"/>
  <c r="A261" i="6"/>
  <c r="B260" i="6"/>
  <c r="A260" i="6"/>
  <c r="B259" i="6"/>
  <c r="A259" i="6"/>
  <c r="B258" i="6"/>
  <c r="A258" i="6"/>
  <c r="B257" i="6"/>
  <c r="A257" i="6"/>
  <c r="B256" i="6"/>
  <c r="A256" i="6"/>
  <c r="B255" i="6"/>
  <c r="A255" i="6"/>
  <c r="B254" i="6"/>
  <c r="A254" i="6"/>
  <c r="B253" i="6"/>
  <c r="A253" i="6"/>
  <c r="B252" i="6"/>
  <c r="A252" i="6"/>
  <c r="B251" i="6"/>
  <c r="A251" i="6"/>
  <c r="B250" i="6"/>
  <c r="A250" i="6"/>
  <c r="B249" i="6"/>
  <c r="A249" i="6"/>
  <c r="B248" i="6"/>
  <c r="A248" i="6"/>
  <c r="B247" i="6"/>
  <c r="A247" i="6"/>
  <c r="B246" i="6"/>
  <c r="A246" i="6"/>
  <c r="B245" i="6"/>
  <c r="A245" i="6"/>
  <c r="B244" i="6"/>
  <c r="A244" i="6"/>
  <c r="B243" i="6"/>
  <c r="A243" i="6"/>
  <c r="B242" i="6"/>
  <c r="A242" i="6"/>
  <c r="B241" i="6"/>
  <c r="A241" i="6"/>
  <c r="B240" i="6"/>
  <c r="A240" i="6"/>
  <c r="B239" i="6"/>
  <c r="A239" i="6"/>
  <c r="B238" i="6"/>
  <c r="A238" i="6"/>
  <c r="B237" i="6"/>
  <c r="A237" i="6"/>
  <c r="B236" i="6"/>
  <c r="A236" i="6"/>
  <c r="B235" i="6"/>
  <c r="A235" i="6"/>
  <c r="B234" i="6"/>
  <c r="A234" i="6"/>
  <c r="B233" i="6"/>
  <c r="A233" i="6"/>
  <c r="B232" i="6"/>
  <c r="A232" i="6"/>
  <c r="B231" i="6"/>
  <c r="A231" i="6"/>
  <c r="B230" i="6"/>
  <c r="A230" i="6"/>
  <c r="B229" i="6"/>
  <c r="A229" i="6"/>
  <c r="B228" i="6"/>
  <c r="A228" i="6"/>
  <c r="B227" i="6"/>
  <c r="A227" i="6"/>
  <c r="B226" i="6"/>
  <c r="A226" i="6"/>
  <c r="B225" i="6"/>
  <c r="A225" i="6"/>
  <c r="B224" i="6"/>
  <c r="A224" i="6"/>
  <c r="B223" i="6"/>
  <c r="A223" i="6"/>
  <c r="B222" i="6"/>
  <c r="A222" i="6"/>
  <c r="B221" i="6"/>
  <c r="A221" i="6"/>
  <c r="B220" i="6"/>
  <c r="A220" i="6"/>
  <c r="B219" i="6"/>
  <c r="A219" i="6"/>
  <c r="B218" i="6"/>
  <c r="A218" i="6"/>
  <c r="B217" i="6"/>
  <c r="A217" i="6"/>
  <c r="B216" i="6"/>
  <c r="A216" i="6"/>
  <c r="B215" i="6"/>
  <c r="A215" i="6"/>
  <c r="B214" i="6"/>
  <c r="A214" i="6"/>
  <c r="B213" i="6"/>
  <c r="A213" i="6"/>
  <c r="B212" i="6"/>
  <c r="A212" i="6"/>
  <c r="B211" i="6"/>
  <c r="A211" i="6"/>
  <c r="B210" i="6"/>
  <c r="A210" i="6"/>
  <c r="B209" i="6"/>
  <c r="A209" i="6"/>
  <c r="B208" i="6"/>
  <c r="A208" i="6"/>
  <c r="B207" i="6"/>
  <c r="A207" i="6"/>
  <c r="B206" i="6"/>
  <c r="A206" i="6"/>
  <c r="B205" i="6"/>
  <c r="A205" i="6"/>
  <c r="B204" i="6"/>
  <c r="A204" i="6"/>
  <c r="B203" i="6"/>
  <c r="A203" i="6"/>
  <c r="B202" i="6"/>
  <c r="A202" i="6"/>
  <c r="B201" i="6"/>
  <c r="A201" i="6"/>
  <c r="B200" i="6"/>
  <c r="A200" i="6"/>
  <c r="B199" i="6"/>
  <c r="A199" i="6"/>
  <c r="B198" i="6"/>
  <c r="A198" i="6"/>
  <c r="B197" i="6"/>
  <c r="A197" i="6"/>
  <c r="B196" i="6"/>
  <c r="A196" i="6"/>
  <c r="B195" i="6"/>
  <c r="A195" i="6"/>
  <c r="B194" i="6"/>
  <c r="A194" i="6"/>
  <c r="B193" i="6"/>
  <c r="A193" i="6"/>
  <c r="B192" i="6"/>
  <c r="A192" i="6"/>
  <c r="B191" i="6"/>
  <c r="A191" i="6"/>
  <c r="B190" i="6"/>
  <c r="A190" i="6"/>
  <c r="B189" i="6"/>
  <c r="A189" i="6"/>
  <c r="B188" i="6"/>
  <c r="A188" i="6"/>
  <c r="B187" i="6"/>
  <c r="A187" i="6"/>
  <c r="B186" i="6"/>
  <c r="A186" i="6"/>
  <c r="B185" i="6"/>
  <c r="A185" i="6"/>
  <c r="B184" i="6"/>
  <c r="A184" i="6"/>
  <c r="B183" i="6"/>
  <c r="A183" i="6"/>
  <c r="B182" i="6"/>
  <c r="A182" i="6"/>
  <c r="B181" i="6"/>
  <c r="A181" i="6"/>
  <c r="B180" i="6"/>
  <c r="A180" i="6"/>
  <c r="B179" i="6"/>
  <c r="A179" i="6"/>
  <c r="B178" i="6"/>
  <c r="A178" i="6"/>
  <c r="B177" i="6"/>
  <c r="A177" i="6"/>
  <c r="B176" i="6"/>
  <c r="A176" i="6"/>
  <c r="B175" i="6"/>
  <c r="A175" i="6"/>
  <c r="B174" i="6"/>
  <c r="A174" i="6"/>
  <c r="B173" i="6"/>
  <c r="A173" i="6"/>
  <c r="B172" i="6"/>
  <c r="A172" i="6"/>
  <c r="B171" i="6"/>
  <c r="A171" i="6"/>
  <c r="B170" i="6"/>
  <c r="A170" i="6"/>
  <c r="B169" i="6"/>
  <c r="A169" i="6"/>
  <c r="B168" i="6"/>
  <c r="A168" i="6"/>
  <c r="B167" i="6"/>
  <c r="A167" i="6"/>
  <c r="B166" i="6"/>
  <c r="A166" i="6"/>
  <c r="B165" i="6"/>
  <c r="A165" i="6"/>
  <c r="B164" i="6"/>
  <c r="A164" i="6"/>
  <c r="B163" i="6"/>
  <c r="A163" i="6"/>
  <c r="B162" i="6"/>
  <c r="A162" i="6"/>
  <c r="B161" i="6"/>
  <c r="A161" i="6"/>
  <c r="B160" i="6"/>
  <c r="A160" i="6"/>
  <c r="B159" i="6"/>
  <c r="A159" i="6"/>
  <c r="B158" i="6"/>
  <c r="A158" i="6"/>
  <c r="B157" i="6"/>
  <c r="A157" i="6"/>
  <c r="B156" i="6"/>
  <c r="A156" i="6"/>
  <c r="B155" i="6"/>
  <c r="A155" i="6"/>
  <c r="B154" i="6"/>
  <c r="A154" i="6"/>
  <c r="B153" i="6"/>
  <c r="A153" i="6"/>
  <c r="B152" i="6"/>
  <c r="A152" i="6"/>
  <c r="B151" i="6"/>
  <c r="A151" i="6"/>
  <c r="B150" i="6"/>
  <c r="A150" i="6"/>
  <c r="B149" i="6"/>
  <c r="A149" i="6"/>
  <c r="B148" i="6"/>
  <c r="A148" i="6"/>
  <c r="B147" i="6"/>
  <c r="A147" i="6"/>
  <c r="B146" i="6"/>
  <c r="A146" i="6"/>
  <c r="B145" i="6"/>
  <c r="A145" i="6"/>
  <c r="B144" i="6"/>
  <c r="A144" i="6"/>
  <c r="B143" i="6"/>
  <c r="A143" i="6"/>
  <c r="B142" i="6"/>
  <c r="A142" i="6"/>
  <c r="B141" i="6"/>
  <c r="A141" i="6"/>
  <c r="B140" i="6"/>
  <c r="A140" i="6"/>
  <c r="B139" i="6"/>
  <c r="A139" i="6"/>
  <c r="B138" i="6"/>
  <c r="A138" i="6"/>
  <c r="B137" i="6"/>
  <c r="A137" i="6"/>
  <c r="B136" i="6"/>
  <c r="A136" i="6"/>
  <c r="B135" i="6"/>
  <c r="A135" i="6"/>
  <c r="B134" i="6"/>
  <c r="A134" i="6"/>
  <c r="B133" i="6"/>
  <c r="A133" i="6"/>
  <c r="B132" i="6"/>
  <c r="A132" i="6"/>
  <c r="B131" i="6"/>
  <c r="A131" i="6"/>
  <c r="B130" i="6"/>
  <c r="A130" i="6"/>
  <c r="B129" i="6"/>
  <c r="A129" i="6"/>
  <c r="B128" i="6"/>
  <c r="A128" i="6"/>
  <c r="B127" i="6"/>
  <c r="A127" i="6"/>
  <c r="B126" i="6"/>
  <c r="A126" i="6"/>
  <c r="B125" i="6"/>
  <c r="A125" i="6"/>
  <c r="B124" i="6"/>
  <c r="A124" i="6"/>
  <c r="B123" i="6"/>
  <c r="A123" i="6"/>
  <c r="B122" i="6"/>
  <c r="A122" i="6"/>
  <c r="B121" i="6"/>
  <c r="A121" i="6"/>
  <c r="B120" i="6"/>
  <c r="A120" i="6"/>
  <c r="B119" i="6"/>
  <c r="A119" i="6"/>
  <c r="B118" i="6"/>
  <c r="A118" i="6"/>
  <c r="B117" i="6"/>
  <c r="A117" i="6"/>
  <c r="B116" i="6"/>
  <c r="A116" i="6"/>
  <c r="B115" i="6"/>
  <c r="A115" i="6"/>
  <c r="B114" i="6"/>
  <c r="A114" i="6"/>
  <c r="B113" i="6"/>
  <c r="A113" i="6"/>
  <c r="B112" i="6"/>
  <c r="A112" i="6"/>
  <c r="B111" i="6"/>
  <c r="A111" i="6"/>
  <c r="B110" i="6"/>
  <c r="A110" i="6"/>
  <c r="B109" i="6"/>
  <c r="A109" i="6"/>
  <c r="B108" i="6"/>
  <c r="A108" i="6"/>
  <c r="B107" i="6"/>
  <c r="A107" i="6"/>
  <c r="B106" i="6"/>
  <c r="A106" i="6"/>
  <c r="B105" i="6"/>
  <c r="A105" i="6"/>
  <c r="B104" i="6"/>
  <c r="A104" i="6"/>
  <c r="B103" i="6"/>
  <c r="A103" i="6"/>
  <c r="B102" i="6"/>
  <c r="A102" i="6"/>
  <c r="B101" i="6"/>
  <c r="A101" i="6"/>
  <c r="B100" i="6"/>
  <c r="A100" i="6"/>
  <c r="B99" i="6"/>
  <c r="A99" i="6"/>
  <c r="B98" i="6"/>
  <c r="A98" i="6"/>
  <c r="B97" i="6"/>
  <c r="A97" i="6"/>
  <c r="B96" i="6"/>
  <c r="A96" i="6"/>
  <c r="B95" i="6"/>
  <c r="A95" i="6"/>
  <c r="B94" i="6"/>
  <c r="A94" i="6"/>
  <c r="B93" i="6"/>
  <c r="A93" i="6"/>
  <c r="B92" i="6"/>
  <c r="A92" i="6"/>
  <c r="B91" i="6"/>
  <c r="A91" i="6"/>
  <c r="B90" i="6"/>
  <c r="A90" i="6"/>
  <c r="B89" i="6"/>
  <c r="A89" i="6"/>
  <c r="B88" i="6"/>
  <c r="A88" i="6"/>
  <c r="B87" i="6"/>
  <c r="A87" i="6"/>
  <c r="B86" i="6"/>
  <c r="A86" i="6"/>
  <c r="B85" i="6"/>
  <c r="A85" i="6"/>
  <c r="B84" i="6"/>
  <c r="A84" i="6"/>
  <c r="B83" i="6"/>
  <c r="A83" i="6"/>
  <c r="B82" i="6"/>
  <c r="A82" i="6"/>
  <c r="B81" i="6"/>
  <c r="A81" i="6"/>
  <c r="B80" i="6"/>
  <c r="A80" i="6"/>
  <c r="B79" i="6"/>
  <c r="A79" i="6"/>
  <c r="B78" i="6"/>
  <c r="A78" i="6"/>
  <c r="B77" i="6"/>
  <c r="A77" i="6"/>
  <c r="B76" i="6"/>
  <c r="A76" i="6"/>
  <c r="B75" i="6"/>
  <c r="A75" i="6"/>
  <c r="B74" i="6"/>
  <c r="A74" i="6"/>
  <c r="B73" i="6"/>
  <c r="A73" i="6"/>
  <c r="B72" i="6"/>
  <c r="A72" i="6"/>
  <c r="B71" i="6"/>
  <c r="A71" i="6"/>
  <c r="B70" i="6"/>
  <c r="A70" i="6"/>
  <c r="B69" i="6"/>
  <c r="A69" i="6"/>
  <c r="B68" i="6"/>
  <c r="A68" i="6"/>
  <c r="B67" i="6"/>
  <c r="A67" i="6"/>
  <c r="B66" i="6"/>
  <c r="A66" i="6"/>
  <c r="B65" i="6"/>
  <c r="A65" i="6"/>
  <c r="B64" i="6"/>
  <c r="A64" i="6"/>
  <c r="B63" i="6"/>
  <c r="A63" i="6"/>
  <c r="B62" i="6"/>
  <c r="A62" i="6"/>
  <c r="B61" i="6"/>
  <c r="A61" i="6"/>
  <c r="B60" i="6"/>
  <c r="A60" i="6"/>
  <c r="B59" i="6"/>
  <c r="A59" i="6"/>
  <c r="B58" i="6"/>
  <c r="A58" i="6"/>
  <c r="B57" i="6"/>
  <c r="A57" i="6"/>
  <c r="B56" i="6"/>
  <c r="A56" i="6"/>
  <c r="B55" i="6"/>
  <c r="A55" i="6"/>
  <c r="B54" i="6"/>
  <c r="A54" i="6"/>
  <c r="B53" i="6"/>
  <c r="A53" i="6"/>
  <c r="B52" i="6"/>
  <c r="A52" i="6"/>
  <c r="B51" i="6"/>
  <c r="A51" i="6"/>
  <c r="B50" i="6"/>
  <c r="A50" i="6"/>
  <c r="B49" i="6"/>
  <c r="A49" i="6"/>
  <c r="B48" i="6"/>
  <c r="A48" i="6"/>
  <c r="B47" i="6"/>
  <c r="A47" i="6"/>
  <c r="B46" i="6"/>
  <c r="A46" i="6"/>
  <c r="B45" i="6"/>
  <c r="A45" i="6"/>
  <c r="B44" i="6"/>
  <c r="A44" i="6"/>
  <c r="B43" i="6"/>
  <c r="A43" i="6"/>
  <c r="B42" i="6"/>
  <c r="A42" i="6"/>
  <c r="B41" i="6"/>
  <c r="A41" i="6"/>
  <c r="B40" i="6"/>
  <c r="A40" i="6"/>
  <c r="B39" i="6"/>
  <c r="A39" i="6"/>
  <c r="B38" i="6"/>
  <c r="A38" i="6"/>
  <c r="B37" i="6"/>
  <c r="A37" i="6"/>
  <c r="B36" i="6"/>
  <c r="A36" i="6"/>
  <c r="B35" i="6"/>
  <c r="A35" i="6"/>
  <c r="B34" i="6"/>
  <c r="A34" i="6"/>
  <c r="B33" i="6"/>
  <c r="A33" i="6"/>
  <c r="B32" i="6"/>
  <c r="A32" i="6"/>
  <c r="B31" i="6"/>
  <c r="A31" i="6"/>
  <c r="B30" i="6"/>
  <c r="A30" i="6"/>
  <c r="B29" i="6"/>
  <c r="A29" i="6"/>
  <c r="B28" i="6"/>
  <c r="A28" i="6"/>
  <c r="B27" i="6"/>
  <c r="A27" i="6"/>
  <c r="B26" i="6"/>
  <c r="A26" i="6"/>
  <c r="B25" i="6"/>
  <c r="A25" i="6"/>
  <c r="B24" i="6"/>
  <c r="A24" i="6"/>
  <c r="B23" i="6"/>
  <c r="A23" i="6"/>
  <c r="B22" i="6"/>
  <c r="A22" i="6"/>
  <c r="B21" i="6"/>
  <c r="A21" i="6"/>
  <c r="B20" i="6"/>
  <c r="A20" i="6"/>
  <c r="B19" i="6"/>
  <c r="A19" i="6"/>
  <c r="B18" i="6"/>
  <c r="A18" i="6"/>
  <c r="B17" i="6"/>
  <c r="A17" i="6"/>
  <c r="B16" i="6"/>
  <c r="A16" i="6"/>
  <c r="B15" i="6"/>
  <c r="A15" i="6"/>
  <c r="B14" i="6"/>
  <c r="A14" i="6"/>
  <c r="B13" i="6"/>
  <c r="A13" i="6"/>
  <c r="B12" i="6"/>
  <c r="A12" i="6"/>
  <c r="B11" i="6"/>
  <c r="A11" i="6"/>
  <c r="B10" i="6"/>
  <c r="A10" i="6"/>
  <c r="B9" i="6"/>
  <c r="A9" i="6"/>
  <c r="B8" i="6"/>
  <c r="A8" i="6"/>
  <c r="B7" i="6"/>
  <c r="A7" i="6"/>
  <c r="B6" i="6"/>
  <c r="A6" i="6"/>
  <c r="B5" i="6"/>
  <c r="A5" i="6"/>
  <c r="B4" i="6"/>
  <c r="A4" i="6"/>
  <c r="B3" i="6"/>
  <c r="A3" i="6"/>
  <c r="B2" i="6"/>
  <c r="A2" i="6"/>
  <c r="B1" i="6"/>
  <c r="B1772" i="5"/>
  <c r="A1772" i="5"/>
  <c r="B1771" i="5"/>
  <c r="A1771" i="5"/>
  <c r="B1770" i="5"/>
  <c r="A1770" i="5"/>
  <c r="B1769" i="5"/>
  <c r="A1769" i="5"/>
  <c r="B1768" i="5"/>
  <c r="A1768" i="5"/>
  <c r="B1767" i="5"/>
  <c r="A1767" i="5"/>
  <c r="B1766" i="5"/>
  <c r="A1766" i="5"/>
  <c r="B1765" i="5"/>
  <c r="A1765" i="5"/>
  <c r="B1764" i="5"/>
  <c r="A1764" i="5"/>
  <c r="B1763" i="5"/>
  <c r="A1763" i="5"/>
  <c r="B1762" i="5"/>
  <c r="A1762" i="5"/>
  <c r="B1761" i="5"/>
  <c r="A1761" i="5"/>
  <c r="B1760" i="5"/>
  <c r="A1760" i="5"/>
  <c r="B1759" i="5"/>
  <c r="A1759" i="5"/>
  <c r="B1758" i="5"/>
  <c r="A1758" i="5"/>
  <c r="B1757" i="5"/>
  <c r="A1757" i="5"/>
  <c r="B1756" i="5"/>
  <c r="A1756" i="5"/>
  <c r="B1755" i="5"/>
  <c r="A1755" i="5"/>
  <c r="B1754" i="5"/>
  <c r="A1754" i="5"/>
  <c r="B1753" i="5"/>
  <c r="A1753" i="5"/>
  <c r="B1752" i="5"/>
  <c r="A1752" i="5"/>
  <c r="B1751" i="5"/>
  <c r="A1751" i="5"/>
  <c r="B1750" i="5"/>
  <c r="A1750" i="5"/>
  <c r="B1749" i="5"/>
  <c r="A1749" i="5"/>
  <c r="B1748" i="5"/>
  <c r="A1748" i="5"/>
  <c r="B1747" i="5"/>
  <c r="A1747" i="5"/>
  <c r="B1746" i="5"/>
  <c r="A1746" i="5"/>
  <c r="B1745" i="5"/>
  <c r="A1745" i="5"/>
  <c r="B1744" i="5"/>
  <c r="A1744" i="5"/>
  <c r="B1743" i="5"/>
  <c r="A1743" i="5"/>
  <c r="B1742" i="5"/>
  <c r="A1742" i="5"/>
  <c r="B1741" i="5"/>
  <c r="A1741" i="5"/>
  <c r="B1740" i="5"/>
  <c r="A1740" i="5"/>
  <c r="B1739" i="5"/>
  <c r="A1739" i="5"/>
  <c r="B1738" i="5"/>
  <c r="A1738" i="5"/>
  <c r="B1737" i="5"/>
  <c r="A1737" i="5"/>
  <c r="B1736" i="5"/>
  <c r="A1736" i="5"/>
  <c r="B1735" i="5"/>
  <c r="A1735" i="5"/>
  <c r="B1734" i="5"/>
  <c r="A1734" i="5"/>
  <c r="B1733" i="5"/>
  <c r="A1733" i="5"/>
  <c r="B1732" i="5"/>
  <c r="A1732" i="5"/>
  <c r="B1731" i="5"/>
  <c r="A1731" i="5"/>
  <c r="B1730" i="5"/>
  <c r="A1730" i="5"/>
  <c r="B1729" i="5"/>
  <c r="A1729" i="5"/>
  <c r="B1728" i="5"/>
  <c r="A1728" i="5"/>
  <c r="B1727" i="5"/>
  <c r="A1727" i="5"/>
  <c r="B1726" i="5"/>
  <c r="A1726" i="5"/>
  <c r="B1725" i="5"/>
  <c r="A1725" i="5"/>
  <c r="B1724" i="5"/>
  <c r="A1724" i="5"/>
  <c r="B1723" i="5"/>
  <c r="A1723" i="5"/>
  <c r="B1722" i="5"/>
  <c r="A1722" i="5"/>
  <c r="B1721" i="5"/>
  <c r="A1721" i="5"/>
  <c r="B1720" i="5"/>
  <c r="A1720" i="5"/>
  <c r="B1719" i="5"/>
  <c r="A1719" i="5"/>
  <c r="B1718" i="5"/>
  <c r="A1718" i="5"/>
  <c r="B1717" i="5"/>
  <c r="A1717" i="5"/>
  <c r="B1716" i="5"/>
  <c r="A1716" i="5"/>
  <c r="B1715" i="5"/>
  <c r="A1715" i="5"/>
  <c r="B1714" i="5"/>
  <c r="A1714" i="5"/>
  <c r="B1713" i="5"/>
  <c r="A1713" i="5"/>
  <c r="B1712" i="5"/>
  <c r="A1712" i="5"/>
  <c r="B1711" i="5"/>
  <c r="A1711" i="5"/>
  <c r="B1710" i="5"/>
  <c r="A1710" i="5"/>
  <c r="B1709" i="5"/>
  <c r="A1709" i="5"/>
  <c r="B1708" i="5"/>
  <c r="A1708" i="5"/>
  <c r="B1707" i="5"/>
  <c r="A1707" i="5"/>
  <c r="B1706" i="5"/>
  <c r="A1706" i="5"/>
  <c r="B1705" i="5"/>
  <c r="A1705" i="5"/>
  <c r="B1704" i="5"/>
  <c r="A1704" i="5"/>
  <c r="B1703" i="5"/>
  <c r="A1703" i="5"/>
  <c r="B1702" i="5"/>
  <c r="A1702" i="5"/>
  <c r="B1701" i="5"/>
  <c r="A1701" i="5"/>
  <c r="B1700" i="5"/>
  <c r="A1700" i="5"/>
  <c r="B1699" i="5"/>
  <c r="A1699" i="5"/>
  <c r="B1698" i="5"/>
  <c r="A1698" i="5"/>
  <c r="B1697" i="5"/>
  <c r="A1697" i="5"/>
  <c r="B1696" i="5"/>
  <c r="A1696" i="5"/>
  <c r="B1695" i="5"/>
  <c r="A1695" i="5"/>
  <c r="B1694" i="5"/>
  <c r="A1694" i="5"/>
  <c r="B1693" i="5"/>
  <c r="A1693" i="5"/>
  <c r="B1692" i="5"/>
  <c r="A1692" i="5"/>
  <c r="B1691" i="5"/>
  <c r="A1691" i="5"/>
  <c r="B1690" i="5"/>
  <c r="A1690" i="5"/>
  <c r="B1689" i="5"/>
  <c r="A1689" i="5"/>
  <c r="B1688" i="5"/>
  <c r="A1688" i="5"/>
  <c r="B1687" i="5"/>
  <c r="A1687" i="5"/>
  <c r="B1686" i="5"/>
  <c r="A1686" i="5"/>
  <c r="B1685" i="5"/>
  <c r="A1685" i="5"/>
  <c r="B1684" i="5"/>
  <c r="A1684" i="5"/>
  <c r="B1683" i="5"/>
  <c r="A1683" i="5"/>
  <c r="B1682" i="5"/>
  <c r="A1682" i="5"/>
  <c r="B1681" i="5"/>
  <c r="A1681" i="5"/>
  <c r="B1680" i="5"/>
  <c r="A1680" i="5"/>
  <c r="B1679" i="5"/>
  <c r="A1679" i="5"/>
  <c r="B1678" i="5"/>
  <c r="A1678" i="5"/>
  <c r="B1677" i="5"/>
  <c r="A1677" i="5"/>
  <c r="B1676" i="5"/>
  <c r="A1676" i="5"/>
  <c r="B1675" i="5"/>
  <c r="A1675" i="5"/>
  <c r="B1674" i="5"/>
  <c r="A1674" i="5"/>
  <c r="B1673" i="5"/>
  <c r="A1673" i="5"/>
  <c r="B1672" i="5"/>
  <c r="A1672" i="5"/>
  <c r="B1671" i="5"/>
  <c r="A1671" i="5"/>
  <c r="B1670" i="5"/>
  <c r="A1670" i="5"/>
  <c r="B1669" i="5"/>
  <c r="A1669" i="5"/>
  <c r="B1668" i="5"/>
  <c r="A1668" i="5"/>
  <c r="B1667" i="5"/>
  <c r="A1667" i="5"/>
  <c r="B1666" i="5"/>
  <c r="A1666" i="5"/>
  <c r="B1665" i="5"/>
  <c r="A1665" i="5"/>
  <c r="B1664" i="5"/>
  <c r="A1664" i="5"/>
  <c r="B1663" i="5"/>
  <c r="A1663" i="5"/>
  <c r="B1662" i="5"/>
  <c r="A1662" i="5"/>
  <c r="B1661" i="5"/>
  <c r="A1661" i="5"/>
  <c r="B1660" i="5"/>
  <c r="A1660" i="5"/>
  <c r="B1659" i="5"/>
  <c r="A1659" i="5"/>
  <c r="B1658" i="5"/>
  <c r="A1658" i="5"/>
  <c r="B1657" i="5"/>
  <c r="A1657" i="5"/>
  <c r="B1656" i="5"/>
  <c r="A1656" i="5"/>
  <c r="B1655" i="5"/>
  <c r="A1655" i="5"/>
  <c r="B1654" i="5"/>
  <c r="A1654" i="5"/>
  <c r="B1653" i="5"/>
  <c r="A1653" i="5"/>
  <c r="B1652" i="5"/>
  <c r="A1652" i="5"/>
  <c r="B1651" i="5"/>
  <c r="A1651" i="5"/>
  <c r="B1650" i="5"/>
  <c r="A1650" i="5"/>
  <c r="B1649" i="5"/>
  <c r="A1649" i="5"/>
  <c r="B1648" i="5"/>
  <c r="A1648" i="5"/>
  <c r="B1647" i="5"/>
  <c r="A1647" i="5"/>
  <c r="B1646" i="5"/>
  <c r="A1646" i="5"/>
  <c r="B1645" i="5"/>
  <c r="A1645" i="5"/>
  <c r="B1644" i="5"/>
  <c r="A1644" i="5"/>
  <c r="B1643" i="5"/>
  <c r="A1643" i="5"/>
  <c r="B1642" i="5"/>
  <c r="A1642" i="5"/>
  <c r="B1641" i="5"/>
  <c r="A1641" i="5"/>
  <c r="B1640" i="5"/>
  <c r="A1640" i="5"/>
  <c r="B1639" i="5"/>
  <c r="A1639" i="5"/>
  <c r="B1638" i="5"/>
  <c r="A1638" i="5"/>
  <c r="B1637" i="5"/>
  <c r="A1637" i="5"/>
  <c r="B1636" i="5"/>
  <c r="A1636" i="5"/>
  <c r="B1635" i="5"/>
  <c r="A1635" i="5"/>
  <c r="B1634" i="5"/>
  <c r="A1634" i="5"/>
  <c r="B1633" i="5"/>
  <c r="A1633" i="5"/>
  <c r="B1632" i="5"/>
  <c r="A1632" i="5"/>
  <c r="B1631" i="5"/>
  <c r="A1631" i="5"/>
  <c r="B1630" i="5"/>
  <c r="A1630" i="5"/>
  <c r="B1629" i="5"/>
  <c r="A1629" i="5"/>
  <c r="B1628" i="5"/>
  <c r="A1628" i="5"/>
  <c r="B1627" i="5"/>
  <c r="A1627" i="5"/>
  <c r="B1626" i="5"/>
  <c r="A1626" i="5"/>
  <c r="B1625" i="5"/>
  <c r="A1625" i="5"/>
  <c r="B1624" i="5"/>
  <c r="A1624" i="5"/>
  <c r="B1623" i="5"/>
  <c r="A1623" i="5"/>
  <c r="B1622" i="5"/>
  <c r="A1622" i="5"/>
  <c r="B1621" i="5"/>
  <c r="A1621" i="5"/>
  <c r="B1620" i="5"/>
  <c r="A1620" i="5"/>
  <c r="B1619" i="5"/>
  <c r="A1619" i="5"/>
  <c r="B1618" i="5"/>
  <c r="A1618" i="5"/>
  <c r="B1617" i="5"/>
  <c r="A1617" i="5"/>
  <c r="B1616" i="5"/>
  <c r="A1616" i="5"/>
  <c r="B1615" i="5"/>
  <c r="A1615" i="5"/>
  <c r="B1614" i="5"/>
  <c r="A1614" i="5"/>
  <c r="B1613" i="5"/>
  <c r="A1613" i="5"/>
  <c r="B1612" i="5"/>
  <c r="A1612" i="5"/>
  <c r="B1611" i="5"/>
  <c r="A1611" i="5"/>
  <c r="B1610" i="5"/>
  <c r="A1610" i="5"/>
  <c r="B1609" i="5"/>
  <c r="A1609" i="5"/>
  <c r="B1608" i="5"/>
  <c r="A1608" i="5"/>
  <c r="B1607" i="5"/>
  <c r="A1607" i="5"/>
  <c r="B1606" i="5"/>
  <c r="A1606" i="5"/>
  <c r="B1605" i="5"/>
  <c r="A1605" i="5"/>
  <c r="B1604" i="5"/>
  <c r="A1604" i="5"/>
  <c r="B1603" i="5"/>
  <c r="A1603" i="5"/>
  <c r="B1602" i="5"/>
  <c r="A1602" i="5"/>
  <c r="B1601" i="5"/>
  <c r="A1601" i="5"/>
  <c r="B1600" i="5"/>
  <c r="A1600" i="5"/>
  <c r="B1599" i="5"/>
  <c r="A1599" i="5"/>
  <c r="B1598" i="5"/>
  <c r="A1598" i="5"/>
  <c r="B1597" i="5"/>
  <c r="A1597" i="5"/>
  <c r="B1596" i="5"/>
  <c r="A1596" i="5"/>
  <c r="B1595" i="5"/>
  <c r="A1595" i="5"/>
  <c r="B1594" i="5"/>
  <c r="A1594" i="5"/>
  <c r="B1593" i="5"/>
  <c r="A1593" i="5"/>
  <c r="B1592" i="5"/>
  <c r="A1592" i="5"/>
  <c r="B1591" i="5"/>
  <c r="A1591" i="5"/>
  <c r="B1590" i="5"/>
  <c r="A1590" i="5"/>
  <c r="B1589" i="5"/>
  <c r="A1589" i="5"/>
  <c r="B1588" i="5"/>
  <c r="A1588" i="5"/>
  <c r="B1587" i="5"/>
  <c r="A1587" i="5"/>
  <c r="B1586" i="5"/>
  <c r="A1586" i="5"/>
  <c r="B1585" i="5"/>
  <c r="A1585" i="5"/>
  <c r="B1584" i="5"/>
  <c r="A1584" i="5"/>
  <c r="B1583" i="5"/>
  <c r="A1583" i="5"/>
  <c r="B1582" i="5"/>
  <c r="A1582" i="5"/>
  <c r="B1581" i="5"/>
  <c r="A1581" i="5"/>
  <c r="B1580" i="5"/>
  <c r="A1580" i="5"/>
  <c r="B1579" i="5"/>
  <c r="A1579" i="5"/>
  <c r="B1578" i="5"/>
  <c r="A1578" i="5"/>
  <c r="B1577" i="5"/>
  <c r="A1577" i="5"/>
  <c r="B1576" i="5"/>
  <c r="A1576" i="5"/>
  <c r="B1575" i="5"/>
  <c r="A1575" i="5"/>
  <c r="B1574" i="5"/>
  <c r="A1574" i="5"/>
  <c r="B1573" i="5"/>
  <c r="A1573" i="5"/>
  <c r="B1572" i="5"/>
  <c r="A1572" i="5"/>
  <c r="B1571" i="5"/>
  <c r="A1571" i="5"/>
  <c r="B1570" i="5"/>
  <c r="A1570" i="5"/>
  <c r="B1569" i="5"/>
  <c r="A1569" i="5"/>
  <c r="B1568" i="5"/>
  <c r="A1568" i="5"/>
  <c r="B1567" i="5"/>
  <c r="A1567" i="5"/>
  <c r="B1566" i="5"/>
  <c r="A1566" i="5"/>
  <c r="B1565" i="5"/>
  <c r="A1565" i="5"/>
  <c r="B1564" i="5"/>
  <c r="A1564" i="5"/>
  <c r="B1563" i="5"/>
  <c r="A1563" i="5"/>
  <c r="B1562" i="5"/>
  <c r="A1562" i="5"/>
  <c r="B1561" i="5"/>
  <c r="A1561" i="5"/>
  <c r="B1560" i="5"/>
  <c r="A1560" i="5"/>
  <c r="B1559" i="5"/>
  <c r="A1559" i="5"/>
  <c r="B1558" i="5"/>
  <c r="A1558" i="5"/>
  <c r="B1557" i="5"/>
  <c r="A1557" i="5"/>
  <c r="B1556" i="5"/>
  <c r="A1556" i="5"/>
  <c r="B1555" i="5"/>
  <c r="A1555" i="5"/>
  <c r="B1554" i="5"/>
  <c r="A1554" i="5"/>
  <c r="B1553" i="5"/>
  <c r="A1553" i="5"/>
  <c r="B1552" i="5"/>
  <c r="A1552" i="5"/>
  <c r="B1551" i="5"/>
  <c r="A1551" i="5"/>
  <c r="B1550" i="5"/>
  <c r="A1550" i="5"/>
  <c r="B1549" i="5"/>
  <c r="A1549" i="5"/>
  <c r="B1548" i="5"/>
  <c r="A1548" i="5"/>
  <c r="B1547" i="5"/>
  <c r="A1547" i="5"/>
  <c r="B1546" i="5"/>
  <c r="A1546" i="5"/>
  <c r="B1545" i="5"/>
  <c r="A1545" i="5"/>
  <c r="B1544" i="5"/>
  <c r="A1544" i="5"/>
  <c r="B1543" i="5"/>
  <c r="A1543" i="5"/>
  <c r="B1542" i="5"/>
  <c r="A1542" i="5"/>
  <c r="B1541" i="5"/>
  <c r="A1541" i="5"/>
  <c r="B1540" i="5"/>
  <c r="A1540" i="5"/>
  <c r="B1539" i="5"/>
  <c r="A1539" i="5"/>
  <c r="B1538" i="5"/>
  <c r="A1538" i="5"/>
  <c r="B1537" i="5"/>
  <c r="A1537" i="5"/>
  <c r="B1536" i="5"/>
  <c r="A1536" i="5"/>
  <c r="B1535" i="5"/>
  <c r="A1535" i="5"/>
  <c r="B1534" i="5"/>
  <c r="A1534" i="5"/>
  <c r="B1533" i="5"/>
  <c r="A1533" i="5"/>
  <c r="B1532" i="5"/>
  <c r="A1532" i="5"/>
  <c r="B1531" i="5"/>
  <c r="A1531" i="5"/>
  <c r="B1530" i="5"/>
  <c r="A1530" i="5"/>
  <c r="B1529" i="5"/>
  <c r="A1529" i="5"/>
  <c r="B1528" i="5"/>
  <c r="A1528" i="5"/>
  <c r="B1527" i="5"/>
  <c r="A1527" i="5"/>
  <c r="B1526" i="5"/>
  <c r="A1526" i="5"/>
  <c r="B1525" i="5"/>
  <c r="A1525" i="5"/>
  <c r="B1524" i="5"/>
  <c r="A1524" i="5"/>
  <c r="B1523" i="5"/>
  <c r="A1523" i="5"/>
  <c r="B1522" i="5"/>
  <c r="A1522" i="5"/>
  <c r="B1521" i="5"/>
  <c r="A1521" i="5"/>
  <c r="B1520" i="5"/>
  <c r="A1520" i="5"/>
  <c r="B1519" i="5"/>
  <c r="A1519" i="5"/>
  <c r="B1518" i="5"/>
  <c r="A1518" i="5"/>
  <c r="B1517" i="5"/>
  <c r="A1517" i="5"/>
  <c r="B1516" i="5"/>
  <c r="A1516" i="5"/>
  <c r="B1515" i="5"/>
  <c r="A1515" i="5"/>
  <c r="B1514" i="5"/>
  <c r="A1514" i="5"/>
  <c r="B1513" i="5"/>
  <c r="A1513" i="5"/>
  <c r="B1512" i="5"/>
  <c r="A1512" i="5"/>
  <c r="B1511" i="5"/>
  <c r="A1511" i="5"/>
  <c r="B1510" i="5"/>
  <c r="A1510" i="5"/>
  <c r="B1509" i="5"/>
  <c r="A1509" i="5"/>
  <c r="B1508" i="5"/>
  <c r="A1508" i="5"/>
  <c r="B1507" i="5"/>
  <c r="A1507" i="5"/>
  <c r="B1506" i="5"/>
  <c r="A1506" i="5"/>
  <c r="B1505" i="5"/>
  <c r="A1505" i="5"/>
  <c r="B1504" i="5"/>
  <c r="A1504" i="5"/>
  <c r="B1503" i="5"/>
  <c r="A1503" i="5"/>
  <c r="B1502" i="5"/>
  <c r="A1502" i="5"/>
  <c r="B1501" i="5"/>
  <c r="A1501" i="5"/>
  <c r="B1500" i="5"/>
  <c r="A1500" i="5"/>
  <c r="B1499" i="5"/>
  <c r="A1499" i="5"/>
  <c r="B1498" i="5"/>
  <c r="A1498" i="5"/>
  <c r="B1497" i="5"/>
  <c r="A1497" i="5"/>
  <c r="B1496" i="5"/>
  <c r="A1496" i="5"/>
  <c r="B1495" i="5"/>
  <c r="A1495" i="5"/>
  <c r="B1494" i="5"/>
  <c r="A1494" i="5"/>
  <c r="B1493" i="5"/>
  <c r="A1493" i="5"/>
  <c r="B1492" i="5"/>
  <c r="A1492" i="5"/>
  <c r="B1491" i="5"/>
  <c r="A1491" i="5"/>
  <c r="B1490" i="5"/>
  <c r="A1490" i="5"/>
  <c r="B1489" i="5"/>
  <c r="A1489" i="5"/>
  <c r="B1488" i="5"/>
  <c r="A1488" i="5"/>
  <c r="B1487" i="5"/>
  <c r="A1487" i="5"/>
  <c r="B1486" i="5"/>
  <c r="A1486" i="5"/>
  <c r="B1485" i="5"/>
  <c r="A1485" i="5"/>
  <c r="B1484" i="5"/>
  <c r="A1484" i="5"/>
  <c r="B1483" i="5"/>
  <c r="A1483" i="5"/>
  <c r="B1482" i="5"/>
  <c r="A1482" i="5"/>
  <c r="B1481" i="5"/>
  <c r="A1481" i="5"/>
  <c r="B1480" i="5"/>
  <c r="A1480" i="5"/>
  <c r="B1479" i="5"/>
  <c r="A1479" i="5"/>
  <c r="B1478" i="5"/>
  <c r="A1478" i="5"/>
  <c r="B1477" i="5"/>
  <c r="A1477" i="5"/>
  <c r="B1476" i="5"/>
  <c r="A1476" i="5"/>
  <c r="B1475" i="5"/>
  <c r="A1475" i="5"/>
  <c r="B1474" i="5"/>
  <c r="A1474" i="5"/>
  <c r="B1473" i="5"/>
  <c r="A1473" i="5"/>
  <c r="B1472" i="5"/>
  <c r="A1472" i="5"/>
  <c r="B1471" i="5"/>
  <c r="A1471" i="5"/>
  <c r="B1470" i="5"/>
  <c r="A1470" i="5"/>
  <c r="B1469" i="5"/>
  <c r="A1469" i="5"/>
  <c r="B1468" i="5"/>
  <c r="A1468" i="5"/>
  <c r="B1467" i="5"/>
  <c r="A1467" i="5"/>
  <c r="B1466" i="5"/>
  <c r="A1466" i="5"/>
  <c r="B1465" i="5"/>
  <c r="A1465" i="5"/>
  <c r="B1464" i="5"/>
  <c r="A1464" i="5"/>
  <c r="B1463" i="5"/>
  <c r="A1463" i="5"/>
  <c r="B1462" i="5"/>
  <c r="A1462" i="5"/>
  <c r="B1461" i="5"/>
  <c r="A1461" i="5"/>
  <c r="B1460" i="5"/>
  <c r="A1460" i="5"/>
  <c r="B1459" i="5"/>
  <c r="A1459" i="5"/>
  <c r="B1458" i="5"/>
  <c r="A1458" i="5"/>
  <c r="B1457" i="5"/>
  <c r="A1457" i="5"/>
  <c r="B1456" i="5"/>
  <c r="A1456" i="5"/>
  <c r="B1455" i="5"/>
  <c r="A1455" i="5"/>
  <c r="B1454" i="5"/>
  <c r="A1454" i="5"/>
  <c r="B1453" i="5"/>
  <c r="A1453" i="5"/>
  <c r="B1452" i="5"/>
  <c r="A1452" i="5"/>
  <c r="B1451" i="5"/>
  <c r="A1451" i="5"/>
  <c r="B1450" i="5"/>
  <c r="A1450" i="5"/>
  <c r="B1449" i="5"/>
  <c r="A1449" i="5"/>
  <c r="B1448" i="5"/>
  <c r="A1448" i="5"/>
  <c r="B1447" i="5"/>
  <c r="A1447" i="5"/>
  <c r="B1446" i="5"/>
  <c r="A1446" i="5"/>
  <c r="B1445" i="5"/>
  <c r="A1445" i="5"/>
  <c r="B1444" i="5"/>
  <c r="A1444" i="5"/>
  <c r="B1443" i="5"/>
  <c r="A1443" i="5"/>
  <c r="B1442" i="5"/>
  <c r="A1442" i="5"/>
  <c r="B1441" i="5"/>
  <c r="A1441" i="5"/>
  <c r="B1440" i="5"/>
  <c r="A1440" i="5"/>
  <c r="B1439" i="5"/>
  <c r="A1439" i="5"/>
  <c r="B1438" i="5"/>
  <c r="A1438" i="5"/>
  <c r="B1437" i="5"/>
  <c r="A1437" i="5"/>
  <c r="B1436" i="5"/>
  <c r="A1436" i="5"/>
  <c r="B1435" i="5"/>
  <c r="A1435" i="5"/>
  <c r="B1434" i="5"/>
  <c r="A1434" i="5"/>
  <c r="B1433" i="5"/>
  <c r="A1433" i="5"/>
  <c r="B1432" i="5"/>
  <c r="A1432" i="5"/>
  <c r="B1431" i="5"/>
  <c r="A1431" i="5"/>
  <c r="B1430" i="5"/>
  <c r="A1430" i="5"/>
  <c r="B1429" i="5"/>
  <c r="A1429" i="5"/>
  <c r="B1428" i="5"/>
  <c r="A1428" i="5"/>
  <c r="B1427" i="5"/>
  <c r="A1427" i="5"/>
  <c r="B1426" i="5"/>
  <c r="A1426" i="5"/>
  <c r="B1425" i="5"/>
  <c r="A1425" i="5"/>
  <c r="B1424" i="5"/>
  <c r="A1424" i="5"/>
  <c r="B1423" i="5"/>
  <c r="A1423" i="5"/>
  <c r="B1422" i="5"/>
  <c r="A1422" i="5"/>
  <c r="B1421" i="5"/>
  <c r="A1421" i="5"/>
  <c r="B1420" i="5"/>
  <c r="A1420" i="5"/>
  <c r="B1419" i="5"/>
  <c r="A1419" i="5"/>
  <c r="B1418" i="5"/>
  <c r="A1418" i="5"/>
  <c r="B1417" i="5"/>
  <c r="A1417" i="5"/>
  <c r="B1416" i="5"/>
  <c r="A1416" i="5"/>
  <c r="B1415" i="5"/>
  <c r="A1415" i="5"/>
  <c r="B1414" i="5"/>
  <c r="A1414" i="5"/>
  <c r="B1413" i="5"/>
  <c r="A1413" i="5"/>
  <c r="B1412" i="5"/>
  <c r="A1412" i="5"/>
  <c r="B1411" i="5"/>
  <c r="A1411" i="5"/>
  <c r="B1410" i="5"/>
  <c r="A1410" i="5"/>
  <c r="B1409" i="5"/>
  <c r="A1409" i="5"/>
  <c r="B1408" i="5"/>
  <c r="A1408" i="5"/>
  <c r="B1407" i="5"/>
  <c r="A1407" i="5"/>
  <c r="B1406" i="5"/>
  <c r="A1406" i="5"/>
  <c r="B1405" i="5"/>
  <c r="A1405" i="5"/>
  <c r="B1404" i="5"/>
  <c r="A1404" i="5"/>
  <c r="B1403" i="5"/>
  <c r="A1403" i="5"/>
  <c r="B1402" i="5"/>
  <c r="A1402" i="5"/>
  <c r="B1401" i="5"/>
  <c r="A1401" i="5"/>
  <c r="B1400" i="5"/>
  <c r="A1400" i="5"/>
  <c r="B1399" i="5"/>
  <c r="A1399" i="5"/>
  <c r="B1398" i="5"/>
  <c r="A1398" i="5"/>
  <c r="B1397" i="5"/>
  <c r="A1397" i="5"/>
  <c r="B1396" i="5"/>
  <c r="A1396" i="5"/>
  <c r="B1395" i="5"/>
  <c r="A1395" i="5"/>
  <c r="B1394" i="5"/>
  <c r="A1394" i="5"/>
  <c r="B1393" i="5"/>
  <c r="A1393" i="5"/>
  <c r="B1392" i="5"/>
  <c r="A1392" i="5"/>
  <c r="B1391" i="5"/>
  <c r="A1391" i="5"/>
  <c r="B1390" i="5"/>
  <c r="A1390" i="5"/>
  <c r="B1389" i="5"/>
  <c r="A1389" i="5"/>
  <c r="B1388" i="5"/>
  <c r="A1388" i="5"/>
  <c r="B1387" i="5"/>
  <c r="A1387" i="5"/>
  <c r="B1386" i="5"/>
  <c r="A1386" i="5"/>
  <c r="B1385" i="5"/>
  <c r="A1385" i="5"/>
  <c r="B1384" i="5"/>
  <c r="A1384" i="5"/>
  <c r="B1383" i="5"/>
  <c r="A1383" i="5"/>
  <c r="B1382" i="5"/>
  <c r="A1382" i="5"/>
  <c r="B1381" i="5"/>
  <c r="A1381" i="5"/>
  <c r="B1380" i="5"/>
  <c r="A1380" i="5"/>
  <c r="B1379" i="5"/>
  <c r="A1379" i="5"/>
  <c r="B1378" i="5"/>
  <c r="A1378" i="5"/>
  <c r="B1377" i="5"/>
  <c r="A1377" i="5"/>
  <c r="B1376" i="5"/>
  <c r="A1376" i="5"/>
  <c r="B1375" i="5"/>
  <c r="A1375" i="5"/>
  <c r="B1374" i="5"/>
  <c r="A1374" i="5"/>
  <c r="B1373" i="5"/>
  <c r="A1373" i="5"/>
  <c r="B1372" i="5"/>
  <c r="A1372" i="5"/>
  <c r="B1371" i="5"/>
  <c r="A1371" i="5"/>
  <c r="B1370" i="5"/>
  <c r="A1370" i="5"/>
  <c r="B1369" i="5"/>
  <c r="A1369" i="5"/>
  <c r="B1368" i="5"/>
  <c r="A1368" i="5"/>
  <c r="B1367" i="5"/>
  <c r="A1367" i="5"/>
  <c r="B1366" i="5"/>
  <c r="A1366" i="5"/>
  <c r="B1365" i="5"/>
  <c r="A1365" i="5"/>
  <c r="B1364" i="5"/>
  <c r="A1364" i="5"/>
  <c r="B1363" i="5"/>
  <c r="A1363" i="5"/>
  <c r="B1362" i="5"/>
  <c r="A1362" i="5"/>
  <c r="B1361" i="5"/>
  <c r="A1361" i="5"/>
  <c r="B1360" i="5"/>
  <c r="A1360" i="5"/>
  <c r="B1359" i="5"/>
  <c r="A1359" i="5"/>
  <c r="B1358" i="5"/>
  <c r="A1358" i="5"/>
  <c r="B1357" i="5"/>
  <c r="A1357" i="5"/>
  <c r="B1356" i="5"/>
  <c r="A1356" i="5"/>
  <c r="B1355" i="5"/>
  <c r="A1355" i="5"/>
  <c r="B1354" i="5"/>
  <c r="A1354" i="5"/>
  <c r="B1353" i="5"/>
  <c r="A1353" i="5"/>
  <c r="B1352" i="5"/>
  <c r="A1352" i="5"/>
  <c r="B1351" i="5"/>
  <c r="A1351" i="5"/>
  <c r="B1350" i="5"/>
  <c r="A1350" i="5"/>
  <c r="B1349" i="5"/>
  <c r="A1349" i="5"/>
  <c r="B1348" i="5"/>
  <c r="A1348" i="5"/>
  <c r="B1347" i="5"/>
  <c r="A1347" i="5"/>
  <c r="B1346" i="5"/>
  <c r="A1346" i="5"/>
  <c r="B1345" i="5"/>
  <c r="A1345" i="5"/>
  <c r="B1344" i="5"/>
  <c r="A1344" i="5"/>
  <c r="B1343" i="5"/>
  <c r="A1343" i="5"/>
  <c r="B1342" i="5"/>
  <c r="A1342" i="5"/>
  <c r="B1341" i="5"/>
  <c r="A1341" i="5"/>
  <c r="B1340" i="5"/>
  <c r="A1340" i="5"/>
  <c r="B1339" i="5"/>
  <c r="A1339" i="5"/>
  <c r="B1338" i="5"/>
  <c r="A1338" i="5"/>
  <c r="B1337" i="5"/>
  <c r="A1337" i="5"/>
  <c r="B1336" i="5"/>
  <c r="A1336" i="5"/>
  <c r="B1335" i="5"/>
  <c r="A1335" i="5"/>
  <c r="B1334" i="5"/>
  <c r="A1334" i="5"/>
  <c r="B1333" i="5"/>
  <c r="A1333" i="5"/>
  <c r="B1332" i="5"/>
  <c r="A1332" i="5"/>
  <c r="B1331" i="5"/>
  <c r="A1331" i="5"/>
  <c r="B1330" i="5"/>
  <c r="A1330" i="5"/>
  <c r="B1329" i="5"/>
  <c r="A1329" i="5"/>
  <c r="B1328" i="5"/>
  <c r="A1328" i="5"/>
  <c r="B1327" i="5"/>
  <c r="A1327" i="5"/>
  <c r="B1326" i="5"/>
  <c r="A1326" i="5"/>
  <c r="B1325" i="5"/>
  <c r="A1325" i="5"/>
  <c r="B1324" i="5"/>
  <c r="A1324" i="5"/>
  <c r="B1323" i="5"/>
  <c r="A1323" i="5"/>
  <c r="B1322" i="5"/>
  <c r="A1322" i="5"/>
  <c r="B1321" i="5"/>
  <c r="A1321" i="5"/>
  <c r="B1320" i="5"/>
  <c r="A1320" i="5"/>
  <c r="B1319" i="5"/>
  <c r="A1319" i="5"/>
  <c r="B1318" i="5"/>
  <c r="A1318" i="5"/>
  <c r="B1317" i="5"/>
  <c r="A1317" i="5"/>
  <c r="B1316" i="5"/>
  <c r="A1316" i="5"/>
  <c r="B1315" i="5"/>
  <c r="A1315" i="5"/>
  <c r="B1314" i="5"/>
  <c r="A1314" i="5"/>
  <c r="B1313" i="5"/>
  <c r="A1313" i="5"/>
  <c r="B1312" i="5"/>
  <c r="A1312" i="5"/>
  <c r="B1311" i="5"/>
  <c r="A1311" i="5"/>
  <c r="B1310" i="5"/>
  <c r="A1310" i="5"/>
  <c r="B1309" i="5"/>
  <c r="A1309" i="5"/>
  <c r="B1308" i="5"/>
  <c r="A1308" i="5"/>
  <c r="B1307" i="5"/>
  <c r="A1307" i="5"/>
  <c r="B1306" i="5"/>
  <c r="A1306" i="5"/>
  <c r="B1305" i="5"/>
  <c r="A1305" i="5"/>
  <c r="B1304" i="5"/>
  <c r="A1304" i="5"/>
  <c r="B1303" i="5"/>
  <c r="A1303" i="5"/>
  <c r="B1302" i="5"/>
  <c r="A1302" i="5"/>
  <c r="B1301" i="5"/>
  <c r="A1301" i="5"/>
  <c r="B1300" i="5"/>
  <c r="A1300" i="5"/>
  <c r="B1299" i="5"/>
  <c r="A1299" i="5"/>
  <c r="B1298" i="5"/>
  <c r="A1298" i="5"/>
  <c r="B1297" i="5"/>
  <c r="A1297" i="5"/>
  <c r="B1296" i="5"/>
  <c r="A1296" i="5"/>
  <c r="B1295" i="5"/>
  <c r="A1295" i="5"/>
  <c r="B1294" i="5"/>
  <c r="A1294" i="5"/>
  <c r="B1293" i="5"/>
  <c r="A1293" i="5"/>
  <c r="B1292" i="5"/>
  <c r="A1292" i="5"/>
  <c r="B1291" i="5"/>
  <c r="A1291" i="5"/>
  <c r="B1290" i="5"/>
  <c r="A1290" i="5"/>
  <c r="B1289" i="5"/>
  <c r="A1289" i="5"/>
  <c r="B1288" i="5"/>
  <c r="A1288" i="5"/>
  <c r="B1287" i="5"/>
  <c r="A1287" i="5"/>
  <c r="B1286" i="5"/>
  <c r="A1286" i="5"/>
  <c r="B1285" i="5"/>
  <c r="A1285" i="5"/>
  <c r="B1284" i="5"/>
  <c r="A1284" i="5"/>
  <c r="B1283" i="5"/>
  <c r="A1283" i="5"/>
  <c r="B1282" i="5"/>
  <c r="A1282" i="5"/>
  <c r="B1281" i="5"/>
  <c r="A1281" i="5"/>
  <c r="B1280" i="5"/>
  <c r="A1280" i="5"/>
  <c r="B1279" i="5"/>
  <c r="A1279" i="5"/>
  <c r="B1278" i="5"/>
  <c r="A1278" i="5"/>
  <c r="B1277" i="5"/>
  <c r="A1277" i="5"/>
  <c r="B1276" i="5"/>
  <c r="A1276" i="5"/>
  <c r="B1275" i="5"/>
  <c r="A1275" i="5"/>
  <c r="B1274" i="5"/>
  <c r="A1274" i="5"/>
  <c r="B1273" i="5"/>
  <c r="A1273" i="5"/>
  <c r="B1272" i="5"/>
  <c r="A1272" i="5"/>
  <c r="B1271" i="5"/>
  <c r="A1271" i="5"/>
  <c r="B1270" i="5"/>
  <c r="A1270" i="5"/>
  <c r="B1269" i="5"/>
  <c r="A1269" i="5"/>
  <c r="B1268" i="5"/>
  <c r="A1268" i="5"/>
  <c r="B1267" i="5"/>
  <c r="A1267" i="5"/>
  <c r="B1266" i="5"/>
  <c r="A1266" i="5"/>
  <c r="B1265" i="5"/>
  <c r="A1265" i="5"/>
  <c r="B1264" i="5"/>
  <c r="A1264" i="5"/>
  <c r="B1263" i="5"/>
  <c r="A1263" i="5"/>
  <c r="B1262" i="5"/>
  <c r="A1262" i="5"/>
  <c r="B1261" i="5"/>
  <c r="A1261" i="5"/>
  <c r="B1260" i="5"/>
  <c r="A1260" i="5"/>
  <c r="B1259" i="5"/>
  <c r="A1259" i="5"/>
  <c r="B1258" i="5"/>
  <c r="A1258" i="5"/>
  <c r="B1257" i="5"/>
  <c r="A1257" i="5"/>
  <c r="B1256" i="5"/>
  <c r="A1256" i="5"/>
  <c r="B1255" i="5"/>
  <c r="A1255" i="5"/>
  <c r="B1254" i="5"/>
  <c r="A1254" i="5"/>
  <c r="B1253" i="5"/>
  <c r="A1253" i="5"/>
  <c r="B1252" i="5"/>
  <c r="A1252" i="5"/>
  <c r="B1251" i="5"/>
  <c r="A1251" i="5"/>
  <c r="B1250" i="5"/>
  <c r="A1250" i="5"/>
  <c r="B1249" i="5"/>
  <c r="A1249" i="5"/>
  <c r="B1248" i="5"/>
  <c r="A1248" i="5"/>
  <c r="B1247" i="5"/>
  <c r="A1247" i="5"/>
  <c r="B1246" i="5"/>
  <c r="A1246" i="5"/>
  <c r="B1245" i="5"/>
  <c r="A1245" i="5"/>
  <c r="B1244" i="5"/>
  <c r="A1244" i="5"/>
  <c r="B1243" i="5"/>
  <c r="A1243" i="5"/>
  <c r="B1242" i="5"/>
  <c r="A1242" i="5"/>
  <c r="B1241" i="5"/>
  <c r="A1241" i="5"/>
  <c r="B1240" i="5"/>
  <c r="A1240" i="5"/>
  <c r="B1239" i="5"/>
  <c r="A1239" i="5"/>
  <c r="B1238" i="5"/>
  <c r="A1238" i="5"/>
  <c r="B1237" i="5"/>
  <c r="A1237" i="5"/>
  <c r="B1236" i="5"/>
  <c r="A1236" i="5"/>
  <c r="B1235" i="5"/>
  <c r="A1235" i="5"/>
  <c r="B1234" i="5"/>
  <c r="A1234" i="5"/>
  <c r="B1233" i="5"/>
  <c r="A1233" i="5"/>
  <c r="B1232" i="5"/>
  <c r="A1232" i="5"/>
  <c r="B1231" i="5"/>
  <c r="A1231" i="5"/>
  <c r="B1230" i="5"/>
  <c r="A1230" i="5"/>
  <c r="B1229" i="5"/>
  <c r="A1229" i="5"/>
  <c r="B1228" i="5"/>
  <c r="A1228" i="5"/>
  <c r="B1227" i="5"/>
  <c r="A1227" i="5"/>
  <c r="B1226" i="5"/>
  <c r="A1226" i="5"/>
  <c r="B1225" i="5"/>
  <c r="A1225" i="5"/>
  <c r="B1224" i="5"/>
  <c r="A1224" i="5"/>
  <c r="B1223" i="5"/>
  <c r="A1223" i="5"/>
  <c r="B1222" i="5"/>
  <c r="A1222" i="5"/>
  <c r="B1221" i="5"/>
  <c r="A1221" i="5"/>
  <c r="B1220" i="5"/>
  <c r="A1220" i="5"/>
  <c r="B1219" i="5"/>
  <c r="A1219" i="5"/>
  <c r="B1218" i="5"/>
  <c r="A1218" i="5"/>
  <c r="B1217" i="5"/>
  <c r="A1217" i="5"/>
  <c r="B1216" i="5"/>
  <c r="A1216" i="5"/>
  <c r="B1215" i="5"/>
  <c r="A1215" i="5"/>
  <c r="B1214" i="5"/>
  <c r="A1214" i="5"/>
  <c r="B1213" i="5"/>
  <c r="A1213" i="5"/>
  <c r="B1212" i="5"/>
  <c r="A1212" i="5"/>
  <c r="B1211" i="5"/>
  <c r="A1211" i="5"/>
  <c r="B1210" i="5"/>
  <c r="A1210" i="5"/>
  <c r="B1209" i="5"/>
  <c r="A1209" i="5"/>
  <c r="B1208" i="5"/>
  <c r="A1208" i="5"/>
  <c r="B1207" i="5"/>
  <c r="A1207" i="5"/>
  <c r="B1206" i="5"/>
  <c r="A1206" i="5"/>
  <c r="B1205" i="5"/>
  <c r="A1205" i="5"/>
  <c r="B1204" i="5"/>
  <c r="A1204" i="5"/>
  <c r="B1203" i="5"/>
  <c r="A1203" i="5"/>
  <c r="B1202" i="5"/>
  <c r="A1202" i="5"/>
  <c r="B1201" i="5"/>
  <c r="A1201" i="5"/>
  <c r="B1200" i="5"/>
  <c r="A1200" i="5"/>
  <c r="B1199" i="5"/>
  <c r="A1199" i="5"/>
  <c r="B1198" i="5"/>
  <c r="A1198" i="5"/>
  <c r="B1197" i="5"/>
  <c r="A1197" i="5"/>
  <c r="B1196" i="5"/>
  <c r="A1196" i="5"/>
  <c r="B1195" i="5"/>
  <c r="A1195" i="5"/>
  <c r="B1194" i="5"/>
  <c r="A1194" i="5"/>
  <c r="B1193" i="5"/>
  <c r="A1193" i="5"/>
  <c r="B1192" i="5"/>
  <c r="A1192" i="5"/>
  <c r="B1191" i="5"/>
  <c r="A1191" i="5"/>
  <c r="B1190" i="5"/>
  <c r="A1190" i="5"/>
  <c r="B1189" i="5"/>
  <c r="A1189" i="5"/>
  <c r="B1188" i="5"/>
  <c r="A1188" i="5"/>
  <c r="B1187" i="5"/>
  <c r="A1187" i="5"/>
  <c r="B1186" i="5"/>
  <c r="A1186" i="5"/>
  <c r="B1185" i="5"/>
  <c r="A1185" i="5"/>
  <c r="B1184" i="5"/>
  <c r="A1184" i="5"/>
  <c r="B1183" i="5"/>
  <c r="A1183" i="5"/>
  <c r="B1182" i="5"/>
  <c r="A1182" i="5"/>
  <c r="B1181" i="5"/>
  <c r="A1181" i="5"/>
  <c r="B1180" i="5"/>
  <c r="A1180" i="5"/>
  <c r="B1179" i="5"/>
  <c r="A1179" i="5"/>
  <c r="B1178" i="5"/>
  <c r="A1178" i="5"/>
  <c r="B1177" i="5"/>
  <c r="A1177" i="5"/>
  <c r="B1176" i="5"/>
  <c r="A1176" i="5"/>
  <c r="B1175" i="5"/>
  <c r="A1175" i="5"/>
  <c r="B1174" i="5"/>
  <c r="A1174" i="5"/>
  <c r="B1173" i="5"/>
  <c r="A1173" i="5"/>
  <c r="B1172" i="5"/>
  <c r="A1172" i="5"/>
  <c r="B1171" i="5"/>
  <c r="A1171" i="5"/>
  <c r="B1170" i="5"/>
  <c r="A1170" i="5"/>
  <c r="B1169" i="5"/>
  <c r="A1169" i="5"/>
  <c r="B1168" i="5"/>
  <c r="A1168" i="5"/>
  <c r="B1167" i="5"/>
  <c r="A1167" i="5"/>
  <c r="B1166" i="5"/>
  <c r="A1166" i="5"/>
  <c r="B1165" i="5"/>
  <c r="A1165" i="5"/>
  <c r="B1164" i="5"/>
  <c r="A1164" i="5"/>
  <c r="B1163" i="5"/>
  <c r="A1163" i="5"/>
  <c r="B1162" i="5"/>
  <c r="A1162" i="5"/>
  <c r="B1161" i="5"/>
  <c r="A1161" i="5"/>
  <c r="B1160" i="5"/>
  <c r="A1160" i="5"/>
  <c r="B1159" i="5"/>
  <c r="A1159" i="5"/>
  <c r="B1158" i="5"/>
  <c r="A1158" i="5"/>
  <c r="B1157" i="5"/>
  <c r="A1157" i="5"/>
  <c r="B1156" i="5"/>
  <c r="A1156" i="5"/>
  <c r="B1155" i="5"/>
  <c r="A1155" i="5"/>
  <c r="B1154" i="5"/>
  <c r="A1154" i="5"/>
  <c r="B1153" i="5"/>
  <c r="A1153" i="5"/>
  <c r="B1152" i="5"/>
  <c r="A1152" i="5"/>
  <c r="B1151" i="5"/>
  <c r="A1151" i="5"/>
  <c r="B1150" i="5"/>
  <c r="A1150" i="5"/>
  <c r="B1149" i="5"/>
  <c r="A1149" i="5"/>
  <c r="B1148" i="5"/>
  <c r="A1148" i="5"/>
  <c r="B1147" i="5"/>
  <c r="A1147" i="5"/>
  <c r="B1146" i="5"/>
  <c r="A1146" i="5"/>
  <c r="B1145" i="5"/>
  <c r="A1145" i="5"/>
  <c r="B1144" i="5"/>
  <c r="A1144" i="5"/>
  <c r="B1143" i="5"/>
  <c r="A1143" i="5"/>
  <c r="B1142" i="5"/>
  <c r="A1142" i="5"/>
  <c r="B1141" i="5"/>
  <c r="A1141" i="5"/>
  <c r="B1140" i="5"/>
  <c r="A1140" i="5"/>
  <c r="B1139" i="5"/>
  <c r="A1139" i="5"/>
  <c r="B1138" i="5"/>
  <c r="A1138" i="5"/>
  <c r="B1137" i="5"/>
  <c r="A1137" i="5"/>
  <c r="B1136" i="5"/>
  <c r="A1136" i="5"/>
  <c r="B1135" i="5"/>
  <c r="A1135" i="5"/>
  <c r="B1134" i="5"/>
  <c r="A1134" i="5"/>
  <c r="B1133" i="5"/>
  <c r="A1133" i="5"/>
  <c r="B1132" i="5"/>
  <c r="A1132" i="5"/>
  <c r="B1131" i="5"/>
  <c r="A1131" i="5"/>
  <c r="B1130" i="5"/>
  <c r="A1130" i="5"/>
  <c r="B1129" i="5"/>
  <c r="A1129" i="5"/>
  <c r="B1128" i="5"/>
  <c r="A1128" i="5"/>
  <c r="B1127" i="5"/>
  <c r="A1127" i="5"/>
  <c r="B1126" i="5"/>
  <c r="A1126" i="5"/>
  <c r="B1125" i="5"/>
  <c r="A1125" i="5"/>
  <c r="B1124" i="5"/>
  <c r="A1124" i="5"/>
  <c r="B1123" i="5"/>
  <c r="A1123" i="5"/>
  <c r="B1122" i="5"/>
  <c r="A1122" i="5"/>
  <c r="B1121" i="5"/>
  <c r="A1121" i="5"/>
  <c r="B1120" i="5"/>
  <c r="A1120" i="5"/>
  <c r="B1119" i="5"/>
  <c r="A1119" i="5"/>
  <c r="B1118" i="5"/>
  <c r="A1118" i="5"/>
  <c r="B1117" i="5"/>
  <c r="A1117" i="5"/>
  <c r="B1116" i="5"/>
  <c r="A1116" i="5"/>
  <c r="B1115" i="5"/>
  <c r="A1115" i="5"/>
  <c r="B1114" i="5"/>
  <c r="A1114" i="5"/>
  <c r="B1113" i="5"/>
  <c r="A1113" i="5"/>
  <c r="B1112" i="5"/>
  <c r="A1112" i="5"/>
  <c r="B1111" i="5"/>
  <c r="A1111" i="5"/>
  <c r="B1110" i="5"/>
  <c r="A1110" i="5"/>
  <c r="B1109" i="5"/>
  <c r="A1109" i="5"/>
  <c r="B1108" i="5"/>
  <c r="A1108" i="5"/>
  <c r="B1107" i="5"/>
  <c r="A1107" i="5"/>
  <c r="B1106" i="5"/>
  <c r="A1106" i="5"/>
  <c r="B1105" i="5"/>
  <c r="A1105" i="5"/>
  <c r="B1104" i="5"/>
  <c r="A1104" i="5"/>
  <c r="B1103" i="5"/>
  <c r="A1103" i="5"/>
  <c r="B1102" i="5"/>
  <c r="A1102" i="5"/>
  <c r="B1101" i="5"/>
  <c r="A1101" i="5"/>
  <c r="B1100" i="5"/>
  <c r="A1100" i="5"/>
  <c r="B1099" i="5"/>
  <c r="A1099" i="5"/>
  <c r="B1098" i="5"/>
  <c r="A1098" i="5"/>
  <c r="B1097" i="5"/>
  <c r="A1097" i="5"/>
  <c r="B1096" i="5"/>
  <c r="A1096" i="5"/>
  <c r="B1095" i="5"/>
  <c r="A1095" i="5"/>
  <c r="B1094" i="5"/>
  <c r="A1094" i="5"/>
  <c r="B1093" i="5"/>
  <c r="A1093" i="5"/>
  <c r="B1092" i="5"/>
  <c r="A1092" i="5"/>
  <c r="B1091" i="5"/>
  <c r="A1091" i="5"/>
  <c r="B1090" i="5"/>
  <c r="A1090" i="5"/>
  <c r="B1089" i="5"/>
  <c r="A1089" i="5"/>
  <c r="B1088" i="5"/>
  <c r="A1088" i="5"/>
  <c r="B1087" i="5"/>
  <c r="A1087" i="5"/>
  <c r="B1086" i="5"/>
  <c r="A1086" i="5"/>
  <c r="B1085" i="5"/>
  <c r="A1085" i="5"/>
  <c r="B1084" i="5"/>
  <c r="A1084" i="5"/>
  <c r="B1083" i="5"/>
  <c r="A1083" i="5"/>
  <c r="B1082" i="5"/>
  <c r="A1082" i="5"/>
  <c r="B1081" i="5"/>
  <c r="A1081" i="5"/>
  <c r="B1080" i="5"/>
  <c r="A1080" i="5"/>
  <c r="B1079" i="5"/>
  <c r="A1079" i="5"/>
  <c r="B1078" i="5"/>
  <c r="A1078" i="5"/>
  <c r="B1077" i="5"/>
  <c r="A1077" i="5"/>
  <c r="B1076" i="5"/>
  <c r="A1076" i="5"/>
  <c r="B1075" i="5"/>
  <c r="A1075" i="5"/>
  <c r="B1074" i="5"/>
  <c r="A1074" i="5"/>
  <c r="B1073" i="5"/>
  <c r="A1073" i="5"/>
  <c r="B1072" i="5"/>
  <c r="A1072" i="5"/>
  <c r="B1071" i="5"/>
  <c r="A1071" i="5"/>
  <c r="B1070" i="5"/>
  <c r="A1070" i="5"/>
  <c r="B1069" i="5"/>
  <c r="A1069" i="5"/>
  <c r="B1068" i="5"/>
  <c r="A1068" i="5"/>
  <c r="B1067" i="5"/>
  <c r="A1067" i="5"/>
  <c r="B1066" i="5"/>
  <c r="A1066" i="5"/>
  <c r="B1065" i="5"/>
  <c r="A1065" i="5"/>
  <c r="B1064" i="5"/>
  <c r="A1064" i="5"/>
  <c r="B1063" i="5"/>
  <c r="A1063" i="5"/>
  <c r="B1062" i="5"/>
  <c r="A1062" i="5"/>
  <c r="B1061" i="5"/>
  <c r="A1061" i="5"/>
  <c r="B1060" i="5"/>
  <c r="A1060" i="5"/>
  <c r="B1059" i="5"/>
  <c r="A1059" i="5"/>
  <c r="B1058" i="5"/>
  <c r="A1058" i="5"/>
  <c r="B1057" i="5"/>
  <c r="A1057" i="5"/>
  <c r="B1056" i="5"/>
  <c r="A1056" i="5"/>
  <c r="B1055" i="5"/>
  <c r="A1055" i="5"/>
  <c r="B1054" i="5"/>
  <c r="A1054" i="5"/>
  <c r="B1053" i="5"/>
  <c r="A1053" i="5"/>
  <c r="B1052" i="5"/>
  <c r="A1052" i="5"/>
  <c r="B1051" i="5"/>
  <c r="A1051" i="5"/>
  <c r="B1050" i="5"/>
  <c r="A1050" i="5"/>
  <c r="B1049" i="5"/>
  <c r="A1049" i="5"/>
  <c r="B1048" i="5"/>
  <c r="A1048" i="5"/>
  <c r="B1047" i="5"/>
  <c r="A1047" i="5"/>
  <c r="B1046" i="5"/>
  <c r="A1046" i="5"/>
  <c r="B1045" i="5"/>
  <c r="A1045" i="5"/>
  <c r="B1044" i="5"/>
  <c r="A1044" i="5"/>
  <c r="B1043" i="5"/>
  <c r="A1043" i="5"/>
  <c r="B1042" i="5"/>
  <c r="A1042" i="5"/>
  <c r="B1041" i="5"/>
  <c r="A1041" i="5"/>
  <c r="B1040" i="5"/>
  <c r="A1040" i="5"/>
  <c r="B1039" i="5"/>
  <c r="A1039" i="5"/>
  <c r="B1038" i="5"/>
  <c r="A1038" i="5"/>
  <c r="B1037" i="5"/>
  <c r="A1037" i="5"/>
  <c r="B1036" i="5"/>
  <c r="A1036" i="5"/>
  <c r="B1035" i="5"/>
  <c r="A1035" i="5"/>
  <c r="B1034" i="5"/>
  <c r="A1034" i="5"/>
  <c r="B1033" i="5"/>
  <c r="A1033" i="5"/>
  <c r="B1032" i="5"/>
  <c r="A1032" i="5"/>
  <c r="B1031" i="5"/>
  <c r="A1031" i="5"/>
  <c r="B1030" i="5"/>
  <c r="A1030" i="5"/>
  <c r="B1029" i="5"/>
  <c r="A1029" i="5"/>
  <c r="B1028" i="5"/>
  <c r="A1028" i="5"/>
  <c r="B1027" i="5"/>
  <c r="A1027" i="5"/>
  <c r="B1026" i="5"/>
  <c r="A1026" i="5"/>
  <c r="B1025" i="5"/>
  <c r="A1025" i="5"/>
  <c r="B1024" i="5"/>
  <c r="A1024" i="5"/>
  <c r="B1023" i="5"/>
  <c r="A1023" i="5"/>
  <c r="B1022" i="5"/>
  <c r="A1022" i="5"/>
  <c r="B1021" i="5"/>
  <c r="A1021" i="5"/>
  <c r="B1020" i="5"/>
  <c r="A1020" i="5"/>
  <c r="B1019" i="5"/>
  <c r="A1019" i="5"/>
  <c r="B1018" i="5"/>
  <c r="A1018" i="5"/>
  <c r="B1017" i="5"/>
  <c r="A1017" i="5"/>
  <c r="B1016" i="5"/>
  <c r="A1016" i="5"/>
  <c r="B1015" i="5"/>
  <c r="A1015" i="5"/>
  <c r="B1014" i="5"/>
  <c r="A1014" i="5"/>
  <c r="B1013" i="5"/>
  <c r="A1013" i="5"/>
  <c r="B1012" i="5"/>
  <c r="A1012" i="5"/>
  <c r="B1011" i="5"/>
  <c r="A1011" i="5"/>
  <c r="B1010" i="5"/>
  <c r="A1010" i="5"/>
  <c r="B1009" i="5"/>
  <c r="A1009" i="5"/>
  <c r="B1008" i="5"/>
  <c r="A1008" i="5"/>
  <c r="B1007" i="5"/>
  <c r="A1007" i="5"/>
  <c r="B1006" i="5"/>
  <c r="A1006" i="5"/>
  <c r="B1005" i="5"/>
  <c r="A1005" i="5"/>
  <c r="B1004" i="5"/>
  <c r="A1004" i="5"/>
  <c r="B1003" i="5"/>
  <c r="A1003" i="5"/>
  <c r="B1002" i="5"/>
  <c r="A1002" i="5"/>
  <c r="B1001" i="5"/>
  <c r="A1001" i="5"/>
  <c r="B1000" i="5"/>
  <c r="A1000" i="5"/>
  <c r="B999" i="5"/>
  <c r="A999" i="5"/>
  <c r="B998" i="5"/>
  <c r="A998" i="5"/>
  <c r="B997" i="5"/>
  <c r="A997" i="5"/>
  <c r="B996" i="5"/>
  <c r="A996" i="5"/>
  <c r="B995" i="5"/>
  <c r="A995" i="5"/>
  <c r="B994" i="5"/>
  <c r="A994" i="5"/>
  <c r="B993" i="5"/>
  <c r="A993" i="5"/>
  <c r="B992" i="5"/>
  <c r="A992" i="5"/>
  <c r="B991" i="5"/>
  <c r="A991" i="5"/>
  <c r="B990" i="5"/>
  <c r="A990" i="5"/>
  <c r="B989" i="5"/>
  <c r="A989" i="5"/>
  <c r="B988" i="5"/>
  <c r="A988" i="5"/>
  <c r="B987" i="5"/>
  <c r="A987" i="5"/>
  <c r="B986" i="5"/>
  <c r="A986" i="5"/>
  <c r="B985" i="5"/>
  <c r="A985" i="5"/>
  <c r="B984" i="5"/>
  <c r="A984" i="5"/>
  <c r="B983" i="5"/>
  <c r="A983" i="5"/>
  <c r="B982" i="5"/>
  <c r="A982" i="5"/>
  <c r="B981" i="5"/>
  <c r="A981" i="5"/>
  <c r="B980" i="5"/>
  <c r="A980" i="5"/>
  <c r="B979" i="5"/>
  <c r="A979" i="5"/>
  <c r="B978" i="5"/>
  <c r="A978" i="5"/>
  <c r="B977" i="5"/>
  <c r="A977" i="5"/>
  <c r="B976" i="5"/>
  <c r="A976" i="5"/>
  <c r="B975" i="5"/>
  <c r="A975" i="5"/>
  <c r="B974" i="5"/>
  <c r="A974" i="5"/>
  <c r="B973" i="5"/>
  <c r="A973" i="5"/>
  <c r="B972" i="5"/>
  <c r="A972" i="5"/>
  <c r="B971" i="5"/>
  <c r="A971" i="5"/>
  <c r="B970" i="5"/>
  <c r="A970" i="5"/>
  <c r="B969" i="5"/>
  <c r="A969" i="5"/>
  <c r="B968" i="5"/>
  <c r="A968" i="5"/>
  <c r="B967" i="5"/>
  <c r="A967" i="5"/>
  <c r="B966" i="5"/>
  <c r="A966" i="5"/>
  <c r="B965" i="5"/>
  <c r="A965" i="5"/>
  <c r="B964" i="5"/>
  <c r="A964" i="5"/>
  <c r="B963" i="5"/>
  <c r="A963" i="5"/>
  <c r="B962" i="5"/>
  <c r="A962" i="5"/>
  <c r="B961" i="5"/>
  <c r="A961" i="5"/>
  <c r="B960" i="5"/>
  <c r="A960" i="5"/>
  <c r="B959" i="5"/>
  <c r="A959" i="5"/>
  <c r="B958" i="5"/>
  <c r="A958" i="5"/>
  <c r="B957" i="5"/>
  <c r="A957" i="5"/>
  <c r="B956" i="5"/>
  <c r="A956" i="5"/>
  <c r="B955" i="5"/>
  <c r="A955" i="5"/>
  <c r="B954" i="5"/>
  <c r="A954" i="5"/>
  <c r="B953" i="5"/>
  <c r="A953" i="5"/>
  <c r="B952" i="5"/>
  <c r="A952" i="5"/>
  <c r="B951" i="5"/>
  <c r="A951" i="5"/>
  <c r="B950" i="5"/>
  <c r="A950" i="5"/>
  <c r="B949" i="5"/>
  <c r="A949" i="5"/>
  <c r="B948" i="5"/>
  <c r="A948" i="5"/>
  <c r="B947" i="5"/>
  <c r="A947" i="5"/>
  <c r="B946" i="5"/>
  <c r="A946" i="5"/>
  <c r="B945" i="5"/>
  <c r="A945" i="5"/>
  <c r="B944" i="5"/>
  <c r="A944" i="5"/>
  <c r="B943" i="5"/>
  <c r="A943" i="5"/>
  <c r="B942" i="5"/>
  <c r="A942" i="5"/>
  <c r="B941" i="5"/>
  <c r="A941" i="5"/>
  <c r="B940" i="5"/>
  <c r="A940" i="5"/>
  <c r="B939" i="5"/>
  <c r="A939" i="5"/>
  <c r="B938" i="5"/>
  <c r="A938" i="5"/>
  <c r="B937" i="5"/>
  <c r="A937" i="5"/>
  <c r="B936" i="5"/>
  <c r="A936" i="5"/>
  <c r="B935" i="5"/>
  <c r="A935" i="5"/>
  <c r="B934" i="5"/>
  <c r="A934" i="5"/>
  <c r="B933" i="5"/>
  <c r="A933" i="5"/>
  <c r="B932" i="5"/>
  <c r="A932" i="5"/>
  <c r="B931" i="5"/>
  <c r="A931" i="5"/>
  <c r="B930" i="5"/>
  <c r="A930" i="5"/>
  <c r="B929" i="5"/>
  <c r="A929" i="5"/>
  <c r="B928" i="5"/>
  <c r="A928" i="5"/>
  <c r="B927" i="5"/>
  <c r="A927" i="5"/>
  <c r="B926" i="5"/>
  <c r="A926" i="5"/>
  <c r="B925" i="5"/>
  <c r="A925" i="5"/>
  <c r="B924" i="5"/>
  <c r="A924" i="5"/>
  <c r="B923" i="5"/>
  <c r="A923" i="5"/>
  <c r="B922" i="5"/>
  <c r="A922" i="5"/>
  <c r="B921" i="5"/>
  <c r="A921" i="5"/>
  <c r="B920" i="5"/>
  <c r="A920" i="5"/>
  <c r="B919" i="5"/>
  <c r="A919" i="5"/>
  <c r="B918" i="5"/>
  <c r="A918" i="5"/>
  <c r="B917" i="5"/>
  <c r="A917" i="5"/>
  <c r="B916" i="5"/>
  <c r="A916" i="5"/>
  <c r="B915" i="5"/>
  <c r="A915" i="5"/>
  <c r="B914" i="5"/>
  <c r="A914" i="5"/>
  <c r="B913" i="5"/>
  <c r="A913" i="5"/>
  <c r="B912" i="5"/>
  <c r="A912" i="5"/>
  <c r="B911" i="5"/>
  <c r="A911" i="5"/>
  <c r="B910" i="5"/>
  <c r="A910" i="5"/>
  <c r="B909" i="5"/>
  <c r="A909" i="5"/>
  <c r="B908" i="5"/>
  <c r="A908" i="5"/>
  <c r="B907" i="5"/>
  <c r="A907" i="5"/>
  <c r="B906" i="5"/>
  <c r="A906" i="5"/>
  <c r="B905" i="5"/>
  <c r="A905" i="5"/>
  <c r="B904" i="5"/>
  <c r="A904" i="5"/>
  <c r="B903" i="5"/>
  <c r="A903" i="5"/>
  <c r="B902" i="5"/>
  <c r="A902" i="5"/>
  <c r="B901" i="5"/>
  <c r="A901" i="5"/>
  <c r="B900" i="5"/>
  <c r="A900" i="5"/>
  <c r="B899" i="5"/>
  <c r="A899" i="5"/>
  <c r="B898" i="5"/>
  <c r="A898" i="5"/>
  <c r="B897" i="5"/>
  <c r="A897" i="5"/>
  <c r="B896" i="5"/>
  <c r="A896" i="5"/>
  <c r="B895" i="5"/>
  <c r="A895" i="5"/>
  <c r="B894" i="5"/>
  <c r="A894" i="5"/>
  <c r="B893" i="5"/>
  <c r="A893" i="5"/>
  <c r="B892" i="5"/>
  <c r="A892" i="5"/>
  <c r="B891" i="5"/>
  <c r="A891" i="5"/>
  <c r="B890" i="5"/>
  <c r="A890" i="5"/>
  <c r="B889" i="5"/>
  <c r="A889" i="5"/>
  <c r="B888" i="5"/>
  <c r="A888" i="5"/>
  <c r="B887" i="5"/>
  <c r="A887" i="5"/>
  <c r="B886" i="5"/>
  <c r="A886" i="5"/>
  <c r="B885" i="5"/>
  <c r="A885" i="5"/>
  <c r="B884" i="5"/>
  <c r="A884" i="5"/>
  <c r="B883" i="5"/>
  <c r="A883" i="5"/>
  <c r="B882" i="5"/>
  <c r="A882" i="5"/>
  <c r="B881" i="5"/>
  <c r="A881" i="5"/>
  <c r="B880" i="5"/>
  <c r="A880" i="5"/>
  <c r="B879" i="5"/>
  <c r="A879" i="5"/>
  <c r="B878" i="5"/>
  <c r="A878" i="5"/>
  <c r="B877" i="5"/>
  <c r="A877" i="5"/>
  <c r="B876" i="5"/>
  <c r="A876" i="5"/>
  <c r="B875" i="5"/>
  <c r="A875" i="5"/>
  <c r="B874" i="5"/>
  <c r="A874" i="5"/>
  <c r="B873" i="5"/>
  <c r="A873" i="5"/>
  <c r="B872" i="5"/>
  <c r="A872" i="5"/>
  <c r="B871" i="5"/>
  <c r="A871" i="5"/>
  <c r="B870" i="5"/>
  <c r="A870" i="5"/>
  <c r="B869" i="5"/>
  <c r="A869" i="5"/>
  <c r="B868" i="5"/>
  <c r="A868" i="5"/>
  <c r="B867" i="5"/>
  <c r="A867" i="5"/>
  <c r="B866" i="5"/>
  <c r="A866" i="5"/>
  <c r="B865" i="5"/>
  <c r="A865" i="5"/>
  <c r="B864" i="5"/>
  <c r="A864" i="5"/>
  <c r="B863" i="5"/>
  <c r="A863" i="5"/>
  <c r="B862" i="5"/>
  <c r="A862" i="5"/>
  <c r="B861" i="5"/>
  <c r="A861" i="5"/>
  <c r="B860" i="5"/>
  <c r="A860" i="5"/>
  <c r="B859" i="5"/>
  <c r="A859" i="5"/>
  <c r="B858" i="5"/>
  <c r="A858" i="5"/>
  <c r="B857" i="5"/>
  <c r="A857" i="5"/>
  <c r="B856" i="5"/>
  <c r="A856" i="5"/>
  <c r="B855" i="5"/>
  <c r="A855" i="5"/>
  <c r="B854" i="5"/>
  <c r="A854" i="5"/>
  <c r="B853" i="5"/>
  <c r="A853" i="5"/>
  <c r="B852" i="5"/>
  <c r="A852" i="5"/>
  <c r="B851" i="5"/>
  <c r="A851" i="5"/>
  <c r="B850" i="5"/>
  <c r="A850" i="5"/>
  <c r="B849" i="5"/>
  <c r="A849" i="5"/>
  <c r="B848" i="5"/>
  <c r="A848" i="5"/>
  <c r="B847" i="5"/>
  <c r="A847" i="5"/>
  <c r="B846" i="5"/>
  <c r="A846" i="5"/>
  <c r="B845" i="5"/>
  <c r="A845" i="5"/>
  <c r="B844" i="5"/>
  <c r="A844" i="5"/>
  <c r="B843" i="5"/>
  <c r="A843" i="5"/>
  <c r="B842" i="5"/>
  <c r="A842" i="5"/>
  <c r="B841" i="5"/>
  <c r="A841" i="5"/>
  <c r="B840" i="5"/>
  <c r="A840" i="5"/>
  <c r="B839" i="5"/>
  <c r="A839" i="5"/>
  <c r="B838" i="5"/>
  <c r="A838" i="5"/>
  <c r="B837" i="5"/>
  <c r="A837" i="5"/>
  <c r="B836" i="5"/>
  <c r="A836" i="5"/>
  <c r="B835" i="5"/>
  <c r="A835" i="5"/>
  <c r="B834" i="5"/>
  <c r="A834" i="5"/>
  <c r="B833" i="5"/>
  <c r="A833" i="5"/>
  <c r="B832" i="5"/>
  <c r="A832" i="5"/>
  <c r="B831" i="5"/>
  <c r="A831" i="5"/>
  <c r="B830" i="5"/>
  <c r="A830" i="5"/>
  <c r="B829" i="5"/>
  <c r="A829" i="5"/>
  <c r="B828" i="5"/>
  <c r="A828" i="5"/>
  <c r="B827" i="5"/>
  <c r="A827" i="5"/>
  <c r="B826" i="5"/>
  <c r="A826" i="5"/>
  <c r="B825" i="5"/>
  <c r="A825" i="5"/>
  <c r="B824" i="5"/>
  <c r="A824" i="5"/>
  <c r="B823" i="5"/>
  <c r="A823" i="5"/>
  <c r="B822" i="5"/>
  <c r="A822" i="5"/>
  <c r="B821" i="5"/>
  <c r="A821" i="5"/>
  <c r="B820" i="5"/>
  <c r="A820" i="5"/>
  <c r="B819" i="5"/>
  <c r="A819" i="5"/>
  <c r="B818" i="5"/>
  <c r="A818" i="5"/>
  <c r="B817" i="5"/>
  <c r="A817" i="5"/>
  <c r="B816" i="5"/>
  <c r="A816" i="5"/>
  <c r="B815" i="5"/>
  <c r="A815" i="5"/>
  <c r="B814" i="5"/>
  <c r="A814" i="5"/>
  <c r="B813" i="5"/>
  <c r="A813" i="5"/>
  <c r="B812" i="5"/>
  <c r="A812" i="5"/>
  <c r="B811" i="5"/>
  <c r="A811" i="5"/>
  <c r="B810" i="5"/>
  <c r="A810" i="5"/>
  <c r="B809" i="5"/>
  <c r="A809" i="5"/>
  <c r="B808" i="5"/>
  <c r="A808" i="5"/>
  <c r="B807" i="5"/>
  <c r="A807" i="5"/>
  <c r="B806" i="5"/>
  <c r="A806" i="5"/>
  <c r="B805" i="5"/>
  <c r="A805" i="5"/>
  <c r="B804" i="5"/>
  <c r="A804" i="5"/>
  <c r="B803" i="5"/>
  <c r="A803" i="5"/>
  <c r="B802" i="5"/>
  <c r="A802" i="5"/>
  <c r="B801" i="5"/>
  <c r="A801" i="5"/>
  <c r="B800" i="5"/>
  <c r="A800" i="5"/>
  <c r="B799" i="5"/>
  <c r="A799" i="5"/>
  <c r="B798" i="5"/>
  <c r="A798" i="5"/>
  <c r="B797" i="5"/>
  <c r="A797" i="5"/>
  <c r="B796" i="5"/>
  <c r="A796" i="5"/>
  <c r="B795" i="5"/>
  <c r="A795" i="5"/>
  <c r="B794" i="5"/>
  <c r="A794" i="5"/>
  <c r="B793" i="5"/>
  <c r="A793" i="5"/>
  <c r="B792" i="5"/>
  <c r="A792" i="5"/>
  <c r="B791" i="5"/>
  <c r="A791" i="5"/>
  <c r="B790" i="5"/>
  <c r="A790" i="5"/>
  <c r="B789" i="5"/>
  <c r="A789" i="5"/>
  <c r="B788" i="5"/>
  <c r="A788" i="5"/>
  <c r="B787" i="5"/>
  <c r="A787" i="5"/>
  <c r="B786" i="5"/>
  <c r="A786" i="5"/>
  <c r="B785" i="5"/>
  <c r="A785" i="5"/>
  <c r="B784" i="5"/>
  <c r="A784" i="5"/>
  <c r="B783" i="5"/>
  <c r="A783" i="5"/>
  <c r="B782" i="5"/>
  <c r="A782" i="5"/>
  <c r="B781" i="5"/>
  <c r="A781" i="5"/>
  <c r="B780" i="5"/>
  <c r="A780" i="5"/>
  <c r="B779" i="5"/>
  <c r="A779" i="5"/>
  <c r="B778" i="5"/>
  <c r="A778" i="5"/>
  <c r="B777" i="5"/>
  <c r="A777" i="5"/>
  <c r="B776" i="5"/>
  <c r="A776" i="5"/>
  <c r="B775" i="5"/>
  <c r="A775" i="5"/>
  <c r="B774" i="5"/>
  <c r="A774" i="5"/>
  <c r="B773" i="5"/>
  <c r="A773" i="5"/>
  <c r="B772" i="5"/>
  <c r="A772" i="5"/>
  <c r="B771" i="5"/>
  <c r="A771" i="5"/>
  <c r="B770" i="5"/>
  <c r="A770" i="5"/>
  <c r="B769" i="5"/>
  <c r="A769" i="5"/>
  <c r="B768" i="5"/>
  <c r="A768" i="5"/>
  <c r="B767" i="5"/>
  <c r="A767" i="5"/>
  <c r="B766" i="5"/>
  <c r="A766" i="5"/>
  <c r="B765" i="5"/>
  <c r="A765" i="5"/>
  <c r="B764" i="5"/>
  <c r="A764" i="5"/>
  <c r="B763" i="5"/>
  <c r="A763" i="5"/>
  <c r="B762" i="5"/>
  <c r="A762" i="5"/>
  <c r="B761" i="5"/>
  <c r="A761" i="5"/>
  <c r="B760" i="5"/>
  <c r="A760" i="5"/>
  <c r="B759" i="5"/>
  <c r="A759" i="5"/>
  <c r="B758" i="5"/>
  <c r="A758" i="5"/>
  <c r="B757" i="5"/>
  <c r="A757" i="5"/>
  <c r="B756" i="5"/>
  <c r="A756" i="5"/>
  <c r="B755" i="5"/>
  <c r="A755" i="5"/>
  <c r="B754" i="5"/>
  <c r="A754" i="5"/>
  <c r="B753" i="5"/>
  <c r="A753" i="5"/>
  <c r="B752" i="5"/>
  <c r="A752" i="5"/>
  <c r="B751" i="5"/>
  <c r="A751" i="5"/>
  <c r="B750" i="5"/>
  <c r="A750" i="5"/>
  <c r="B749" i="5"/>
  <c r="A749" i="5"/>
  <c r="B748" i="5"/>
  <c r="A748" i="5"/>
  <c r="B747" i="5"/>
  <c r="A747" i="5"/>
  <c r="B746" i="5"/>
  <c r="A746" i="5"/>
  <c r="B745" i="5"/>
  <c r="A745" i="5"/>
  <c r="B744" i="5"/>
  <c r="A744" i="5"/>
  <c r="B743" i="5"/>
  <c r="A743" i="5"/>
  <c r="B742" i="5"/>
  <c r="A742" i="5"/>
  <c r="B741" i="5"/>
  <c r="A741" i="5"/>
  <c r="B740" i="5"/>
  <c r="A740" i="5"/>
  <c r="B739" i="5"/>
  <c r="A739" i="5"/>
  <c r="B738" i="5"/>
  <c r="A738" i="5"/>
  <c r="B737" i="5"/>
  <c r="A737" i="5"/>
  <c r="B736" i="5"/>
  <c r="A736" i="5"/>
  <c r="B735" i="5"/>
  <c r="A735" i="5"/>
  <c r="B734" i="5"/>
  <c r="A734" i="5"/>
  <c r="B733" i="5"/>
  <c r="A733" i="5"/>
  <c r="B732" i="5"/>
  <c r="A732" i="5"/>
  <c r="B731" i="5"/>
  <c r="A731" i="5"/>
  <c r="B730" i="5"/>
  <c r="A730" i="5"/>
  <c r="B729" i="5"/>
  <c r="A729" i="5"/>
  <c r="B728" i="5"/>
  <c r="A728" i="5"/>
  <c r="B727" i="5"/>
  <c r="A727" i="5"/>
  <c r="B726" i="5"/>
  <c r="A726" i="5"/>
  <c r="B725" i="5"/>
  <c r="A725" i="5"/>
  <c r="B724" i="5"/>
  <c r="A724" i="5"/>
  <c r="B723" i="5"/>
  <c r="A723" i="5"/>
  <c r="B722" i="5"/>
  <c r="A722" i="5"/>
  <c r="B721" i="5"/>
  <c r="A721" i="5"/>
  <c r="B720" i="5"/>
  <c r="A720" i="5"/>
  <c r="B719" i="5"/>
  <c r="A719" i="5"/>
  <c r="B718" i="5"/>
  <c r="A718" i="5"/>
  <c r="B717" i="5"/>
  <c r="A717" i="5"/>
  <c r="B716" i="5"/>
  <c r="A716" i="5"/>
  <c r="B715" i="5"/>
  <c r="A715" i="5"/>
  <c r="B714" i="5"/>
  <c r="A714" i="5"/>
  <c r="B713" i="5"/>
  <c r="A713" i="5"/>
  <c r="B712" i="5"/>
  <c r="A712" i="5"/>
  <c r="B711" i="5"/>
  <c r="A711" i="5"/>
  <c r="B710" i="5"/>
  <c r="A710" i="5"/>
  <c r="B709" i="5"/>
  <c r="A709" i="5"/>
  <c r="B708" i="5"/>
  <c r="A708" i="5"/>
  <c r="B707" i="5"/>
  <c r="A707" i="5"/>
  <c r="B706" i="5"/>
  <c r="A706" i="5"/>
  <c r="B705" i="5"/>
  <c r="A705" i="5"/>
  <c r="B704" i="5"/>
  <c r="A704" i="5"/>
  <c r="B703" i="5"/>
  <c r="A703" i="5"/>
  <c r="B702" i="5"/>
  <c r="A702" i="5"/>
  <c r="B701" i="5"/>
  <c r="A701" i="5"/>
  <c r="B700" i="5"/>
  <c r="A700" i="5"/>
  <c r="B699" i="5"/>
  <c r="A699" i="5"/>
  <c r="B698" i="5"/>
  <c r="A698" i="5"/>
  <c r="B697" i="5"/>
  <c r="A697" i="5"/>
  <c r="B696" i="5"/>
  <c r="A696" i="5"/>
  <c r="B695" i="5"/>
  <c r="A695" i="5"/>
  <c r="B694" i="5"/>
  <c r="A694" i="5"/>
  <c r="B693" i="5"/>
  <c r="A693" i="5"/>
  <c r="B692" i="5"/>
  <c r="A692" i="5"/>
  <c r="B691" i="5"/>
  <c r="A691" i="5"/>
  <c r="B690" i="5"/>
  <c r="A690" i="5"/>
  <c r="B689" i="5"/>
  <c r="A689" i="5"/>
  <c r="B688" i="5"/>
  <c r="A688" i="5"/>
  <c r="B687" i="5"/>
  <c r="A687" i="5"/>
  <c r="B686" i="5"/>
  <c r="A686" i="5"/>
  <c r="B685" i="5"/>
  <c r="A685" i="5"/>
  <c r="B684" i="5"/>
  <c r="A684" i="5"/>
  <c r="B683" i="5"/>
  <c r="A683" i="5"/>
  <c r="B682" i="5"/>
  <c r="A682" i="5"/>
  <c r="B681" i="5"/>
  <c r="A681" i="5"/>
  <c r="B680" i="5"/>
  <c r="A680" i="5"/>
  <c r="B679" i="5"/>
  <c r="A679" i="5"/>
  <c r="B678" i="5"/>
  <c r="A678" i="5"/>
  <c r="B677" i="5"/>
  <c r="A677" i="5"/>
  <c r="B676" i="5"/>
  <c r="A676" i="5"/>
  <c r="B675" i="5"/>
  <c r="A675" i="5"/>
  <c r="B674" i="5"/>
  <c r="A674" i="5"/>
  <c r="B673" i="5"/>
  <c r="A673" i="5"/>
  <c r="B672" i="5"/>
  <c r="A672" i="5"/>
  <c r="B671" i="5"/>
  <c r="A671" i="5"/>
  <c r="B670" i="5"/>
  <c r="A670" i="5"/>
  <c r="B669" i="5"/>
  <c r="A669" i="5"/>
  <c r="B668" i="5"/>
  <c r="A668" i="5"/>
  <c r="B667" i="5"/>
  <c r="A667" i="5"/>
  <c r="B666" i="5"/>
  <c r="A666" i="5"/>
  <c r="B665" i="5"/>
  <c r="A665" i="5"/>
  <c r="B664" i="5"/>
  <c r="A664" i="5"/>
  <c r="B663" i="5"/>
  <c r="A663" i="5"/>
  <c r="B662" i="5"/>
  <c r="A662" i="5"/>
  <c r="B661" i="5"/>
  <c r="A661" i="5"/>
  <c r="B660" i="5"/>
  <c r="A660" i="5"/>
  <c r="B659" i="5"/>
  <c r="A659" i="5"/>
  <c r="B658" i="5"/>
  <c r="A658" i="5"/>
  <c r="B657" i="5"/>
  <c r="A657" i="5"/>
  <c r="B656" i="5"/>
  <c r="A656" i="5"/>
  <c r="B655" i="5"/>
  <c r="A655" i="5"/>
  <c r="B654" i="5"/>
  <c r="A654" i="5"/>
  <c r="B653" i="5"/>
  <c r="A653" i="5"/>
  <c r="B652" i="5"/>
  <c r="A652" i="5"/>
  <c r="B651" i="5"/>
  <c r="A651" i="5"/>
  <c r="B650" i="5"/>
  <c r="A650" i="5"/>
  <c r="B649" i="5"/>
  <c r="A649" i="5"/>
  <c r="B648" i="5"/>
  <c r="A648" i="5"/>
  <c r="B647" i="5"/>
  <c r="A647" i="5"/>
  <c r="B646" i="5"/>
  <c r="A646" i="5"/>
  <c r="B645" i="5"/>
  <c r="A645" i="5"/>
  <c r="B644" i="5"/>
  <c r="A644" i="5"/>
  <c r="B643" i="5"/>
  <c r="A643" i="5"/>
  <c r="B642" i="5"/>
  <c r="A642" i="5"/>
  <c r="B641" i="5"/>
  <c r="A641" i="5"/>
  <c r="B640" i="5"/>
  <c r="A640" i="5"/>
  <c r="B639" i="5"/>
  <c r="A639" i="5"/>
  <c r="B638" i="5"/>
  <c r="A638" i="5"/>
  <c r="B637" i="5"/>
  <c r="A637" i="5"/>
  <c r="B636" i="5"/>
  <c r="A636" i="5"/>
  <c r="B635" i="5"/>
  <c r="A635" i="5"/>
  <c r="B634" i="5"/>
  <c r="A634" i="5"/>
  <c r="B633" i="5"/>
  <c r="A633" i="5"/>
  <c r="B632" i="5"/>
  <c r="A632" i="5"/>
  <c r="B631" i="5"/>
  <c r="A631" i="5"/>
  <c r="B630" i="5"/>
  <c r="A630" i="5"/>
  <c r="B629" i="5"/>
  <c r="A629" i="5"/>
  <c r="B628" i="5"/>
  <c r="A628" i="5"/>
  <c r="B627" i="5"/>
  <c r="A627" i="5"/>
  <c r="B626" i="5"/>
  <c r="A626" i="5"/>
  <c r="B625" i="5"/>
  <c r="A625" i="5"/>
  <c r="B624" i="5"/>
  <c r="A624" i="5"/>
  <c r="B623" i="5"/>
  <c r="A623" i="5"/>
  <c r="B622" i="5"/>
  <c r="A622" i="5"/>
  <c r="B621" i="5"/>
  <c r="A621" i="5"/>
  <c r="B620" i="5"/>
  <c r="A620" i="5"/>
  <c r="B619" i="5"/>
  <c r="A619" i="5"/>
  <c r="B618" i="5"/>
  <c r="A618" i="5"/>
  <c r="B617" i="5"/>
  <c r="A617" i="5"/>
  <c r="B616" i="5"/>
  <c r="A616" i="5"/>
  <c r="B615" i="5"/>
  <c r="A615" i="5"/>
  <c r="B614" i="5"/>
  <c r="A614" i="5"/>
  <c r="B613" i="5"/>
  <c r="A613" i="5"/>
  <c r="B612" i="5"/>
  <c r="A612" i="5"/>
  <c r="B611" i="5"/>
  <c r="A611" i="5"/>
  <c r="B610" i="5"/>
  <c r="A610" i="5"/>
  <c r="B609" i="5"/>
  <c r="A609" i="5"/>
  <c r="B608" i="5"/>
  <c r="A608" i="5"/>
  <c r="B607" i="5"/>
  <c r="A607" i="5"/>
  <c r="B606" i="5"/>
  <c r="A606" i="5"/>
  <c r="B605" i="5"/>
  <c r="A605" i="5"/>
  <c r="B604" i="5"/>
  <c r="A604" i="5"/>
  <c r="B603" i="5"/>
  <c r="A603" i="5"/>
  <c r="B602" i="5"/>
  <c r="A602" i="5"/>
  <c r="B601" i="5"/>
  <c r="A601" i="5"/>
  <c r="B600" i="5"/>
  <c r="A600" i="5"/>
  <c r="B599" i="5"/>
  <c r="A599" i="5"/>
  <c r="B598" i="5"/>
  <c r="A598" i="5"/>
  <c r="B597" i="5"/>
  <c r="A597" i="5"/>
  <c r="B596" i="5"/>
  <c r="A596" i="5"/>
  <c r="B595" i="5"/>
  <c r="A595" i="5"/>
  <c r="B594" i="5"/>
  <c r="A594" i="5"/>
  <c r="B593" i="5"/>
  <c r="A593" i="5"/>
  <c r="B592" i="5"/>
  <c r="A592" i="5"/>
  <c r="B591" i="5"/>
  <c r="A591" i="5"/>
  <c r="B590" i="5"/>
  <c r="A590" i="5"/>
  <c r="B589" i="5"/>
  <c r="A589" i="5"/>
  <c r="B588" i="5"/>
  <c r="A588" i="5"/>
  <c r="B587" i="5"/>
  <c r="A587" i="5"/>
  <c r="B586" i="5"/>
  <c r="A586" i="5"/>
  <c r="B585" i="5"/>
  <c r="A585" i="5"/>
  <c r="B584" i="5"/>
  <c r="A584" i="5"/>
  <c r="B583" i="5"/>
  <c r="A583" i="5"/>
  <c r="B582" i="5"/>
  <c r="A582" i="5"/>
  <c r="B581" i="5"/>
  <c r="A581" i="5"/>
  <c r="B580" i="5"/>
  <c r="A580" i="5"/>
  <c r="B579" i="5"/>
  <c r="A579" i="5"/>
  <c r="B578" i="5"/>
  <c r="A578" i="5"/>
  <c r="B577" i="5"/>
  <c r="A577" i="5"/>
  <c r="B576" i="5"/>
  <c r="A576" i="5"/>
  <c r="B575" i="5"/>
  <c r="A575" i="5"/>
  <c r="B574" i="5"/>
  <c r="A574" i="5"/>
  <c r="B573" i="5"/>
  <c r="A573" i="5"/>
  <c r="B572" i="5"/>
  <c r="A572" i="5"/>
  <c r="B571" i="5"/>
  <c r="A571" i="5"/>
  <c r="B570" i="5"/>
  <c r="A570" i="5"/>
  <c r="B569" i="5"/>
  <c r="A569" i="5"/>
  <c r="B568" i="5"/>
  <c r="A568" i="5"/>
  <c r="B567" i="5"/>
  <c r="A567" i="5"/>
  <c r="B566" i="5"/>
  <c r="A566" i="5"/>
  <c r="B565" i="5"/>
  <c r="A565" i="5"/>
  <c r="B564" i="5"/>
  <c r="A564" i="5"/>
  <c r="B563" i="5"/>
  <c r="A563" i="5"/>
  <c r="B562" i="5"/>
  <c r="A562" i="5"/>
  <c r="B561" i="5"/>
  <c r="A561" i="5"/>
  <c r="B560" i="5"/>
  <c r="A560" i="5"/>
  <c r="B559" i="5"/>
  <c r="A559" i="5"/>
  <c r="B558" i="5"/>
  <c r="A558" i="5"/>
  <c r="B557" i="5"/>
  <c r="A557" i="5"/>
  <c r="B556" i="5"/>
  <c r="A556" i="5"/>
  <c r="B555" i="5"/>
  <c r="A555" i="5"/>
  <c r="B554" i="5"/>
  <c r="A554" i="5"/>
  <c r="B553" i="5"/>
  <c r="A553" i="5"/>
  <c r="B552" i="5"/>
  <c r="A552" i="5"/>
  <c r="B551" i="5"/>
  <c r="A551" i="5"/>
  <c r="B550" i="5"/>
  <c r="A550" i="5"/>
  <c r="B549" i="5"/>
  <c r="A549" i="5"/>
  <c r="B548" i="5"/>
  <c r="A548" i="5"/>
  <c r="B547" i="5"/>
  <c r="A547" i="5"/>
  <c r="B546" i="5"/>
  <c r="A546" i="5"/>
  <c r="B545" i="5"/>
  <c r="A545" i="5"/>
  <c r="B544" i="5"/>
  <c r="A544" i="5"/>
  <c r="B543" i="5"/>
  <c r="A543" i="5"/>
  <c r="B542" i="5"/>
  <c r="A542" i="5"/>
  <c r="B541" i="5"/>
  <c r="A541" i="5"/>
  <c r="B540" i="5"/>
  <c r="A540" i="5"/>
  <c r="B539" i="5"/>
  <c r="A539" i="5"/>
  <c r="B538" i="5"/>
  <c r="A538" i="5"/>
  <c r="B537" i="5"/>
  <c r="A537" i="5"/>
  <c r="B536" i="5"/>
  <c r="A536" i="5"/>
  <c r="B535" i="5"/>
  <c r="A535" i="5"/>
  <c r="B534" i="5"/>
  <c r="A534" i="5"/>
  <c r="B533" i="5"/>
  <c r="A533" i="5"/>
  <c r="B532" i="5"/>
  <c r="A532" i="5"/>
  <c r="B531" i="5"/>
  <c r="A531" i="5"/>
  <c r="B530" i="5"/>
  <c r="A530" i="5"/>
  <c r="B529" i="5"/>
  <c r="A529" i="5"/>
  <c r="B528" i="5"/>
  <c r="A528" i="5"/>
  <c r="B527" i="5"/>
  <c r="A527" i="5"/>
  <c r="B526" i="5"/>
  <c r="A526" i="5"/>
  <c r="B525" i="5"/>
  <c r="A525" i="5"/>
  <c r="B524" i="5"/>
  <c r="A524" i="5"/>
  <c r="B523" i="5"/>
  <c r="A523" i="5"/>
  <c r="B522" i="5"/>
  <c r="A522" i="5"/>
  <c r="B521" i="5"/>
  <c r="A521" i="5"/>
  <c r="B520" i="5"/>
  <c r="A520" i="5"/>
  <c r="B519" i="5"/>
  <c r="A519" i="5"/>
  <c r="B518" i="5"/>
  <c r="A518" i="5"/>
  <c r="B517" i="5"/>
  <c r="A517" i="5"/>
  <c r="B516" i="5"/>
  <c r="A516" i="5"/>
  <c r="B515" i="5"/>
  <c r="A515" i="5"/>
  <c r="B514" i="5"/>
  <c r="A514" i="5"/>
  <c r="B513" i="5"/>
  <c r="A513" i="5"/>
  <c r="B512" i="5"/>
  <c r="A512" i="5"/>
  <c r="B511" i="5"/>
  <c r="A511" i="5"/>
  <c r="B510" i="5"/>
  <c r="A510" i="5"/>
  <c r="B509" i="5"/>
  <c r="A509" i="5"/>
  <c r="B508" i="5"/>
  <c r="A508" i="5"/>
  <c r="B507" i="5"/>
  <c r="A507" i="5"/>
  <c r="B506" i="5"/>
  <c r="A506" i="5"/>
  <c r="B505" i="5"/>
  <c r="A505" i="5"/>
  <c r="B504" i="5"/>
  <c r="A504" i="5"/>
  <c r="B503" i="5"/>
  <c r="A503" i="5"/>
  <c r="B502" i="5"/>
  <c r="A502" i="5"/>
  <c r="B501" i="5"/>
  <c r="A501" i="5"/>
  <c r="B500" i="5"/>
  <c r="A500" i="5"/>
  <c r="B499" i="5"/>
  <c r="A499" i="5"/>
  <c r="B498" i="5"/>
  <c r="A498" i="5"/>
  <c r="B497" i="5"/>
  <c r="A497" i="5"/>
  <c r="B496" i="5"/>
  <c r="A496" i="5"/>
  <c r="B495" i="5"/>
  <c r="A495" i="5"/>
  <c r="B494" i="5"/>
  <c r="A494" i="5"/>
  <c r="B493" i="5"/>
  <c r="A493" i="5"/>
  <c r="B492" i="5"/>
  <c r="A492" i="5"/>
  <c r="B491" i="5"/>
  <c r="A491" i="5"/>
  <c r="B490" i="5"/>
  <c r="A490" i="5"/>
  <c r="B489" i="5"/>
  <c r="A489" i="5"/>
  <c r="B488" i="5"/>
  <c r="A488" i="5"/>
  <c r="B487" i="5"/>
  <c r="A487" i="5"/>
  <c r="B486" i="5"/>
  <c r="A486" i="5"/>
  <c r="B485" i="5"/>
  <c r="A485" i="5"/>
  <c r="B484" i="5"/>
  <c r="A484" i="5"/>
  <c r="B483" i="5"/>
  <c r="A483" i="5"/>
  <c r="B482" i="5"/>
  <c r="A482" i="5"/>
  <c r="B481" i="5"/>
  <c r="A481" i="5"/>
  <c r="B480" i="5"/>
  <c r="A480" i="5"/>
  <c r="B479" i="5"/>
  <c r="A479" i="5"/>
  <c r="B478" i="5"/>
  <c r="A478" i="5"/>
  <c r="B477" i="5"/>
  <c r="A477" i="5"/>
  <c r="B476" i="5"/>
  <c r="A476" i="5"/>
  <c r="B475" i="5"/>
  <c r="A475" i="5"/>
  <c r="B474" i="5"/>
  <c r="A474" i="5"/>
  <c r="B473" i="5"/>
  <c r="A473" i="5"/>
  <c r="B472" i="5"/>
  <c r="A472" i="5"/>
  <c r="B471" i="5"/>
  <c r="A471" i="5"/>
  <c r="B470" i="5"/>
  <c r="A470" i="5"/>
  <c r="B469" i="5"/>
  <c r="A469" i="5"/>
  <c r="B468" i="5"/>
  <c r="A468" i="5"/>
  <c r="B467" i="5"/>
  <c r="A467" i="5"/>
  <c r="B466" i="5"/>
  <c r="A466" i="5"/>
  <c r="B465" i="5"/>
  <c r="A465" i="5"/>
  <c r="B464" i="5"/>
  <c r="A464" i="5"/>
  <c r="B463" i="5"/>
  <c r="A463" i="5"/>
  <c r="B462" i="5"/>
  <c r="A462" i="5"/>
  <c r="B461" i="5"/>
  <c r="A461" i="5"/>
  <c r="B460" i="5"/>
  <c r="A460" i="5"/>
  <c r="B459" i="5"/>
  <c r="A459" i="5"/>
  <c r="B458" i="5"/>
  <c r="A458" i="5"/>
  <c r="B457" i="5"/>
  <c r="A457" i="5"/>
  <c r="B456" i="5"/>
  <c r="A456" i="5"/>
  <c r="B455" i="5"/>
  <c r="A455" i="5"/>
  <c r="B454" i="5"/>
  <c r="A454" i="5"/>
  <c r="B453" i="5"/>
  <c r="A453" i="5"/>
  <c r="B452" i="5"/>
  <c r="A452" i="5"/>
  <c r="B451" i="5"/>
  <c r="A451" i="5"/>
  <c r="B450" i="5"/>
  <c r="A450" i="5"/>
  <c r="B449" i="5"/>
  <c r="A449" i="5"/>
  <c r="B448" i="5"/>
  <c r="A448" i="5"/>
  <c r="B447" i="5"/>
  <c r="A447" i="5"/>
  <c r="B446" i="5"/>
  <c r="A446" i="5"/>
  <c r="B445" i="5"/>
  <c r="A445" i="5"/>
  <c r="B444" i="5"/>
  <c r="A444" i="5"/>
  <c r="B443" i="5"/>
  <c r="A443" i="5"/>
  <c r="B442" i="5"/>
  <c r="A442" i="5"/>
  <c r="B441" i="5"/>
  <c r="A441" i="5"/>
  <c r="B440" i="5"/>
  <c r="A440" i="5"/>
  <c r="B439" i="5"/>
  <c r="A439" i="5"/>
  <c r="B438" i="5"/>
  <c r="A438" i="5"/>
  <c r="B437" i="5"/>
  <c r="A437" i="5"/>
  <c r="B436" i="5"/>
  <c r="A436" i="5"/>
  <c r="B435" i="5"/>
  <c r="A435" i="5"/>
  <c r="B434" i="5"/>
  <c r="A434" i="5"/>
  <c r="B433" i="5"/>
  <c r="A433" i="5"/>
  <c r="B432" i="5"/>
  <c r="A432" i="5"/>
  <c r="B431" i="5"/>
  <c r="A431" i="5"/>
  <c r="B430" i="5"/>
  <c r="A430" i="5"/>
  <c r="B429" i="5"/>
  <c r="A429" i="5"/>
  <c r="B428" i="5"/>
  <c r="A428" i="5"/>
  <c r="B427" i="5"/>
  <c r="A427" i="5"/>
  <c r="B426" i="5"/>
  <c r="A426" i="5"/>
  <c r="B425" i="5"/>
  <c r="A425" i="5"/>
  <c r="B424" i="5"/>
  <c r="A424" i="5"/>
  <c r="B423" i="5"/>
  <c r="A423" i="5"/>
  <c r="B422" i="5"/>
  <c r="A422" i="5"/>
  <c r="B421" i="5"/>
  <c r="A421" i="5"/>
  <c r="B420" i="5"/>
  <c r="A420" i="5"/>
  <c r="B419" i="5"/>
  <c r="A419" i="5"/>
  <c r="B418" i="5"/>
  <c r="A418" i="5"/>
  <c r="B417" i="5"/>
  <c r="A417" i="5"/>
  <c r="B416" i="5"/>
  <c r="A416" i="5"/>
  <c r="B415" i="5"/>
  <c r="A415" i="5"/>
  <c r="B414" i="5"/>
  <c r="A414" i="5"/>
  <c r="B413" i="5"/>
  <c r="A413" i="5"/>
  <c r="B412" i="5"/>
  <c r="A412" i="5"/>
  <c r="B411" i="5"/>
  <c r="A411" i="5"/>
  <c r="B410" i="5"/>
  <c r="A410" i="5"/>
  <c r="B409" i="5"/>
  <c r="A409" i="5"/>
  <c r="B408" i="5"/>
  <c r="A408" i="5"/>
  <c r="B407" i="5"/>
  <c r="A407" i="5"/>
  <c r="B406" i="5"/>
  <c r="A406" i="5"/>
  <c r="B405" i="5"/>
  <c r="A405" i="5"/>
  <c r="B404" i="5"/>
  <c r="A404" i="5"/>
  <c r="B403" i="5"/>
  <c r="A403" i="5"/>
  <c r="B402" i="5"/>
  <c r="A402" i="5"/>
  <c r="B401" i="5"/>
  <c r="A401" i="5"/>
  <c r="B400" i="5"/>
  <c r="A400" i="5"/>
  <c r="B399" i="5"/>
  <c r="A399" i="5"/>
  <c r="B398" i="5"/>
  <c r="A398" i="5"/>
  <c r="B397" i="5"/>
  <c r="A397" i="5"/>
  <c r="B396" i="5"/>
  <c r="A396" i="5"/>
  <c r="B395" i="5"/>
  <c r="A395" i="5"/>
  <c r="B394" i="5"/>
  <c r="A394" i="5"/>
  <c r="B393" i="5"/>
  <c r="A393" i="5"/>
  <c r="B392" i="5"/>
  <c r="A392" i="5"/>
  <c r="B391" i="5"/>
  <c r="A391" i="5"/>
  <c r="B390" i="5"/>
  <c r="A390" i="5"/>
  <c r="B389" i="5"/>
  <c r="A389" i="5"/>
  <c r="B388" i="5"/>
  <c r="A388" i="5"/>
  <c r="B387" i="5"/>
  <c r="A387" i="5"/>
  <c r="B386" i="5"/>
  <c r="A386" i="5"/>
  <c r="B385" i="5"/>
  <c r="A385" i="5"/>
  <c r="B384" i="5"/>
  <c r="A384" i="5"/>
  <c r="B383" i="5"/>
  <c r="A383" i="5"/>
  <c r="B382" i="5"/>
  <c r="A382" i="5"/>
  <c r="B381" i="5"/>
  <c r="A381" i="5"/>
  <c r="B380" i="5"/>
  <c r="A380" i="5"/>
  <c r="B379" i="5"/>
  <c r="A379" i="5"/>
  <c r="B378" i="5"/>
  <c r="A378" i="5"/>
  <c r="B377" i="5"/>
  <c r="A377" i="5"/>
  <c r="B376" i="5"/>
  <c r="A376" i="5"/>
  <c r="B375" i="5"/>
  <c r="A375" i="5"/>
  <c r="B374" i="5"/>
  <c r="A374" i="5"/>
  <c r="B373" i="5"/>
  <c r="A373" i="5"/>
  <c r="B372" i="5"/>
  <c r="A372" i="5"/>
  <c r="B371" i="5"/>
  <c r="A371" i="5"/>
  <c r="B370" i="5"/>
  <c r="A370" i="5"/>
  <c r="B369" i="5"/>
  <c r="A369" i="5"/>
  <c r="B368" i="5"/>
  <c r="A368" i="5"/>
  <c r="B367" i="5"/>
  <c r="A367" i="5"/>
  <c r="B366" i="5"/>
  <c r="A366" i="5"/>
  <c r="B365" i="5"/>
  <c r="A365" i="5"/>
  <c r="B364" i="5"/>
  <c r="A364" i="5"/>
  <c r="B363" i="5"/>
  <c r="A363" i="5"/>
  <c r="B362" i="5"/>
  <c r="A362" i="5"/>
  <c r="B361" i="5"/>
  <c r="A361" i="5"/>
  <c r="B360" i="5"/>
  <c r="A360" i="5"/>
  <c r="B359" i="5"/>
  <c r="A359" i="5"/>
  <c r="B358" i="5"/>
  <c r="A358" i="5"/>
  <c r="B357" i="5"/>
  <c r="A357" i="5"/>
  <c r="B356" i="5"/>
  <c r="A356" i="5"/>
  <c r="B355" i="5"/>
  <c r="A355" i="5"/>
  <c r="B354" i="5"/>
  <c r="A354" i="5"/>
  <c r="B353" i="5"/>
  <c r="A353" i="5"/>
  <c r="B352" i="5"/>
  <c r="A352" i="5"/>
  <c r="B351" i="5"/>
  <c r="A351" i="5"/>
  <c r="B350" i="5"/>
  <c r="A350" i="5"/>
  <c r="B349" i="5"/>
  <c r="A349" i="5"/>
  <c r="B348" i="5"/>
  <c r="A348" i="5"/>
  <c r="B347" i="5"/>
  <c r="A347" i="5"/>
  <c r="B346" i="5"/>
  <c r="A346" i="5"/>
  <c r="B345" i="5"/>
  <c r="A345" i="5"/>
  <c r="B344" i="5"/>
  <c r="A344" i="5"/>
  <c r="B343" i="5"/>
  <c r="A343" i="5"/>
  <c r="B342" i="5"/>
  <c r="A342" i="5"/>
  <c r="B341" i="5"/>
  <c r="A341" i="5"/>
  <c r="B340" i="5"/>
  <c r="A340" i="5"/>
  <c r="B339" i="5"/>
  <c r="A339" i="5"/>
  <c r="B338" i="5"/>
  <c r="A338" i="5"/>
  <c r="B337" i="5"/>
  <c r="A337" i="5"/>
  <c r="B336" i="5"/>
  <c r="A336" i="5"/>
  <c r="B335" i="5"/>
  <c r="A335" i="5"/>
  <c r="B334" i="5"/>
  <c r="A334" i="5"/>
  <c r="B333" i="5"/>
  <c r="A333" i="5"/>
  <c r="B332" i="5"/>
  <c r="A332" i="5"/>
  <c r="B331" i="5"/>
  <c r="A331" i="5"/>
  <c r="B330" i="5"/>
  <c r="A330" i="5"/>
  <c r="B329" i="5"/>
  <c r="A329" i="5"/>
  <c r="B328" i="5"/>
  <c r="A328" i="5"/>
  <c r="B327" i="5"/>
  <c r="A327" i="5"/>
  <c r="B326" i="5"/>
  <c r="A326" i="5"/>
  <c r="B325" i="5"/>
  <c r="A325" i="5"/>
  <c r="B324" i="5"/>
  <c r="A324" i="5"/>
  <c r="B323" i="5"/>
  <c r="A323" i="5"/>
  <c r="B322" i="5"/>
  <c r="A322" i="5"/>
  <c r="B321" i="5"/>
  <c r="A321" i="5"/>
  <c r="B320" i="5"/>
  <c r="A320" i="5"/>
  <c r="B319" i="5"/>
  <c r="A319" i="5"/>
  <c r="B318" i="5"/>
  <c r="A318" i="5"/>
  <c r="B317" i="5"/>
  <c r="A317" i="5"/>
  <c r="B316" i="5"/>
  <c r="A316" i="5"/>
  <c r="B315" i="5"/>
  <c r="A315" i="5"/>
  <c r="B314" i="5"/>
  <c r="A314" i="5"/>
  <c r="B313" i="5"/>
  <c r="A313" i="5"/>
  <c r="B312" i="5"/>
  <c r="A312" i="5"/>
  <c r="B311" i="5"/>
  <c r="A311" i="5"/>
  <c r="B310" i="5"/>
  <c r="A310" i="5"/>
  <c r="B309" i="5"/>
  <c r="A309" i="5"/>
  <c r="B308" i="5"/>
  <c r="A308" i="5"/>
  <c r="B307" i="5"/>
  <c r="A307" i="5"/>
  <c r="B306" i="5"/>
  <c r="A306" i="5"/>
  <c r="B305" i="5"/>
  <c r="A305" i="5"/>
  <c r="B304" i="5"/>
  <c r="A304" i="5"/>
  <c r="B303" i="5"/>
  <c r="A303" i="5"/>
  <c r="B302" i="5"/>
  <c r="A302" i="5"/>
  <c r="B301" i="5"/>
  <c r="A301" i="5"/>
  <c r="B300" i="5"/>
  <c r="A300" i="5"/>
  <c r="B299" i="5"/>
  <c r="A299" i="5"/>
  <c r="B298" i="5"/>
  <c r="A298" i="5"/>
  <c r="B297" i="5"/>
  <c r="A297" i="5"/>
  <c r="B296" i="5"/>
  <c r="A296" i="5"/>
  <c r="B295" i="5"/>
  <c r="A295" i="5"/>
  <c r="B294" i="5"/>
  <c r="A294" i="5"/>
  <c r="B293" i="5"/>
  <c r="A293" i="5"/>
  <c r="B292" i="5"/>
  <c r="A292" i="5"/>
  <c r="B291" i="5"/>
  <c r="A291" i="5"/>
  <c r="B290" i="5"/>
  <c r="A290" i="5"/>
  <c r="B289" i="5"/>
  <c r="A289" i="5"/>
  <c r="B288" i="5"/>
  <c r="A288" i="5"/>
  <c r="B287" i="5"/>
  <c r="A287" i="5"/>
  <c r="B286" i="5"/>
  <c r="A286" i="5"/>
  <c r="B285" i="5"/>
  <c r="A285" i="5"/>
  <c r="B284" i="5"/>
  <c r="A284" i="5"/>
  <c r="B283" i="5"/>
  <c r="A283" i="5"/>
  <c r="B282" i="5"/>
  <c r="A282" i="5"/>
  <c r="B281" i="5"/>
  <c r="A281" i="5"/>
  <c r="B280" i="5"/>
  <c r="A280" i="5"/>
  <c r="B279" i="5"/>
  <c r="A279" i="5"/>
  <c r="B278" i="5"/>
  <c r="A278" i="5"/>
  <c r="B277" i="5"/>
  <c r="A277" i="5"/>
  <c r="B276" i="5"/>
  <c r="A276" i="5"/>
  <c r="B275" i="5"/>
  <c r="A275" i="5"/>
  <c r="B274" i="5"/>
  <c r="A274" i="5"/>
  <c r="B273" i="5"/>
  <c r="A273" i="5"/>
  <c r="B272" i="5"/>
  <c r="A272" i="5"/>
  <c r="B271" i="5"/>
  <c r="A271" i="5"/>
  <c r="B270" i="5"/>
  <c r="A270" i="5"/>
  <c r="B269" i="5"/>
  <c r="A269" i="5"/>
  <c r="B268" i="5"/>
  <c r="A268" i="5"/>
  <c r="B267" i="5"/>
  <c r="A267" i="5"/>
  <c r="B266" i="5"/>
  <c r="A266" i="5"/>
  <c r="B265" i="5"/>
  <c r="A265" i="5"/>
  <c r="B264" i="5"/>
  <c r="A264" i="5"/>
  <c r="B263" i="5"/>
  <c r="A263" i="5"/>
  <c r="B262" i="5"/>
  <c r="A262" i="5"/>
  <c r="B261" i="5"/>
  <c r="A261" i="5"/>
  <c r="B260" i="5"/>
  <c r="A260" i="5"/>
  <c r="B259" i="5"/>
  <c r="A259" i="5"/>
  <c r="B258" i="5"/>
  <c r="A258" i="5"/>
  <c r="B257" i="5"/>
  <c r="A257" i="5"/>
  <c r="B256" i="5"/>
  <c r="A256" i="5"/>
  <c r="B255" i="5"/>
  <c r="A255" i="5"/>
  <c r="B254" i="5"/>
  <c r="A254" i="5"/>
  <c r="B253" i="5"/>
  <c r="A253" i="5"/>
  <c r="B252" i="5"/>
  <c r="A252" i="5"/>
  <c r="B251" i="5"/>
  <c r="A251" i="5"/>
  <c r="B250" i="5"/>
  <c r="A250" i="5"/>
  <c r="B249" i="5"/>
  <c r="A249" i="5"/>
  <c r="B248" i="5"/>
  <c r="A248" i="5"/>
  <c r="B247" i="5"/>
  <c r="A247" i="5"/>
  <c r="B246" i="5"/>
  <c r="A246" i="5"/>
  <c r="B245" i="5"/>
  <c r="A245" i="5"/>
  <c r="B244" i="5"/>
  <c r="A244" i="5"/>
  <c r="B243" i="5"/>
  <c r="A243" i="5"/>
  <c r="B242" i="5"/>
  <c r="A242" i="5"/>
  <c r="B241" i="5"/>
  <c r="A241" i="5"/>
  <c r="B240" i="5"/>
  <c r="A240" i="5"/>
  <c r="B239" i="5"/>
  <c r="A239" i="5"/>
  <c r="B238" i="5"/>
  <c r="A238" i="5"/>
  <c r="B237" i="5"/>
  <c r="A237" i="5"/>
  <c r="B236" i="5"/>
  <c r="A236" i="5"/>
  <c r="B235" i="5"/>
  <c r="A235" i="5"/>
  <c r="B234" i="5"/>
  <c r="A234" i="5"/>
  <c r="B233" i="5"/>
  <c r="A233" i="5"/>
  <c r="B232" i="5"/>
  <c r="A232" i="5"/>
  <c r="B231" i="5"/>
  <c r="A231" i="5"/>
  <c r="B230" i="5"/>
  <c r="A230" i="5"/>
  <c r="B229" i="5"/>
  <c r="A229" i="5"/>
  <c r="B228" i="5"/>
  <c r="A228" i="5"/>
  <c r="B227" i="5"/>
  <c r="A227" i="5"/>
  <c r="B226" i="5"/>
  <c r="A226" i="5"/>
  <c r="B225" i="5"/>
  <c r="A225" i="5"/>
  <c r="B224" i="5"/>
  <c r="A224" i="5"/>
  <c r="B223" i="5"/>
  <c r="A223" i="5"/>
  <c r="B222" i="5"/>
  <c r="A222" i="5"/>
  <c r="B221" i="5"/>
  <c r="A221" i="5"/>
  <c r="B220" i="5"/>
  <c r="A220" i="5"/>
  <c r="B219" i="5"/>
  <c r="A219" i="5"/>
  <c r="B218" i="5"/>
  <c r="A218" i="5"/>
  <c r="B217" i="5"/>
  <c r="A217" i="5"/>
  <c r="B216" i="5"/>
  <c r="A216" i="5"/>
  <c r="B215" i="5"/>
  <c r="A215" i="5"/>
  <c r="B214" i="5"/>
  <c r="A214" i="5"/>
  <c r="B213" i="5"/>
  <c r="A213" i="5"/>
  <c r="B212" i="5"/>
  <c r="A212" i="5"/>
  <c r="B211" i="5"/>
  <c r="A211" i="5"/>
  <c r="B210" i="5"/>
  <c r="A210" i="5"/>
  <c r="B209" i="5"/>
  <c r="A209" i="5"/>
  <c r="B208" i="5"/>
  <c r="A208" i="5"/>
  <c r="B207" i="5"/>
  <c r="A207" i="5"/>
  <c r="B206" i="5"/>
  <c r="A206" i="5"/>
  <c r="B205" i="5"/>
  <c r="A205" i="5"/>
  <c r="B204" i="5"/>
  <c r="A204" i="5"/>
  <c r="B203" i="5"/>
  <c r="A203" i="5"/>
  <c r="B202" i="5"/>
  <c r="A202" i="5"/>
  <c r="B201" i="5"/>
  <c r="A201" i="5"/>
  <c r="B200" i="5"/>
  <c r="A200" i="5"/>
  <c r="B199" i="5"/>
  <c r="A199" i="5"/>
  <c r="B198" i="5"/>
  <c r="A198" i="5"/>
  <c r="B197" i="5"/>
  <c r="A197" i="5"/>
  <c r="B196" i="5"/>
  <c r="A196" i="5"/>
  <c r="B195" i="5"/>
  <c r="A195" i="5"/>
  <c r="B194" i="5"/>
  <c r="A194" i="5"/>
  <c r="B193" i="5"/>
  <c r="A193" i="5"/>
  <c r="B192" i="5"/>
  <c r="A192" i="5"/>
  <c r="B191" i="5"/>
  <c r="A191" i="5"/>
  <c r="B190" i="5"/>
  <c r="A190" i="5"/>
  <c r="B189" i="5"/>
  <c r="A189" i="5"/>
  <c r="B188" i="5"/>
  <c r="A188" i="5"/>
  <c r="B187" i="5"/>
  <c r="A187" i="5"/>
  <c r="B186" i="5"/>
  <c r="A186" i="5"/>
  <c r="B185" i="5"/>
  <c r="A185" i="5"/>
  <c r="B184" i="5"/>
  <c r="A184" i="5"/>
  <c r="B183" i="5"/>
  <c r="A183" i="5"/>
  <c r="B182" i="5"/>
  <c r="A182" i="5"/>
  <c r="B181" i="5"/>
  <c r="A181" i="5"/>
  <c r="B180" i="5"/>
  <c r="A180" i="5"/>
  <c r="B179" i="5"/>
  <c r="A179" i="5"/>
  <c r="B178" i="5"/>
  <c r="A178" i="5"/>
  <c r="B177" i="5"/>
  <c r="A177" i="5"/>
  <c r="B176" i="5"/>
  <c r="A176" i="5"/>
  <c r="B175" i="5"/>
  <c r="A175" i="5"/>
  <c r="B174" i="5"/>
  <c r="A174" i="5"/>
  <c r="B173" i="5"/>
  <c r="A173" i="5"/>
  <c r="B172" i="5"/>
  <c r="A172" i="5"/>
  <c r="B171" i="5"/>
  <c r="A171" i="5"/>
  <c r="B170" i="5"/>
  <c r="A170" i="5"/>
  <c r="B169" i="5"/>
  <c r="A169" i="5"/>
  <c r="B168" i="5"/>
  <c r="A168" i="5"/>
  <c r="B167" i="5"/>
  <c r="A167" i="5"/>
  <c r="B166" i="5"/>
  <c r="A166" i="5"/>
  <c r="B165" i="5"/>
  <c r="A165" i="5"/>
  <c r="B164" i="5"/>
  <c r="A164" i="5"/>
  <c r="B163" i="5"/>
  <c r="A163" i="5"/>
  <c r="B162" i="5"/>
  <c r="A162" i="5"/>
  <c r="B161" i="5"/>
  <c r="A161" i="5"/>
  <c r="B160" i="5"/>
  <c r="A160" i="5"/>
  <c r="B159" i="5"/>
  <c r="A159" i="5"/>
  <c r="B158" i="5"/>
  <c r="A158" i="5"/>
  <c r="B157" i="5"/>
  <c r="A157" i="5"/>
  <c r="B156" i="5"/>
  <c r="A156" i="5"/>
  <c r="B155" i="5"/>
  <c r="A155" i="5"/>
  <c r="B154" i="5"/>
  <c r="A154" i="5"/>
  <c r="B153" i="5"/>
  <c r="A153" i="5"/>
  <c r="B152" i="5"/>
  <c r="A152" i="5"/>
  <c r="B151" i="5"/>
  <c r="A151" i="5"/>
  <c r="B150" i="5"/>
  <c r="A150" i="5"/>
  <c r="B149" i="5"/>
  <c r="A149" i="5"/>
  <c r="B148" i="5"/>
  <c r="A148" i="5"/>
  <c r="B147" i="5"/>
  <c r="A147" i="5"/>
  <c r="B146" i="5"/>
  <c r="A146" i="5"/>
  <c r="B145" i="5"/>
  <c r="A145" i="5"/>
  <c r="B144" i="5"/>
  <c r="A144" i="5"/>
  <c r="B143" i="5"/>
  <c r="A143" i="5"/>
  <c r="B142" i="5"/>
  <c r="A142" i="5"/>
  <c r="B141" i="5"/>
  <c r="A141" i="5"/>
  <c r="B140" i="5"/>
  <c r="A140" i="5"/>
  <c r="B139" i="5"/>
  <c r="A139" i="5"/>
  <c r="B138" i="5"/>
  <c r="A138" i="5"/>
  <c r="B137" i="5"/>
  <c r="A137" i="5"/>
  <c r="B136" i="5"/>
  <c r="A136" i="5"/>
  <c r="B135" i="5"/>
  <c r="A135" i="5"/>
  <c r="B134" i="5"/>
  <c r="A134" i="5"/>
  <c r="B133" i="5"/>
  <c r="A133" i="5"/>
  <c r="B132" i="5"/>
  <c r="A132" i="5"/>
  <c r="B131" i="5"/>
  <c r="A131" i="5"/>
  <c r="B130" i="5"/>
  <c r="A130" i="5"/>
  <c r="B129" i="5"/>
  <c r="A129" i="5"/>
  <c r="B128" i="5"/>
  <c r="A128" i="5"/>
  <c r="B127" i="5"/>
  <c r="A127" i="5"/>
  <c r="B126" i="5"/>
  <c r="A126" i="5"/>
  <c r="B125" i="5"/>
  <c r="A125" i="5"/>
  <c r="B124" i="5"/>
  <c r="A124" i="5"/>
  <c r="B123" i="5"/>
  <c r="A123" i="5"/>
  <c r="B122" i="5"/>
  <c r="A122" i="5"/>
  <c r="B121" i="5"/>
  <c r="A121" i="5"/>
  <c r="B120" i="5"/>
  <c r="A120" i="5"/>
  <c r="B119" i="5"/>
  <c r="A119" i="5"/>
  <c r="B118" i="5"/>
  <c r="A118" i="5"/>
  <c r="B117" i="5"/>
  <c r="A117" i="5"/>
  <c r="B116" i="5"/>
  <c r="A116" i="5"/>
  <c r="B115" i="5"/>
  <c r="A115" i="5"/>
  <c r="B114" i="5"/>
  <c r="A114" i="5"/>
  <c r="B113" i="5"/>
  <c r="A113" i="5"/>
  <c r="B112" i="5"/>
  <c r="A112" i="5"/>
  <c r="B111" i="5"/>
  <c r="A111" i="5"/>
  <c r="B110" i="5"/>
  <c r="A110" i="5"/>
  <c r="B109" i="5"/>
  <c r="A109" i="5"/>
  <c r="B108" i="5"/>
  <c r="A108" i="5"/>
  <c r="B107" i="5"/>
  <c r="A107" i="5"/>
  <c r="B106" i="5"/>
  <c r="A106" i="5"/>
  <c r="B105" i="5"/>
  <c r="A105" i="5"/>
  <c r="B104" i="5"/>
  <c r="A104" i="5"/>
  <c r="B103" i="5"/>
  <c r="A103" i="5"/>
  <c r="B102" i="5"/>
  <c r="A102" i="5"/>
  <c r="B101" i="5"/>
  <c r="A101" i="5"/>
  <c r="B100" i="5"/>
  <c r="A100" i="5"/>
  <c r="B99" i="5"/>
  <c r="A99" i="5"/>
  <c r="B98" i="5"/>
  <c r="A98" i="5"/>
  <c r="B97" i="5"/>
  <c r="A97" i="5"/>
  <c r="B96" i="5"/>
  <c r="A96" i="5"/>
  <c r="B95" i="5"/>
  <c r="A95" i="5"/>
  <c r="B94" i="5"/>
  <c r="A94" i="5"/>
  <c r="B93" i="5"/>
  <c r="A93" i="5"/>
  <c r="B92" i="5"/>
  <c r="A92" i="5"/>
  <c r="B91" i="5"/>
  <c r="A91" i="5"/>
  <c r="B90" i="5"/>
  <c r="A90" i="5"/>
  <c r="B89" i="5"/>
  <c r="A89" i="5"/>
  <c r="B88" i="5"/>
  <c r="A88" i="5"/>
  <c r="B87" i="5"/>
  <c r="A87" i="5"/>
  <c r="B86" i="5"/>
  <c r="A86" i="5"/>
  <c r="B85" i="5"/>
  <c r="A85" i="5"/>
  <c r="B84" i="5"/>
  <c r="A84" i="5"/>
  <c r="B83" i="5"/>
  <c r="A83" i="5"/>
  <c r="B82" i="5"/>
  <c r="A82" i="5"/>
  <c r="B81" i="5"/>
  <c r="A81" i="5"/>
  <c r="B80" i="5"/>
  <c r="A80" i="5"/>
  <c r="B79" i="5"/>
  <c r="A79" i="5"/>
  <c r="B78" i="5"/>
  <c r="A78" i="5"/>
  <c r="B77" i="5"/>
  <c r="A77" i="5"/>
  <c r="B76" i="5"/>
  <c r="A76" i="5"/>
  <c r="B75" i="5"/>
  <c r="A75" i="5"/>
  <c r="B74" i="5"/>
  <c r="A74" i="5"/>
  <c r="B73" i="5"/>
  <c r="A73" i="5"/>
  <c r="B72" i="5"/>
  <c r="A72" i="5"/>
  <c r="B71" i="5"/>
  <c r="A71" i="5"/>
  <c r="B70" i="5"/>
  <c r="A70" i="5"/>
  <c r="B69" i="5"/>
  <c r="A69" i="5"/>
  <c r="B68" i="5"/>
  <c r="A68" i="5"/>
  <c r="B67" i="5"/>
  <c r="A67" i="5"/>
  <c r="B66" i="5"/>
  <c r="A66" i="5"/>
  <c r="B65" i="5"/>
  <c r="A65" i="5"/>
  <c r="B64" i="5"/>
  <c r="A64" i="5"/>
  <c r="B63" i="5"/>
  <c r="A63" i="5"/>
  <c r="B62" i="5"/>
  <c r="A62" i="5"/>
  <c r="B61" i="5"/>
  <c r="A61" i="5"/>
  <c r="B60" i="5"/>
  <c r="A60" i="5"/>
  <c r="B59" i="5"/>
  <c r="A59" i="5"/>
  <c r="B58" i="5"/>
  <c r="A58" i="5"/>
  <c r="B57" i="5"/>
  <c r="A57" i="5"/>
  <c r="B56" i="5"/>
  <c r="A56" i="5"/>
  <c r="B55" i="5"/>
  <c r="A55" i="5"/>
  <c r="B54" i="5"/>
  <c r="A54" i="5"/>
  <c r="B53" i="5"/>
  <c r="A53" i="5"/>
  <c r="B52" i="5"/>
  <c r="A52" i="5"/>
  <c r="B51" i="5"/>
  <c r="A51" i="5"/>
  <c r="B50" i="5"/>
  <c r="A50" i="5"/>
  <c r="B49" i="5"/>
  <c r="A49" i="5"/>
  <c r="B48" i="5"/>
  <c r="A48" i="5"/>
  <c r="B47" i="5"/>
  <c r="A47" i="5"/>
  <c r="B46" i="5"/>
  <c r="A46" i="5"/>
  <c r="B45" i="5"/>
  <c r="A45" i="5"/>
  <c r="B44" i="5"/>
  <c r="A44" i="5"/>
  <c r="B43" i="5"/>
  <c r="A43" i="5"/>
  <c r="B42" i="5"/>
  <c r="A42" i="5"/>
  <c r="B41" i="5"/>
  <c r="A41" i="5"/>
  <c r="B40" i="5"/>
  <c r="A40" i="5"/>
  <c r="B39" i="5"/>
  <c r="A39" i="5"/>
  <c r="B38" i="5"/>
  <c r="A38" i="5"/>
  <c r="B37" i="5"/>
  <c r="A37" i="5"/>
  <c r="B36" i="5"/>
  <c r="A36" i="5"/>
  <c r="B35" i="5"/>
  <c r="A35" i="5"/>
  <c r="B34" i="5"/>
  <c r="A34" i="5"/>
  <c r="B33" i="5"/>
  <c r="A33" i="5"/>
  <c r="B32" i="5"/>
  <c r="A32" i="5"/>
  <c r="B31" i="5"/>
  <c r="A31" i="5"/>
  <c r="B30" i="5"/>
  <c r="A30" i="5"/>
  <c r="B29" i="5"/>
  <c r="A29" i="5"/>
  <c r="B28" i="5"/>
  <c r="A28" i="5"/>
  <c r="B27" i="5"/>
  <c r="A27" i="5"/>
  <c r="B26" i="5"/>
  <c r="A26" i="5"/>
  <c r="B25" i="5"/>
  <c r="A25" i="5"/>
  <c r="B24" i="5"/>
  <c r="A24" i="5"/>
  <c r="B23" i="5"/>
  <c r="A23" i="5"/>
  <c r="B22" i="5"/>
  <c r="A22" i="5"/>
  <c r="B21" i="5"/>
  <c r="A21" i="5"/>
  <c r="B20" i="5"/>
  <c r="A20" i="5"/>
  <c r="B19" i="5"/>
  <c r="A19" i="5"/>
  <c r="B18" i="5"/>
  <c r="A18" i="5"/>
  <c r="B17" i="5"/>
  <c r="A17" i="5"/>
  <c r="B16" i="5"/>
  <c r="A16" i="5"/>
  <c r="B15" i="5"/>
  <c r="A15" i="5"/>
  <c r="B14" i="5"/>
  <c r="A14" i="5"/>
  <c r="B13" i="5"/>
  <c r="A13" i="5"/>
  <c r="B12" i="5"/>
  <c r="A12" i="5"/>
  <c r="B11" i="5"/>
  <c r="A11" i="5"/>
  <c r="B10" i="5"/>
  <c r="A10" i="5"/>
  <c r="B9" i="5"/>
  <c r="A9" i="5"/>
  <c r="B8" i="5"/>
  <c r="A8" i="5"/>
  <c r="B7" i="5"/>
  <c r="A7" i="5"/>
  <c r="B6" i="5"/>
  <c r="A6" i="5"/>
  <c r="B5" i="5"/>
  <c r="A5" i="5"/>
  <c r="B4" i="5"/>
  <c r="A4" i="5"/>
  <c r="B3" i="5"/>
  <c r="A3" i="5"/>
  <c r="B2" i="5"/>
  <c r="A2" i="5"/>
  <c r="B1" i="5"/>
  <c r="B1773" i="4"/>
  <c r="A1773" i="4"/>
  <c r="B1772" i="4"/>
  <c r="A1772" i="4"/>
  <c r="B1771" i="4"/>
  <c r="A1771" i="4"/>
  <c r="B1770" i="4"/>
  <c r="A1770" i="4"/>
  <c r="B1769" i="4"/>
  <c r="A1769" i="4"/>
  <c r="B1768" i="4"/>
  <c r="A1768" i="4"/>
  <c r="B1767" i="4"/>
  <c r="A1767" i="4"/>
  <c r="B1766" i="4"/>
  <c r="A1766" i="4"/>
  <c r="B1765" i="4"/>
  <c r="A1765" i="4"/>
  <c r="B1764" i="4"/>
  <c r="A1764" i="4"/>
  <c r="B1763" i="4"/>
  <c r="A1763" i="4"/>
  <c r="B1762" i="4"/>
  <c r="A1762" i="4"/>
  <c r="B1761" i="4"/>
  <c r="A1761" i="4"/>
  <c r="B1760" i="4"/>
  <c r="A1760" i="4"/>
  <c r="B1759" i="4"/>
  <c r="A1759" i="4"/>
  <c r="B1758" i="4"/>
  <c r="A1758" i="4"/>
  <c r="B1757" i="4"/>
  <c r="A1757" i="4"/>
  <c r="B1756" i="4"/>
  <c r="A1756" i="4"/>
  <c r="B1755" i="4"/>
  <c r="A1755" i="4"/>
  <c r="B1754" i="4"/>
  <c r="A1754" i="4"/>
  <c r="B1753" i="4"/>
  <c r="A1753" i="4"/>
  <c r="B1752" i="4"/>
  <c r="A1752" i="4"/>
  <c r="B1751" i="4"/>
  <c r="A1751" i="4"/>
  <c r="B1750" i="4"/>
  <c r="A1750" i="4"/>
  <c r="B1749" i="4"/>
  <c r="A1749" i="4"/>
  <c r="B1748" i="4"/>
  <c r="A1748" i="4"/>
  <c r="B1747" i="4"/>
  <c r="A1747" i="4"/>
  <c r="B1746" i="4"/>
  <c r="A1746" i="4"/>
  <c r="B1745" i="4"/>
  <c r="A1745" i="4"/>
  <c r="B1744" i="4"/>
  <c r="A1744" i="4"/>
  <c r="B1743" i="4"/>
  <c r="A1743" i="4"/>
  <c r="B1742" i="4"/>
  <c r="A1742" i="4"/>
  <c r="B1741" i="4"/>
  <c r="A1741" i="4"/>
  <c r="B1740" i="4"/>
  <c r="A1740" i="4"/>
  <c r="B1739" i="4"/>
  <c r="A1739" i="4"/>
  <c r="B1738" i="4"/>
  <c r="A1738" i="4"/>
  <c r="B1737" i="4"/>
  <c r="A1737" i="4"/>
  <c r="B1736" i="4"/>
  <c r="A1736" i="4"/>
  <c r="B1735" i="4"/>
  <c r="A1735" i="4"/>
  <c r="B1734" i="4"/>
  <c r="A1734" i="4"/>
  <c r="B1733" i="4"/>
  <c r="A1733" i="4"/>
  <c r="B1732" i="4"/>
  <c r="A1732" i="4"/>
  <c r="B1731" i="4"/>
  <c r="A1731" i="4"/>
  <c r="B1730" i="4"/>
  <c r="A1730" i="4"/>
  <c r="B1729" i="4"/>
  <c r="A1729" i="4"/>
  <c r="B1728" i="4"/>
  <c r="A1728" i="4"/>
  <c r="B1727" i="4"/>
  <c r="A1727" i="4"/>
  <c r="B1726" i="4"/>
  <c r="A1726" i="4"/>
  <c r="B1725" i="4"/>
  <c r="A1725" i="4"/>
  <c r="B1724" i="4"/>
  <c r="A1724" i="4"/>
  <c r="B1723" i="4"/>
  <c r="A1723" i="4"/>
  <c r="B1722" i="4"/>
  <c r="A1722" i="4"/>
  <c r="B1721" i="4"/>
  <c r="A1721" i="4"/>
  <c r="B1720" i="4"/>
  <c r="A1720" i="4"/>
  <c r="B1719" i="4"/>
  <c r="A1719" i="4"/>
  <c r="B1718" i="4"/>
  <c r="A1718" i="4"/>
  <c r="B1717" i="4"/>
  <c r="A1717" i="4"/>
  <c r="B1716" i="4"/>
  <c r="A1716" i="4"/>
  <c r="B1715" i="4"/>
  <c r="A1715" i="4"/>
  <c r="B1714" i="4"/>
  <c r="A1714" i="4"/>
  <c r="B1713" i="4"/>
  <c r="A1713" i="4"/>
  <c r="B1712" i="4"/>
  <c r="A1712" i="4"/>
  <c r="B1711" i="4"/>
  <c r="A1711" i="4"/>
  <c r="B1710" i="4"/>
  <c r="A1710" i="4"/>
  <c r="B1709" i="4"/>
  <c r="A1709" i="4"/>
  <c r="B1708" i="4"/>
  <c r="A1708" i="4"/>
  <c r="B1707" i="4"/>
  <c r="A1707" i="4"/>
  <c r="B1706" i="4"/>
  <c r="A1706" i="4"/>
  <c r="B1705" i="4"/>
  <c r="A1705" i="4"/>
  <c r="B1704" i="4"/>
  <c r="A1704" i="4"/>
  <c r="B1703" i="4"/>
  <c r="A1703" i="4"/>
  <c r="B1702" i="4"/>
  <c r="A1702" i="4"/>
  <c r="B1701" i="4"/>
  <c r="A1701" i="4"/>
  <c r="B1700" i="4"/>
  <c r="A1700" i="4"/>
  <c r="B1699" i="4"/>
  <c r="A1699" i="4"/>
  <c r="B1698" i="4"/>
  <c r="A1698" i="4"/>
  <c r="B1697" i="4"/>
  <c r="A1697" i="4"/>
  <c r="B1696" i="4"/>
  <c r="A1696" i="4"/>
  <c r="B1695" i="4"/>
  <c r="A1695" i="4"/>
  <c r="B1694" i="4"/>
  <c r="A1694" i="4"/>
  <c r="B1693" i="4"/>
  <c r="A1693" i="4"/>
  <c r="B1692" i="4"/>
  <c r="A1692" i="4"/>
  <c r="B1691" i="4"/>
  <c r="A1691" i="4"/>
  <c r="B1690" i="4"/>
  <c r="A1690" i="4"/>
  <c r="B1689" i="4"/>
  <c r="A1689" i="4"/>
  <c r="B1688" i="4"/>
  <c r="A1688" i="4"/>
  <c r="B1687" i="4"/>
  <c r="A1687" i="4"/>
  <c r="B1686" i="4"/>
  <c r="A1686" i="4"/>
  <c r="B1685" i="4"/>
  <c r="A1685" i="4"/>
  <c r="B1684" i="4"/>
  <c r="A1684" i="4"/>
  <c r="B1683" i="4"/>
  <c r="A1683" i="4"/>
  <c r="B1682" i="4"/>
  <c r="A1682" i="4"/>
  <c r="B1681" i="4"/>
  <c r="A1681" i="4"/>
  <c r="B1680" i="4"/>
  <c r="A1680" i="4"/>
  <c r="B1679" i="4"/>
  <c r="A1679" i="4"/>
  <c r="B1678" i="4"/>
  <c r="A1678" i="4"/>
  <c r="B1677" i="4"/>
  <c r="A1677" i="4"/>
  <c r="B1676" i="4"/>
  <c r="A1676" i="4"/>
  <c r="B1675" i="4"/>
  <c r="A1675" i="4"/>
  <c r="B1674" i="4"/>
  <c r="A1674" i="4"/>
  <c r="B1673" i="4"/>
  <c r="A1673" i="4"/>
  <c r="B1672" i="4"/>
  <c r="A1672" i="4"/>
  <c r="B1671" i="4"/>
  <c r="A1671" i="4"/>
  <c r="B1670" i="4"/>
  <c r="A1670" i="4"/>
  <c r="B1669" i="4"/>
  <c r="A1669" i="4"/>
  <c r="B1668" i="4"/>
  <c r="A1668" i="4"/>
  <c r="B1667" i="4"/>
  <c r="A1667" i="4"/>
  <c r="B1666" i="4"/>
  <c r="A1666" i="4"/>
  <c r="B1665" i="4"/>
  <c r="A1665" i="4"/>
  <c r="B1664" i="4"/>
  <c r="A1664" i="4"/>
  <c r="B1663" i="4"/>
  <c r="A1663" i="4"/>
  <c r="B1662" i="4"/>
  <c r="A1662" i="4"/>
  <c r="B1661" i="4"/>
  <c r="A1661" i="4"/>
  <c r="B1660" i="4"/>
  <c r="A1660" i="4"/>
  <c r="B1659" i="4"/>
  <c r="A1659" i="4"/>
  <c r="B1658" i="4"/>
  <c r="A1658" i="4"/>
  <c r="B1657" i="4"/>
  <c r="A1657" i="4"/>
  <c r="B1656" i="4"/>
  <c r="A1656" i="4"/>
  <c r="B1655" i="4"/>
  <c r="A1655" i="4"/>
  <c r="B1654" i="4"/>
  <c r="A1654" i="4"/>
  <c r="B1653" i="4"/>
  <c r="A1653" i="4"/>
  <c r="B1652" i="4"/>
  <c r="A1652" i="4"/>
  <c r="B1651" i="4"/>
  <c r="A1651" i="4"/>
  <c r="B1650" i="4"/>
  <c r="A1650" i="4"/>
  <c r="B1649" i="4"/>
  <c r="A1649" i="4"/>
  <c r="B1648" i="4"/>
  <c r="A1648" i="4"/>
  <c r="B1647" i="4"/>
  <c r="A1647" i="4"/>
  <c r="B1646" i="4"/>
  <c r="A1646" i="4"/>
  <c r="B1645" i="4"/>
  <c r="A1645" i="4"/>
  <c r="B1644" i="4"/>
  <c r="A1644" i="4"/>
  <c r="B1643" i="4"/>
  <c r="A1643" i="4"/>
  <c r="B1642" i="4"/>
  <c r="A1642" i="4"/>
  <c r="B1641" i="4"/>
  <c r="A1641" i="4"/>
  <c r="B1640" i="4"/>
  <c r="A1640" i="4"/>
  <c r="B1639" i="4"/>
  <c r="A1639" i="4"/>
  <c r="B1638" i="4"/>
  <c r="A1638" i="4"/>
  <c r="B1637" i="4"/>
  <c r="A1637" i="4"/>
  <c r="B1636" i="4"/>
  <c r="A1636" i="4"/>
  <c r="B1635" i="4"/>
  <c r="A1635" i="4"/>
  <c r="B1634" i="4"/>
  <c r="A1634" i="4"/>
  <c r="B1633" i="4"/>
  <c r="A1633" i="4"/>
  <c r="B1632" i="4"/>
  <c r="A1632" i="4"/>
  <c r="B1631" i="4"/>
  <c r="A1631" i="4"/>
  <c r="B1630" i="4"/>
  <c r="A1630" i="4"/>
  <c r="B1629" i="4"/>
  <c r="A1629" i="4"/>
  <c r="B1628" i="4"/>
  <c r="A1628" i="4"/>
  <c r="B1627" i="4"/>
  <c r="A1627" i="4"/>
  <c r="B1626" i="4"/>
  <c r="A1626" i="4"/>
  <c r="B1625" i="4"/>
  <c r="A1625" i="4"/>
  <c r="B1624" i="4"/>
  <c r="A1624" i="4"/>
  <c r="B1623" i="4"/>
  <c r="A1623" i="4"/>
  <c r="B1622" i="4"/>
  <c r="A1622" i="4"/>
  <c r="B1621" i="4"/>
  <c r="A1621" i="4"/>
  <c r="B1620" i="4"/>
  <c r="A1620" i="4"/>
  <c r="B1619" i="4"/>
  <c r="A1619" i="4"/>
  <c r="B1618" i="4"/>
  <c r="A1618" i="4"/>
  <c r="B1617" i="4"/>
  <c r="A1617" i="4"/>
  <c r="B1616" i="4"/>
  <c r="A1616" i="4"/>
  <c r="B1615" i="4"/>
  <c r="A1615" i="4"/>
  <c r="B1614" i="4"/>
  <c r="A1614" i="4"/>
  <c r="B1613" i="4"/>
  <c r="A1613" i="4"/>
  <c r="B1612" i="4"/>
  <c r="A1612" i="4"/>
  <c r="B1611" i="4"/>
  <c r="A1611" i="4"/>
  <c r="B1610" i="4"/>
  <c r="A1610" i="4"/>
  <c r="B1609" i="4"/>
  <c r="A1609" i="4"/>
  <c r="B1608" i="4"/>
  <c r="A1608" i="4"/>
  <c r="B1607" i="4"/>
  <c r="A1607" i="4"/>
  <c r="B1606" i="4"/>
  <c r="A1606" i="4"/>
  <c r="B1605" i="4"/>
  <c r="A1605" i="4"/>
  <c r="B1604" i="4"/>
  <c r="A1604" i="4"/>
  <c r="B1603" i="4"/>
  <c r="A1603" i="4"/>
  <c r="B1602" i="4"/>
  <c r="A1602" i="4"/>
  <c r="B1601" i="4"/>
  <c r="A1601" i="4"/>
  <c r="B1600" i="4"/>
  <c r="A1600" i="4"/>
  <c r="B1599" i="4"/>
  <c r="A1599" i="4"/>
  <c r="B1598" i="4"/>
  <c r="A1598" i="4"/>
  <c r="B1597" i="4"/>
  <c r="A1597" i="4"/>
  <c r="B1596" i="4"/>
  <c r="A1596" i="4"/>
  <c r="B1595" i="4"/>
  <c r="A1595" i="4"/>
  <c r="B1594" i="4"/>
  <c r="A1594" i="4"/>
  <c r="B1593" i="4"/>
  <c r="A1593" i="4"/>
  <c r="B1592" i="4"/>
  <c r="A1592" i="4"/>
  <c r="B1591" i="4"/>
  <c r="A1591" i="4"/>
  <c r="B1590" i="4"/>
  <c r="A1590" i="4"/>
  <c r="B1589" i="4"/>
  <c r="A1589" i="4"/>
  <c r="B1588" i="4"/>
  <c r="A1588" i="4"/>
  <c r="B1587" i="4"/>
  <c r="A1587" i="4"/>
  <c r="B1586" i="4"/>
  <c r="A1586" i="4"/>
  <c r="B1585" i="4"/>
  <c r="A1585" i="4"/>
  <c r="B1584" i="4"/>
  <c r="A1584" i="4"/>
  <c r="B1583" i="4"/>
  <c r="A1583" i="4"/>
  <c r="B1582" i="4"/>
  <c r="A1582" i="4"/>
  <c r="B1581" i="4"/>
  <c r="A1581" i="4"/>
  <c r="B1580" i="4"/>
  <c r="A1580" i="4"/>
  <c r="B1579" i="4"/>
  <c r="A1579" i="4"/>
  <c r="B1578" i="4"/>
  <c r="A1578" i="4"/>
  <c r="B1577" i="4"/>
  <c r="A1577" i="4"/>
  <c r="B1576" i="4"/>
  <c r="A1576" i="4"/>
  <c r="B1575" i="4"/>
  <c r="A1575" i="4"/>
  <c r="B1574" i="4"/>
  <c r="A1574" i="4"/>
  <c r="B1573" i="4"/>
  <c r="A1573" i="4"/>
  <c r="B1572" i="4"/>
  <c r="A1572" i="4"/>
  <c r="B1571" i="4"/>
  <c r="A1571" i="4"/>
  <c r="B1570" i="4"/>
  <c r="A1570" i="4"/>
  <c r="B1569" i="4"/>
  <c r="A1569" i="4"/>
  <c r="B1568" i="4"/>
  <c r="A1568" i="4"/>
  <c r="B1567" i="4"/>
  <c r="A1567" i="4"/>
  <c r="B1566" i="4"/>
  <c r="A1566" i="4"/>
  <c r="B1565" i="4"/>
  <c r="A1565" i="4"/>
  <c r="B1564" i="4"/>
  <c r="A1564" i="4"/>
  <c r="B1563" i="4"/>
  <c r="A1563" i="4"/>
  <c r="B1562" i="4"/>
  <c r="A1562" i="4"/>
  <c r="B1561" i="4"/>
  <c r="A1561" i="4"/>
  <c r="B1560" i="4"/>
  <c r="A1560" i="4"/>
  <c r="B1559" i="4"/>
  <c r="A1559" i="4"/>
  <c r="B1558" i="4"/>
  <c r="A1558" i="4"/>
  <c r="B1557" i="4"/>
  <c r="A1557" i="4"/>
  <c r="B1556" i="4"/>
  <c r="A1556" i="4"/>
  <c r="B1555" i="4"/>
  <c r="A1555" i="4"/>
  <c r="B1554" i="4"/>
  <c r="A1554" i="4"/>
  <c r="B1553" i="4"/>
  <c r="A1553" i="4"/>
  <c r="B1552" i="4"/>
  <c r="A1552" i="4"/>
  <c r="B1551" i="4"/>
  <c r="A1551" i="4"/>
  <c r="B1550" i="4"/>
  <c r="A1550" i="4"/>
  <c r="B1549" i="4"/>
  <c r="A1549" i="4"/>
  <c r="B1548" i="4"/>
  <c r="A1548" i="4"/>
  <c r="B1547" i="4"/>
  <c r="A1547" i="4"/>
  <c r="B1546" i="4"/>
  <c r="A1546" i="4"/>
  <c r="B1545" i="4"/>
  <c r="A1545" i="4"/>
  <c r="B1544" i="4"/>
  <c r="A1544" i="4"/>
  <c r="B1543" i="4"/>
  <c r="A1543" i="4"/>
  <c r="B1542" i="4"/>
  <c r="A1542" i="4"/>
  <c r="B1541" i="4"/>
  <c r="A1541" i="4"/>
  <c r="B1540" i="4"/>
  <c r="A1540" i="4"/>
  <c r="B1539" i="4"/>
  <c r="A1539" i="4"/>
  <c r="B1538" i="4"/>
  <c r="A1538" i="4"/>
  <c r="B1537" i="4"/>
  <c r="A1537" i="4"/>
  <c r="B1536" i="4"/>
  <c r="A1536" i="4"/>
  <c r="B1535" i="4"/>
  <c r="A1535" i="4"/>
  <c r="B1534" i="4"/>
  <c r="A1534" i="4"/>
  <c r="B1533" i="4"/>
  <c r="A1533" i="4"/>
  <c r="B1532" i="4"/>
  <c r="A1532" i="4"/>
  <c r="B1531" i="4"/>
  <c r="A1531" i="4"/>
  <c r="B1530" i="4"/>
  <c r="A1530" i="4"/>
  <c r="B1529" i="4"/>
  <c r="A1529" i="4"/>
  <c r="B1528" i="4"/>
  <c r="A1528" i="4"/>
  <c r="B1527" i="4"/>
  <c r="A1527" i="4"/>
  <c r="B1526" i="4"/>
  <c r="A1526" i="4"/>
  <c r="B1525" i="4"/>
  <c r="A1525" i="4"/>
  <c r="B1524" i="4"/>
  <c r="A1524" i="4"/>
  <c r="B1523" i="4"/>
  <c r="A1523" i="4"/>
  <c r="B1522" i="4"/>
  <c r="A1522" i="4"/>
  <c r="B1521" i="4"/>
  <c r="A1521" i="4"/>
  <c r="B1520" i="4"/>
  <c r="A1520" i="4"/>
  <c r="B1519" i="4"/>
  <c r="A1519" i="4"/>
  <c r="B1518" i="4"/>
  <c r="A1518" i="4"/>
  <c r="B1517" i="4"/>
  <c r="A1517" i="4"/>
  <c r="B1516" i="4"/>
  <c r="A1516" i="4"/>
  <c r="B1515" i="4"/>
  <c r="A1515" i="4"/>
  <c r="B1514" i="4"/>
  <c r="A1514" i="4"/>
  <c r="B1513" i="4"/>
  <c r="A1513" i="4"/>
  <c r="B1512" i="4"/>
  <c r="A1512" i="4"/>
  <c r="B1511" i="4"/>
  <c r="A1511" i="4"/>
  <c r="B1510" i="4"/>
  <c r="A1510" i="4"/>
  <c r="B1509" i="4"/>
  <c r="A1509" i="4"/>
  <c r="B1508" i="4"/>
  <c r="A1508" i="4"/>
  <c r="B1507" i="4"/>
  <c r="A1507" i="4"/>
  <c r="B1506" i="4"/>
  <c r="A1506" i="4"/>
  <c r="B1505" i="4"/>
  <c r="A1505" i="4"/>
  <c r="B1504" i="4"/>
  <c r="A1504" i="4"/>
  <c r="B1503" i="4"/>
  <c r="A1503" i="4"/>
  <c r="B1502" i="4"/>
  <c r="A1502" i="4"/>
  <c r="B1501" i="4"/>
  <c r="A1501" i="4"/>
  <c r="B1500" i="4"/>
  <c r="A1500" i="4"/>
  <c r="B1499" i="4"/>
  <c r="A1499" i="4"/>
  <c r="B1498" i="4"/>
  <c r="A1498" i="4"/>
  <c r="B1497" i="4"/>
  <c r="A1497" i="4"/>
  <c r="B1496" i="4"/>
  <c r="A1496" i="4"/>
  <c r="B1495" i="4"/>
  <c r="A1495" i="4"/>
  <c r="B1494" i="4"/>
  <c r="A1494" i="4"/>
  <c r="B1493" i="4"/>
  <c r="A1493" i="4"/>
  <c r="B1492" i="4"/>
  <c r="A1492" i="4"/>
  <c r="B1491" i="4"/>
  <c r="A1491" i="4"/>
  <c r="B1490" i="4"/>
  <c r="A1490" i="4"/>
  <c r="B1489" i="4"/>
  <c r="A1489" i="4"/>
  <c r="B1488" i="4"/>
  <c r="A1488" i="4"/>
  <c r="B1487" i="4"/>
  <c r="A1487" i="4"/>
  <c r="B1486" i="4"/>
  <c r="A1486" i="4"/>
  <c r="B1485" i="4"/>
  <c r="A1485" i="4"/>
  <c r="B1484" i="4"/>
  <c r="A1484" i="4"/>
  <c r="B1483" i="4"/>
  <c r="A1483" i="4"/>
  <c r="B1482" i="4"/>
  <c r="A1482" i="4"/>
  <c r="B1481" i="4"/>
  <c r="A1481" i="4"/>
  <c r="B1480" i="4"/>
  <c r="A1480" i="4"/>
  <c r="B1479" i="4"/>
  <c r="A1479" i="4"/>
  <c r="B1478" i="4"/>
  <c r="A1478" i="4"/>
  <c r="B1477" i="4"/>
  <c r="A1477" i="4"/>
  <c r="B1476" i="4"/>
  <c r="A1476" i="4"/>
  <c r="B1475" i="4"/>
  <c r="A1475" i="4"/>
  <c r="B1474" i="4"/>
  <c r="A1474" i="4"/>
  <c r="B1473" i="4"/>
  <c r="A1473" i="4"/>
  <c r="B1472" i="4"/>
  <c r="A1472" i="4"/>
  <c r="B1471" i="4"/>
  <c r="A1471" i="4"/>
  <c r="B1470" i="4"/>
  <c r="A1470" i="4"/>
  <c r="B1469" i="4"/>
  <c r="A1469" i="4"/>
  <c r="B1468" i="4"/>
  <c r="A1468" i="4"/>
  <c r="B1467" i="4"/>
  <c r="A1467" i="4"/>
  <c r="B1466" i="4"/>
  <c r="A1466" i="4"/>
  <c r="B1465" i="4"/>
  <c r="A1465" i="4"/>
  <c r="B1464" i="4"/>
  <c r="A1464" i="4"/>
  <c r="B1463" i="4"/>
  <c r="A1463" i="4"/>
  <c r="B1462" i="4"/>
  <c r="A1462" i="4"/>
  <c r="B1461" i="4"/>
  <c r="A1461" i="4"/>
  <c r="B1460" i="4"/>
  <c r="A1460" i="4"/>
  <c r="B1459" i="4"/>
  <c r="A1459" i="4"/>
  <c r="B1458" i="4"/>
  <c r="A1458" i="4"/>
  <c r="B1457" i="4"/>
  <c r="A1457" i="4"/>
  <c r="B1456" i="4"/>
  <c r="A1456" i="4"/>
  <c r="B1455" i="4"/>
  <c r="A1455" i="4"/>
  <c r="B1454" i="4"/>
  <c r="A1454" i="4"/>
  <c r="B1453" i="4"/>
  <c r="A1453" i="4"/>
  <c r="B1452" i="4"/>
  <c r="A1452" i="4"/>
  <c r="B1451" i="4"/>
  <c r="A1451" i="4"/>
  <c r="B1450" i="4"/>
  <c r="A1450" i="4"/>
  <c r="B1449" i="4"/>
  <c r="A1449" i="4"/>
  <c r="B1448" i="4"/>
  <c r="A1448" i="4"/>
  <c r="B1447" i="4"/>
  <c r="A1447" i="4"/>
  <c r="B1446" i="4"/>
  <c r="A1446" i="4"/>
  <c r="B1445" i="4"/>
  <c r="A1445" i="4"/>
  <c r="B1444" i="4"/>
  <c r="A1444" i="4"/>
  <c r="B1443" i="4"/>
  <c r="A1443" i="4"/>
  <c r="B1442" i="4"/>
  <c r="A1442" i="4"/>
  <c r="B1441" i="4"/>
  <c r="A1441" i="4"/>
  <c r="B1440" i="4"/>
  <c r="A1440" i="4"/>
  <c r="B1439" i="4"/>
  <c r="A1439" i="4"/>
  <c r="B1438" i="4"/>
  <c r="A1438" i="4"/>
  <c r="B1437" i="4"/>
  <c r="A1437" i="4"/>
  <c r="B1436" i="4"/>
  <c r="A1436" i="4"/>
  <c r="B1435" i="4"/>
  <c r="A1435" i="4"/>
  <c r="B1434" i="4"/>
  <c r="A1434" i="4"/>
  <c r="B1433" i="4"/>
  <c r="A1433" i="4"/>
  <c r="B1432" i="4"/>
  <c r="A1432" i="4"/>
  <c r="B1431" i="4"/>
  <c r="A1431" i="4"/>
  <c r="B1430" i="4"/>
  <c r="A1430" i="4"/>
  <c r="B1429" i="4"/>
  <c r="A1429" i="4"/>
  <c r="B1428" i="4"/>
  <c r="A1428" i="4"/>
  <c r="B1427" i="4"/>
  <c r="A1427" i="4"/>
  <c r="B1426" i="4"/>
  <c r="A1426" i="4"/>
  <c r="B1425" i="4"/>
  <c r="A1425" i="4"/>
  <c r="B1424" i="4"/>
  <c r="A1424" i="4"/>
  <c r="B1423" i="4"/>
  <c r="A1423" i="4"/>
  <c r="B1422" i="4"/>
  <c r="A1422" i="4"/>
  <c r="B1421" i="4"/>
  <c r="A1421" i="4"/>
  <c r="B1420" i="4"/>
  <c r="A1420" i="4"/>
  <c r="B1419" i="4"/>
  <c r="A1419" i="4"/>
  <c r="B1418" i="4"/>
  <c r="A1418" i="4"/>
  <c r="B1417" i="4"/>
  <c r="A1417" i="4"/>
  <c r="B1416" i="4"/>
  <c r="A1416" i="4"/>
  <c r="B1415" i="4"/>
  <c r="A1415" i="4"/>
  <c r="B1414" i="4"/>
  <c r="A1414" i="4"/>
  <c r="B1413" i="4"/>
  <c r="A1413" i="4"/>
  <c r="B1412" i="4"/>
  <c r="A1412" i="4"/>
  <c r="B1411" i="4"/>
  <c r="A1411" i="4"/>
  <c r="B1410" i="4"/>
  <c r="A1410" i="4"/>
  <c r="B1409" i="4"/>
  <c r="A1409" i="4"/>
  <c r="B1408" i="4"/>
  <c r="A1408" i="4"/>
  <c r="B1407" i="4"/>
  <c r="A1407" i="4"/>
  <c r="B1406" i="4"/>
  <c r="A1406" i="4"/>
  <c r="B1405" i="4"/>
  <c r="A1405" i="4"/>
  <c r="B1404" i="4"/>
  <c r="A1404" i="4"/>
  <c r="B1403" i="4"/>
  <c r="A1403" i="4"/>
  <c r="B1402" i="4"/>
  <c r="A1402" i="4"/>
  <c r="B1401" i="4"/>
  <c r="A1401" i="4"/>
  <c r="B1400" i="4"/>
  <c r="A1400" i="4"/>
  <c r="B1399" i="4"/>
  <c r="A1399" i="4"/>
  <c r="B1398" i="4"/>
  <c r="A1398" i="4"/>
  <c r="B1397" i="4"/>
  <c r="A1397" i="4"/>
  <c r="B1396" i="4"/>
  <c r="A1396" i="4"/>
  <c r="B1395" i="4"/>
  <c r="A1395" i="4"/>
  <c r="B1394" i="4"/>
  <c r="A1394" i="4"/>
  <c r="B1393" i="4"/>
  <c r="A1393" i="4"/>
  <c r="B1392" i="4"/>
  <c r="A1392" i="4"/>
  <c r="B1391" i="4"/>
  <c r="A1391" i="4"/>
  <c r="B1390" i="4"/>
  <c r="A1390" i="4"/>
  <c r="B1389" i="4"/>
  <c r="A1389" i="4"/>
  <c r="B1388" i="4"/>
  <c r="A1388" i="4"/>
  <c r="B1387" i="4"/>
  <c r="A1387" i="4"/>
  <c r="B1386" i="4"/>
  <c r="A1386" i="4"/>
  <c r="B1385" i="4"/>
  <c r="A1385" i="4"/>
  <c r="B1384" i="4"/>
  <c r="A1384" i="4"/>
  <c r="B1383" i="4"/>
  <c r="A1383" i="4"/>
  <c r="B1382" i="4"/>
  <c r="A1382" i="4"/>
  <c r="B1381" i="4"/>
  <c r="A1381" i="4"/>
  <c r="B1380" i="4"/>
  <c r="A1380" i="4"/>
  <c r="B1379" i="4"/>
  <c r="A1379" i="4"/>
  <c r="B1378" i="4"/>
  <c r="A1378" i="4"/>
  <c r="B1377" i="4"/>
  <c r="A1377" i="4"/>
  <c r="B1376" i="4"/>
  <c r="A1376" i="4"/>
  <c r="B1375" i="4"/>
  <c r="A1375" i="4"/>
  <c r="B1374" i="4"/>
  <c r="A1374" i="4"/>
  <c r="B1373" i="4"/>
  <c r="A1373" i="4"/>
  <c r="B1372" i="4"/>
  <c r="A1372" i="4"/>
  <c r="B1371" i="4"/>
  <c r="A1371" i="4"/>
  <c r="B1370" i="4"/>
  <c r="A1370" i="4"/>
  <c r="B1369" i="4"/>
  <c r="A1369" i="4"/>
  <c r="B1368" i="4"/>
  <c r="A1368" i="4"/>
  <c r="B1367" i="4"/>
  <c r="A1367" i="4"/>
  <c r="B1366" i="4"/>
  <c r="A1366" i="4"/>
  <c r="B1365" i="4"/>
  <c r="A1365" i="4"/>
  <c r="B1364" i="4"/>
  <c r="A1364" i="4"/>
  <c r="B1363" i="4"/>
  <c r="A1363" i="4"/>
  <c r="B1362" i="4"/>
  <c r="A1362" i="4"/>
  <c r="B1361" i="4"/>
  <c r="A1361" i="4"/>
  <c r="B1360" i="4"/>
  <c r="A1360" i="4"/>
  <c r="B1359" i="4"/>
  <c r="A1359" i="4"/>
  <c r="B1358" i="4"/>
  <c r="A1358" i="4"/>
  <c r="B1357" i="4"/>
  <c r="A1357" i="4"/>
  <c r="B1356" i="4"/>
  <c r="A1356" i="4"/>
  <c r="B1355" i="4"/>
  <c r="A1355" i="4"/>
  <c r="B1354" i="4"/>
  <c r="A1354" i="4"/>
  <c r="B1353" i="4"/>
  <c r="A1353" i="4"/>
  <c r="B1352" i="4"/>
  <c r="A1352" i="4"/>
  <c r="B1351" i="4"/>
  <c r="A1351" i="4"/>
  <c r="B1350" i="4"/>
  <c r="A1350" i="4"/>
  <c r="B1349" i="4"/>
  <c r="A1349" i="4"/>
  <c r="B1348" i="4"/>
  <c r="A1348" i="4"/>
  <c r="B1347" i="4"/>
  <c r="A1347" i="4"/>
  <c r="B1346" i="4"/>
  <c r="A1346" i="4"/>
  <c r="B1345" i="4"/>
  <c r="A1345" i="4"/>
  <c r="B1344" i="4"/>
  <c r="A1344" i="4"/>
  <c r="B1343" i="4"/>
  <c r="A1343" i="4"/>
  <c r="B1342" i="4"/>
  <c r="A1342" i="4"/>
  <c r="B1341" i="4"/>
  <c r="A1341" i="4"/>
  <c r="B1340" i="4"/>
  <c r="A1340" i="4"/>
  <c r="B1339" i="4"/>
  <c r="A1339" i="4"/>
  <c r="B1338" i="4"/>
  <c r="A1338" i="4"/>
  <c r="B1337" i="4"/>
  <c r="A1337" i="4"/>
  <c r="B1336" i="4"/>
  <c r="A1336" i="4"/>
  <c r="B1335" i="4"/>
  <c r="A1335" i="4"/>
  <c r="B1334" i="4"/>
  <c r="A1334" i="4"/>
  <c r="B1333" i="4"/>
  <c r="A1333" i="4"/>
  <c r="B1332" i="4"/>
  <c r="A1332" i="4"/>
  <c r="B1331" i="4"/>
  <c r="A1331" i="4"/>
  <c r="B1330" i="4"/>
  <c r="A1330" i="4"/>
  <c r="B1329" i="4"/>
  <c r="A1329" i="4"/>
  <c r="B1328" i="4"/>
  <c r="A1328" i="4"/>
  <c r="B1327" i="4"/>
  <c r="A1327" i="4"/>
  <c r="B1326" i="4"/>
  <c r="A1326" i="4"/>
  <c r="B1325" i="4"/>
  <c r="A1325" i="4"/>
  <c r="B1324" i="4"/>
  <c r="A1324" i="4"/>
  <c r="B1323" i="4"/>
  <c r="A1323" i="4"/>
  <c r="B1322" i="4"/>
  <c r="A1322" i="4"/>
  <c r="B1321" i="4"/>
  <c r="A1321" i="4"/>
  <c r="B1320" i="4"/>
  <c r="A1320" i="4"/>
  <c r="B1319" i="4"/>
  <c r="A1319" i="4"/>
  <c r="B1318" i="4"/>
  <c r="A1318" i="4"/>
  <c r="B1317" i="4"/>
  <c r="A1317" i="4"/>
  <c r="B1316" i="4"/>
  <c r="A1316" i="4"/>
  <c r="B1315" i="4"/>
  <c r="A1315" i="4"/>
  <c r="B1314" i="4"/>
  <c r="A1314" i="4"/>
  <c r="B1313" i="4"/>
  <c r="A1313" i="4"/>
  <c r="B1312" i="4"/>
  <c r="A1312" i="4"/>
  <c r="B1311" i="4"/>
  <c r="A1311" i="4"/>
  <c r="B1310" i="4"/>
  <c r="A1310" i="4"/>
  <c r="B1309" i="4"/>
  <c r="A1309" i="4"/>
  <c r="B1308" i="4"/>
  <c r="A1308" i="4"/>
  <c r="B1307" i="4"/>
  <c r="A1307" i="4"/>
  <c r="B1306" i="4"/>
  <c r="A1306" i="4"/>
  <c r="B1305" i="4"/>
  <c r="A1305" i="4"/>
  <c r="B1304" i="4"/>
  <c r="A1304" i="4"/>
  <c r="B1303" i="4"/>
  <c r="A1303" i="4"/>
  <c r="B1302" i="4"/>
  <c r="A1302" i="4"/>
  <c r="B1301" i="4"/>
  <c r="A1301" i="4"/>
  <c r="B1300" i="4"/>
  <c r="A1300" i="4"/>
  <c r="B1299" i="4"/>
  <c r="A1299" i="4"/>
  <c r="B1298" i="4"/>
  <c r="A1298" i="4"/>
  <c r="B1297" i="4"/>
  <c r="A1297" i="4"/>
  <c r="B1296" i="4"/>
  <c r="A1296" i="4"/>
  <c r="B1295" i="4"/>
  <c r="A1295" i="4"/>
  <c r="B1294" i="4"/>
  <c r="A1294" i="4"/>
  <c r="B1293" i="4"/>
  <c r="A1293" i="4"/>
  <c r="B1292" i="4"/>
  <c r="A1292" i="4"/>
  <c r="B1291" i="4"/>
  <c r="A1291" i="4"/>
  <c r="B1290" i="4"/>
  <c r="A1290" i="4"/>
  <c r="B1289" i="4"/>
  <c r="A1289" i="4"/>
  <c r="B1288" i="4"/>
  <c r="A1288" i="4"/>
  <c r="B1287" i="4"/>
  <c r="A1287" i="4"/>
  <c r="B1286" i="4"/>
  <c r="A1286" i="4"/>
  <c r="B1285" i="4"/>
  <c r="A1285" i="4"/>
  <c r="B1284" i="4"/>
  <c r="A1284" i="4"/>
  <c r="B1283" i="4"/>
  <c r="A1283" i="4"/>
  <c r="B1282" i="4"/>
  <c r="A1282" i="4"/>
  <c r="B1281" i="4"/>
  <c r="A1281" i="4"/>
  <c r="B1280" i="4"/>
  <c r="A1280" i="4"/>
  <c r="B1279" i="4"/>
  <c r="A1279" i="4"/>
  <c r="B1278" i="4"/>
  <c r="A1278" i="4"/>
  <c r="B1277" i="4"/>
  <c r="A1277" i="4"/>
  <c r="B1276" i="4"/>
  <c r="A1276" i="4"/>
  <c r="B1275" i="4"/>
  <c r="A1275" i="4"/>
  <c r="B1274" i="4"/>
  <c r="A1274" i="4"/>
  <c r="B1273" i="4"/>
  <c r="A1273" i="4"/>
  <c r="B1272" i="4"/>
  <c r="A1272" i="4"/>
  <c r="B1271" i="4"/>
  <c r="A1271" i="4"/>
  <c r="B1270" i="4"/>
  <c r="A1270" i="4"/>
  <c r="B1269" i="4"/>
  <c r="A1269" i="4"/>
  <c r="B1268" i="4"/>
  <c r="A1268" i="4"/>
  <c r="B1267" i="4"/>
  <c r="A1267" i="4"/>
  <c r="B1266" i="4"/>
  <c r="A1266" i="4"/>
  <c r="B1265" i="4"/>
  <c r="A1265" i="4"/>
  <c r="B1264" i="4"/>
  <c r="A1264" i="4"/>
  <c r="B1263" i="4"/>
  <c r="A1263" i="4"/>
  <c r="B1262" i="4"/>
  <c r="A1262" i="4"/>
  <c r="B1261" i="4"/>
  <c r="A1261" i="4"/>
  <c r="B1260" i="4"/>
  <c r="A1260" i="4"/>
  <c r="B1259" i="4"/>
  <c r="A1259" i="4"/>
  <c r="B1258" i="4"/>
  <c r="A1258" i="4"/>
  <c r="B1257" i="4"/>
  <c r="A1257" i="4"/>
  <c r="B1256" i="4"/>
  <c r="A1256" i="4"/>
  <c r="B1255" i="4"/>
  <c r="A1255" i="4"/>
  <c r="B1254" i="4"/>
  <c r="A1254" i="4"/>
  <c r="B1253" i="4"/>
  <c r="A1253" i="4"/>
  <c r="B1252" i="4"/>
  <c r="A1252" i="4"/>
  <c r="B1251" i="4"/>
  <c r="A1251" i="4"/>
  <c r="B1250" i="4"/>
  <c r="A1250" i="4"/>
  <c r="B1249" i="4"/>
  <c r="A1249" i="4"/>
  <c r="B1248" i="4"/>
  <c r="A1248" i="4"/>
  <c r="B1247" i="4"/>
  <c r="A1247" i="4"/>
  <c r="B1246" i="4"/>
  <c r="A1246" i="4"/>
  <c r="B1245" i="4"/>
  <c r="A1245" i="4"/>
  <c r="B1244" i="4"/>
  <c r="A1244" i="4"/>
  <c r="B1243" i="4"/>
  <c r="A1243" i="4"/>
  <c r="B1242" i="4"/>
  <c r="A1242" i="4"/>
  <c r="B1241" i="4"/>
  <c r="A1241" i="4"/>
  <c r="B1240" i="4"/>
  <c r="A1240" i="4"/>
  <c r="B1239" i="4"/>
  <c r="A1239" i="4"/>
  <c r="B1238" i="4"/>
  <c r="A1238" i="4"/>
  <c r="B1237" i="4"/>
  <c r="A1237" i="4"/>
  <c r="B1236" i="4"/>
  <c r="A1236" i="4"/>
  <c r="B1235" i="4"/>
  <c r="A1235" i="4"/>
  <c r="B1234" i="4"/>
  <c r="A1234" i="4"/>
  <c r="B1233" i="4"/>
  <c r="A1233" i="4"/>
  <c r="B1232" i="4"/>
  <c r="A1232" i="4"/>
  <c r="B1231" i="4"/>
  <c r="A1231" i="4"/>
  <c r="B1230" i="4"/>
  <c r="A1230" i="4"/>
  <c r="B1229" i="4"/>
  <c r="A1229" i="4"/>
  <c r="B1228" i="4"/>
  <c r="A1228" i="4"/>
  <c r="B1227" i="4"/>
  <c r="A1227" i="4"/>
  <c r="B1226" i="4"/>
  <c r="A1226" i="4"/>
  <c r="B1225" i="4"/>
  <c r="A1225" i="4"/>
  <c r="B1224" i="4"/>
  <c r="A1224" i="4"/>
  <c r="B1223" i="4"/>
  <c r="A1223" i="4"/>
  <c r="B1222" i="4"/>
  <c r="A1222" i="4"/>
  <c r="B1221" i="4"/>
  <c r="A1221" i="4"/>
  <c r="B1220" i="4"/>
  <c r="A1220" i="4"/>
  <c r="B1219" i="4"/>
  <c r="A1219" i="4"/>
  <c r="B1218" i="4"/>
  <c r="A1218" i="4"/>
  <c r="B1217" i="4"/>
  <c r="A1217" i="4"/>
  <c r="B1216" i="4"/>
  <c r="A1216" i="4"/>
  <c r="B1215" i="4"/>
  <c r="A1215" i="4"/>
  <c r="B1214" i="4"/>
  <c r="A1214" i="4"/>
  <c r="B1213" i="4"/>
  <c r="A1213" i="4"/>
  <c r="B1212" i="4"/>
  <c r="A1212" i="4"/>
  <c r="B1211" i="4"/>
  <c r="A1211" i="4"/>
  <c r="B1210" i="4"/>
  <c r="A1210" i="4"/>
  <c r="B1209" i="4"/>
  <c r="A1209" i="4"/>
  <c r="B1208" i="4"/>
  <c r="A1208" i="4"/>
  <c r="B1207" i="4"/>
  <c r="A1207" i="4"/>
  <c r="B1206" i="4"/>
  <c r="A1206" i="4"/>
  <c r="B1205" i="4"/>
  <c r="A1205" i="4"/>
  <c r="B1204" i="4"/>
  <c r="A1204" i="4"/>
  <c r="B1203" i="4"/>
  <c r="A1203" i="4"/>
  <c r="B1202" i="4"/>
  <c r="A1202" i="4"/>
  <c r="B1201" i="4"/>
  <c r="A1201" i="4"/>
  <c r="B1200" i="4"/>
  <c r="A1200" i="4"/>
  <c r="B1199" i="4"/>
  <c r="A1199" i="4"/>
  <c r="B1198" i="4"/>
  <c r="A1198" i="4"/>
  <c r="B1197" i="4"/>
  <c r="A1197" i="4"/>
  <c r="B1196" i="4"/>
  <c r="A1196" i="4"/>
  <c r="B1195" i="4"/>
  <c r="A1195" i="4"/>
  <c r="B1194" i="4"/>
  <c r="A1194" i="4"/>
  <c r="B1193" i="4"/>
  <c r="A1193" i="4"/>
  <c r="B1192" i="4"/>
  <c r="A1192" i="4"/>
  <c r="B1191" i="4"/>
  <c r="A1191" i="4"/>
  <c r="B1190" i="4"/>
  <c r="A1190" i="4"/>
  <c r="B1189" i="4"/>
  <c r="A1189" i="4"/>
  <c r="B1188" i="4"/>
  <c r="A1188" i="4"/>
  <c r="B1187" i="4"/>
  <c r="A1187" i="4"/>
  <c r="B1186" i="4"/>
  <c r="A1186" i="4"/>
  <c r="B1185" i="4"/>
  <c r="A1185" i="4"/>
  <c r="B1184" i="4"/>
  <c r="A1184" i="4"/>
  <c r="B1183" i="4"/>
  <c r="A1183" i="4"/>
  <c r="B1182" i="4"/>
  <c r="A1182" i="4"/>
  <c r="B1181" i="4"/>
  <c r="A1181" i="4"/>
  <c r="B1180" i="4"/>
  <c r="A1180" i="4"/>
  <c r="B1179" i="4"/>
  <c r="A1179" i="4"/>
  <c r="B1178" i="4"/>
  <c r="A1178" i="4"/>
  <c r="B1177" i="4"/>
  <c r="A1177" i="4"/>
  <c r="B1176" i="4"/>
  <c r="A1176" i="4"/>
  <c r="B1175" i="4"/>
  <c r="A1175" i="4"/>
  <c r="B1174" i="4"/>
  <c r="A1174" i="4"/>
  <c r="B1173" i="4"/>
  <c r="A1173" i="4"/>
  <c r="B1172" i="4"/>
  <c r="A1172" i="4"/>
  <c r="B1171" i="4"/>
  <c r="A1171" i="4"/>
  <c r="B1170" i="4"/>
  <c r="A1170" i="4"/>
  <c r="B1169" i="4"/>
  <c r="A1169" i="4"/>
  <c r="B1168" i="4"/>
  <c r="A1168" i="4"/>
  <c r="B1167" i="4"/>
  <c r="A1167" i="4"/>
  <c r="B1166" i="4"/>
  <c r="A1166" i="4"/>
  <c r="B1165" i="4"/>
  <c r="A1165" i="4"/>
  <c r="B1164" i="4"/>
  <c r="A1164" i="4"/>
  <c r="B1163" i="4"/>
  <c r="A1163" i="4"/>
  <c r="B1162" i="4"/>
  <c r="A1162" i="4"/>
  <c r="B1161" i="4"/>
  <c r="A1161" i="4"/>
  <c r="B1160" i="4"/>
  <c r="A1160" i="4"/>
  <c r="B1159" i="4"/>
  <c r="A1159" i="4"/>
  <c r="B1158" i="4"/>
  <c r="A1158" i="4"/>
  <c r="B1157" i="4"/>
  <c r="A1157" i="4"/>
  <c r="B1156" i="4"/>
  <c r="A1156" i="4"/>
  <c r="B1155" i="4"/>
  <c r="A1155" i="4"/>
  <c r="B1154" i="4"/>
  <c r="A1154" i="4"/>
  <c r="B1153" i="4"/>
  <c r="A1153" i="4"/>
  <c r="B1152" i="4"/>
  <c r="A1152" i="4"/>
  <c r="B1151" i="4"/>
  <c r="A1151" i="4"/>
  <c r="B1150" i="4"/>
  <c r="A1150" i="4"/>
  <c r="B1149" i="4"/>
  <c r="A1149" i="4"/>
  <c r="B1148" i="4"/>
  <c r="A1148" i="4"/>
  <c r="B1147" i="4"/>
  <c r="A1147" i="4"/>
  <c r="B1146" i="4"/>
  <c r="A1146" i="4"/>
  <c r="B1145" i="4"/>
  <c r="A1145" i="4"/>
  <c r="B1144" i="4"/>
  <c r="A1144" i="4"/>
  <c r="B1143" i="4"/>
  <c r="A1143" i="4"/>
  <c r="B1142" i="4"/>
  <c r="A1142" i="4"/>
  <c r="B1141" i="4"/>
  <c r="A1141" i="4"/>
  <c r="B1140" i="4"/>
  <c r="A1140" i="4"/>
  <c r="B1139" i="4"/>
  <c r="A1139" i="4"/>
  <c r="B1138" i="4"/>
  <c r="A1138" i="4"/>
  <c r="B1137" i="4"/>
  <c r="A1137" i="4"/>
  <c r="B1136" i="4"/>
  <c r="A1136" i="4"/>
  <c r="B1135" i="4"/>
  <c r="A1135" i="4"/>
  <c r="B1134" i="4"/>
  <c r="A1134" i="4"/>
  <c r="B1133" i="4"/>
  <c r="A1133" i="4"/>
  <c r="B1132" i="4"/>
  <c r="A1132" i="4"/>
  <c r="B1131" i="4"/>
  <c r="A1131" i="4"/>
  <c r="B1130" i="4"/>
  <c r="A1130" i="4"/>
  <c r="B1129" i="4"/>
  <c r="A1129" i="4"/>
  <c r="B1128" i="4"/>
  <c r="A1128" i="4"/>
  <c r="B1127" i="4"/>
  <c r="A1127" i="4"/>
  <c r="B1126" i="4"/>
  <c r="A1126" i="4"/>
  <c r="B1125" i="4"/>
  <c r="A1125" i="4"/>
  <c r="B1124" i="4"/>
  <c r="A1124" i="4"/>
  <c r="B1123" i="4"/>
  <c r="A1123" i="4"/>
  <c r="B1122" i="4"/>
  <c r="A1122" i="4"/>
  <c r="B1121" i="4"/>
  <c r="A1121" i="4"/>
  <c r="B1120" i="4"/>
  <c r="A1120" i="4"/>
  <c r="B1119" i="4"/>
  <c r="A1119" i="4"/>
  <c r="B1118" i="4"/>
  <c r="A1118" i="4"/>
  <c r="B1117" i="4"/>
  <c r="A1117" i="4"/>
  <c r="B1116" i="4"/>
  <c r="A1116" i="4"/>
  <c r="B1115" i="4"/>
  <c r="A1115" i="4"/>
  <c r="B1114" i="4"/>
  <c r="A1114" i="4"/>
  <c r="B1113" i="4"/>
  <c r="A1113" i="4"/>
  <c r="B1112" i="4"/>
  <c r="A1112" i="4"/>
  <c r="B1111" i="4"/>
  <c r="A1111" i="4"/>
  <c r="B1110" i="4"/>
  <c r="A1110" i="4"/>
  <c r="B1109" i="4"/>
  <c r="A1109" i="4"/>
  <c r="B1108" i="4"/>
  <c r="A1108" i="4"/>
  <c r="B1107" i="4"/>
  <c r="A1107" i="4"/>
  <c r="B1106" i="4"/>
  <c r="A1106" i="4"/>
  <c r="B1105" i="4"/>
  <c r="A1105" i="4"/>
  <c r="B1104" i="4"/>
  <c r="A1104" i="4"/>
  <c r="B1103" i="4"/>
  <c r="A1103" i="4"/>
  <c r="B1102" i="4"/>
  <c r="A1102" i="4"/>
  <c r="B1101" i="4"/>
  <c r="A1101" i="4"/>
  <c r="B1100" i="4"/>
  <c r="A1100" i="4"/>
  <c r="B1099" i="4"/>
  <c r="A1099" i="4"/>
  <c r="B1098" i="4"/>
  <c r="A1098" i="4"/>
  <c r="B1097" i="4"/>
  <c r="A1097" i="4"/>
  <c r="B1096" i="4"/>
  <c r="A1096" i="4"/>
  <c r="B1095" i="4"/>
  <c r="A1095" i="4"/>
  <c r="B1094" i="4"/>
  <c r="A1094" i="4"/>
  <c r="B1093" i="4"/>
  <c r="A1093" i="4"/>
  <c r="B1092" i="4"/>
  <c r="A1092" i="4"/>
  <c r="B1091" i="4"/>
  <c r="A1091" i="4"/>
  <c r="B1090" i="4"/>
  <c r="A1090" i="4"/>
  <c r="B1089" i="4"/>
  <c r="A1089" i="4"/>
  <c r="B1088" i="4"/>
  <c r="A1088" i="4"/>
  <c r="B1087" i="4"/>
  <c r="A1087" i="4"/>
  <c r="B1086" i="4"/>
  <c r="A1086" i="4"/>
  <c r="B1085" i="4"/>
  <c r="A1085" i="4"/>
  <c r="B1084" i="4"/>
  <c r="A1084" i="4"/>
  <c r="B1083" i="4"/>
  <c r="A1083" i="4"/>
  <c r="B1082" i="4"/>
  <c r="A1082" i="4"/>
  <c r="B1081" i="4"/>
  <c r="A1081" i="4"/>
  <c r="B1080" i="4"/>
  <c r="A1080" i="4"/>
  <c r="B1079" i="4"/>
  <c r="A1079" i="4"/>
  <c r="B1078" i="4"/>
  <c r="A1078" i="4"/>
  <c r="B1077" i="4"/>
  <c r="A1077" i="4"/>
  <c r="B1076" i="4"/>
  <c r="A1076" i="4"/>
  <c r="B1075" i="4"/>
  <c r="A1075" i="4"/>
  <c r="B1074" i="4"/>
  <c r="A1074" i="4"/>
  <c r="B1073" i="4"/>
  <c r="A1073" i="4"/>
  <c r="B1072" i="4"/>
  <c r="A1072" i="4"/>
  <c r="B1071" i="4"/>
  <c r="A1071" i="4"/>
  <c r="B1070" i="4"/>
  <c r="A1070" i="4"/>
  <c r="B1069" i="4"/>
  <c r="A1069" i="4"/>
  <c r="B1068" i="4"/>
  <c r="A1068" i="4"/>
  <c r="B1067" i="4"/>
  <c r="A1067" i="4"/>
  <c r="B1066" i="4"/>
  <c r="A1066" i="4"/>
  <c r="B1065" i="4"/>
  <c r="A1065" i="4"/>
  <c r="B1064" i="4"/>
  <c r="A1064" i="4"/>
  <c r="B1063" i="4"/>
  <c r="A1063" i="4"/>
  <c r="B1062" i="4"/>
  <c r="A1062" i="4"/>
  <c r="B1061" i="4"/>
  <c r="A1061" i="4"/>
  <c r="B1060" i="4"/>
  <c r="A1060" i="4"/>
  <c r="B1059" i="4"/>
  <c r="A1059" i="4"/>
  <c r="B1058" i="4"/>
  <c r="A1058" i="4"/>
  <c r="B1057" i="4"/>
  <c r="A1057" i="4"/>
  <c r="B1056" i="4"/>
  <c r="A1056" i="4"/>
  <c r="B1055" i="4"/>
  <c r="A1055" i="4"/>
  <c r="B1054" i="4"/>
  <c r="A1054" i="4"/>
  <c r="B1053" i="4"/>
  <c r="A1053" i="4"/>
  <c r="B1052" i="4"/>
  <c r="A1052" i="4"/>
  <c r="B1051" i="4"/>
  <c r="A1051" i="4"/>
  <c r="B1050" i="4"/>
  <c r="A1050" i="4"/>
  <c r="B1049" i="4"/>
  <c r="A1049" i="4"/>
  <c r="B1048" i="4"/>
  <c r="A1048" i="4"/>
  <c r="B1047" i="4"/>
  <c r="A1047" i="4"/>
  <c r="B1046" i="4"/>
  <c r="A1046" i="4"/>
  <c r="B1045" i="4"/>
  <c r="A1045" i="4"/>
  <c r="B1044" i="4"/>
  <c r="A1044" i="4"/>
  <c r="B1043" i="4"/>
  <c r="A1043" i="4"/>
  <c r="B1042" i="4"/>
  <c r="A1042" i="4"/>
  <c r="B1041" i="4"/>
  <c r="A1041" i="4"/>
  <c r="B1040" i="4"/>
  <c r="A1040" i="4"/>
  <c r="B1039" i="4"/>
  <c r="A1039" i="4"/>
  <c r="B1038" i="4"/>
  <c r="A1038" i="4"/>
  <c r="B1037" i="4"/>
  <c r="A1037" i="4"/>
  <c r="B1036" i="4"/>
  <c r="A1036" i="4"/>
  <c r="B1035" i="4"/>
  <c r="A1035" i="4"/>
  <c r="B1034" i="4"/>
  <c r="A1034" i="4"/>
  <c r="B1033" i="4"/>
  <c r="A1033" i="4"/>
  <c r="B1032" i="4"/>
  <c r="A1032" i="4"/>
  <c r="B1031" i="4"/>
  <c r="A1031" i="4"/>
  <c r="B1030" i="4"/>
  <c r="A1030" i="4"/>
  <c r="B1029" i="4"/>
  <c r="A1029" i="4"/>
  <c r="B1028" i="4"/>
  <c r="A1028" i="4"/>
  <c r="B1027" i="4"/>
  <c r="A1027" i="4"/>
  <c r="B1026" i="4"/>
  <c r="A1026" i="4"/>
  <c r="B1025" i="4"/>
  <c r="A1025" i="4"/>
  <c r="B1024" i="4"/>
  <c r="A1024" i="4"/>
  <c r="B1023" i="4"/>
  <c r="A1023" i="4"/>
  <c r="B1022" i="4"/>
  <c r="A1022" i="4"/>
  <c r="B1021" i="4"/>
  <c r="A1021" i="4"/>
  <c r="B1020" i="4"/>
  <c r="A1020" i="4"/>
  <c r="B1019" i="4"/>
  <c r="A1019" i="4"/>
  <c r="B1018" i="4"/>
  <c r="A1018" i="4"/>
  <c r="B1017" i="4"/>
  <c r="A1017" i="4"/>
  <c r="B1016" i="4"/>
  <c r="A1016" i="4"/>
  <c r="B1015" i="4"/>
  <c r="A1015" i="4"/>
  <c r="B1014" i="4"/>
  <c r="A1014" i="4"/>
  <c r="B1013" i="4"/>
  <c r="A1013" i="4"/>
  <c r="B1012" i="4"/>
  <c r="A1012" i="4"/>
  <c r="B1011" i="4"/>
  <c r="A1011" i="4"/>
  <c r="B1010" i="4"/>
  <c r="A1010" i="4"/>
  <c r="B1009" i="4"/>
  <c r="A1009" i="4"/>
  <c r="B1008" i="4"/>
  <c r="A1008" i="4"/>
  <c r="B1007" i="4"/>
  <c r="A1007" i="4"/>
  <c r="B1006" i="4"/>
  <c r="A1006" i="4"/>
  <c r="B1005" i="4"/>
  <c r="A1005" i="4"/>
  <c r="B1004" i="4"/>
  <c r="A1004" i="4"/>
  <c r="B1003" i="4"/>
  <c r="A1003" i="4"/>
  <c r="B1002" i="4"/>
  <c r="A1002" i="4"/>
  <c r="B1001" i="4"/>
  <c r="A1001" i="4"/>
  <c r="B1000" i="4"/>
  <c r="A1000" i="4"/>
  <c r="B999" i="4"/>
  <c r="A999" i="4"/>
  <c r="B998" i="4"/>
  <c r="A998" i="4"/>
  <c r="B997" i="4"/>
  <c r="A997" i="4"/>
  <c r="B996" i="4"/>
  <c r="A996" i="4"/>
  <c r="B995" i="4"/>
  <c r="A995" i="4"/>
  <c r="B994" i="4"/>
  <c r="A994" i="4"/>
  <c r="B993" i="4"/>
  <c r="A993" i="4"/>
  <c r="B992" i="4"/>
  <c r="A992" i="4"/>
  <c r="B991" i="4"/>
  <c r="A991" i="4"/>
  <c r="B990" i="4"/>
  <c r="A990" i="4"/>
  <c r="B989" i="4"/>
  <c r="A989" i="4"/>
  <c r="B988" i="4"/>
  <c r="A988" i="4"/>
  <c r="B987" i="4"/>
  <c r="A987" i="4"/>
  <c r="B986" i="4"/>
  <c r="A986" i="4"/>
  <c r="B985" i="4"/>
  <c r="A985" i="4"/>
  <c r="B984" i="4"/>
  <c r="A984" i="4"/>
  <c r="B983" i="4"/>
  <c r="A983" i="4"/>
  <c r="B982" i="4"/>
  <c r="A982" i="4"/>
  <c r="B981" i="4"/>
  <c r="A981" i="4"/>
  <c r="B980" i="4"/>
  <c r="A980" i="4"/>
  <c r="B979" i="4"/>
  <c r="A979" i="4"/>
  <c r="B978" i="4"/>
  <c r="A978" i="4"/>
  <c r="B977" i="4"/>
  <c r="A977" i="4"/>
  <c r="B976" i="4"/>
  <c r="A976" i="4"/>
  <c r="B975" i="4"/>
  <c r="A975" i="4"/>
  <c r="B974" i="4"/>
  <c r="A974" i="4"/>
  <c r="B973" i="4"/>
  <c r="A973" i="4"/>
  <c r="B972" i="4"/>
  <c r="A972" i="4"/>
  <c r="B971" i="4"/>
  <c r="A971" i="4"/>
  <c r="B970" i="4"/>
  <c r="A970" i="4"/>
  <c r="B969" i="4"/>
  <c r="A969" i="4"/>
  <c r="B968" i="4"/>
  <c r="A968" i="4"/>
  <c r="B967" i="4"/>
  <c r="A967" i="4"/>
  <c r="B966" i="4"/>
  <c r="A966" i="4"/>
  <c r="B965" i="4"/>
  <c r="A965" i="4"/>
  <c r="B964" i="4"/>
  <c r="A964" i="4"/>
  <c r="B963" i="4"/>
  <c r="A963" i="4"/>
  <c r="B962" i="4"/>
  <c r="A962" i="4"/>
  <c r="B961" i="4"/>
  <c r="A961" i="4"/>
  <c r="B960" i="4"/>
  <c r="A960" i="4"/>
  <c r="B959" i="4"/>
  <c r="A959" i="4"/>
  <c r="B958" i="4"/>
  <c r="A958" i="4"/>
  <c r="B957" i="4"/>
  <c r="A957" i="4"/>
  <c r="B956" i="4"/>
  <c r="A956" i="4"/>
  <c r="B955" i="4"/>
  <c r="A955" i="4"/>
  <c r="B954" i="4"/>
  <c r="A954" i="4"/>
  <c r="B953" i="4"/>
  <c r="A953" i="4"/>
  <c r="B952" i="4"/>
  <c r="A952" i="4"/>
  <c r="B951" i="4"/>
  <c r="A951" i="4"/>
  <c r="B950" i="4"/>
  <c r="A950" i="4"/>
  <c r="B949" i="4"/>
  <c r="A949" i="4"/>
  <c r="B948" i="4"/>
  <c r="A948" i="4"/>
  <c r="B947" i="4"/>
  <c r="A947" i="4"/>
  <c r="B946" i="4"/>
  <c r="A946" i="4"/>
  <c r="B945" i="4"/>
  <c r="A945" i="4"/>
  <c r="B944" i="4"/>
  <c r="A944" i="4"/>
  <c r="B943" i="4"/>
  <c r="A943" i="4"/>
  <c r="B942" i="4"/>
  <c r="A942" i="4"/>
  <c r="B941" i="4"/>
  <c r="A941" i="4"/>
  <c r="B940" i="4"/>
  <c r="A940" i="4"/>
  <c r="B939" i="4"/>
  <c r="A939" i="4"/>
  <c r="B938" i="4"/>
  <c r="A938" i="4"/>
  <c r="B937" i="4"/>
  <c r="A937" i="4"/>
  <c r="B936" i="4"/>
  <c r="A936" i="4"/>
  <c r="B935" i="4"/>
  <c r="A935" i="4"/>
  <c r="B934" i="4"/>
  <c r="A934" i="4"/>
  <c r="B933" i="4"/>
  <c r="A933" i="4"/>
  <c r="B932" i="4"/>
  <c r="A932" i="4"/>
  <c r="B931" i="4"/>
  <c r="A931" i="4"/>
  <c r="B930" i="4"/>
  <c r="A930" i="4"/>
  <c r="B929" i="4"/>
  <c r="A929" i="4"/>
  <c r="B928" i="4"/>
  <c r="A928" i="4"/>
  <c r="B927" i="4"/>
  <c r="A927" i="4"/>
  <c r="B926" i="4"/>
  <c r="A926" i="4"/>
  <c r="B925" i="4"/>
  <c r="A925" i="4"/>
  <c r="B924" i="4"/>
  <c r="A924" i="4"/>
  <c r="B923" i="4"/>
  <c r="A923" i="4"/>
  <c r="B922" i="4"/>
  <c r="A922" i="4"/>
  <c r="B921" i="4"/>
  <c r="A921" i="4"/>
  <c r="B920" i="4"/>
  <c r="A920" i="4"/>
  <c r="B919" i="4"/>
  <c r="A919" i="4"/>
  <c r="B918" i="4"/>
  <c r="A918" i="4"/>
  <c r="B917" i="4"/>
  <c r="A917" i="4"/>
  <c r="B916" i="4"/>
  <c r="A916" i="4"/>
  <c r="B915" i="4"/>
  <c r="A915" i="4"/>
  <c r="B914" i="4"/>
  <c r="A914" i="4"/>
  <c r="B913" i="4"/>
  <c r="A913" i="4"/>
  <c r="B912" i="4"/>
  <c r="A912" i="4"/>
  <c r="B911" i="4"/>
  <c r="A911" i="4"/>
  <c r="B910" i="4"/>
  <c r="A910" i="4"/>
  <c r="B909" i="4"/>
  <c r="A909" i="4"/>
  <c r="B908" i="4"/>
  <c r="A908" i="4"/>
  <c r="B907" i="4"/>
  <c r="A907" i="4"/>
  <c r="B906" i="4"/>
  <c r="A906" i="4"/>
  <c r="B905" i="4"/>
  <c r="A905" i="4"/>
  <c r="B904" i="4"/>
  <c r="A904" i="4"/>
  <c r="B903" i="4"/>
  <c r="A903" i="4"/>
  <c r="B902" i="4"/>
  <c r="A902" i="4"/>
  <c r="B901" i="4"/>
  <c r="A901" i="4"/>
  <c r="B900" i="4"/>
  <c r="A900" i="4"/>
  <c r="B899" i="4"/>
  <c r="A899" i="4"/>
  <c r="B898" i="4"/>
  <c r="A898" i="4"/>
  <c r="B897" i="4"/>
  <c r="A897" i="4"/>
  <c r="B896" i="4"/>
  <c r="A896" i="4"/>
  <c r="B895" i="4"/>
  <c r="A895" i="4"/>
  <c r="B894" i="4"/>
  <c r="A894" i="4"/>
  <c r="B893" i="4"/>
  <c r="A893" i="4"/>
  <c r="B892" i="4"/>
  <c r="A892" i="4"/>
  <c r="B891" i="4"/>
  <c r="A891" i="4"/>
  <c r="B890" i="4"/>
  <c r="A890" i="4"/>
  <c r="B889" i="4"/>
  <c r="A889" i="4"/>
  <c r="B888" i="4"/>
  <c r="A888" i="4"/>
  <c r="B887" i="4"/>
  <c r="A887" i="4"/>
  <c r="B886" i="4"/>
  <c r="A886" i="4"/>
  <c r="B885" i="4"/>
  <c r="A885" i="4"/>
  <c r="B884" i="4"/>
  <c r="A884" i="4"/>
  <c r="B883" i="4"/>
  <c r="A883" i="4"/>
  <c r="B882" i="4"/>
  <c r="A882" i="4"/>
  <c r="B881" i="4"/>
  <c r="A881" i="4"/>
  <c r="B880" i="4"/>
  <c r="A880" i="4"/>
  <c r="B879" i="4"/>
  <c r="A879" i="4"/>
  <c r="B878" i="4"/>
  <c r="A878" i="4"/>
  <c r="B877" i="4"/>
  <c r="A877" i="4"/>
  <c r="B876" i="4"/>
  <c r="A876" i="4"/>
  <c r="B875" i="4"/>
  <c r="A875" i="4"/>
  <c r="B874" i="4"/>
  <c r="A874" i="4"/>
  <c r="B873" i="4"/>
  <c r="A873" i="4"/>
  <c r="B872" i="4"/>
  <c r="A872" i="4"/>
  <c r="B871" i="4"/>
  <c r="A871" i="4"/>
  <c r="B870" i="4"/>
  <c r="A870" i="4"/>
  <c r="B869" i="4"/>
  <c r="A869" i="4"/>
  <c r="B868" i="4"/>
  <c r="A868" i="4"/>
  <c r="B867" i="4"/>
  <c r="A867" i="4"/>
  <c r="B866" i="4"/>
  <c r="A866" i="4"/>
  <c r="B865" i="4"/>
  <c r="A865" i="4"/>
  <c r="B864" i="4"/>
  <c r="A864" i="4"/>
  <c r="B863" i="4"/>
  <c r="A863" i="4"/>
  <c r="B862" i="4"/>
  <c r="A862" i="4"/>
  <c r="B861" i="4"/>
  <c r="A861" i="4"/>
  <c r="B860" i="4"/>
  <c r="A860" i="4"/>
  <c r="B859" i="4"/>
  <c r="A859" i="4"/>
  <c r="B858" i="4"/>
  <c r="A858" i="4"/>
  <c r="B857" i="4"/>
  <c r="A857" i="4"/>
  <c r="B856" i="4"/>
  <c r="A856" i="4"/>
  <c r="B855" i="4"/>
  <c r="A855" i="4"/>
  <c r="B854" i="4"/>
  <c r="A854" i="4"/>
  <c r="B853" i="4"/>
  <c r="A853" i="4"/>
  <c r="B852" i="4"/>
  <c r="A852" i="4"/>
  <c r="B851" i="4"/>
  <c r="A851" i="4"/>
  <c r="B850" i="4"/>
  <c r="A850" i="4"/>
  <c r="B849" i="4"/>
  <c r="A849" i="4"/>
  <c r="B848" i="4"/>
  <c r="A848" i="4"/>
  <c r="B847" i="4"/>
  <c r="A847" i="4"/>
  <c r="B846" i="4"/>
  <c r="A846" i="4"/>
  <c r="B845" i="4"/>
  <c r="A845" i="4"/>
  <c r="B844" i="4"/>
  <c r="A844" i="4"/>
  <c r="B843" i="4"/>
  <c r="A843" i="4"/>
  <c r="B842" i="4"/>
  <c r="A842" i="4"/>
  <c r="B841" i="4"/>
  <c r="A841" i="4"/>
  <c r="B840" i="4"/>
  <c r="A840" i="4"/>
  <c r="B839" i="4"/>
  <c r="A839" i="4"/>
  <c r="B838" i="4"/>
  <c r="A838" i="4"/>
  <c r="B837" i="4"/>
  <c r="A837" i="4"/>
  <c r="B836" i="4"/>
  <c r="A836" i="4"/>
  <c r="B835" i="4"/>
  <c r="A835" i="4"/>
  <c r="B834" i="4"/>
  <c r="A834" i="4"/>
  <c r="B833" i="4"/>
  <c r="A833" i="4"/>
  <c r="B832" i="4"/>
  <c r="A832" i="4"/>
  <c r="B831" i="4"/>
  <c r="A831" i="4"/>
  <c r="B830" i="4"/>
  <c r="A830" i="4"/>
  <c r="B829" i="4"/>
  <c r="A829" i="4"/>
  <c r="B828" i="4"/>
  <c r="A828" i="4"/>
  <c r="B827" i="4"/>
  <c r="A827" i="4"/>
  <c r="B826" i="4"/>
  <c r="A826" i="4"/>
  <c r="B825" i="4"/>
  <c r="A825" i="4"/>
  <c r="B824" i="4"/>
  <c r="A824" i="4"/>
  <c r="B823" i="4"/>
  <c r="A823" i="4"/>
  <c r="B822" i="4"/>
  <c r="A822" i="4"/>
  <c r="B821" i="4"/>
  <c r="A821" i="4"/>
  <c r="B820" i="4"/>
  <c r="A820" i="4"/>
  <c r="B819" i="4"/>
  <c r="A819" i="4"/>
  <c r="B818" i="4"/>
  <c r="A818" i="4"/>
  <c r="B817" i="4"/>
  <c r="A817" i="4"/>
  <c r="B816" i="4"/>
  <c r="A816" i="4"/>
  <c r="B815" i="4"/>
  <c r="A815" i="4"/>
  <c r="B814" i="4"/>
  <c r="A814" i="4"/>
  <c r="B813" i="4"/>
  <c r="A813" i="4"/>
  <c r="B812" i="4"/>
  <c r="A812" i="4"/>
  <c r="B811" i="4"/>
  <c r="A811" i="4"/>
  <c r="B810" i="4"/>
  <c r="A810" i="4"/>
  <c r="B809" i="4"/>
  <c r="A809" i="4"/>
  <c r="B808" i="4"/>
  <c r="A808" i="4"/>
  <c r="B807" i="4"/>
  <c r="A807" i="4"/>
  <c r="B806" i="4"/>
  <c r="A806" i="4"/>
  <c r="B805" i="4"/>
  <c r="A805" i="4"/>
  <c r="B804" i="4"/>
  <c r="A804" i="4"/>
  <c r="B803" i="4"/>
  <c r="A803" i="4"/>
  <c r="B802" i="4"/>
  <c r="A802" i="4"/>
  <c r="B801" i="4"/>
  <c r="A801" i="4"/>
  <c r="B800" i="4"/>
  <c r="A800" i="4"/>
  <c r="B799" i="4"/>
  <c r="A799" i="4"/>
  <c r="B798" i="4"/>
  <c r="A798" i="4"/>
  <c r="B797" i="4"/>
  <c r="A797" i="4"/>
  <c r="B796" i="4"/>
  <c r="A796" i="4"/>
  <c r="B795" i="4"/>
  <c r="A795" i="4"/>
  <c r="B794" i="4"/>
  <c r="A794" i="4"/>
  <c r="B793" i="4"/>
  <c r="A793" i="4"/>
  <c r="B792" i="4"/>
  <c r="A792" i="4"/>
  <c r="B791" i="4"/>
  <c r="A791" i="4"/>
  <c r="B790" i="4"/>
  <c r="A790" i="4"/>
  <c r="B789" i="4"/>
  <c r="A789" i="4"/>
  <c r="B788" i="4"/>
  <c r="A788" i="4"/>
  <c r="B787" i="4"/>
  <c r="A787" i="4"/>
  <c r="B786" i="4"/>
  <c r="A786" i="4"/>
  <c r="B785" i="4"/>
  <c r="A785" i="4"/>
  <c r="B784" i="4"/>
  <c r="A784" i="4"/>
  <c r="B783" i="4"/>
  <c r="A783" i="4"/>
  <c r="B782" i="4"/>
  <c r="A782" i="4"/>
  <c r="B781" i="4"/>
  <c r="A781" i="4"/>
  <c r="B780" i="4"/>
  <c r="A780" i="4"/>
  <c r="B779" i="4"/>
  <c r="A779" i="4"/>
  <c r="B778" i="4"/>
  <c r="A778" i="4"/>
  <c r="B777" i="4"/>
  <c r="A777" i="4"/>
  <c r="B776" i="4"/>
  <c r="A776" i="4"/>
  <c r="B775" i="4"/>
  <c r="A775" i="4"/>
  <c r="B774" i="4"/>
  <c r="A774" i="4"/>
  <c r="B773" i="4"/>
  <c r="A773" i="4"/>
  <c r="B772" i="4"/>
  <c r="A772" i="4"/>
  <c r="B771" i="4"/>
  <c r="A771" i="4"/>
  <c r="B770" i="4"/>
  <c r="A770" i="4"/>
  <c r="B769" i="4"/>
  <c r="A769" i="4"/>
  <c r="B768" i="4"/>
  <c r="A768" i="4"/>
  <c r="B767" i="4"/>
  <c r="A767" i="4"/>
  <c r="B766" i="4"/>
  <c r="A766" i="4"/>
  <c r="B765" i="4"/>
  <c r="A765" i="4"/>
  <c r="B764" i="4"/>
  <c r="A764" i="4"/>
  <c r="B763" i="4"/>
  <c r="A763" i="4"/>
  <c r="B762" i="4"/>
  <c r="A762" i="4"/>
  <c r="B761" i="4"/>
  <c r="A761" i="4"/>
  <c r="B760" i="4"/>
  <c r="A760" i="4"/>
  <c r="B759" i="4"/>
  <c r="A759" i="4"/>
  <c r="B758" i="4"/>
  <c r="A758" i="4"/>
  <c r="B757" i="4"/>
  <c r="A757" i="4"/>
  <c r="B756" i="4"/>
  <c r="A756" i="4"/>
  <c r="B755" i="4"/>
  <c r="A755" i="4"/>
  <c r="B754" i="4"/>
  <c r="A754" i="4"/>
  <c r="B753" i="4"/>
  <c r="A753" i="4"/>
  <c r="B752" i="4"/>
  <c r="A752" i="4"/>
  <c r="B751" i="4"/>
  <c r="A751" i="4"/>
  <c r="B750" i="4"/>
  <c r="A750" i="4"/>
  <c r="B749" i="4"/>
  <c r="A749" i="4"/>
  <c r="B748" i="4"/>
  <c r="A748" i="4"/>
  <c r="B747" i="4"/>
  <c r="A747" i="4"/>
  <c r="B746" i="4"/>
  <c r="A746" i="4"/>
  <c r="B745" i="4"/>
  <c r="A745" i="4"/>
  <c r="B744" i="4"/>
  <c r="A744" i="4"/>
  <c r="B743" i="4"/>
  <c r="A743" i="4"/>
  <c r="B742" i="4"/>
  <c r="A742" i="4"/>
  <c r="B741" i="4"/>
  <c r="A741" i="4"/>
  <c r="B740" i="4"/>
  <c r="A740" i="4"/>
  <c r="B739" i="4"/>
  <c r="A739" i="4"/>
  <c r="B738" i="4"/>
  <c r="A738" i="4"/>
  <c r="B737" i="4"/>
  <c r="A737" i="4"/>
  <c r="B736" i="4"/>
  <c r="A736" i="4"/>
  <c r="B735" i="4"/>
  <c r="A735" i="4"/>
  <c r="B734" i="4"/>
  <c r="A734" i="4"/>
  <c r="B733" i="4"/>
  <c r="A733" i="4"/>
  <c r="B732" i="4"/>
  <c r="A732" i="4"/>
  <c r="B731" i="4"/>
  <c r="A731" i="4"/>
  <c r="B730" i="4"/>
  <c r="A730" i="4"/>
  <c r="B729" i="4"/>
  <c r="A729" i="4"/>
  <c r="B728" i="4"/>
  <c r="A728" i="4"/>
  <c r="B727" i="4"/>
  <c r="A727" i="4"/>
  <c r="B726" i="4"/>
  <c r="A726" i="4"/>
  <c r="B725" i="4"/>
  <c r="A725" i="4"/>
  <c r="B724" i="4"/>
  <c r="A724" i="4"/>
  <c r="B723" i="4"/>
  <c r="A723" i="4"/>
  <c r="B722" i="4"/>
  <c r="A722" i="4"/>
  <c r="B721" i="4"/>
  <c r="A721" i="4"/>
  <c r="B720" i="4"/>
  <c r="A720" i="4"/>
  <c r="B719" i="4"/>
  <c r="A719" i="4"/>
  <c r="B718" i="4"/>
  <c r="A718" i="4"/>
  <c r="B717" i="4"/>
  <c r="A717" i="4"/>
  <c r="B716" i="4"/>
  <c r="A716" i="4"/>
  <c r="B715" i="4"/>
  <c r="A715" i="4"/>
  <c r="B714" i="4"/>
  <c r="A714" i="4"/>
  <c r="B713" i="4"/>
  <c r="A713" i="4"/>
  <c r="B712" i="4"/>
  <c r="A712" i="4"/>
  <c r="B711" i="4"/>
  <c r="A711" i="4"/>
  <c r="B710" i="4"/>
  <c r="A710" i="4"/>
  <c r="B709" i="4"/>
  <c r="A709" i="4"/>
  <c r="B708" i="4"/>
  <c r="A708" i="4"/>
  <c r="B707" i="4"/>
  <c r="A707" i="4"/>
  <c r="B706" i="4"/>
  <c r="A706" i="4"/>
  <c r="B705" i="4"/>
  <c r="A705" i="4"/>
  <c r="B704" i="4"/>
  <c r="A704" i="4"/>
  <c r="B703" i="4"/>
  <c r="A703" i="4"/>
  <c r="B702" i="4"/>
  <c r="A702" i="4"/>
  <c r="B701" i="4"/>
  <c r="A701" i="4"/>
  <c r="B700" i="4"/>
  <c r="A700" i="4"/>
  <c r="B699" i="4"/>
  <c r="A699" i="4"/>
  <c r="B698" i="4"/>
  <c r="A698" i="4"/>
  <c r="B697" i="4"/>
  <c r="A697" i="4"/>
  <c r="B696" i="4"/>
  <c r="A696" i="4"/>
  <c r="B695" i="4"/>
  <c r="A695" i="4"/>
  <c r="B694" i="4"/>
  <c r="A694" i="4"/>
  <c r="B693" i="4"/>
  <c r="A693" i="4"/>
  <c r="B692" i="4"/>
  <c r="A692" i="4"/>
  <c r="B691" i="4"/>
  <c r="A691" i="4"/>
  <c r="B690" i="4"/>
  <c r="A690" i="4"/>
  <c r="B689" i="4"/>
  <c r="A689" i="4"/>
  <c r="B688" i="4"/>
  <c r="A688" i="4"/>
  <c r="B687" i="4"/>
  <c r="A687" i="4"/>
  <c r="B686" i="4"/>
  <c r="A686" i="4"/>
  <c r="B685" i="4"/>
  <c r="A685" i="4"/>
  <c r="B684" i="4"/>
  <c r="A684" i="4"/>
  <c r="B683" i="4"/>
  <c r="A683" i="4"/>
  <c r="B682" i="4"/>
  <c r="A682" i="4"/>
  <c r="B681" i="4"/>
  <c r="A681" i="4"/>
  <c r="B680" i="4"/>
  <c r="A680" i="4"/>
  <c r="B679" i="4"/>
  <c r="A679" i="4"/>
  <c r="B678" i="4"/>
  <c r="A678" i="4"/>
  <c r="B677" i="4"/>
  <c r="A677" i="4"/>
  <c r="B676" i="4"/>
  <c r="A676" i="4"/>
  <c r="B675" i="4"/>
  <c r="A675" i="4"/>
  <c r="B674" i="4"/>
  <c r="A674" i="4"/>
  <c r="B673" i="4"/>
  <c r="A673" i="4"/>
  <c r="B672" i="4"/>
  <c r="A672" i="4"/>
  <c r="B671" i="4"/>
  <c r="A671" i="4"/>
  <c r="B670" i="4"/>
  <c r="A670" i="4"/>
  <c r="B669" i="4"/>
  <c r="A669" i="4"/>
  <c r="B668" i="4"/>
  <c r="A668" i="4"/>
  <c r="B667" i="4"/>
  <c r="A667" i="4"/>
  <c r="B666" i="4"/>
  <c r="A666" i="4"/>
  <c r="B665" i="4"/>
  <c r="A665" i="4"/>
  <c r="B664" i="4"/>
  <c r="A664" i="4"/>
  <c r="B663" i="4"/>
  <c r="A663" i="4"/>
  <c r="B662" i="4"/>
  <c r="A662" i="4"/>
  <c r="B661" i="4"/>
  <c r="A661" i="4"/>
  <c r="B660" i="4"/>
  <c r="A660" i="4"/>
  <c r="B659" i="4"/>
  <c r="A659" i="4"/>
  <c r="B658" i="4"/>
  <c r="A658" i="4"/>
  <c r="B657" i="4"/>
  <c r="A657" i="4"/>
  <c r="B656" i="4"/>
  <c r="A656" i="4"/>
  <c r="B655" i="4"/>
  <c r="A655" i="4"/>
  <c r="B654" i="4"/>
  <c r="A654" i="4"/>
  <c r="B653" i="4"/>
  <c r="A653" i="4"/>
  <c r="B652" i="4"/>
  <c r="A652" i="4"/>
  <c r="B651" i="4"/>
  <c r="A651" i="4"/>
  <c r="B650" i="4"/>
  <c r="A650" i="4"/>
  <c r="B649" i="4"/>
  <c r="A649" i="4"/>
  <c r="B648" i="4"/>
  <c r="A648" i="4"/>
  <c r="B647" i="4"/>
  <c r="A647" i="4"/>
  <c r="B646" i="4"/>
  <c r="A646" i="4"/>
  <c r="B645" i="4"/>
  <c r="A645" i="4"/>
  <c r="B644" i="4"/>
  <c r="A644" i="4"/>
  <c r="B643" i="4"/>
  <c r="A643" i="4"/>
  <c r="B642" i="4"/>
  <c r="A642" i="4"/>
  <c r="B641" i="4"/>
  <c r="A641" i="4"/>
  <c r="B640" i="4"/>
  <c r="A640" i="4"/>
  <c r="B639" i="4"/>
  <c r="A639" i="4"/>
  <c r="B638" i="4"/>
  <c r="A638" i="4"/>
  <c r="B637" i="4"/>
  <c r="A637" i="4"/>
  <c r="B636" i="4"/>
  <c r="A636" i="4"/>
  <c r="B635" i="4"/>
  <c r="A635" i="4"/>
  <c r="B634" i="4"/>
  <c r="A634" i="4"/>
  <c r="B633" i="4"/>
  <c r="A633" i="4"/>
  <c r="B632" i="4"/>
  <c r="A632" i="4"/>
  <c r="B631" i="4"/>
  <c r="A631" i="4"/>
  <c r="B630" i="4"/>
  <c r="A630" i="4"/>
  <c r="B629" i="4"/>
  <c r="A629" i="4"/>
  <c r="B628" i="4"/>
  <c r="A628" i="4"/>
  <c r="B627" i="4"/>
  <c r="A627" i="4"/>
  <c r="B626" i="4"/>
  <c r="A626" i="4"/>
  <c r="B625" i="4"/>
  <c r="A625" i="4"/>
  <c r="B624" i="4"/>
  <c r="A624" i="4"/>
  <c r="B623" i="4"/>
  <c r="A623" i="4"/>
  <c r="B622" i="4"/>
  <c r="A622" i="4"/>
  <c r="B621" i="4"/>
  <c r="A621" i="4"/>
  <c r="B620" i="4"/>
  <c r="A620" i="4"/>
  <c r="B619" i="4"/>
  <c r="A619" i="4"/>
  <c r="B618" i="4"/>
  <c r="A618" i="4"/>
  <c r="B617" i="4"/>
  <c r="A617" i="4"/>
  <c r="B616" i="4"/>
  <c r="A616" i="4"/>
  <c r="B615" i="4"/>
  <c r="A615" i="4"/>
  <c r="B614" i="4"/>
  <c r="A614" i="4"/>
  <c r="B613" i="4"/>
  <c r="A613" i="4"/>
  <c r="B612" i="4"/>
  <c r="A612" i="4"/>
  <c r="B611" i="4"/>
  <c r="A611" i="4"/>
  <c r="B610" i="4"/>
  <c r="A610" i="4"/>
  <c r="B609" i="4"/>
  <c r="A609" i="4"/>
  <c r="B608" i="4"/>
  <c r="A608" i="4"/>
  <c r="B607" i="4"/>
  <c r="A607" i="4"/>
  <c r="B606" i="4"/>
  <c r="A606" i="4"/>
  <c r="B605" i="4"/>
  <c r="A605" i="4"/>
  <c r="B604" i="4"/>
  <c r="A604" i="4"/>
  <c r="B603" i="4"/>
  <c r="A603" i="4"/>
  <c r="B602" i="4"/>
  <c r="A602" i="4"/>
  <c r="B601" i="4"/>
  <c r="A601" i="4"/>
  <c r="B600" i="4"/>
  <c r="A600" i="4"/>
  <c r="B599" i="4"/>
  <c r="A599" i="4"/>
  <c r="B598" i="4"/>
  <c r="A598" i="4"/>
  <c r="B597" i="4"/>
  <c r="A597" i="4"/>
  <c r="B596" i="4"/>
  <c r="A596" i="4"/>
  <c r="B595" i="4"/>
  <c r="A595" i="4"/>
  <c r="B594" i="4"/>
  <c r="A594" i="4"/>
  <c r="B593" i="4"/>
  <c r="A593" i="4"/>
  <c r="B592" i="4"/>
  <c r="A592" i="4"/>
  <c r="B591" i="4"/>
  <c r="A591" i="4"/>
  <c r="B590" i="4"/>
  <c r="A590" i="4"/>
  <c r="B589" i="4"/>
  <c r="A589" i="4"/>
  <c r="B588" i="4"/>
  <c r="A588" i="4"/>
  <c r="B587" i="4"/>
  <c r="A587" i="4"/>
  <c r="B586" i="4"/>
  <c r="A586" i="4"/>
  <c r="B585" i="4"/>
  <c r="A585" i="4"/>
  <c r="B584" i="4"/>
  <c r="A584" i="4"/>
  <c r="B583" i="4"/>
  <c r="A583" i="4"/>
  <c r="B582" i="4"/>
  <c r="A582" i="4"/>
  <c r="B581" i="4"/>
  <c r="A581" i="4"/>
  <c r="B580" i="4"/>
  <c r="A580" i="4"/>
  <c r="B579" i="4"/>
  <c r="A579" i="4"/>
  <c r="B578" i="4"/>
  <c r="A578" i="4"/>
  <c r="B577" i="4"/>
  <c r="A577" i="4"/>
  <c r="B576" i="4"/>
  <c r="A576" i="4"/>
  <c r="B575" i="4"/>
  <c r="A575" i="4"/>
  <c r="B574" i="4"/>
  <c r="A574" i="4"/>
  <c r="B573" i="4"/>
  <c r="A573" i="4"/>
  <c r="B572" i="4"/>
  <c r="A572" i="4"/>
  <c r="B571" i="4"/>
  <c r="A571" i="4"/>
  <c r="B570" i="4"/>
  <c r="A570" i="4"/>
  <c r="B569" i="4"/>
  <c r="A569" i="4"/>
  <c r="B568" i="4"/>
  <c r="A568" i="4"/>
  <c r="B567" i="4"/>
  <c r="A567" i="4"/>
  <c r="B566" i="4"/>
  <c r="A566" i="4"/>
  <c r="B565" i="4"/>
  <c r="A565" i="4"/>
  <c r="B564" i="4"/>
  <c r="A564" i="4"/>
  <c r="B563" i="4"/>
  <c r="A563" i="4"/>
  <c r="B562" i="4"/>
  <c r="A562" i="4"/>
  <c r="B561" i="4"/>
  <c r="A561" i="4"/>
  <c r="B560" i="4"/>
  <c r="A560" i="4"/>
  <c r="B559" i="4"/>
  <c r="A559" i="4"/>
  <c r="B558" i="4"/>
  <c r="A558" i="4"/>
  <c r="B557" i="4"/>
  <c r="A557" i="4"/>
  <c r="B556" i="4"/>
  <c r="A556" i="4"/>
  <c r="B555" i="4"/>
  <c r="A555" i="4"/>
  <c r="B554" i="4"/>
  <c r="A554" i="4"/>
  <c r="B553" i="4"/>
  <c r="A553" i="4"/>
  <c r="B552" i="4"/>
  <c r="A552" i="4"/>
  <c r="B551" i="4"/>
  <c r="A551" i="4"/>
  <c r="B550" i="4"/>
  <c r="A550" i="4"/>
  <c r="B549" i="4"/>
  <c r="A549" i="4"/>
  <c r="B548" i="4"/>
  <c r="A548" i="4"/>
  <c r="B547" i="4"/>
  <c r="A547" i="4"/>
  <c r="B546" i="4"/>
  <c r="A546" i="4"/>
  <c r="B545" i="4"/>
  <c r="A545" i="4"/>
  <c r="B544" i="4"/>
  <c r="A544" i="4"/>
  <c r="B543" i="4"/>
  <c r="A543" i="4"/>
  <c r="B542" i="4"/>
  <c r="A542" i="4"/>
  <c r="B541" i="4"/>
  <c r="A541" i="4"/>
  <c r="B540" i="4"/>
  <c r="A540" i="4"/>
  <c r="B539" i="4"/>
  <c r="A539" i="4"/>
  <c r="B538" i="4"/>
  <c r="A538" i="4"/>
  <c r="B537" i="4"/>
  <c r="A537" i="4"/>
  <c r="B536" i="4"/>
  <c r="A536" i="4"/>
  <c r="B535" i="4"/>
  <c r="A535" i="4"/>
  <c r="B534" i="4"/>
  <c r="A534" i="4"/>
  <c r="B533" i="4"/>
  <c r="A533" i="4"/>
  <c r="B532" i="4"/>
  <c r="A532" i="4"/>
  <c r="B531" i="4"/>
  <c r="A531" i="4"/>
  <c r="B530" i="4"/>
  <c r="A530" i="4"/>
  <c r="B529" i="4"/>
  <c r="A529" i="4"/>
  <c r="B528" i="4"/>
  <c r="A528" i="4"/>
  <c r="B527" i="4"/>
  <c r="A527" i="4"/>
  <c r="B526" i="4"/>
  <c r="A526" i="4"/>
  <c r="B525" i="4"/>
  <c r="A525" i="4"/>
  <c r="B524" i="4"/>
  <c r="A524" i="4"/>
  <c r="B523" i="4"/>
  <c r="A523" i="4"/>
  <c r="B522" i="4"/>
  <c r="A522" i="4"/>
  <c r="B521" i="4"/>
  <c r="A521" i="4"/>
  <c r="B520" i="4"/>
  <c r="A520" i="4"/>
  <c r="B519" i="4"/>
  <c r="A519" i="4"/>
  <c r="B518" i="4"/>
  <c r="A518" i="4"/>
  <c r="B517" i="4"/>
  <c r="A517" i="4"/>
  <c r="B516" i="4"/>
  <c r="A516" i="4"/>
  <c r="B515" i="4"/>
  <c r="A515" i="4"/>
  <c r="B514" i="4"/>
  <c r="A514" i="4"/>
  <c r="B513" i="4"/>
  <c r="A513" i="4"/>
  <c r="B512" i="4"/>
  <c r="A512" i="4"/>
  <c r="B511" i="4"/>
  <c r="A511" i="4"/>
  <c r="B510" i="4"/>
  <c r="A510" i="4"/>
  <c r="B509" i="4"/>
  <c r="A509" i="4"/>
  <c r="B508" i="4"/>
  <c r="A508" i="4"/>
  <c r="B507" i="4"/>
  <c r="A507" i="4"/>
  <c r="B506" i="4"/>
  <c r="A506" i="4"/>
  <c r="B505" i="4"/>
  <c r="A505" i="4"/>
  <c r="B504" i="4"/>
  <c r="A504" i="4"/>
  <c r="B503" i="4"/>
  <c r="A503" i="4"/>
  <c r="B502" i="4"/>
  <c r="A502" i="4"/>
  <c r="B501" i="4"/>
  <c r="A501" i="4"/>
  <c r="B500" i="4"/>
  <c r="A500" i="4"/>
  <c r="B499" i="4"/>
  <c r="A499" i="4"/>
  <c r="B498" i="4"/>
  <c r="A498" i="4"/>
  <c r="B497" i="4"/>
  <c r="A497" i="4"/>
  <c r="B496" i="4"/>
  <c r="A496" i="4"/>
  <c r="B495" i="4"/>
  <c r="A495" i="4"/>
  <c r="B494" i="4"/>
  <c r="A494" i="4"/>
  <c r="B493" i="4"/>
  <c r="A493" i="4"/>
  <c r="B492" i="4"/>
  <c r="A492" i="4"/>
  <c r="B491" i="4"/>
  <c r="A491" i="4"/>
  <c r="B490" i="4"/>
  <c r="A490" i="4"/>
  <c r="B489" i="4"/>
  <c r="A489" i="4"/>
  <c r="B488" i="4"/>
  <c r="A488" i="4"/>
  <c r="B487" i="4"/>
  <c r="A487" i="4"/>
  <c r="B486" i="4"/>
  <c r="A486" i="4"/>
  <c r="B485" i="4"/>
  <c r="A485" i="4"/>
  <c r="B484" i="4"/>
  <c r="A484" i="4"/>
  <c r="B483" i="4"/>
  <c r="A483" i="4"/>
  <c r="B482" i="4"/>
  <c r="A482" i="4"/>
  <c r="B481" i="4"/>
  <c r="A481" i="4"/>
  <c r="B480" i="4"/>
  <c r="A480" i="4"/>
  <c r="B479" i="4"/>
  <c r="A479" i="4"/>
  <c r="B478" i="4"/>
  <c r="A478" i="4"/>
  <c r="B477" i="4"/>
  <c r="A477" i="4"/>
  <c r="B476" i="4"/>
  <c r="A476" i="4"/>
  <c r="B475" i="4"/>
  <c r="A475" i="4"/>
  <c r="B474" i="4"/>
  <c r="A474" i="4"/>
  <c r="B473" i="4"/>
  <c r="A473" i="4"/>
  <c r="B472" i="4"/>
  <c r="A472" i="4"/>
  <c r="B471" i="4"/>
  <c r="A471" i="4"/>
  <c r="B470" i="4"/>
  <c r="A470" i="4"/>
  <c r="B469" i="4"/>
  <c r="A469" i="4"/>
  <c r="B468" i="4"/>
  <c r="A468" i="4"/>
  <c r="B467" i="4"/>
  <c r="A467" i="4"/>
  <c r="B466" i="4"/>
  <c r="A466" i="4"/>
  <c r="B465" i="4"/>
  <c r="A465" i="4"/>
  <c r="B464" i="4"/>
  <c r="A464" i="4"/>
  <c r="B463" i="4"/>
  <c r="A463" i="4"/>
  <c r="B462" i="4"/>
  <c r="A462" i="4"/>
  <c r="B461" i="4"/>
  <c r="A461" i="4"/>
  <c r="B460" i="4"/>
  <c r="A460" i="4"/>
  <c r="B459" i="4"/>
  <c r="A459" i="4"/>
  <c r="B458" i="4"/>
  <c r="A458" i="4"/>
  <c r="B457" i="4"/>
  <c r="A457" i="4"/>
  <c r="B456" i="4"/>
  <c r="A456" i="4"/>
  <c r="B455" i="4"/>
  <c r="A455" i="4"/>
  <c r="B454" i="4"/>
  <c r="A454" i="4"/>
  <c r="B453" i="4"/>
  <c r="A453" i="4"/>
  <c r="B452" i="4"/>
  <c r="A452" i="4"/>
  <c r="B451" i="4"/>
  <c r="A451" i="4"/>
  <c r="B450" i="4"/>
  <c r="A450" i="4"/>
  <c r="B449" i="4"/>
  <c r="A449" i="4"/>
  <c r="B448" i="4"/>
  <c r="A448" i="4"/>
  <c r="B447" i="4"/>
  <c r="A447" i="4"/>
  <c r="B446" i="4"/>
  <c r="A446" i="4"/>
  <c r="B445" i="4"/>
  <c r="A445" i="4"/>
  <c r="B444" i="4"/>
  <c r="A444" i="4"/>
  <c r="B443" i="4"/>
  <c r="A443" i="4"/>
  <c r="B442" i="4"/>
  <c r="A442" i="4"/>
  <c r="B441" i="4"/>
  <c r="A441" i="4"/>
  <c r="B440" i="4"/>
  <c r="A440" i="4"/>
  <c r="B439" i="4"/>
  <c r="A439" i="4"/>
  <c r="B438" i="4"/>
  <c r="A438" i="4"/>
  <c r="B437" i="4"/>
  <c r="A437" i="4"/>
  <c r="B436" i="4"/>
  <c r="A436" i="4"/>
  <c r="B435" i="4"/>
  <c r="A435" i="4"/>
  <c r="B434" i="4"/>
  <c r="A434" i="4"/>
  <c r="B433" i="4"/>
  <c r="A433" i="4"/>
  <c r="B432" i="4"/>
  <c r="A432" i="4"/>
  <c r="B431" i="4"/>
  <c r="A431" i="4"/>
  <c r="B430" i="4"/>
  <c r="A430" i="4"/>
  <c r="B429" i="4"/>
  <c r="A429" i="4"/>
  <c r="B428" i="4"/>
  <c r="A428" i="4"/>
  <c r="B427" i="4"/>
  <c r="A427" i="4"/>
  <c r="B426" i="4"/>
  <c r="A426" i="4"/>
  <c r="B425" i="4"/>
  <c r="A425" i="4"/>
  <c r="B424" i="4"/>
  <c r="A424" i="4"/>
  <c r="B423" i="4"/>
  <c r="A423" i="4"/>
  <c r="B422" i="4"/>
  <c r="A422" i="4"/>
  <c r="B421" i="4"/>
  <c r="A421" i="4"/>
  <c r="B420" i="4"/>
  <c r="A420" i="4"/>
  <c r="B419" i="4"/>
  <c r="A419" i="4"/>
  <c r="B418" i="4"/>
  <c r="A418" i="4"/>
  <c r="B417" i="4"/>
  <c r="A417" i="4"/>
  <c r="B416" i="4"/>
  <c r="A416" i="4"/>
  <c r="B415" i="4"/>
  <c r="A415" i="4"/>
  <c r="B414" i="4"/>
  <c r="A414" i="4"/>
  <c r="B413" i="4"/>
  <c r="A413" i="4"/>
  <c r="B412" i="4"/>
  <c r="A412" i="4"/>
  <c r="B411" i="4"/>
  <c r="A411" i="4"/>
  <c r="B410" i="4"/>
  <c r="A410" i="4"/>
  <c r="B409" i="4"/>
  <c r="A409" i="4"/>
  <c r="B408" i="4"/>
  <c r="A408" i="4"/>
  <c r="B407" i="4"/>
  <c r="A407" i="4"/>
  <c r="B406" i="4"/>
  <c r="A406" i="4"/>
  <c r="B405" i="4"/>
  <c r="A405" i="4"/>
  <c r="B404" i="4"/>
  <c r="A404" i="4"/>
  <c r="B403" i="4"/>
  <c r="A403" i="4"/>
  <c r="B402" i="4"/>
  <c r="A402" i="4"/>
  <c r="B401" i="4"/>
  <c r="A401" i="4"/>
  <c r="B400" i="4"/>
  <c r="A400" i="4"/>
  <c r="B399" i="4"/>
  <c r="A399" i="4"/>
  <c r="B398" i="4"/>
  <c r="A398" i="4"/>
  <c r="B397" i="4"/>
  <c r="A397" i="4"/>
  <c r="B396" i="4"/>
  <c r="A396" i="4"/>
  <c r="B395" i="4"/>
  <c r="A395" i="4"/>
  <c r="B394" i="4"/>
  <c r="A394" i="4"/>
  <c r="B393" i="4"/>
  <c r="A393" i="4"/>
  <c r="B392" i="4"/>
  <c r="A392" i="4"/>
  <c r="B391" i="4"/>
  <c r="A391" i="4"/>
  <c r="B390" i="4"/>
  <c r="A390" i="4"/>
  <c r="B389" i="4"/>
  <c r="A389" i="4"/>
  <c r="B388" i="4"/>
  <c r="A388" i="4"/>
  <c r="B387" i="4"/>
  <c r="A387" i="4"/>
  <c r="B386" i="4"/>
  <c r="A386" i="4"/>
  <c r="B385" i="4"/>
  <c r="A385" i="4"/>
  <c r="B384" i="4"/>
  <c r="A384" i="4"/>
  <c r="B383" i="4"/>
  <c r="A383" i="4"/>
  <c r="B382" i="4"/>
  <c r="A382" i="4"/>
  <c r="B381" i="4"/>
  <c r="A381" i="4"/>
  <c r="B380" i="4"/>
  <c r="A380" i="4"/>
  <c r="B379" i="4"/>
  <c r="A379" i="4"/>
  <c r="B378" i="4"/>
  <c r="A378" i="4"/>
  <c r="B377" i="4"/>
  <c r="A377" i="4"/>
  <c r="B376" i="4"/>
  <c r="A376" i="4"/>
  <c r="B375" i="4"/>
  <c r="A375" i="4"/>
  <c r="B374" i="4"/>
  <c r="A374" i="4"/>
  <c r="B373" i="4"/>
  <c r="A373" i="4"/>
  <c r="B372" i="4"/>
  <c r="A372" i="4"/>
  <c r="B371" i="4"/>
  <c r="A371" i="4"/>
  <c r="B370" i="4"/>
  <c r="A370" i="4"/>
  <c r="B369" i="4"/>
  <c r="A369" i="4"/>
  <c r="B368" i="4"/>
  <c r="A368" i="4"/>
  <c r="B367" i="4"/>
  <c r="A367" i="4"/>
  <c r="B366" i="4"/>
  <c r="A366" i="4"/>
  <c r="B365" i="4"/>
  <c r="A365" i="4"/>
  <c r="B364" i="4"/>
  <c r="A364" i="4"/>
  <c r="B363" i="4"/>
  <c r="A363" i="4"/>
  <c r="B362" i="4"/>
  <c r="A362" i="4"/>
  <c r="B361" i="4"/>
  <c r="A361" i="4"/>
  <c r="B360" i="4"/>
  <c r="A360" i="4"/>
  <c r="B359" i="4"/>
  <c r="A359" i="4"/>
  <c r="B358" i="4"/>
  <c r="A358" i="4"/>
  <c r="B357" i="4"/>
  <c r="A357" i="4"/>
  <c r="B356" i="4"/>
  <c r="A356" i="4"/>
  <c r="B355" i="4"/>
  <c r="A355" i="4"/>
  <c r="B354" i="4"/>
  <c r="A354" i="4"/>
  <c r="B353" i="4"/>
  <c r="A353" i="4"/>
  <c r="B352" i="4"/>
  <c r="A352" i="4"/>
  <c r="B351" i="4"/>
  <c r="A351" i="4"/>
  <c r="B350" i="4"/>
  <c r="A350" i="4"/>
  <c r="B349" i="4"/>
  <c r="A349" i="4"/>
  <c r="B348" i="4"/>
  <c r="A348" i="4"/>
  <c r="B347" i="4"/>
  <c r="A347" i="4"/>
  <c r="B346" i="4"/>
  <c r="A346" i="4"/>
  <c r="B345" i="4"/>
  <c r="A345" i="4"/>
  <c r="B344" i="4"/>
  <c r="A344" i="4"/>
  <c r="B343" i="4"/>
  <c r="A343" i="4"/>
  <c r="B342" i="4"/>
  <c r="A342" i="4"/>
  <c r="B341" i="4"/>
  <c r="A341" i="4"/>
  <c r="B340" i="4"/>
  <c r="A340" i="4"/>
  <c r="B339" i="4"/>
  <c r="A339" i="4"/>
  <c r="B338" i="4"/>
  <c r="A338" i="4"/>
  <c r="B337" i="4"/>
  <c r="A337" i="4"/>
  <c r="B336" i="4"/>
  <c r="A336" i="4"/>
  <c r="B335" i="4"/>
  <c r="A335" i="4"/>
  <c r="B334" i="4"/>
  <c r="A334" i="4"/>
  <c r="B333" i="4"/>
  <c r="A333" i="4"/>
  <c r="B332" i="4"/>
  <c r="A332" i="4"/>
  <c r="B331" i="4"/>
  <c r="A331" i="4"/>
  <c r="B330" i="4"/>
  <c r="A330" i="4"/>
  <c r="B329" i="4"/>
  <c r="A329" i="4"/>
  <c r="B328" i="4"/>
  <c r="A328" i="4"/>
  <c r="B327" i="4"/>
  <c r="A327" i="4"/>
  <c r="B326" i="4"/>
  <c r="A326" i="4"/>
  <c r="B325" i="4"/>
  <c r="A325" i="4"/>
  <c r="B324" i="4"/>
  <c r="A324" i="4"/>
  <c r="B323" i="4"/>
  <c r="A323" i="4"/>
  <c r="B322" i="4"/>
  <c r="A322" i="4"/>
  <c r="B321" i="4"/>
  <c r="A321" i="4"/>
  <c r="B320" i="4"/>
  <c r="A320" i="4"/>
  <c r="B319" i="4"/>
  <c r="A319" i="4"/>
  <c r="B318" i="4"/>
  <c r="A318" i="4"/>
  <c r="B317" i="4"/>
  <c r="A317" i="4"/>
  <c r="B316" i="4"/>
  <c r="A316" i="4"/>
  <c r="B315" i="4"/>
  <c r="A315" i="4"/>
  <c r="B314" i="4"/>
  <c r="A314" i="4"/>
  <c r="B313" i="4"/>
  <c r="A313" i="4"/>
  <c r="B312" i="4"/>
  <c r="A312" i="4"/>
  <c r="B311" i="4"/>
  <c r="A311" i="4"/>
  <c r="B310" i="4"/>
  <c r="A310" i="4"/>
  <c r="B309" i="4"/>
  <c r="A309" i="4"/>
  <c r="B308" i="4"/>
  <c r="A308" i="4"/>
  <c r="B307" i="4"/>
  <c r="A307" i="4"/>
  <c r="B306" i="4"/>
  <c r="A306" i="4"/>
  <c r="B305" i="4"/>
  <c r="A305" i="4"/>
  <c r="B304" i="4"/>
  <c r="A304" i="4"/>
  <c r="B303" i="4"/>
  <c r="A303" i="4"/>
  <c r="B302" i="4"/>
  <c r="A302" i="4"/>
  <c r="B301" i="4"/>
  <c r="A301" i="4"/>
  <c r="B300" i="4"/>
  <c r="A300" i="4"/>
  <c r="B299" i="4"/>
  <c r="A299" i="4"/>
  <c r="B298" i="4"/>
  <c r="A298" i="4"/>
  <c r="B297" i="4"/>
  <c r="A297" i="4"/>
  <c r="B296" i="4"/>
  <c r="A296" i="4"/>
  <c r="B295" i="4"/>
  <c r="A295" i="4"/>
  <c r="B294" i="4"/>
  <c r="A294" i="4"/>
  <c r="B293" i="4"/>
  <c r="A293" i="4"/>
  <c r="B292" i="4"/>
  <c r="A292" i="4"/>
  <c r="B291" i="4"/>
  <c r="A291" i="4"/>
  <c r="B290" i="4"/>
  <c r="A290" i="4"/>
  <c r="B289" i="4"/>
  <c r="A289" i="4"/>
  <c r="B288" i="4"/>
  <c r="A288" i="4"/>
  <c r="B287" i="4"/>
  <c r="A287" i="4"/>
  <c r="B286" i="4"/>
  <c r="A286" i="4"/>
  <c r="B285" i="4"/>
  <c r="A285" i="4"/>
  <c r="B284" i="4"/>
  <c r="A284" i="4"/>
  <c r="B283" i="4"/>
  <c r="A283" i="4"/>
  <c r="B282" i="4"/>
  <c r="A282" i="4"/>
  <c r="B281" i="4"/>
  <c r="A281" i="4"/>
  <c r="B280" i="4"/>
  <c r="A280" i="4"/>
  <c r="B279" i="4"/>
  <c r="A279" i="4"/>
  <c r="B278" i="4"/>
  <c r="A278" i="4"/>
  <c r="B277" i="4"/>
  <c r="A277" i="4"/>
  <c r="B276" i="4"/>
  <c r="A276" i="4"/>
  <c r="B275" i="4"/>
  <c r="A275" i="4"/>
  <c r="B274" i="4"/>
  <c r="A274" i="4"/>
  <c r="B273" i="4"/>
  <c r="A273" i="4"/>
  <c r="B272" i="4"/>
  <c r="A272" i="4"/>
  <c r="B271" i="4"/>
  <c r="A271" i="4"/>
  <c r="B270" i="4"/>
  <c r="A270" i="4"/>
  <c r="B269" i="4"/>
  <c r="A269" i="4"/>
  <c r="B268" i="4"/>
  <c r="A268" i="4"/>
  <c r="B267" i="4"/>
  <c r="A267" i="4"/>
  <c r="B266" i="4"/>
  <c r="A266" i="4"/>
  <c r="B265" i="4"/>
  <c r="A265" i="4"/>
  <c r="B264" i="4"/>
  <c r="A264" i="4"/>
  <c r="B263" i="4"/>
  <c r="A263" i="4"/>
  <c r="B262" i="4"/>
  <c r="A262" i="4"/>
  <c r="B261" i="4"/>
  <c r="A261" i="4"/>
  <c r="B260" i="4"/>
  <c r="A260" i="4"/>
  <c r="B259" i="4"/>
  <c r="A259" i="4"/>
  <c r="B258" i="4"/>
  <c r="A258" i="4"/>
  <c r="B257" i="4"/>
  <c r="A257" i="4"/>
  <c r="B256" i="4"/>
  <c r="A256" i="4"/>
  <c r="B255" i="4"/>
  <c r="A255" i="4"/>
  <c r="B254" i="4"/>
  <c r="A254" i="4"/>
  <c r="B253" i="4"/>
  <c r="A253" i="4"/>
  <c r="B252" i="4"/>
  <c r="A252" i="4"/>
  <c r="B251" i="4"/>
  <c r="A251" i="4"/>
  <c r="B250" i="4"/>
  <c r="A250" i="4"/>
  <c r="B249" i="4"/>
  <c r="A249" i="4"/>
  <c r="B248" i="4"/>
  <c r="A248" i="4"/>
  <c r="B247" i="4"/>
  <c r="A247" i="4"/>
  <c r="B246" i="4"/>
  <c r="A246" i="4"/>
  <c r="B245" i="4"/>
  <c r="A245" i="4"/>
  <c r="B244" i="4"/>
  <c r="A244" i="4"/>
  <c r="B243" i="4"/>
  <c r="A243" i="4"/>
  <c r="B242" i="4"/>
  <c r="A242" i="4"/>
  <c r="B241" i="4"/>
  <c r="A241" i="4"/>
  <c r="B240" i="4"/>
  <c r="A240" i="4"/>
  <c r="B239" i="4"/>
  <c r="A239" i="4"/>
  <c r="B238" i="4"/>
  <c r="A238" i="4"/>
  <c r="B237" i="4"/>
  <c r="A237" i="4"/>
  <c r="B236" i="4"/>
  <c r="A236" i="4"/>
  <c r="B235" i="4"/>
  <c r="A235" i="4"/>
  <c r="B234" i="4"/>
  <c r="A234" i="4"/>
  <c r="B233" i="4"/>
  <c r="A233" i="4"/>
  <c r="B232" i="4"/>
  <c r="A232" i="4"/>
  <c r="B231" i="4"/>
  <c r="A231" i="4"/>
  <c r="B230" i="4"/>
  <c r="A230" i="4"/>
  <c r="B229" i="4"/>
  <c r="A229" i="4"/>
  <c r="B228" i="4"/>
  <c r="A228" i="4"/>
  <c r="B227" i="4"/>
  <c r="A227" i="4"/>
  <c r="B226" i="4"/>
  <c r="A226" i="4"/>
  <c r="B225" i="4"/>
  <c r="A225" i="4"/>
  <c r="B224" i="4"/>
  <c r="A224" i="4"/>
  <c r="B223" i="4"/>
  <c r="A223" i="4"/>
  <c r="B222" i="4"/>
  <c r="A222" i="4"/>
  <c r="B221" i="4"/>
  <c r="A221" i="4"/>
  <c r="B220" i="4"/>
  <c r="A220" i="4"/>
  <c r="B219" i="4"/>
  <c r="A219" i="4"/>
  <c r="B218" i="4"/>
  <c r="A218" i="4"/>
  <c r="B217" i="4"/>
  <c r="A217" i="4"/>
  <c r="B216" i="4"/>
  <c r="A216" i="4"/>
  <c r="B215" i="4"/>
  <c r="A215" i="4"/>
  <c r="B214" i="4"/>
  <c r="A214" i="4"/>
  <c r="B213" i="4"/>
  <c r="A213" i="4"/>
  <c r="B212" i="4"/>
  <c r="A212" i="4"/>
  <c r="B211" i="4"/>
  <c r="A211" i="4"/>
  <c r="B210" i="4"/>
  <c r="A210" i="4"/>
  <c r="B209" i="4"/>
  <c r="A209" i="4"/>
  <c r="B208" i="4"/>
  <c r="A208" i="4"/>
  <c r="B207" i="4"/>
  <c r="A207" i="4"/>
  <c r="B206" i="4"/>
  <c r="A206" i="4"/>
  <c r="B205" i="4"/>
  <c r="A205" i="4"/>
  <c r="B204" i="4"/>
  <c r="A204" i="4"/>
  <c r="B203" i="4"/>
  <c r="A203" i="4"/>
  <c r="B202" i="4"/>
  <c r="A202" i="4"/>
  <c r="B201" i="4"/>
  <c r="A201" i="4"/>
  <c r="B200" i="4"/>
  <c r="A200" i="4"/>
  <c r="B199" i="4"/>
  <c r="A199" i="4"/>
  <c r="B198" i="4"/>
  <c r="A198" i="4"/>
  <c r="B197" i="4"/>
  <c r="A197" i="4"/>
  <c r="B196" i="4"/>
  <c r="A196" i="4"/>
  <c r="B195" i="4"/>
  <c r="A195" i="4"/>
  <c r="B194" i="4"/>
  <c r="A194" i="4"/>
  <c r="B193" i="4"/>
  <c r="A193" i="4"/>
  <c r="B192" i="4"/>
  <c r="A192" i="4"/>
  <c r="B191" i="4"/>
  <c r="A191" i="4"/>
  <c r="B190" i="4"/>
  <c r="A190" i="4"/>
  <c r="B189" i="4"/>
  <c r="A189" i="4"/>
  <c r="B188" i="4"/>
  <c r="A188" i="4"/>
  <c r="B187" i="4"/>
  <c r="A187" i="4"/>
  <c r="B186" i="4"/>
  <c r="A186" i="4"/>
  <c r="B185" i="4"/>
  <c r="A185" i="4"/>
  <c r="B184" i="4"/>
  <c r="A184" i="4"/>
  <c r="B183" i="4"/>
  <c r="A183" i="4"/>
  <c r="B182" i="4"/>
  <c r="A182" i="4"/>
  <c r="B181" i="4"/>
  <c r="A181" i="4"/>
  <c r="B180" i="4"/>
  <c r="A180" i="4"/>
  <c r="B179" i="4"/>
  <c r="A179" i="4"/>
  <c r="B178" i="4"/>
  <c r="A178" i="4"/>
  <c r="B177" i="4"/>
  <c r="A177" i="4"/>
  <c r="B176" i="4"/>
  <c r="A176" i="4"/>
  <c r="B175" i="4"/>
  <c r="A175" i="4"/>
  <c r="B174" i="4"/>
  <c r="A174" i="4"/>
  <c r="B173" i="4"/>
  <c r="A173" i="4"/>
  <c r="B172" i="4"/>
  <c r="A172" i="4"/>
  <c r="B171" i="4"/>
  <c r="A171" i="4"/>
  <c r="B170" i="4"/>
  <c r="A170" i="4"/>
  <c r="B169" i="4"/>
  <c r="A169" i="4"/>
  <c r="B168" i="4"/>
  <c r="A168" i="4"/>
  <c r="B167" i="4"/>
  <c r="A167" i="4"/>
  <c r="B166" i="4"/>
  <c r="A166" i="4"/>
  <c r="B165" i="4"/>
  <c r="A165" i="4"/>
  <c r="B164" i="4"/>
  <c r="A164" i="4"/>
  <c r="B163" i="4"/>
  <c r="A163" i="4"/>
  <c r="B162" i="4"/>
  <c r="A162" i="4"/>
  <c r="B161" i="4"/>
  <c r="A161" i="4"/>
  <c r="B160" i="4"/>
  <c r="A160" i="4"/>
  <c r="B159" i="4"/>
  <c r="A159" i="4"/>
  <c r="B158" i="4"/>
  <c r="A158" i="4"/>
  <c r="B157" i="4"/>
  <c r="A157" i="4"/>
  <c r="B156" i="4"/>
  <c r="A156" i="4"/>
  <c r="B155" i="4"/>
  <c r="A155" i="4"/>
  <c r="B154" i="4"/>
  <c r="A154" i="4"/>
  <c r="B153" i="4"/>
  <c r="A153" i="4"/>
  <c r="B152" i="4"/>
  <c r="A152" i="4"/>
  <c r="B151" i="4"/>
  <c r="A151" i="4"/>
  <c r="B150" i="4"/>
  <c r="A150" i="4"/>
  <c r="B149" i="4"/>
  <c r="A149" i="4"/>
  <c r="B148" i="4"/>
  <c r="A148" i="4"/>
  <c r="B147" i="4"/>
  <c r="A147" i="4"/>
  <c r="B146" i="4"/>
  <c r="A146" i="4"/>
  <c r="B145" i="4"/>
  <c r="A145" i="4"/>
  <c r="B144" i="4"/>
  <c r="A144" i="4"/>
  <c r="B143" i="4"/>
  <c r="A143" i="4"/>
  <c r="B142" i="4"/>
  <c r="A142" i="4"/>
  <c r="B141" i="4"/>
  <c r="A141" i="4"/>
  <c r="B140" i="4"/>
  <c r="A140" i="4"/>
  <c r="B139" i="4"/>
  <c r="A139" i="4"/>
  <c r="B138" i="4"/>
  <c r="A138" i="4"/>
  <c r="B137" i="4"/>
  <c r="A137" i="4"/>
  <c r="B136" i="4"/>
  <c r="A136" i="4"/>
  <c r="B135" i="4"/>
  <c r="A135" i="4"/>
  <c r="B134" i="4"/>
  <c r="A134" i="4"/>
  <c r="B133" i="4"/>
  <c r="A133" i="4"/>
  <c r="B132" i="4"/>
  <c r="A132" i="4"/>
  <c r="B131" i="4"/>
  <c r="A131" i="4"/>
  <c r="B130" i="4"/>
  <c r="A130" i="4"/>
  <c r="B129" i="4"/>
  <c r="A129" i="4"/>
  <c r="B128" i="4"/>
  <c r="A128" i="4"/>
  <c r="B127" i="4"/>
  <c r="A127" i="4"/>
  <c r="B126" i="4"/>
  <c r="A126" i="4"/>
  <c r="B125" i="4"/>
  <c r="A125" i="4"/>
  <c r="B124" i="4"/>
  <c r="A124" i="4"/>
  <c r="B123" i="4"/>
  <c r="A123" i="4"/>
  <c r="B122" i="4"/>
  <c r="A122" i="4"/>
  <c r="B121" i="4"/>
  <c r="A121" i="4"/>
  <c r="B120" i="4"/>
  <c r="A120" i="4"/>
  <c r="B119" i="4"/>
  <c r="A119" i="4"/>
  <c r="B118" i="4"/>
  <c r="A118" i="4"/>
  <c r="B117" i="4"/>
  <c r="A117" i="4"/>
  <c r="B116" i="4"/>
  <c r="A116" i="4"/>
  <c r="B115" i="4"/>
  <c r="A115" i="4"/>
  <c r="B114" i="4"/>
  <c r="A114" i="4"/>
  <c r="B113" i="4"/>
  <c r="A113" i="4"/>
  <c r="B112" i="4"/>
  <c r="A112" i="4"/>
  <c r="B111" i="4"/>
  <c r="A111" i="4"/>
  <c r="B110" i="4"/>
  <c r="A110" i="4"/>
  <c r="B109" i="4"/>
  <c r="A109" i="4"/>
  <c r="B108" i="4"/>
  <c r="A108" i="4"/>
  <c r="B107" i="4"/>
  <c r="A107" i="4"/>
  <c r="B106" i="4"/>
  <c r="A106" i="4"/>
  <c r="B105" i="4"/>
  <c r="A105" i="4"/>
  <c r="B104" i="4"/>
  <c r="A104" i="4"/>
  <c r="B103" i="4"/>
  <c r="A103" i="4"/>
  <c r="B102" i="4"/>
  <c r="A102" i="4"/>
  <c r="B101" i="4"/>
  <c r="A101" i="4"/>
  <c r="B100" i="4"/>
  <c r="A100" i="4"/>
  <c r="B99" i="4"/>
  <c r="A99" i="4"/>
  <c r="B98" i="4"/>
  <c r="A98" i="4"/>
  <c r="B97" i="4"/>
  <c r="A97" i="4"/>
  <c r="B96" i="4"/>
  <c r="A96" i="4"/>
  <c r="B95" i="4"/>
  <c r="A95" i="4"/>
  <c r="B94" i="4"/>
  <c r="A94" i="4"/>
  <c r="B93" i="4"/>
  <c r="A93" i="4"/>
  <c r="B92" i="4"/>
  <c r="A92" i="4"/>
  <c r="B91" i="4"/>
  <c r="A91" i="4"/>
  <c r="B90" i="4"/>
  <c r="A90" i="4"/>
  <c r="B89" i="4"/>
  <c r="A89" i="4"/>
  <c r="B88" i="4"/>
  <c r="A88" i="4"/>
  <c r="B87" i="4"/>
  <c r="A87" i="4"/>
  <c r="B86" i="4"/>
  <c r="A86" i="4"/>
  <c r="B85" i="4"/>
  <c r="A85" i="4"/>
  <c r="B84" i="4"/>
  <c r="A84" i="4"/>
  <c r="B83" i="4"/>
  <c r="A83" i="4"/>
  <c r="B82" i="4"/>
  <c r="A82" i="4"/>
  <c r="B81" i="4"/>
  <c r="A81" i="4"/>
  <c r="B80" i="4"/>
  <c r="A80" i="4"/>
  <c r="B79" i="4"/>
  <c r="A79" i="4"/>
  <c r="B78" i="4"/>
  <c r="A78" i="4"/>
  <c r="B77" i="4"/>
  <c r="A77" i="4"/>
  <c r="B76" i="4"/>
  <c r="A76" i="4"/>
  <c r="B75" i="4"/>
  <c r="A75" i="4"/>
  <c r="B74" i="4"/>
  <c r="A74" i="4"/>
  <c r="B73" i="4"/>
  <c r="A73" i="4"/>
  <c r="B72" i="4"/>
  <c r="A72" i="4"/>
  <c r="B71" i="4"/>
  <c r="A71" i="4"/>
  <c r="B70" i="4"/>
  <c r="A70" i="4"/>
  <c r="B69" i="4"/>
  <c r="A69" i="4"/>
  <c r="B68" i="4"/>
  <c r="A68" i="4"/>
  <c r="B67" i="4"/>
  <c r="A67" i="4"/>
  <c r="B66" i="4"/>
  <c r="A66" i="4"/>
  <c r="B65" i="4"/>
  <c r="A65" i="4"/>
  <c r="B64" i="4"/>
  <c r="A64" i="4"/>
  <c r="B63" i="4"/>
  <c r="A63" i="4"/>
  <c r="B62" i="4"/>
  <c r="A62" i="4"/>
  <c r="B61" i="4"/>
  <c r="A61" i="4"/>
  <c r="B60" i="4"/>
  <c r="A60" i="4"/>
  <c r="B59" i="4"/>
  <c r="A59" i="4"/>
  <c r="B58" i="4"/>
  <c r="A58" i="4"/>
  <c r="B57" i="4"/>
  <c r="A57" i="4"/>
  <c r="B56" i="4"/>
  <c r="A56" i="4"/>
  <c r="B55" i="4"/>
  <c r="A55" i="4"/>
  <c r="B54" i="4"/>
  <c r="A54" i="4"/>
  <c r="B53" i="4"/>
  <c r="A53" i="4"/>
  <c r="B52" i="4"/>
  <c r="A52" i="4"/>
  <c r="B51" i="4"/>
  <c r="A51" i="4"/>
  <c r="B50" i="4"/>
  <c r="A50" i="4"/>
  <c r="B49" i="4"/>
  <c r="A49" i="4"/>
  <c r="B48" i="4"/>
  <c r="A48" i="4"/>
  <c r="B47" i="4"/>
  <c r="A47" i="4"/>
  <c r="B46" i="4"/>
  <c r="A46" i="4"/>
  <c r="B45" i="4"/>
  <c r="A45" i="4"/>
  <c r="B44" i="4"/>
  <c r="A44" i="4"/>
  <c r="B43" i="4"/>
  <c r="A43" i="4"/>
  <c r="B42" i="4"/>
  <c r="A42" i="4"/>
  <c r="B41" i="4"/>
  <c r="A41" i="4"/>
  <c r="B40" i="4"/>
  <c r="A40" i="4"/>
  <c r="B39" i="4"/>
  <c r="A39" i="4"/>
  <c r="B38" i="4"/>
  <c r="A38" i="4"/>
  <c r="B37" i="4"/>
  <c r="A37" i="4"/>
  <c r="B36" i="4"/>
  <c r="A36" i="4"/>
  <c r="B35" i="4"/>
  <c r="A35" i="4"/>
  <c r="B34" i="4"/>
  <c r="A34" i="4"/>
  <c r="B33" i="4"/>
  <c r="A33" i="4"/>
  <c r="B32" i="4"/>
  <c r="A32" i="4"/>
  <c r="B31" i="4"/>
  <c r="A31" i="4"/>
  <c r="B30" i="4"/>
  <c r="A30" i="4"/>
  <c r="B29" i="4"/>
  <c r="A29" i="4"/>
  <c r="B28" i="4"/>
  <c r="A28" i="4"/>
  <c r="B27" i="4"/>
  <c r="A27" i="4"/>
  <c r="B26" i="4"/>
  <c r="A26" i="4"/>
  <c r="B25" i="4"/>
  <c r="A25" i="4"/>
  <c r="B24" i="4"/>
  <c r="A24" i="4"/>
  <c r="B23" i="4"/>
  <c r="A23" i="4"/>
  <c r="B22" i="4"/>
  <c r="A22" i="4"/>
  <c r="B21" i="4"/>
  <c r="A21" i="4"/>
  <c r="B20" i="4"/>
  <c r="A20" i="4"/>
  <c r="B19" i="4"/>
  <c r="A19" i="4"/>
  <c r="B18" i="4"/>
  <c r="A18" i="4"/>
  <c r="B17" i="4"/>
  <c r="A17" i="4"/>
  <c r="B16" i="4"/>
  <c r="A16" i="4"/>
  <c r="B15" i="4"/>
  <c r="A15" i="4"/>
  <c r="B14" i="4"/>
  <c r="A14" i="4"/>
  <c r="B13" i="4"/>
  <c r="A13" i="4"/>
  <c r="B12" i="4"/>
  <c r="A12" i="4"/>
  <c r="B11" i="4"/>
  <c r="A11" i="4"/>
  <c r="B10" i="4"/>
  <c r="A10" i="4"/>
  <c r="B9" i="4"/>
  <c r="A9" i="4"/>
  <c r="B8" i="4"/>
  <c r="A8" i="4"/>
  <c r="B7" i="4"/>
  <c r="A7" i="4"/>
  <c r="B6" i="4"/>
  <c r="A6" i="4"/>
  <c r="B5" i="4"/>
  <c r="A5" i="4"/>
  <c r="B4" i="4"/>
  <c r="A4" i="4"/>
  <c r="B3" i="4"/>
  <c r="A3" i="4"/>
  <c r="B2" i="4"/>
  <c r="A2" i="4"/>
  <c r="B1" i="4"/>
  <c r="B1775" i="3"/>
  <c r="A1775" i="3"/>
  <c r="B1774" i="3"/>
  <c r="A1774" i="3"/>
  <c r="B1773" i="3"/>
  <c r="A1773" i="3"/>
  <c r="B1772" i="3"/>
  <c r="A1772" i="3"/>
  <c r="B1771" i="3"/>
  <c r="A1771" i="3"/>
  <c r="B1770" i="3"/>
  <c r="A1770" i="3"/>
  <c r="B1769" i="3"/>
  <c r="A1769" i="3"/>
  <c r="B1768" i="3"/>
  <c r="A1768" i="3"/>
  <c r="B1767" i="3"/>
  <c r="A1767" i="3"/>
  <c r="B1766" i="3"/>
  <c r="A1766" i="3"/>
  <c r="B1765" i="3"/>
  <c r="A1765" i="3"/>
  <c r="B1764" i="3"/>
  <c r="A1764" i="3"/>
  <c r="B1763" i="3"/>
  <c r="A1763" i="3"/>
  <c r="B1762" i="3"/>
  <c r="A1762" i="3"/>
  <c r="B1761" i="3"/>
  <c r="A1761" i="3"/>
  <c r="B1760" i="3"/>
  <c r="A1760" i="3"/>
  <c r="B1759" i="3"/>
  <c r="A1759" i="3"/>
  <c r="B1758" i="3"/>
  <c r="A1758" i="3"/>
  <c r="B1757" i="3"/>
  <c r="A1757" i="3"/>
  <c r="B1756" i="3"/>
  <c r="A1756" i="3"/>
  <c r="B1755" i="3"/>
  <c r="A1755" i="3"/>
  <c r="B1754" i="3"/>
  <c r="A1754" i="3"/>
  <c r="B1753" i="3"/>
  <c r="A1753" i="3"/>
  <c r="B1752" i="3"/>
  <c r="A1752" i="3"/>
  <c r="B1751" i="3"/>
  <c r="A1751" i="3"/>
  <c r="B1750" i="3"/>
  <c r="A1750" i="3"/>
  <c r="B1749" i="3"/>
  <c r="A1749" i="3"/>
  <c r="B1748" i="3"/>
  <c r="A1748" i="3"/>
  <c r="B1747" i="3"/>
  <c r="A1747" i="3"/>
  <c r="B1746" i="3"/>
  <c r="A1746" i="3"/>
  <c r="B1745" i="3"/>
  <c r="A1745" i="3"/>
  <c r="B1744" i="3"/>
  <c r="A1744" i="3"/>
  <c r="B1743" i="3"/>
  <c r="A1743" i="3"/>
  <c r="B1742" i="3"/>
  <c r="A1742" i="3"/>
  <c r="B1741" i="3"/>
  <c r="A1741" i="3"/>
  <c r="B1740" i="3"/>
  <c r="A1740" i="3"/>
  <c r="B1739" i="3"/>
  <c r="A1739" i="3"/>
  <c r="B1738" i="3"/>
  <c r="A1738" i="3"/>
  <c r="B1737" i="3"/>
  <c r="A1737" i="3"/>
  <c r="B1736" i="3"/>
  <c r="A1736" i="3"/>
  <c r="B1735" i="3"/>
  <c r="A1735" i="3"/>
  <c r="B1734" i="3"/>
  <c r="A1734" i="3"/>
  <c r="B1733" i="3"/>
  <c r="A1733" i="3"/>
  <c r="B1732" i="3"/>
  <c r="A1732" i="3"/>
  <c r="B1731" i="3"/>
  <c r="A1731" i="3"/>
  <c r="B1730" i="3"/>
  <c r="A1730" i="3"/>
  <c r="B1729" i="3"/>
  <c r="A1729" i="3"/>
  <c r="B1728" i="3"/>
  <c r="A1728" i="3"/>
  <c r="B1727" i="3"/>
  <c r="A1727" i="3"/>
  <c r="B1726" i="3"/>
  <c r="A1726" i="3"/>
  <c r="B1725" i="3"/>
  <c r="A1725" i="3"/>
  <c r="B1724" i="3"/>
  <c r="A1724" i="3"/>
  <c r="B1723" i="3"/>
  <c r="A1723" i="3"/>
  <c r="B1722" i="3"/>
  <c r="A1722" i="3"/>
  <c r="B1721" i="3"/>
  <c r="A1721" i="3"/>
  <c r="B1720" i="3"/>
  <c r="A1720" i="3"/>
  <c r="B1719" i="3"/>
  <c r="A1719" i="3"/>
  <c r="B1718" i="3"/>
  <c r="A1718" i="3"/>
  <c r="B1717" i="3"/>
  <c r="A1717" i="3"/>
  <c r="B1716" i="3"/>
  <c r="A1716" i="3"/>
  <c r="B1715" i="3"/>
  <c r="A1715" i="3"/>
  <c r="B1714" i="3"/>
  <c r="A1714" i="3"/>
  <c r="B1713" i="3"/>
  <c r="A1713" i="3"/>
  <c r="B1712" i="3"/>
  <c r="A1712" i="3"/>
  <c r="B1711" i="3"/>
  <c r="A1711" i="3"/>
  <c r="B1710" i="3"/>
  <c r="A1710" i="3"/>
  <c r="B1709" i="3"/>
  <c r="A1709" i="3"/>
  <c r="B1708" i="3"/>
  <c r="A1708" i="3"/>
  <c r="B1707" i="3"/>
  <c r="A1707" i="3"/>
  <c r="B1706" i="3"/>
  <c r="A1706" i="3"/>
  <c r="B1705" i="3"/>
  <c r="A1705" i="3"/>
  <c r="B1704" i="3"/>
  <c r="A1704" i="3"/>
  <c r="B1703" i="3"/>
  <c r="A1703" i="3"/>
  <c r="B1702" i="3"/>
  <c r="A1702" i="3"/>
  <c r="B1701" i="3"/>
  <c r="A1701" i="3"/>
  <c r="B1700" i="3"/>
  <c r="A1700" i="3"/>
  <c r="B1699" i="3"/>
  <c r="A1699" i="3"/>
  <c r="B1698" i="3"/>
  <c r="A1698" i="3"/>
  <c r="B1697" i="3"/>
  <c r="A1697" i="3"/>
  <c r="B1696" i="3"/>
  <c r="A1696" i="3"/>
  <c r="B1695" i="3"/>
  <c r="A1695" i="3"/>
  <c r="B1694" i="3"/>
  <c r="A1694" i="3"/>
  <c r="B1693" i="3"/>
  <c r="A1693" i="3"/>
  <c r="B1692" i="3"/>
  <c r="A1692" i="3"/>
  <c r="B1691" i="3"/>
  <c r="A1691" i="3"/>
  <c r="B1690" i="3"/>
  <c r="A1690" i="3"/>
  <c r="B1689" i="3"/>
  <c r="A1689" i="3"/>
  <c r="B1688" i="3"/>
  <c r="A1688" i="3"/>
  <c r="B1687" i="3"/>
  <c r="A1687" i="3"/>
  <c r="B1686" i="3"/>
  <c r="A1686" i="3"/>
  <c r="B1685" i="3"/>
  <c r="A1685" i="3"/>
  <c r="B1684" i="3"/>
  <c r="A1684" i="3"/>
  <c r="B1683" i="3"/>
  <c r="A1683" i="3"/>
  <c r="B1682" i="3"/>
  <c r="A1682" i="3"/>
  <c r="B1681" i="3"/>
  <c r="A1681" i="3"/>
  <c r="B1680" i="3"/>
  <c r="A1680" i="3"/>
  <c r="B1679" i="3"/>
  <c r="A1679" i="3"/>
  <c r="B1678" i="3"/>
  <c r="A1678" i="3"/>
  <c r="B1677" i="3"/>
  <c r="A1677" i="3"/>
  <c r="B1676" i="3"/>
  <c r="A1676" i="3"/>
  <c r="B1675" i="3"/>
  <c r="A1675" i="3"/>
  <c r="B1674" i="3"/>
  <c r="A1674" i="3"/>
  <c r="B1673" i="3"/>
  <c r="A1673" i="3"/>
  <c r="B1672" i="3"/>
  <c r="A1672" i="3"/>
  <c r="B1671" i="3"/>
  <c r="A1671" i="3"/>
  <c r="B1670" i="3"/>
  <c r="A1670" i="3"/>
  <c r="B1669" i="3"/>
  <c r="A1669" i="3"/>
  <c r="B1668" i="3"/>
  <c r="A1668" i="3"/>
  <c r="B1667" i="3"/>
  <c r="A1667" i="3"/>
  <c r="B1666" i="3"/>
  <c r="A1666" i="3"/>
  <c r="B1665" i="3"/>
  <c r="A1665" i="3"/>
  <c r="B1664" i="3"/>
  <c r="A1664" i="3"/>
  <c r="B1663" i="3"/>
  <c r="A1663" i="3"/>
  <c r="B1662" i="3"/>
  <c r="A1662" i="3"/>
  <c r="B1661" i="3"/>
  <c r="A1661" i="3"/>
  <c r="B1660" i="3"/>
  <c r="A1660" i="3"/>
  <c r="B1659" i="3"/>
  <c r="A1659" i="3"/>
  <c r="B1658" i="3"/>
  <c r="A1658" i="3"/>
  <c r="B1657" i="3"/>
  <c r="A1657" i="3"/>
  <c r="B1656" i="3"/>
  <c r="A1656" i="3"/>
  <c r="B1655" i="3"/>
  <c r="A1655" i="3"/>
  <c r="B1654" i="3"/>
  <c r="A1654" i="3"/>
  <c r="B1653" i="3"/>
  <c r="A1653" i="3"/>
  <c r="B1652" i="3"/>
  <c r="A1652" i="3"/>
  <c r="B1651" i="3"/>
  <c r="A1651" i="3"/>
  <c r="B1650" i="3"/>
  <c r="A1650" i="3"/>
  <c r="B1649" i="3"/>
  <c r="A1649" i="3"/>
  <c r="B1648" i="3"/>
  <c r="A1648" i="3"/>
  <c r="B1647" i="3"/>
  <c r="A1647" i="3"/>
  <c r="B1646" i="3"/>
  <c r="A1646" i="3"/>
  <c r="B1645" i="3"/>
  <c r="A1645" i="3"/>
  <c r="B1644" i="3"/>
  <c r="A1644" i="3"/>
  <c r="B1643" i="3"/>
  <c r="A1643" i="3"/>
  <c r="B1642" i="3"/>
  <c r="A1642" i="3"/>
  <c r="B1641" i="3"/>
  <c r="A1641" i="3"/>
  <c r="B1640" i="3"/>
  <c r="A1640" i="3"/>
  <c r="B1639" i="3"/>
  <c r="A1639" i="3"/>
  <c r="B1638" i="3"/>
  <c r="A1638" i="3"/>
  <c r="B1637" i="3"/>
  <c r="A1637" i="3"/>
  <c r="B1636" i="3"/>
  <c r="A1636" i="3"/>
  <c r="B1635" i="3"/>
  <c r="A1635" i="3"/>
  <c r="B1634" i="3"/>
  <c r="A1634" i="3"/>
  <c r="B1633" i="3"/>
  <c r="A1633" i="3"/>
  <c r="B1632" i="3"/>
  <c r="A1632" i="3"/>
  <c r="B1631" i="3"/>
  <c r="A1631" i="3"/>
  <c r="B1630" i="3"/>
  <c r="A1630" i="3"/>
  <c r="B1629" i="3"/>
  <c r="A1629" i="3"/>
  <c r="B1628" i="3"/>
  <c r="A1628" i="3"/>
  <c r="B1627" i="3"/>
  <c r="A1627" i="3"/>
  <c r="B1626" i="3"/>
  <c r="A1626" i="3"/>
  <c r="B1625" i="3"/>
  <c r="A1625" i="3"/>
  <c r="B1624" i="3"/>
  <c r="A1624" i="3"/>
  <c r="B1623" i="3"/>
  <c r="A1623" i="3"/>
  <c r="B1622" i="3"/>
  <c r="A1622" i="3"/>
  <c r="B1621" i="3"/>
  <c r="A1621" i="3"/>
  <c r="B1620" i="3"/>
  <c r="A1620" i="3"/>
  <c r="B1619" i="3"/>
  <c r="A1619" i="3"/>
  <c r="B1618" i="3"/>
  <c r="A1618" i="3"/>
  <c r="B1617" i="3"/>
  <c r="A1617" i="3"/>
  <c r="B1616" i="3"/>
  <c r="A1616" i="3"/>
  <c r="B1615" i="3"/>
  <c r="A1615" i="3"/>
  <c r="B1614" i="3"/>
  <c r="A1614" i="3"/>
  <c r="B1613" i="3"/>
  <c r="A1613" i="3"/>
  <c r="B1612" i="3"/>
  <c r="A1612" i="3"/>
  <c r="B1611" i="3"/>
  <c r="A1611" i="3"/>
  <c r="B1610" i="3"/>
  <c r="A1610" i="3"/>
  <c r="B1609" i="3"/>
  <c r="A1609" i="3"/>
  <c r="B1608" i="3"/>
  <c r="A1608" i="3"/>
  <c r="B1607" i="3"/>
  <c r="A1607" i="3"/>
  <c r="B1606" i="3"/>
  <c r="A1606" i="3"/>
  <c r="B1605" i="3"/>
  <c r="A1605" i="3"/>
  <c r="B1604" i="3"/>
  <c r="A1604" i="3"/>
  <c r="B1603" i="3"/>
  <c r="A1603" i="3"/>
  <c r="B1602" i="3"/>
  <c r="A1602" i="3"/>
  <c r="B1601" i="3"/>
  <c r="A1601" i="3"/>
  <c r="B1600" i="3"/>
  <c r="A1600" i="3"/>
  <c r="B1599" i="3"/>
  <c r="A1599" i="3"/>
  <c r="B1598" i="3"/>
  <c r="A1598" i="3"/>
  <c r="B1597" i="3"/>
  <c r="A1597" i="3"/>
  <c r="B1596" i="3"/>
  <c r="A1596" i="3"/>
  <c r="B1595" i="3"/>
  <c r="A1595" i="3"/>
  <c r="B1594" i="3"/>
  <c r="A1594" i="3"/>
  <c r="B1593" i="3"/>
  <c r="A1593" i="3"/>
  <c r="B1592" i="3"/>
  <c r="A1592" i="3"/>
  <c r="B1591" i="3"/>
  <c r="A1591" i="3"/>
  <c r="B1590" i="3"/>
  <c r="A1590" i="3"/>
  <c r="B1589" i="3"/>
  <c r="A1589" i="3"/>
  <c r="B1588" i="3"/>
  <c r="A1588" i="3"/>
  <c r="B1587" i="3"/>
  <c r="A1587" i="3"/>
  <c r="B1586" i="3"/>
  <c r="A1586" i="3"/>
  <c r="B1585" i="3"/>
  <c r="A1585" i="3"/>
  <c r="B1584" i="3"/>
  <c r="A1584" i="3"/>
  <c r="B1583" i="3"/>
  <c r="A1583" i="3"/>
  <c r="B1582" i="3"/>
  <c r="A1582" i="3"/>
  <c r="B1581" i="3"/>
  <c r="A1581" i="3"/>
  <c r="B1580" i="3"/>
  <c r="A1580" i="3"/>
  <c r="B1579" i="3"/>
  <c r="A1579" i="3"/>
  <c r="B1578" i="3"/>
  <c r="A1578" i="3"/>
  <c r="B1577" i="3"/>
  <c r="A1577" i="3"/>
  <c r="B1576" i="3"/>
  <c r="A1576" i="3"/>
  <c r="B1575" i="3"/>
  <c r="A1575" i="3"/>
  <c r="B1574" i="3"/>
  <c r="A1574" i="3"/>
  <c r="B1573" i="3"/>
  <c r="A1573" i="3"/>
  <c r="B1572" i="3"/>
  <c r="A1572" i="3"/>
  <c r="B1571" i="3"/>
  <c r="A1571" i="3"/>
  <c r="B1570" i="3"/>
  <c r="A1570" i="3"/>
  <c r="B1569" i="3"/>
  <c r="A1569" i="3"/>
  <c r="B1568" i="3"/>
  <c r="A1568" i="3"/>
  <c r="B1567" i="3"/>
  <c r="A1567" i="3"/>
  <c r="B1566" i="3"/>
  <c r="A1566" i="3"/>
  <c r="B1565" i="3"/>
  <c r="A1565" i="3"/>
  <c r="B1564" i="3"/>
  <c r="A1564" i="3"/>
  <c r="B1563" i="3"/>
  <c r="A1563" i="3"/>
  <c r="B1562" i="3"/>
  <c r="A1562" i="3"/>
  <c r="B1561" i="3"/>
  <c r="A1561" i="3"/>
  <c r="B1560" i="3"/>
  <c r="A1560" i="3"/>
  <c r="B1559" i="3"/>
  <c r="A1559" i="3"/>
  <c r="B1558" i="3"/>
  <c r="A1558" i="3"/>
  <c r="B1557" i="3"/>
  <c r="A1557" i="3"/>
  <c r="B1556" i="3"/>
  <c r="A1556" i="3"/>
  <c r="B1555" i="3"/>
  <c r="A1555" i="3"/>
  <c r="B1554" i="3"/>
  <c r="A1554" i="3"/>
  <c r="B1553" i="3"/>
  <c r="A1553" i="3"/>
  <c r="B1552" i="3"/>
  <c r="A1552" i="3"/>
  <c r="B1551" i="3"/>
  <c r="A1551" i="3"/>
  <c r="B1550" i="3"/>
  <c r="A1550" i="3"/>
  <c r="B1549" i="3"/>
  <c r="A1549" i="3"/>
  <c r="B1548" i="3"/>
  <c r="A1548" i="3"/>
  <c r="B1547" i="3"/>
  <c r="A1547" i="3"/>
  <c r="B1546" i="3"/>
  <c r="A1546" i="3"/>
  <c r="B1545" i="3"/>
  <c r="A1545" i="3"/>
  <c r="B1544" i="3"/>
  <c r="A1544" i="3"/>
  <c r="B1543" i="3"/>
  <c r="A1543" i="3"/>
  <c r="B1542" i="3"/>
  <c r="A1542" i="3"/>
  <c r="B1541" i="3"/>
  <c r="A1541" i="3"/>
  <c r="B1540" i="3"/>
  <c r="A1540" i="3"/>
  <c r="B1539" i="3"/>
  <c r="A1539" i="3"/>
  <c r="B1538" i="3"/>
  <c r="A1538" i="3"/>
  <c r="B1537" i="3"/>
  <c r="A1537" i="3"/>
  <c r="B1536" i="3"/>
  <c r="A1536" i="3"/>
  <c r="B1535" i="3"/>
  <c r="A1535" i="3"/>
  <c r="B1534" i="3"/>
  <c r="A1534" i="3"/>
  <c r="B1533" i="3"/>
  <c r="A1533" i="3"/>
  <c r="B1532" i="3"/>
  <c r="A1532" i="3"/>
  <c r="B1531" i="3"/>
  <c r="A1531" i="3"/>
  <c r="B1530" i="3"/>
  <c r="A1530" i="3"/>
  <c r="B1529" i="3"/>
  <c r="A1529" i="3"/>
  <c r="B1528" i="3"/>
  <c r="A1528" i="3"/>
  <c r="B1527" i="3"/>
  <c r="A1527" i="3"/>
  <c r="B1526" i="3"/>
  <c r="A1526" i="3"/>
  <c r="B1525" i="3"/>
  <c r="A1525" i="3"/>
  <c r="B1524" i="3"/>
  <c r="A1524" i="3"/>
  <c r="B1523" i="3"/>
  <c r="A1523" i="3"/>
  <c r="B1522" i="3"/>
  <c r="A1522" i="3"/>
  <c r="B1521" i="3"/>
  <c r="A1521" i="3"/>
  <c r="B1520" i="3"/>
  <c r="A1520" i="3"/>
  <c r="B1519" i="3"/>
  <c r="A1519" i="3"/>
  <c r="B1518" i="3"/>
  <c r="A1518" i="3"/>
  <c r="B1517" i="3"/>
  <c r="A1517" i="3"/>
  <c r="B1516" i="3"/>
  <c r="A1516" i="3"/>
  <c r="B1515" i="3"/>
  <c r="A1515" i="3"/>
  <c r="B1514" i="3"/>
  <c r="A1514" i="3"/>
  <c r="B1513" i="3"/>
  <c r="A1513" i="3"/>
  <c r="B1512" i="3"/>
  <c r="A1512" i="3"/>
  <c r="B1511" i="3"/>
  <c r="A1511" i="3"/>
  <c r="B1510" i="3"/>
  <c r="A1510" i="3"/>
  <c r="B1509" i="3"/>
  <c r="A1509" i="3"/>
  <c r="B1508" i="3"/>
  <c r="A1508" i="3"/>
  <c r="B1507" i="3"/>
  <c r="A1507" i="3"/>
  <c r="B1506" i="3"/>
  <c r="A1506" i="3"/>
  <c r="B1505" i="3"/>
  <c r="A1505" i="3"/>
  <c r="B1504" i="3"/>
  <c r="A1504" i="3"/>
  <c r="B1503" i="3"/>
  <c r="A1503" i="3"/>
  <c r="B1502" i="3"/>
  <c r="A1502" i="3"/>
  <c r="B1501" i="3"/>
  <c r="A1501" i="3"/>
  <c r="B1500" i="3"/>
  <c r="A1500" i="3"/>
  <c r="B1499" i="3"/>
  <c r="A1499" i="3"/>
  <c r="B1498" i="3"/>
  <c r="A1498" i="3"/>
  <c r="B1497" i="3"/>
  <c r="A1497" i="3"/>
  <c r="B1496" i="3"/>
  <c r="A1496" i="3"/>
  <c r="B1495" i="3"/>
  <c r="A1495" i="3"/>
  <c r="B1494" i="3"/>
  <c r="A1494" i="3"/>
  <c r="B1493" i="3"/>
  <c r="A1493" i="3"/>
  <c r="B1492" i="3"/>
  <c r="A1492" i="3"/>
  <c r="B1491" i="3"/>
  <c r="A1491" i="3"/>
  <c r="B1490" i="3"/>
  <c r="A1490" i="3"/>
  <c r="B1489" i="3"/>
  <c r="A1489" i="3"/>
  <c r="B1488" i="3"/>
  <c r="A1488" i="3"/>
  <c r="B1487" i="3"/>
  <c r="A1487" i="3"/>
  <c r="B1486" i="3"/>
  <c r="A1486" i="3"/>
  <c r="B1485" i="3"/>
  <c r="A1485" i="3"/>
  <c r="B1484" i="3"/>
  <c r="A1484" i="3"/>
  <c r="B1483" i="3"/>
  <c r="A1483" i="3"/>
  <c r="B1482" i="3"/>
  <c r="A1482" i="3"/>
  <c r="B1481" i="3"/>
  <c r="A1481" i="3"/>
  <c r="B1480" i="3"/>
  <c r="A1480" i="3"/>
  <c r="B1479" i="3"/>
  <c r="A1479" i="3"/>
  <c r="B1478" i="3"/>
  <c r="A1478" i="3"/>
  <c r="B1477" i="3"/>
  <c r="A1477" i="3"/>
  <c r="B1476" i="3"/>
  <c r="A1476" i="3"/>
  <c r="B1475" i="3"/>
  <c r="A1475" i="3"/>
  <c r="B1474" i="3"/>
  <c r="A1474" i="3"/>
  <c r="B1473" i="3"/>
  <c r="A1473" i="3"/>
  <c r="B1472" i="3"/>
  <c r="A1472" i="3"/>
  <c r="B1471" i="3"/>
  <c r="A1471" i="3"/>
  <c r="B1470" i="3"/>
  <c r="A1470" i="3"/>
  <c r="B1469" i="3"/>
  <c r="A1469" i="3"/>
  <c r="B1468" i="3"/>
  <c r="A1468" i="3"/>
  <c r="B1467" i="3"/>
  <c r="A1467" i="3"/>
  <c r="B1466" i="3"/>
  <c r="A1466" i="3"/>
  <c r="B1465" i="3"/>
  <c r="A1465" i="3"/>
  <c r="B1464" i="3"/>
  <c r="A1464" i="3"/>
  <c r="B1463" i="3"/>
  <c r="A1463" i="3"/>
  <c r="B1462" i="3"/>
  <c r="A1462" i="3"/>
  <c r="B1461" i="3"/>
  <c r="A1461" i="3"/>
  <c r="B1460" i="3"/>
  <c r="A1460" i="3"/>
  <c r="B1459" i="3"/>
  <c r="A1459" i="3"/>
  <c r="B1458" i="3"/>
  <c r="A1458" i="3"/>
  <c r="B1457" i="3"/>
  <c r="A1457" i="3"/>
  <c r="B1456" i="3"/>
  <c r="A1456" i="3"/>
  <c r="B1455" i="3"/>
  <c r="A1455" i="3"/>
  <c r="B1454" i="3"/>
  <c r="A1454" i="3"/>
  <c r="B1453" i="3"/>
  <c r="A1453" i="3"/>
  <c r="B1452" i="3"/>
  <c r="A1452" i="3"/>
  <c r="B1451" i="3"/>
  <c r="A1451" i="3"/>
  <c r="B1450" i="3"/>
  <c r="A1450" i="3"/>
  <c r="B1449" i="3"/>
  <c r="A1449" i="3"/>
  <c r="B1448" i="3"/>
  <c r="A1448" i="3"/>
  <c r="B1447" i="3"/>
  <c r="A1447" i="3"/>
  <c r="B1446" i="3"/>
  <c r="A1446" i="3"/>
  <c r="B1445" i="3"/>
  <c r="A1445" i="3"/>
  <c r="B1444" i="3"/>
  <c r="A1444" i="3"/>
  <c r="B1443" i="3"/>
  <c r="A1443" i="3"/>
  <c r="B1442" i="3"/>
  <c r="A1442" i="3"/>
  <c r="B1441" i="3"/>
  <c r="A1441" i="3"/>
  <c r="B1440" i="3"/>
  <c r="A1440" i="3"/>
  <c r="B1439" i="3"/>
  <c r="A1439" i="3"/>
  <c r="B1438" i="3"/>
  <c r="A1438" i="3"/>
  <c r="B1437" i="3"/>
  <c r="A1437" i="3"/>
  <c r="B1436" i="3"/>
  <c r="A1436" i="3"/>
  <c r="B1435" i="3"/>
  <c r="A1435" i="3"/>
  <c r="B1434" i="3"/>
  <c r="A1434" i="3"/>
  <c r="B1433" i="3"/>
  <c r="A1433" i="3"/>
  <c r="B1432" i="3"/>
  <c r="A1432" i="3"/>
  <c r="B1431" i="3"/>
  <c r="A1431" i="3"/>
  <c r="B1430" i="3"/>
  <c r="A1430" i="3"/>
  <c r="B1429" i="3"/>
  <c r="A1429" i="3"/>
  <c r="B1428" i="3"/>
  <c r="A1428" i="3"/>
  <c r="B1427" i="3"/>
  <c r="A1427" i="3"/>
  <c r="B1426" i="3"/>
  <c r="A1426" i="3"/>
  <c r="B1425" i="3"/>
  <c r="A1425" i="3"/>
  <c r="B1424" i="3"/>
  <c r="A1424" i="3"/>
  <c r="B1423" i="3"/>
  <c r="A1423" i="3"/>
  <c r="B1422" i="3"/>
  <c r="A1422" i="3"/>
  <c r="B1421" i="3"/>
  <c r="A1421" i="3"/>
  <c r="B1420" i="3"/>
  <c r="A1420" i="3"/>
  <c r="B1419" i="3"/>
  <c r="A1419" i="3"/>
  <c r="B1418" i="3"/>
  <c r="A1418" i="3"/>
  <c r="B1417" i="3"/>
  <c r="A1417" i="3"/>
  <c r="B1416" i="3"/>
  <c r="A1416" i="3"/>
  <c r="B1415" i="3"/>
  <c r="A1415" i="3"/>
  <c r="B1414" i="3"/>
  <c r="A1414" i="3"/>
  <c r="B1413" i="3"/>
  <c r="A1413" i="3"/>
  <c r="B1412" i="3"/>
  <c r="A1412" i="3"/>
  <c r="B1411" i="3"/>
  <c r="A1411" i="3"/>
  <c r="B1410" i="3"/>
  <c r="A1410" i="3"/>
  <c r="B1409" i="3"/>
  <c r="A1409" i="3"/>
  <c r="B1408" i="3"/>
  <c r="A1408" i="3"/>
  <c r="B1407" i="3"/>
  <c r="A1407" i="3"/>
  <c r="B1406" i="3"/>
  <c r="A1406" i="3"/>
  <c r="B1405" i="3"/>
  <c r="A1405" i="3"/>
  <c r="B1404" i="3"/>
  <c r="A1404" i="3"/>
  <c r="B1403" i="3"/>
  <c r="A1403" i="3"/>
  <c r="B1402" i="3"/>
  <c r="A1402" i="3"/>
  <c r="B1401" i="3"/>
  <c r="A1401" i="3"/>
  <c r="B1400" i="3"/>
  <c r="A1400" i="3"/>
  <c r="B1399" i="3"/>
  <c r="A1399" i="3"/>
  <c r="B1398" i="3"/>
  <c r="A1398" i="3"/>
  <c r="B1397" i="3"/>
  <c r="A1397" i="3"/>
  <c r="B1396" i="3"/>
  <c r="A1396" i="3"/>
  <c r="B1395" i="3"/>
  <c r="A1395" i="3"/>
  <c r="B1394" i="3"/>
  <c r="A1394" i="3"/>
  <c r="B1393" i="3"/>
  <c r="A1393" i="3"/>
  <c r="B1392" i="3"/>
  <c r="A1392" i="3"/>
  <c r="B1391" i="3"/>
  <c r="A1391" i="3"/>
  <c r="B1390" i="3"/>
  <c r="A1390" i="3"/>
  <c r="B1389" i="3"/>
  <c r="A1389" i="3"/>
  <c r="B1388" i="3"/>
  <c r="A1388" i="3"/>
  <c r="B1387" i="3"/>
  <c r="A1387" i="3"/>
  <c r="B1386" i="3"/>
  <c r="A1386" i="3"/>
  <c r="B1385" i="3"/>
  <c r="A1385" i="3"/>
  <c r="B1384" i="3"/>
  <c r="A1384" i="3"/>
  <c r="B1383" i="3"/>
  <c r="A1383" i="3"/>
  <c r="B1382" i="3"/>
  <c r="A1382" i="3"/>
  <c r="B1381" i="3"/>
  <c r="A1381" i="3"/>
  <c r="B1380" i="3"/>
  <c r="A1380" i="3"/>
  <c r="B1379" i="3"/>
  <c r="A1379" i="3"/>
  <c r="B1378" i="3"/>
  <c r="A1378" i="3"/>
  <c r="B1377" i="3"/>
  <c r="A1377" i="3"/>
  <c r="B1376" i="3"/>
  <c r="A1376" i="3"/>
  <c r="B1375" i="3"/>
  <c r="A1375" i="3"/>
  <c r="B1374" i="3"/>
  <c r="A1374" i="3"/>
  <c r="B1373" i="3"/>
  <c r="A1373" i="3"/>
  <c r="B1372" i="3"/>
  <c r="A1372" i="3"/>
  <c r="B1371" i="3"/>
  <c r="A1371" i="3"/>
  <c r="B1370" i="3"/>
  <c r="A1370" i="3"/>
  <c r="B1369" i="3"/>
  <c r="A1369" i="3"/>
  <c r="B1368" i="3"/>
  <c r="A1368" i="3"/>
  <c r="B1367" i="3"/>
  <c r="A1367" i="3"/>
  <c r="B1366" i="3"/>
  <c r="A1366" i="3"/>
  <c r="B1365" i="3"/>
  <c r="A1365" i="3"/>
  <c r="B1364" i="3"/>
  <c r="A1364" i="3"/>
  <c r="B1363" i="3"/>
  <c r="A1363" i="3"/>
  <c r="B1362" i="3"/>
  <c r="A1362" i="3"/>
  <c r="B1361" i="3"/>
  <c r="A1361" i="3"/>
  <c r="B1360" i="3"/>
  <c r="A1360" i="3"/>
  <c r="B1359" i="3"/>
  <c r="A1359" i="3"/>
  <c r="B1358" i="3"/>
  <c r="A1358" i="3"/>
  <c r="B1357" i="3"/>
  <c r="A1357" i="3"/>
  <c r="B1356" i="3"/>
  <c r="A1356" i="3"/>
  <c r="B1355" i="3"/>
  <c r="A1355" i="3"/>
  <c r="B1354" i="3"/>
  <c r="A1354" i="3"/>
  <c r="B1353" i="3"/>
  <c r="A1353" i="3"/>
  <c r="B1352" i="3"/>
  <c r="A1352" i="3"/>
  <c r="B1351" i="3"/>
  <c r="A1351" i="3"/>
  <c r="B1350" i="3"/>
  <c r="A1350" i="3"/>
  <c r="B1349" i="3"/>
  <c r="A1349" i="3"/>
  <c r="B1348" i="3"/>
  <c r="A1348" i="3"/>
  <c r="B1347" i="3"/>
  <c r="A1347" i="3"/>
  <c r="B1346" i="3"/>
  <c r="A1346" i="3"/>
  <c r="B1345" i="3"/>
  <c r="A1345" i="3"/>
  <c r="B1344" i="3"/>
  <c r="A1344" i="3"/>
  <c r="B1343" i="3"/>
  <c r="A1343" i="3"/>
  <c r="B1342" i="3"/>
  <c r="A1342" i="3"/>
  <c r="B1341" i="3"/>
  <c r="A1341" i="3"/>
  <c r="B1340" i="3"/>
  <c r="A1340" i="3"/>
  <c r="B1339" i="3"/>
  <c r="A1339" i="3"/>
  <c r="B1338" i="3"/>
  <c r="A1338" i="3"/>
  <c r="B1337" i="3"/>
  <c r="A1337" i="3"/>
  <c r="B1336" i="3"/>
  <c r="A1336" i="3"/>
  <c r="B1335" i="3"/>
  <c r="A1335" i="3"/>
  <c r="B1334" i="3"/>
  <c r="A1334" i="3"/>
  <c r="B1333" i="3"/>
  <c r="A1333" i="3"/>
  <c r="B1332" i="3"/>
  <c r="A1332" i="3"/>
  <c r="B1331" i="3"/>
  <c r="A1331" i="3"/>
  <c r="B1330" i="3"/>
  <c r="A1330" i="3"/>
  <c r="B1329" i="3"/>
  <c r="A1329" i="3"/>
  <c r="B1328" i="3"/>
  <c r="A1328" i="3"/>
  <c r="B1327" i="3"/>
  <c r="A1327" i="3"/>
  <c r="B1326" i="3"/>
  <c r="A1326" i="3"/>
  <c r="B1325" i="3"/>
  <c r="A1325" i="3"/>
  <c r="B1324" i="3"/>
  <c r="A1324" i="3"/>
  <c r="B1323" i="3"/>
  <c r="A1323" i="3"/>
  <c r="B1322" i="3"/>
  <c r="A1322" i="3"/>
  <c r="B1321" i="3"/>
  <c r="A1321" i="3"/>
  <c r="B1320" i="3"/>
  <c r="A1320" i="3"/>
  <c r="B1319" i="3"/>
  <c r="A1319" i="3"/>
  <c r="B1318" i="3"/>
  <c r="A1318" i="3"/>
  <c r="B1317" i="3"/>
  <c r="A1317" i="3"/>
  <c r="B1316" i="3"/>
  <c r="A1316" i="3"/>
  <c r="B1315" i="3"/>
  <c r="A1315" i="3"/>
  <c r="B1314" i="3"/>
  <c r="A1314" i="3"/>
  <c r="B1313" i="3"/>
  <c r="A1313" i="3"/>
  <c r="B1312" i="3"/>
  <c r="A1312" i="3"/>
  <c r="B1311" i="3"/>
  <c r="A1311" i="3"/>
  <c r="B1310" i="3"/>
  <c r="A1310" i="3"/>
  <c r="B1309" i="3"/>
  <c r="A1309" i="3"/>
  <c r="B1308" i="3"/>
  <c r="A1308" i="3"/>
  <c r="B1307" i="3"/>
  <c r="A1307" i="3"/>
  <c r="B1306" i="3"/>
  <c r="A1306" i="3"/>
  <c r="B1305" i="3"/>
  <c r="A1305" i="3"/>
  <c r="B1304" i="3"/>
  <c r="A1304" i="3"/>
  <c r="B1303" i="3"/>
  <c r="A1303" i="3"/>
  <c r="B1302" i="3"/>
  <c r="A1302" i="3"/>
  <c r="B1301" i="3"/>
  <c r="A1301" i="3"/>
  <c r="B1300" i="3"/>
  <c r="A1300" i="3"/>
  <c r="B1299" i="3"/>
  <c r="A1299" i="3"/>
  <c r="B1298" i="3"/>
  <c r="A1298" i="3"/>
  <c r="B1297" i="3"/>
  <c r="A1297" i="3"/>
  <c r="B1296" i="3"/>
  <c r="A1296" i="3"/>
  <c r="B1295" i="3"/>
  <c r="A1295" i="3"/>
  <c r="B1294" i="3"/>
  <c r="A1294" i="3"/>
  <c r="B1293" i="3"/>
  <c r="A1293" i="3"/>
  <c r="B1292" i="3"/>
  <c r="A1292" i="3"/>
  <c r="B1291" i="3"/>
  <c r="A1291" i="3"/>
  <c r="B1290" i="3"/>
  <c r="A1290" i="3"/>
  <c r="B1289" i="3"/>
  <c r="A1289" i="3"/>
  <c r="B1288" i="3"/>
  <c r="A1288" i="3"/>
  <c r="B1287" i="3"/>
  <c r="A1287" i="3"/>
  <c r="B1286" i="3"/>
  <c r="A1286" i="3"/>
  <c r="B1285" i="3"/>
  <c r="A1285" i="3"/>
  <c r="B1284" i="3"/>
  <c r="A1284" i="3"/>
  <c r="B1283" i="3"/>
  <c r="A1283" i="3"/>
  <c r="B1282" i="3"/>
  <c r="A1282" i="3"/>
  <c r="B1281" i="3"/>
  <c r="A1281" i="3"/>
  <c r="B1280" i="3"/>
  <c r="A1280" i="3"/>
  <c r="B1279" i="3"/>
  <c r="A1279" i="3"/>
  <c r="B1278" i="3"/>
  <c r="A1278" i="3"/>
  <c r="B1277" i="3"/>
  <c r="A1277" i="3"/>
  <c r="B1276" i="3"/>
  <c r="A1276" i="3"/>
  <c r="B1275" i="3"/>
  <c r="A1275" i="3"/>
  <c r="B1274" i="3"/>
  <c r="A1274" i="3"/>
  <c r="B1273" i="3"/>
  <c r="A1273" i="3"/>
  <c r="B1272" i="3"/>
  <c r="A1272" i="3"/>
  <c r="B1271" i="3"/>
  <c r="A1271" i="3"/>
  <c r="B1270" i="3"/>
  <c r="A1270" i="3"/>
  <c r="B1269" i="3"/>
  <c r="A1269" i="3"/>
  <c r="B1268" i="3"/>
  <c r="A1268" i="3"/>
  <c r="B1267" i="3"/>
  <c r="A1267" i="3"/>
  <c r="B1266" i="3"/>
  <c r="A1266" i="3"/>
  <c r="B1265" i="3"/>
  <c r="A1265" i="3"/>
  <c r="B1264" i="3"/>
  <c r="A1264" i="3"/>
  <c r="B1263" i="3"/>
  <c r="A1263" i="3"/>
  <c r="B1262" i="3"/>
  <c r="A1262" i="3"/>
  <c r="B1261" i="3"/>
  <c r="A1261" i="3"/>
  <c r="B1260" i="3"/>
  <c r="A1260" i="3"/>
  <c r="B1259" i="3"/>
  <c r="A1259" i="3"/>
  <c r="B1258" i="3"/>
  <c r="A1258" i="3"/>
  <c r="B1257" i="3"/>
  <c r="A1257" i="3"/>
  <c r="B1256" i="3"/>
  <c r="A1256" i="3"/>
  <c r="B1255" i="3"/>
  <c r="A1255" i="3"/>
  <c r="B1254" i="3"/>
  <c r="A1254" i="3"/>
  <c r="B1253" i="3"/>
  <c r="A1253" i="3"/>
  <c r="B1252" i="3"/>
  <c r="A1252" i="3"/>
  <c r="B1251" i="3"/>
  <c r="A1251" i="3"/>
  <c r="B1250" i="3"/>
  <c r="A1250" i="3"/>
  <c r="B1249" i="3"/>
  <c r="A1249" i="3"/>
  <c r="B1248" i="3"/>
  <c r="A1248" i="3"/>
  <c r="B1247" i="3"/>
  <c r="A1247" i="3"/>
  <c r="B1246" i="3"/>
  <c r="A1246" i="3"/>
  <c r="B1245" i="3"/>
  <c r="A1245" i="3"/>
  <c r="B1244" i="3"/>
  <c r="A1244" i="3"/>
  <c r="B1243" i="3"/>
  <c r="A1243" i="3"/>
  <c r="B1242" i="3"/>
  <c r="A1242" i="3"/>
  <c r="B1241" i="3"/>
  <c r="A1241" i="3"/>
  <c r="B1240" i="3"/>
  <c r="A1240" i="3"/>
  <c r="B1239" i="3"/>
  <c r="A1239" i="3"/>
  <c r="B1238" i="3"/>
  <c r="A1238" i="3"/>
  <c r="B1237" i="3"/>
  <c r="A1237" i="3"/>
  <c r="B1236" i="3"/>
  <c r="A1236" i="3"/>
  <c r="B1235" i="3"/>
  <c r="A1235" i="3"/>
  <c r="B1234" i="3"/>
  <c r="A1234" i="3"/>
  <c r="B1233" i="3"/>
  <c r="A1233" i="3"/>
  <c r="B1232" i="3"/>
  <c r="A1232" i="3"/>
  <c r="B1231" i="3"/>
  <c r="A1231" i="3"/>
  <c r="B1230" i="3"/>
  <c r="A1230" i="3"/>
  <c r="B1229" i="3"/>
  <c r="A1229" i="3"/>
  <c r="B1228" i="3"/>
  <c r="A1228" i="3"/>
  <c r="B1227" i="3"/>
  <c r="A1227" i="3"/>
  <c r="B1226" i="3"/>
  <c r="A1226" i="3"/>
  <c r="B1225" i="3"/>
  <c r="A1225" i="3"/>
  <c r="B1224" i="3"/>
  <c r="A1224" i="3"/>
  <c r="B1223" i="3"/>
  <c r="A1223" i="3"/>
  <c r="B1222" i="3"/>
  <c r="A1222" i="3"/>
  <c r="B1221" i="3"/>
  <c r="A1221" i="3"/>
  <c r="B1220" i="3"/>
  <c r="A1220" i="3"/>
  <c r="B1219" i="3"/>
  <c r="A1219" i="3"/>
  <c r="B1218" i="3"/>
  <c r="A1218" i="3"/>
  <c r="B1217" i="3"/>
  <c r="A1217" i="3"/>
  <c r="B1216" i="3"/>
  <c r="A1216" i="3"/>
  <c r="B1215" i="3"/>
  <c r="A1215" i="3"/>
  <c r="B1214" i="3"/>
  <c r="A1214" i="3"/>
  <c r="B1213" i="3"/>
  <c r="A1213" i="3"/>
  <c r="B1212" i="3"/>
  <c r="A1212" i="3"/>
  <c r="B1211" i="3"/>
  <c r="A1211" i="3"/>
  <c r="B1210" i="3"/>
  <c r="A1210" i="3"/>
  <c r="B1209" i="3"/>
  <c r="A1209" i="3"/>
  <c r="B1208" i="3"/>
  <c r="A1208" i="3"/>
  <c r="B1207" i="3"/>
  <c r="A1207" i="3"/>
  <c r="B1206" i="3"/>
  <c r="A1206" i="3"/>
  <c r="B1205" i="3"/>
  <c r="A1205" i="3"/>
  <c r="B1204" i="3"/>
  <c r="A1204" i="3"/>
  <c r="B1203" i="3"/>
  <c r="A1203" i="3"/>
  <c r="B1202" i="3"/>
  <c r="A1202" i="3"/>
  <c r="B1201" i="3"/>
  <c r="A1201" i="3"/>
  <c r="B1200" i="3"/>
  <c r="A1200" i="3"/>
  <c r="B1199" i="3"/>
  <c r="A1199" i="3"/>
  <c r="B1198" i="3"/>
  <c r="A1198" i="3"/>
  <c r="B1197" i="3"/>
  <c r="A1197" i="3"/>
  <c r="B1196" i="3"/>
  <c r="A1196" i="3"/>
  <c r="B1195" i="3"/>
  <c r="A1195" i="3"/>
  <c r="B1194" i="3"/>
  <c r="A1194" i="3"/>
  <c r="B1193" i="3"/>
  <c r="A1193" i="3"/>
  <c r="B1192" i="3"/>
  <c r="A1192" i="3"/>
  <c r="B1191" i="3"/>
  <c r="A1191" i="3"/>
  <c r="B1190" i="3"/>
  <c r="A1190" i="3"/>
  <c r="B1189" i="3"/>
  <c r="A1189" i="3"/>
  <c r="B1188" i="3"/>
  <c r="A1188" i="3"/>
  <c r="B1187" i="3"/>
  <c r="A1187" i="3"/>
  <c r="B1186" i="3"/>
  <c r="A1186" i="3"/>
  <c r="B1185" i="3"/>
  <c r="A1185" i="3"/>
  <c r="B1184" i="3"/>
  <c r="A1184" i="3"/>
  <c r="B1183" i="3"/>
  <c r="A1183" i="3"/>
  <c r="B1182" i="3"/>
  <c r="A1182" i="3"/>
  <c r="B1181" i="3"/>
  <c r="A1181" i="3"/>
  <c r="B1180" i="3"/>
  <c r="A1180" i="3"/>
  <c r="B1179" i="3"/>
  <c r="A1179" i="3"/>
  <c r="B1178" i="3"/>
  <c r="A1178" i="3"/>
  <c r="B1177" i="3"/>
  <c r="A1177" i="3"/>
  <c r="B1176" i="3"/>
  <c r="A1176" i="3"/>
  <c r="B1175" i="3"/>
  <c r="A1175" i="3"/>
  <c r="B1174" i="3"/>
  <c r="A1174" i="3"/>
  <c r="B1173" i="3"/>
  <c r="A1173" i="3"/>
  <c r="B1172" i="3"/>
  <c r="A1172" i="3"/>
  <c r="B1171" i="3"/>
  <c r="A1171" i="3"/>
  <c r="B1170" i="3"/>
  <c r="A1170" i="3"/>
  <c r="B1169" i="3"/>
  <c r="A1169" i="3"/>
  <c r="B1168" i="3"/>
  <c r="A1168" i="3"/>
  <c r="B1167" i="3"/>
  <c r="A1167" i="3"/>
  <c r="B1166" i="3"/>
  <c r="A1166" i="3"/>
  <c r="B1165" i="3"/>
  <c r="A1165" i="3"/>
  <c r="B1164" i="3"/>
  <c r="A1164" i="3"/>
  <c r="B1163" i="3"/>
  <c r="A1163" i="3"/>
  <c r="B1162" i="3"/>
  <c r="A1162" i="3"/>
  <c r="B1161" i="3"/>
  <c r="A1161" i="3"/>
  <c r="B1160" i="3"/>
  <c r="A1160" i="3"/>
  <c r="B1159" i="3"/>
  <c r="A1159" i="3"/>
  <c r="B1158" i="3"/>
  <c r="A1158" i="3"/>
  <c r="B1157" i="3"/>
  <c r="A1157" i="3"/>
  <c r="B1156" i="3"/>
  <c r="A1156" i="3"/>
  <c r="B1155" i="3"/>
  <c r="A1155" i="3"/>
  <c r="B1154" i="3"/>
  <c r="A1154" i="3"/>
  <c r="B1153" i="3"/>
  <c r="A1153" i="3"/>
  <c r="B1152" i="3"/>
  <c r="A1152" i="3"/>
  <c r="B1151" i="3"/>
  <c r="A1151" i="3"/>
  <c r="B1150" i="3"/>
  <c r="A1150" i="3"/>
  <c r="B1149" i="3"/>
  <c r="A1149" i="3"/>
  <c r="B1148" i="3"/>
  <c r="A1148" i="3"/>
  <c r="B1147" i="3"/>
  <c r="A1147" i="3"/>
  <c r="B1146" i="3"/>
  <c r="A1146" i="3"/>
  <c r="B1145" i="3"/>
  <c r="A1145" i="3"/>
  <c r="B1144" i="3"/>
  <c r="A1144" i="3"/>
  <c r="B1143" i="3"/>
  <c r="A1143" i="3"/>
  <c r="B1142" i="3"/>
  <c r="A1142" i="3"/>
  <c r="B1141" i="3"/>
  <c r="A1141" i="3"/>
  <c r="B1140" i="3"/>
  <c r="A1140" i="3"/>
  <c r="B1139" i="3"/>
  <c r="A1139" i="3"/>
  <c r="B1138" i="3"/>
  <c r="A1138" i="3"/>
  <c r="B1137" i="3"/>
  <c r="A1137" i="3"/>
  <c r="B1136" i="3"/>
  <c r="A1136" i="3"/>
  <c r="B1135" i="3"/>
  <c r="A1135" i="3"/>
  <c r="B1134" i="3"/>
  <c r="A1134" i="3"/>
  <c r="B1133" i="3"/>
  <c r="A1133" i="3"/>
  <c r="B1132" i="3"/>
  <c r="A1132" i="3"/>
  <c r="B1131" i="3"/>
  <c r="A1131" i="3"/>
  <c r="B1130" i="3"/>
  <c r="A1130" i="3"/>
  <c r="B1129" i="3"/>
  <c r="A1129" i="3"/>
  <c r="B1128" i="3"/>
  <c r="A1128" i="3"/>
  <c r="B1127" i="3"/>
  <c r="A1127" i="3"/>
  <c r="B1126" i="3"/>
  <c r="A1126" i="3"/>
  <c r="B1125" i="3"/>
  <c r="A1125" i="3"/>
  <c r="B1124" i="3"/>
  <c r="A1124" i="3"/>
  <c r="B1123" i="3"/>
  <c r="A1123" i="3"/>
  <c r="B1122" i="3"/>
  <c r="A1122" i="3"/>
  <c r="B1121" i="3"/>
  <c r="A1121" i="3"/>
  <c r="B1120" i="3"/>
  <c r="A1120" i="3"/>
  <c r="B1119" i="3"/>
  <c r="A1119" i="3"/>
  <c r="B1118" i="3"/>
  <c r="A1118" i="3"/>
  <c r="B1117" i="3"/>
  <c r="A1117" i="3"/>
  <c r="B1116" i="3"/>
  <c r="A1116" i="3"/>
  <c r="B1115" i="3"/>
  <c r="A1115" i="3"/>
  <c r="B1114" i="3"/>
  <c r="A1114" i="3"/>
  <c r="B1113" i="3"/>
  <c r="A1113" i="3"/>
  <c r="B1112" i="3"/>
  <c r="A1112" i="3"/>
  <c r="B1111" i="3"/>
  <c r="A1111" i="3"/>
  <c r="B1110" i="3"/>
  <c r="A1110" i="3"/>
  <c r="B1109" i="3"/>
  <c r="A1109" i="3"/>
  <c r="B1108" i="3"/>
  <c r="A1108" i="3"/>
  <c r="B1107" i="3"/>
  <c r="A1107" i="3"/>
  <c r="B1106" i="3"/>
  <c r="A1106" i="3"/>
  <c r="B1105" i="3"/>
  <c r="A1105" i="3"/>
  <c r="B1104" i="3"/>
  <c r="A1104" i="3"/>
  <c r="B1103" i="3"/>
  <c r="A1103" i="3"/>
  <c r="B1102" i="3"/>
  <c r="A1102" i="3"/>
  <c r="B1101" i="3"/>
  <c r="A1101" i="3"/>
  <c r="B1100" i="3"/>
  <c r="A1100" i="3"/>
  <c r="B1099" i="3"/>
  <c r="A1099" i="3"/>
  <c r="B1098" i="3"/>
  <c r="A1098" i="3"/>
  <c r="B1097" i="3"/>
  <c r="A1097" i="3"/>
  <c r="B1096" i="3"/>
  <c r="A1096" i="3"/>
  <c r="B1095" i="3"/>
  <c r="A1095" i="3"/>
  <c r="B1094" i="3"/>
  <c r="A1094" i="3"/>
  <c r="B1093" i="3"/>
  <c r="A1093" i="3"/>
  <c r="B1092" i="3"/>
  <c r="A1092" i="3"/>
  <c r="B1091" i="3"/>
  <c r="A1091" i="3"/>
  <c r="B1090" i="3"/>
  <c r="A1090" i="3"/>
  <c r="B1089" i="3"/>
  <c r="A1089" i="3"/>
  <c r="B1088" i="3"/>
  <c r="A1088" i="3"/>
  <c r="B1087" i="3"/>
  <c r="A1087" i="3"/>
  <c r="B1086" i="3"/>
  <c r="A1086" i="3"/>
  <c r="B1085" i="3"/>
  <c r="A1085" i="3"/>
  <c r="B1084" i="3"/>
  <c r="A1084" i="3"/>
  <c r="B1083" i="3"/>
  <c r="A1083" i="3"/>
  <c r="B1082" i="3"/>
  <c r="A1082" i="3"/>
  <c r="B1081" i="3"/>
  <c r="A1081" i="3"/>
  <c r="B1080" i="3"/>
  <c r="A1080" i="3"/>
  <c r="B1079" i="3"/>
  <c r="A1079" i="3"/>
  <c r="B1078" i="3"/>
  <c r="A1078" i="3"/>
  <c r="B1077" i="3"/>
  <c r="A1077" i="3"/>
  <c r="B1076" i="3"/>
  <c r="A1076" i="3"/>
  <c r="B1075" i="3"/>
  <c r="A1075" i="3"/>
  <c r="B1074" i="3"/>
  <c r="A1074" i="3"/>
  <c r="B1073" i="3"/>
  <c r="A1073" i="3"/>
  <c r="B1072" i="3"/>
  <c r="A1072" i="3"/>
  <c r="B1071" i="3"/>
  <c r="A1071" i="3"/>
  <c r="B1070" i="3"/>
  <c r="A1070" i="3"/>
  <c r="B1069" i="3"/>
  <c r="A1069" i="3"/>
  <c r="B1068" i="3"/>
  <c r="A1068" i="3"/>
  <c r="B1067" i="3"/>
  <c r="A1067" i="3"/>
  <c r="B1066" i="3"/>
  <c r="A1066" i="3"/>
  <c r="B1065" i="3"/>
  <c r="A1065" i="3"/>
  <c r="B1064" i="3"/>
  <c r="A1064" i="3"/>
  <c r="B1063" i="3"/>
  <c r="A1063" i="3"/>
  <c r="B1062" i="3"/>
  <c r="A1062" i="3"/>
  <c r="B1061" i="3"/>
  <c r="A1061" i="3"/>
  <c r="B1060" i="3"/>
  <c r="A1060" i="3"/>
  <c r="B1059" i="3"/>
  <c r="A1059" i="3"/>
  <c r="B1058" i="3"/>
  <c r="A1058" i="3"/>
  <c r="B1057" i="3"/>
  <c r="A1057" i="3"/>
  <c r="B1056" i="3"/>
  <c r="A1056" i="3"/>
  <c r="B1055" i="3"/>
  <c r="A1055" i="3"/>
  <c r="B1054" i="3"/>
  <c r="A1054" i="3"/>
  <c r="B1053" i="3"/>
  <c r="A1053" i="3"/>
  <c r="B1052" i="3"/>
  <c r="A1052" i="3"/>
  <c r="B1051" i="3"/>
  <c r="A1051" i="3"/>
  <c r="B1050" i="3"/>
  <c r="A1050" i="3"/>
  <c r="B1049" i="3"/>
  <c r="A1049" i="3"/>
  <c r="B1048" i="3"/>
  <c r="A1048" i="3"/>
  <c r="B1047" i="3"/>
  <c r="A1047" i="3"/>
  <c r="B1046" i="3"/>
  <c r="A1046" i="3"/>
  <c r="B1045" i="3"/>
  <c r="A1045" i="3"/>
  <c r="B1044" i="3"/>
  <c r="A1044" i="3"/>
  <c r="B1043" i="3"/>
  <c r="A1043" i="3"/>
  <c r="B1042" i="3"/>
  <c r="A1042" i="3"/>
  <c r="B1041" i="3"/>
  <c r="A1041" i="3"/>
  <c r="B1040" i="3"/>
  <c r="A1040" i="3"/>
  <c r="B1039" i="3"/>
  <c r="A1039" i="3"/>
  <c r="B1038" i="3"/>
  <c r="A1038" i="3"/>
  <c r="B1037" i="3"/>
  <c r="A1037" i="3"/>
  <c r="B1036" i="3"/>
  <c r="A1036" i="3"/>
  <c r="B1035" i="3"/>
  <c r="A1035" i="3"/>
  <c r="B1034" i="3"/>
  <c r="A1034" i="3"/>
  <c r="B1033" i="3"/>
  <c r="A1033" i="3"/>
  <c r="B1032" i="3"/>
  <c r="A1032" i="3"/>
  <c r="B1031" i="3"/>
  <c r="A1031" i="3"/>
  <c r="B1030" i="3"/>
  <c r="A1030" i="3"/>
  <c r="B1029" i="3"/>
  <c r="A1029" i="3"/>
  <c r="B1028" i="3"/>
  <c r="A1028" i="3"/>
  <c r="B1027" i="3"/>
  <c r="A1027" i="3"/>
  <c r="B1026" i="3"/>
  <c r="A1026" i="3"/>
  <c r="B1025" i="3"/>
  <c r="A1025" i="3"/>
  <c r="B1024" i="3"/>
  <c r="A1024" i="3"/>
  <c r="B1023" i="3"/>
  <c r="A1023" i="3"/>
  <c r="B1022" i="3"/>
  <c r="A1022" i="3"/>
  <c r="B1021" i="3"/>
  <c r="A1021" i="3"/>
  <c r="B1020" i="3"/>
  <c r="A1020" i="3"/>
  <c r="B1019" i="3"/>
  <c r="A1019" i="3"/>
  <c r="B1018" i="3"/>
  <c r="A1018" i="3"/>
  <c r="B1017" i="3"/>
  <c r="A1017" i="3"/>
  <c r="B1016" i="3"/>
  <c r="A1016" i="3"/>
  <c r="B1015" i="3"/>
  <c r="A1015" i="3"/>
  <c r="B1014" i="3"/>
  <c r="A1014" i="3"/>
  <c r="B1013" i="3"/>
  <c r="A1013" i="3"/>
  <c r="B1012" i="3"/>
  <c r="A1012" i="3"/>
  <c r="B1011" i="3"/>
  <c r="A1011" i="3"/>
  <c r="B1010" i="3"/>
  <c r="A1010" i="3"/>
  <c r="B1009" i="3"/>
  <c r="A1009" i="3"/>
  <c r="B1008" i="3"/>
  <c r="A1008" i="3"/>
  <c r="B1007" i="3"/>
  <c r="A1007" i="3"/>
  <c r="B1006" i="3"/>
  <c r="A1006" i="3"/>
  <c r="B1005" i="3"/>
  <c r="A1005" i="3"/>
  <c r="B1004" i="3"/>
  <c r="A1004" i="3"/>
  <c r="B1003" i="3"/>
  <c r="A1003" i="3"/>
  <c r="B1002" i="3"/>
  <c r="A1002" i="3"/>
  <c r="B1001" i="3"/>
  <c r="A1001" i="3"/>
  <c r="B1000" i="3"/>
  <c r="A1000" i="3"/>
  <c r="B999" i="3"/>
  <c r="A999" i="3"/>
  <c r="B998" i="3"/>
  <c r="A998" i="3"/>
  <c r="B997" i="3"/>
  <c r="A997" i="3"/>
  <c r="B996" i="3"/>
  <c r="A996" i="3"/>
  <c r="B995" i="3"/>
  <c r="A995" i="3"/>
  <c r="B994" i="3"/>
  <c r="A994" i="3"/>
  <c r="B993" i="3"/>
  <c r="A993" i="3"/>
  <c r="B992" i="3"/>
  <c r="A992" i="3"/>
  <c r="B991" i="3"/>
  <c r="A991" i="3"/>
  <c r="B990" i="3"/>
  <c r="A990" i="3"/>
  <c r="B989" i="3"/>
  <c r="A989" i="3"/>
  <c r="B988" i="3"/>
  <c r="A988" i="3"/>
  <c r="B987" i="3"/>
  <c r="A987" i="3"/>
  <c r="B986" i="3"/>
  <c r="A986" i="3"/>
  <c r="B985" i="3"/>
  <c r="A985" i="3"/>
  <c r="B984" i="3"/>
  <c r="A984" i="3"/>
  <c r="B983" i="3"/>
  <c r="A983" i="3"/>
  <c r="B982" i="3"/>
  <c r="A982" i="3"/>
  <c r="B981" i="3"/>
  <c r="A981" i="3"/>
  <c r="B980" i="3"/>
  <c r="A980" i="3"/>
  <c r="B979" i="3"/>
  <c r="A979" i="3"/>
  <c r="B978" i="3"/>
  <c r="A978" i="3"/>
  <c r="B977" i="3"/>
  <c r="A977" i="3"/>
  <c r="B976" i="3"/>
  <c r="A976" i="3"/>
  <c r="B975" i="3"/>
  <c r="A975" i="3"/>
  <c r="B974" i="3"/>
  <c r="A974" i="3"/>
  <c r="B973" i="3"/>
  <c r="A973" i="3"/>
  <c r="B972" i="3"/>
  <c r="A972" i="3"/>
  <c r="B971" i="3"/>
  <c r="A971" i="3"/>
  <c r="B970" i="3"/>
  <c r="A970" i="3"/>
  <c r="B969" i="3"/>
  <c r="A969" i="3"/>
  <c r="B968" i="3"/>
  <c r="A968" i="3"/>
  <c r="B967" i="3"/>
  <c r="A967" i="3"/>
  <c r="B966" i="3"/>
  <c r="A966" i="3"/>
  <c r="B965" i="3"/>
  <c r="A965" i="3"/>
  <c r="B964" i="3"/>
  <c r="A964" i="3"/>
  <c r="B963" i="3"/>
  <c r="A963" i="3"/>
  <c r="B962" i="3"/>
  <c r="A962" i="3"/>
  <c r="B961" i="3"/>
  <c r="A961" i="3"/>
  <c r="B960" i="3"/>
  <c r="A960" i="3"/>
  <c r="B959" i="3"/>
  <c r="A959" i="3"/>
  <c r="B958" i="3"/>
  <c r="A958" i="3"/>
  <c r="B957" i="3"/>
  <c r="A957" i="3"/>
  <c r="B956" i="3"/>
  <c r="A956" i="3"/>
  <c r="B955" i="3"/>
  <c r="A955" i="3"/>
  <c r="B954" i="3"/>
  <c r="A954" i="3"/>
  <c r="B953" i="3"/>
  <c r="A953" i="3"/>
  <c r="B952" i="3"/>
  <c r="A952" i="3"/>
  <c r="B951" i="3"/>
  <c r="A951" i="3"/>
  <c r="B950" i="3"/>
  <c r="A950" i="3"/>
  <c r="B949" i="3"/>
  <c r="A949" i="3"/>
  <c r="B948" i="3"/>
  <c r="A948" i="3"/>
  <c r="B947" i="3"/>
  <c r="A947" i="3"/>
  <c r="B946" i="3"/>
  <c r="A946" i="3"/>
  <c r="B945" i="3"/>
  <c r="A945" i="3"/>
  <c r="B944" i="3"/>
  <c r="A944" i="3"/>
  <c r="B943" i="3"/>
  <c r="A943" i="3"/>
  <c r="B942" i="3"/>
  <c r="A942" i="3"/>
  <c r="B941" i="3"/>
  <c r="A941" i="3"/>
  <c r="B940" i="3"/>
  <c r="A940" i="3"/>
  <c r="B939" i="3"/>
  <c r="A939" i="3"/>
  <c r="B938" i="3"/>
  <c r="A938" i="3"/>
  <c r="B937" i="3"/>
  <c r="A937" i="3"/>
  <c r="B936" i="3"/>
  <c r="A936" i="3"/>
  <c r="B935" i="3"/>
  <c r="A935" i="3"/>
  <c r="B934" i="3"/>
  <c r="A934" i="3"/>
  <c r="B933" i="3"/>
  <c r="A933" i="3"/>
  <c r="B932" i="3"/>
  <c r="A932" i="3"/>
  <c r="B931" i="3"/>
  <c r="A931" i="3"/>
  <c r="B930" i="3"/>
  <c r="A930" i="3"/>
  <c r="B929" i="3"/>
  <c r="A929" i="3"/>
  <c r="B928" i="3"/>
  <c r="A928" i="3"/>
  <c r="B927" i="3"/>
  <c r="A927" i="3"/>
  <c r="B926" i="3"/>
  <c r="A926" i="3"/>
  <c r="B925" i="3"/>
  <c r="A925" i="3"/>
  <c r="B924" i="3"/>
  <c r="A924" i="3"/>
  <c r="B923" i="3"/>
  <c r="A923" i="3"/>
  <c r="B922" i="3"/>
  <c r="A922" i="3"/>
  <c r="B921" i="3"/>
  <c r="A921" i="3"/>
  <c r="B920" i="3"/>
  <c r="A920" i="3"/>
  <c r="B919" i="3"/>
  <c r="A919" i="3"/>
  <c r="B918" i="3"/>
  <c r="A918" i="3"/>
  <c r="B917" i="3"/>
  <c r="A917" i="3"/>
  <c r="B916" i="3"/>
  <c r="A916" i="3"/>
  <c r="B915" i="3"/>
  <c r="A915" i="3"/>
  <c r="B914" i="3"/>
  <c r="A914" i="3"/>
  <c r="B913" i="3"/>
  <c r="A913" i="3"/>
  <c r="B912" i="3"/>
  <c r="A912" i="3"/>
  <c r="B911" i="3"/>
  <c r="A911" i="3"/>
  <c r="B910" i="3"/>
  <c r="A910" i="3"/>
  <c r="B909" i="3"/>
  <c r="A909" i="3"/>
  <c r="B908" i="3"/>
  <c r="A908" i="3"/>
  <c r="B907" i="3"/>
  <c r="A907" i="3"/>
  <c r="B906" i="3"/>
  <c r="A906" i="3"/>
  <c r="B905" i="3"/>
  <c r="A905" i="3"/>
  <c r="B904" i="3"/>
  <c r="A904" i="3"/>
  <c r="B903" i="3"/>
  <c r="A903" i="3"/>
  <c r="B902" i="3"/>
  <c r="A902" i="3"/>
  <c r="B901" i="3"/>
  <c r="A901" i="3"/>
  <c r="B900" i="3"/>
  <c r="A900" i="3"/>
  <c r="B899" i="3"/>
  <c r="A899" i="3"/>
  <c r="B898" i="3"/>
  <c r="A898" i="3"/>
  <c r="B897" i="3"/>
  <c r="A897" i="3"/>
  <c r="B896" i="3"/>
  <c r="A896" i="3"/>
  <c r="B895" i="3"/>
  <c r="A895" i="3"/>
  <c r="B894" i="3"/>
  <c r="A894" i="3"/>
  <c r="B893" i="3"/>
  <c r="A893" i="3"/>
  <c r="B892" i="3"/>
  <c r="A892" i="3"/>
  <c r="B891" i="3"/>
  <c r="A891" i="3"/>
  <c r="B890" i="3"/>
  <c r="A890" i="3"/>
  <c r="B889" i="3"/>
  <c r="A889" i="3"/>
  <c r="B888" i="3"/>
  <c r="A888" i="3"/>
  <c r="B887" i="3"/>
  <c r="A887" i="3"/>
  <c r="B886" i="3"/>
  <c r="A886" i="3"/>
  <c r="B885" i="3"/>
  <c r="A885" i="3"/>
  <c r="B884" i="3"/>
  <c r="A884" i="3"/>
  <c r="B883" i="3"/>
  <c r="A883" i="3"/>
  <c r="B882" i="3"/>
  <c r="A882" i="3"/>
  <c r="B881" i="3"/>
  <c r="A881" i="3"/>
  <c r="B880" i="3"/>
  <c r="A880" i="3"/>
  <c r="B879" i="3"/>
  <c r="A879" i="3"/>
  <c r="B878" i="3"/>
  <c r="A878" i="3"/>
  <c r="B877" i="3"/>
  <c r="A877" i="3"/>
  <c r="B876" i="3"/>
  <c r="A876" i="3"/>
  <c r="B875" i="3"/>
  <c r="A875" i="3"/>
  <c r="B874" i="3"/>
  <c r="A874" i="3"/>
  <c r="B873" i="3"/>
  <c r="A873" i="3"/>
  <c r="B872" i="3"/>
  <c r="A872" i="3"/>
  <c r="B871" i="3"/>
  <c r="A871" i="3"/>
  <c r="B870" i="3"/>
  <c r="A870" i="3"/>
  <c r="B869" i="3"/>
  <c r="A869" i="3"/>
  <c r="B868" i="3"/>
  <c r="A868" i="3"/>
  <c r="B867" i="3"/>
  <c r="A867" i="3"/>
  <c r="B866" i="3"/>
  <c r="A866" i="3"/>
  <c r="B865" i="3"/>
  <c r="A865" i="3"/>
  <c r="B864" i="3"/>
  <c r="A864" i="3"/>
  <c r="B863" i="3"/>
  <c r="A863" i="3"/>
  <c r="B862" i="3"/>
  <c r="A862" i="3"/>
  <c r="B861" i="3"/>
  <c r="A861" i="3"/>
  <c r="B860" i="3"/>
  <c r="A860" i="3"/>
  <c r="B859" i="3"/>
  <c r="A859" i="3"/>
  <c r="B858" i="3"/>
  <c r="A858" i="3"/>
  <c r="B857" i="3"/>
  <c r="A857" i="3"/>
  <c r="B856" i="3"/>
  <c r="A856" i="3"/>
  <c r="B855" i="3"/>
  <c r="A855" i="3"/>
  <c r="B854" i="3"/>
  <c r="A854" i="3"/>
  <c r="B853" i="3"/>
  <c r="A853" i="3"/>
  <c r="B852" i="3"/>
  <c r="A852" i="3"/>
  <c r="B851" i="3"/>
  <c r="A851" i="3"/>
  <c r="B850" i="3"/>
  <c r="A850" i="3"/>
  <c r="B849" i="3"/>
  <c r="A849" i="3"/>
  <c r="B848" i="3"/>
  <c r="A848" i="3"/>
  <c r="B847" i="3"/>
  <c r="A847" i="3"/>
  <c r="B846" i="3"/>
  <c r="A846" i="3"/>
  <c r="B845" i="3"/>
  <c r="A845" i="3"/>
  <c r="B844" i="3"/>
  <c r="A844" i="3"/>
  <c r="B843" i="3"/>
  <c r="A843" i="3"/>
  <c r="B842" i="3"/>
  <c r="A842" i="3"/>
  <c r="B841" i="3"/>
  <c r="A841" i="3"/>
  <c r="B840" i="3"/>
  <c r="A840" i="3"/>
  <c r="B839" i="3"/>
  <c r="A839" i="3"/>
  <c r="B838" i="3"/>
  <c r="A838" i="3"/>
  <c r="B837" i="3"/>
  <c r="A837" i="3"/>
  <c r="B836" i="3"/>
  <c r="A836" i="3"/>
  <c r="B835" i="3"/>
  <c r="A835" i="3"/>
  <c r="B834" i="3"/>
  <c r="A834" i="3"/>
  <c r="B833" i="3"/>
  <c r="A833" i="3"/>
  <c r="B832" i="3"/>
  <c r="A832" i="3"/>
  <c r="B831" i="3"/>
  <c r="A831" i="3"/>
  <c r="B830" i="3"/>
  <c r="A830" i="3"/>
  <c r="B829" i="3"/>
  <c r="A829" i="3"/>
  <c r="B828" i="3"/>
  <c r="A828" i="3"/>
  <c r="B827" i="3"/>
  <c r="A827" i="3"/>
  <c r="B826" i="3"/>
  <c r="A826" i="3"/>
  <c r="B825" i="3"/>
  <c r="A825" i="3"/>
  <c r="B824" i="3"/>
  <c r="A824" i="3"/>
  <c r="B823" i="3"/>
  <c r="A823" i="3"/>
  <c r="B822" i="3"/>
  <c r="A822" i="3"/>
  <c r="B821" i="3"/>
  <c r="A821" i="3"/>
  <c r="B820" i="3"/>
  <c r="A820" i="3"/>
  <c r="B819" i="3"/>
  <c r="A819" i="3"/>
  <c r="B818" i="3"/>
  <c r="A818" i="3"/>
  <c r="B817" i="3"/>
  <c r="A817" i="3"/>
  <c r="B816" i="3"/>
  <c r="A816" i="3"/>
  <c r="B815" i="3"/>
  <c r="A815" i="3"/>
  <c r="B814" i="3"/>
  <c r="A814" i="3"/>
  <c r="B813" i="3"/>
  <c r="A813" i="3"/>
  <c r="B812" i="3"/>
  <c r="A812" i="3"/>
  <c r="B811" i="3"/>
  <c r="A811" i="3"/>
  <c r="B810" i="3"/>
  <c r="A810" i="3"/>
  <c r="B809" i="3"/>
  <c r="A809" i="3"/>
  <c r="B808" i="3"/>
  <c r="A808" i="3"/>
  <c r="B807" i="3"/>
  <c r="A807" i="3"/>
  <c r="B806" i="3"/>
  <c r="A806" i="3"/>
  <c r="B805" i="3"/>
  <c r="A805" i="3"/>
  <c r="B804" i="3"/>
  <c r="A804" i="3"/>
  <c r="B803" i="3"/>
  <c r="A803" i="3"/>
  <c r="B802" i="3"/>
  <c r="A802" i="3"/>
  <c r="B801" i="3"/>
  <c r="A801" i="3"/>
  <c r="B800" i="3"/>
  <c r="A800" i="3"/>
  <c r="B799" i="3"/>
  <c r="A799" i="3"/>
  <c r="B798" i="3"/>
  <c r="A798" i="3"/>
  <c r="B797" i="3"/>
  <c r="A797" i="3"/>
  <c r="B796" i="3"/>
  <c r="A796" i="3"/>
  <c r="B795" i="3"/>
  <c r="A795" i="3"/>
  <c r="B794" i="3"/>
  <c r="A794" i="3"/>
  <c r="B793" i="3"/>
  <c r="A793" i="3"/>
  <c r="B792" i="3"/>
  <c r="A792" i="3"/>
  <c r="B791" i="3"/>
  <c r="A791" i="3"/>
  <c r="B790" i="3"/>
  <c r="A790" i="3"/>
  <c r="B789" i="3"/>
  <c r="A789" i="3"/>
  <c r="B788" i="3"/>
  <c r="A788" i="3"/>
  <c r="B787" i="3"/>
  <c r="A787" i="3"/>
  <c r="B786" i="3"/>
  <c r="A786" i="3"/>
  <c r="B785" i="3"/>
  <c r="A785" i="3"/>
  <c r="B784" i="3"/>
  <c r="A784" i="3"/>
  <c r="B783" i="3"/>
  <c r="A783" i="3"/>
  <c r="B782" i="3"/>
  <c r="A782" i="3"/>
  <c r="B781" i="3"/>
  <c r="A781" i="3"/>
  <c r="B780" i="3"/>
  <c r="A780" i="3"/>
  <c r="B779" i="3"/>
  <c r="A779" i="3"/>
  <c r="B778" i="3"/>
  <c r="A778" i="3"/>
  <c r="B777" i="3"/>
  <c r="A777" i="3"/>
  <c r="B776" i="3"/>
  <c r="A776" i="3"/>
  <c r="B775" i="3"/>
  <c r="A775" i="3"/>
  <c r="B774" i="3"/>
  <c r="A774" i="3"/>
  <c r="B773" i="3"/>
  <c r="A773" i="3"/>
  <c r="B772" i="3"/>
  <c r="A772" i="3"/>
  <c r="B771" i="3"/>
  <c r="A771" i="3"/>
  <c r="B770" i="3"/>
  <c r="A770" i="3"/>
  <c r="B769" i="3"/>
  <c r="A769" i="3"/>
  <c r="B768" i="3"/>
  <c r="A768" i="3"/>
  <c r="B767" i="3"/>
  <c r="A767" i="3"/>
  <c r="B766" i="3"/>
  <c r="A766" i="3"/>
  <c r="B765" i="3"/>
  <c r="A765" i="3"/>
  <c r="B764" i="3"/>
  <c r="A764" i="3"/>
  <c r="B763" i="3"/>
  <c r="A763" i="3"/>
  <c r="B762" i="3"/>
  <c r="A762" i="3"/>
  <c r="B761" i="3"/>
  <c r="A761" i="3"/>
  <c r="B760" i="3"/>
  <c r="A760" i="3"/>
  <c r="B759" i="3"/>
  <c r="A759" i="3"/>
  <c r="B758" i="3"/>
  <c r="A758" i="3"/>
  <c r="B757" i="3"/>
  <c r="A757" i="3"/>
  <c r="B756" i="3"/>
  <c r="A756" i="3"/>
  <c r="B755" i="3"/>
  <c r="A755" i="3"/>
  <c r="B754" i="3"/>
  <c r="A754" i="3"/>
  <c r="B753" i="3"/>
  <c r="A753" i="3"/>
  <c r="B752" i="3"/>
  <c r="A752" i="3"/>
  <c r="B751" i="3"/>
  <c r="A751" i="3"/>
  <c r="B750" i="3"/>
  <c r="A750" i="3"/>
  <c r="B749" i="3"/>
  <c r="A749" i="3"/>
  <c r="B748" i="3"/>
  <c r="A748" i="3"/>
  <c r="B747" i="3"/>
  <c r="A747" i="3"/>
  <c r="B746" i="3"/>
  <c r="A746" i="3"/>
  <c r="B745" i="3"/>
  <c r="A745" i="3"/>
  <c r="B744" i="3"/>
  <c r="A744" i="3"/>
  <c r="B743" i="3"/>
  <c r="A743" i="3"/>
  <c r="B742" i="3"/>
  <c r="A742" i="3"/>
  <c r="B741" i="3"/>
  <c r="A741" i="3"/>
  <c r="B740" i="3"/>
  <c r="A740" i="3"/>
  <c r="B739" i="3"/>
  <c r="A739" i="3"/>
  <c r="B738" i="3"/>
  <c r="A738" i="3"/>
  <c r="B737" i="3"/>
  <c r="A737" i="3"/>
  <c r="B736" i="3"/>
  <c r="A736" i="3"/>
  <c r="B735" i="3"/>
  <c r="A735" i="3"/>
  <c r="B734" i="3"/>
  <c r="A734" i="3"/>
  <c r="B733" i="3"/>
  <c r="A733" i="3"/>
  <c r="B732" i="3"/>
  <c r="A732" i="3"/>
  <c r="B731" i="3"/>
  <c r="A731" i="3"/>
  <c r="B730" i="3"/>
  <c r="A730" i="3"/>
  <c r="B729" i="3"/>
  <c r="A729" i="3"/>
  <c r="B728" i="3"/>
  <c r="A728" i="3"/>
  <c r="B727" i="3"/>
  <c r="A727" i="3"/>
  <c r="B726" i="3"/>
  <c r="A726" i="3"/>
  <c r="B725" i="3"/>
  <c r="A725" i="3"/>
  <c r="B724" i="3"/>
  <c r="A724" i="3"/>
  <c r="B723" i="3"/>
  <c r="A723" i="3"/>
  <c r="B722" i="3"/>
  <c r="A722" i="3"/>
  <c r="B721" i="3"/>
  <c r="A721" i="3"/>
  <c r="B720" i="3"/>
  <c r="A720" i="3"/>
  <c r="B719" i="3"/>
  <c r="A719" i="3"/>
  <c r="B718" i="3"/>
  <c r="A718" i="3"/>
  <c r="B717" i="3"/>
  <c r="A717" i="3"/>
  <c r="B716" i="3"/>
  <c r="A716" i="3"/>
  <c r="B715" i="3"/>
  <c r="A715" i="3"/>
  <c r="B714" i="3"/>
  <c r="A714" i="3"/>
  <c r="B713" i="3"/>
  <c r="A713" i="3"/>
  <c r="B712" i="3"/>
  <c r="A712" i="3"/>
  <c r="B711" i="3"/>
  <c r="A711" i="3"/>
  <c r="B710" i="3"/>
  <c r="A710" i="3"/>
  <c r="B709" i="3"/>
  <c r="A709" i="3"/>
  <c r="B708" i="3"/>
  <c r="A708" i="3"/>
  <c r="B707" i="3"/>
  <c r="A707" i="3"/>
  <c r="B706" i="3"/>
  <c r="A706" i="3"/>
  <c r="B705" i="3"/>
  <c r="A705" i="3"/>
  <c r="B704" i="3"/>
  <c r="A704" i="3"/>
  <c r="B703" i="3"/>
  <c r="A703" i="3"/>
  <c r="B702" i="3"/>
  <c r="A702" i="3"/>
  <c r="B701" i="3"/>
  <c r="A701" i="3"/>
  <c r="B700" i="3"/>
  <c r="A700" i="3"/>
  <c r="B699" i="3"/>
  <c r="A699" i="3"/>
  <c r="B698" i="3"/>
  <c r="A698" i="3"/>
  <c r="B697" i="3"/>
  <c r="A697" i="3"/>
  <c r="B696" i="3"/>
  <c r="A696" i="3"/>
  <c r="B695" i="3"/>
  <c r="A695" i="3"/>
  <c r="B694" i="3"/>
  <c r="A694" i="3"/>
  <c r="B693" i="3"/>
  <c r="A693" i="3"/>
  <c r="B692" i="3"/>
  <c r="A692" i="3"/>
  <c r="B691" i="3"/>
  <c r="A691" i="3"/>
  <c r="B690" i="3"/>
  <c r="A690" i="3"/>
  <c r="B689" i="3"/>
  <c r="A689" i="3"/>
  <c r="B688" i="3"/>
  <c r="A688" i="3"/>
  <c r="B687" i="3"/>
  <c r="A687" i="3"/>
  <c r="B686" i="3"/>
  <c r="A686" i="3"/>
  <c r="B685" i="3"/>
  <c r="A685" i="3"/>
  <c r="B684" i="3"/>
  <c r="A684" i="3"/>
  <c r="B683" i="3"/>
  <c r="A683" i="3"/>
  <c r="B682" i="3"/>
  <c r="A682" i="3"/>
  <c r="B681" i="3"/>
  <c r="A681" i="3"/>
  <c r="B680" i="3"/>
  <c r="A680" i="3"/>
  <c r="B679" i="3"/>
  <c r="A679" i="3"/>
  <c r="B678" i="3"/>
  <c r="A678" i="3"/>
  <c r="B677" i="3"/>
  <c r="A677" i="3"/>
  <c r="B676" i="3"/>
  <c r="A676" i="3"/>
  <c r="B675" i="3"/>
  <c r="A675" i="3"/>
  <c r="B674" i="3"/>
  <c r="A674" i="3"/>
  <c r="B673" i="3"/>
  <c r="A673" i="3"/>
  <c r="B672" i="3"/>
  <c r="A672" i="3"/>
  <c r="B671" i="3"/>
  <c r="A671" i="3"/>
  <c r="B670" i="3"/>
  <c r="A670" i="3"/>
  <c r="B669" i="3"/>
  <c r="A669" i="3"/>
  <c r="B668" i="3"/>
  <c r="A668" i="3"/>
  <c r="B667" i="3"/>
  <c r="A667" i="3"/>
  <c r="B666" i="3"/>
  <c r="A666" i="3"/>
  <c r="B665" i="3"/>
  <c r="A665" i="3"/>
  <c r="B664" i="3"/>
  <c r="A664" i="3"/>
  <c r="B663" i="3"/>
  <c r="A663" i="3"/>
  <c r="B662" i="3"/>
  <c r="A662" i="3"/>
  <c r="B661" i="3"/>
  <c r="A661" i="3"/>
  <c r="B660" i="3"/>
  <c r="A660" i="3"/>
  <c r="B659" i="3"/>
  <c r="A659" i="3"/>
  <c r="B658" i="3"/>
  <c r="A658" i="3"/>
  <c r="B657" i="3"/>
  <c r="A657" i="3"/>
  <c r="B656" i="3"/>
  <c r="A656" i="3"/>
  <c r="B655" i="3"/>
  <c r="A655" i="3"/>
  <c r="B654" i="3"/>
  <c r="A654" i="3"/>
  <c r="B653" i="3"/>
  <c r="A653" i="3"/>
  <c r="B652" i="3"/>
  <c r="A652" i="3"/>
  <c r="B651" i="3"/>
  <c r="A651" i="3"/>
  <c r="B650" i="3"/>
  <c r="A650" i="3"/>
  <c r="B649" i="3"/>
  <c r="A649" i="3"/>
  <c r="B648" i="3"/>
  <c r="A648" i="3"/>
  <c r="B647" i="3"/>
  <c r="A647" i="3"/>
  <c r="B646" i="3"/>
  <c r="A646" i="3"/>
  <c r="B645" i="3"/>
  <c r="A645" i="3"/>
  <c r="B644" i="3"/>
  <c r="A644" i="3"/>
  <c r="B643" i="3"/>
  <c r="A643" i="3"/>
  <c r="B642" i="3"/>
  <c r="A642" i="3"/>
  <c r="B641" i="3"/>
  <c r="A641" i="3"/>
  <c r="B640" i="3"/>
  <c r="A640" i="3"/>
  <c r="B639" i="3"/>
  <c r="A639" i="3"/>
  <c r="B638" i="3"/>
  <c r="A638" i="3"/>
  <c r="B637" i="3"/>
  <c r="A637" i="3"/>
  <c r="B636" i="3"/>
  <c r="A636" i="3"/>
  <c r="B635" i="3"/>
  <c r="A635" i="3"/>
  <c r="B634" i="3"/>
  <c r="A634" i="3"/>
  <c r="B633" i="3"/>
  <c r="A633" i="3"/>
  <c r="B632" i="3"/>
  <c r="A632" i="3"/>
  <c r="B631" i="3"/>
  <c r="A631" i="3"/>
  <c r="B630" i="3"/>
  <c r="A630" i="3"/>
  <c r="B629" i="3"/>
  <c r="A629" i="3"/>
  <c r="B628" i="3"/>
  <c r="A628" i="3"/>
  <c r="B627" i="3"/>
  <c r="A627" i="3"/>
  <c r="B626" i="3"/>
  <c r="A626" i="3"/>
  <c r="B625" i="3"/>
  <c r="A625" i="3"/>
  <c r="B624" i="3"/>
  <c r="A624" i="3"/>
  <c r="B623" i="3"/>
  <c r="A623" i="3"/>
  <c r="B622" i="3"/>
  <c r="A622" i="3"/>
  <c r="B621" i="3"/>
  <c r="A621" i="3"/>
  <c r="B620" i="3"/>
  <c r="A620" i="3"/>
  <c r="B619" i="3"/>
  <c r="A619" i="3"/>
  <c r="B618" i="3"/>
  <c r="A618" i="3"/>
  <c r="B617" i="3"/>
  <c r="A617" i="3"/>
  <c r="B616" i="3"/>
  <c r="A616" i="3"/>
  <c r="B615" i="3"/>
  <c r="A615" i="3"/>
  <c r="B614" i="3"/>
  <c r="A614" i="3"/>
  <c r="B613" i="3"/>
  <c r="A613" i="3"/>
  <c r="B612" i="3"/>
  <c r="A612" i="3"/>
  <c r="B611" i="3"/>
  <c r="A611" i="3"/>
  <c r="B610" i="3"/>
  <c r="A610" i="3"/>
  <c r="B609" i="3"/>
  <c r="A609" i="3"/>
  <c r="B608" i="3"/>
  <c r="A608" i="3"/>
  <c r="B607" i="3"/>
  <c r="A607" i="3"/>
  <c r="B606" i="3"/>
  <c r="A606" i="3"/>
  <c r="B605" i="3"/>
  <c r="A605" i="3"/>
  <c r="B604" i="3"/>
  <c r="A604" i="3"/>
  <c r="B603" i="3"/>
  <c r="A603" i="3"/>
  <c r="B602" i="3"/>
  <c r="A602" i="3"/>
  <c r="B601" i="3"/>
  <c r="A601" i="3"/>
  <c r="B600" i="3"/>
  <c r="A600" i="3"/>
  <c r="B599" i="3"/>
  <c r="A599" i="3"/>
  <c r="B598" i="3"/>
  <c r="A598" i="3"/>
  <c r="B597" i="3"/>
  <c r="A597" i="3"/>
  <c r="B596" i="3"/>
  <c r="A596" i="3"/>
  <c r="B595" i="3"/>
  <c r="A595" i="3"/>
  <c r="B594" i="3"/>
  <c r="A594" i="3"/>
  <c r="B593" i="3"/>
  <c r="A593" i="3"/>
  <c r="B592" i="3"/>
  <c r="A592" i="3"/>
  <c r="B591" i="3"/>
  <c r="A591" i="3"/>
  <c r="B590" i="3"/>
  <c r="A590" i="3"/>
  <c r="B589" i="3"/>
  <c r="A589" i="3"/>
  <c r="B588" i="3"/>
  <c r="A588" i="3"/>
  <c r="B587" i="3"/>
  <c r="A587" i="3"/>
  <c r="B586" i="3"/>
  <c r="A586" i="3"/>
  <c r="B585" i="3"/>
  <c r="A585" i="3"/>
  <c r="B584" i="3"/>
  <c r="A584" i="3"/>
  <c r="B583" i="3"/>
  <c r="A583" i="3"/>
  <c r="B582" i="3"/>
  <c r="A582" i="3"/>
  <c r="B581" i="3"/>
  <c r="A581" i="3"/>
  <c r="B580" i="3"/>
  <c r="A580" i="3"/>
  <c r="B579" i="3"/>
  <c r="A579" i="3"/>
  <c r="B578" i="3"/>
  <c r="A578" i="3"/>
  <c r="B577" i="3"/>
  <c r="A577" i="3"/>
  <c r="B576" i="3"/>
  <c r="A576" i="3"/>
  <c r="B575" i="3"/>
  <c r="A575" i="3"/>
  <c r="B574" i="3"/>
  <c r="A574" i="3"/>
  <c r="B573" i="3"/>
  <c r="A573" i="3"/>
  <c r="B572" i="3"/>
  <c r="A572" i="3"/>
  <c r="B571" i="3"/>
  <c r="A571" i="3"/>
  <c r="B570" i="3"/>
  <c r="A570" i="3"/>
  <c r="B569" i="3"/>
  <c r="A569" i="3"/>
  <c r="B568" i="3"/>
  <c r="A568" i="3"/>
  <c r="B567" i="3"/>
  <c r="A567" i="3"/>
  <c r="B566" i="3"/>
  <c r="A566" i="3"/>
  <c r="B565" i="3"/>
  <c r="A565" i="3"/>
  <c r="B564" i="3"/>
  <c r="A564" i="3"/>
  <c r="B563" i="3"/>
  <c r="A563" i="3"/>
  <c r="B562" i="3"/>
  <c r="A562" i="3"/>
  <c r="B561" i="3"/>
  <c r="A561" i="3"/>
  <c r="B560" i="3"/>
  <c r="A560" i="3"/>
  <c r="B559" i="3"/>
  <c r="A559" i="3"/>
  <c r="B558" i="3"/>
  <c r="A558" i="3"/>
  <c r="B557" i="3"/>
  <c r="A557" i="3"/>
  <c r="B556" i="3"/>
  <c r="A556" i="3"/>
  <c r="B555" i="3"/>
  <c r="A555" i="3"/>
  <c r="B554" i="3"/>
  <c r="A554" i="3"/>
  <c r="B553" i="3"/>
  <c r="A553" i="3"/>
  <c r="B552" i="3"/>
  <c r="A552" i="3"/>
  <c r="B551" i="3"/>
  <c r="A551" i="3"/>
  <c r="B550" i="3"/>
  <c r="A550" i="3"/>
  <c r="B549" i="3"/>
  <c r="A549" i="3"/>
  <c r="B548" i="3"/>
  <c r="A548" i="3"/>
  <c r="B547" i="3"/>
  <c r="A547" i="3"/>
  <c r="B546" i="3"/>
  <c r="A546" i="3"/>
  <c r="B545" i="3"/>
  <c r="A545" i="3"/>
  <c r="B544" i="3"/>
  <c r="A544" i="3"/>
  <c r="B543" i="3"/>
  <c r="A543" i="3"/>
  <c r="B542" i="3"/>
  <c r="A542" i="3"/>
  <c r="B541" i="3"/>
  <c r="A541" i="3"/>
  <c r="B540" i="3"/>
  <c r="A540" i="3"/>
  <c r="B539" i="3"/>
  <c r="A539" i="3"/>
  <c r="B538" i="3"/>
  <c r="A538" i="3"/>
  <c r="B537" i="3"/>
  <c r="A537" i="3"/>
  <c r="B536" i="3"/>
  <c r="A536" i="3"/>
  <c r="B535" i="3"/>
  <c r="A535" i="3"/>
  <c r="B534" i="3"/>
  <c r="A534" i="3"/>
  <c r="B533" i="3"/>
  <c r="A533" i="3"/>
  <c r="B532" i="3"/>
  <c r="A532" i="3"/>
  <c r="B531" i="3"/>
  <c r="A531" i="3"/>
  <c r="B530" i="3"/>
  <c r="A530" i="3"/>
  <c r="B529" i="3"/>
  <c r="A529" i="3"/>
  <c r="B528" i="3"/>
  <c r="A528" i="3"/>
  <c r="B527" i="3"/>
  <c r="A527" i="3"/>
  <c r="B526" i="3"/>
  <c r="A526" i="3"/>
  <c r="B525" i="3"/>
  <c r="A525" i="3"/>
  <c r="B524" i="3"/>
  <c r="A524" i="3"/>
  <c r="B523" i="3"/>
  <c r="A523" i="3"/>
  <c r="B522" i="3"/>
  <c r="A522" i="3"/>
  <c r="B521" i="3"/>
  <c r="A521" i="3"/>
  <c r="B520" i="3"/>
  <c r="A520" i="3"/>
  <c r="B519" i="3"/>
  <c r="A519" i="3"/>
  <c r="B518" i="3"/>
  <c r="A518" i="3"/>
  <c r="B517" i="3"/>
  <c r="A517" i="3"/>
  <c r="B516" i="3"/>
  <c r="A516" i="3"/>
  <c r="B515" i="3"/>
  <c r="A515" i="3"/>
  <c r="B514" i="3"/>
  <c r="A514" i="3"/>
  <c r="B513" i="3"/>
  <c r="A513" i="3"/>
  <c r="B512" i="3"/>
  <c r="A512" i="3"/>
  <c r="B511" i="3"/>
  <c r="A511" i="3"/>
  <c r="B510" i="3"/>
  <c r="A510" i="3"/>
  <c r="B509" i="3"/>
  <c r="A509" i="3"/>
  <c r="B508" i="3"/>
  <c r="A508" i="3"/>
  <c r="B507" i="3"/>
  <c r="A507" i="3"/>
  <c r="B506" i="3"/>
  <c r="A506" i="3"/>
  <c r="B505" i="3"/>
  <c r="A505" i="3"/>
  <c r="B504" i="3"/>
  <c r="A504" i="3"/>
  <c r="B503" i="3"/>
  <c r="A503" i="3"/>
  <c r="B502" i="3"/>
  <c r="A502" i="3"/>
  <c r="B501" i="3"/>
  <c r="A501" i="3"/>
  <c r="B500" i="3"/>
  <c r="A500" i="3"/>
  <c r="B499" i="3"/>
  <c r="A499" i="3"/>
  <c r="B498" i="3"/>
  <c r="A498" i="3"/>
  <c r="B497" i="3"/>
  <c r="A497" i="3"/>
  <c r="B496" i="3"/>
  <c r="A496" i="3"/>
  <c r="B495" i="3"/>
  <c r="A495" i="3"/>
  <c r="B494" i="3"/>
  <c r="A494" i="3"/>
  <c r="B493" i="3"/>
  <c r="A493" i="3"/>
  <c r="B492" i="3"/>
  <c r="A492" i="3"/>
  <c r="B491" i="3"/>
  <c r="A491" i="3"/>
  <c r="B490" i="3"/>
  <c r="A490" i="3"/>
  <c r="B489" i="3"/>
  <c r="A489" i="3"/>
  <c r="B488" i="3"/>
  <c r="A488" i="3"/>
  <c r="B487" i="3"/>
  <c r="A487" i="3"/>
  <c r="B486" i="3"/>
  <c r="A486" i="3"/>
  <c r="B485" i="3"/>
  <c r="A485" i="3"/>
  <c r="B484" i="3"/>
  <c r="A484" i="3"/>
  <c r="B483" i="3"/>
  <c r="A483" i="3"/>
  <c r="B482" i="3"/>
  <c r="A482" i="3"/>
  <c r="B481" i="3"/>
  <c r="A481" i="3"/>
  <c r="B480" i="3"/>
  <c r="A480" i="3"/>
  <c r="B479" i="3"/>
  <c r="A479" i="3"/>
  <c r="B478" i="3"/>
  <c r="A478" i="3"/>
  <c r="B477" i="3"/>
  <c r="A477" i="3"/>
  <c r="B476" i="3"/>
  <c r="A476" i="3"/>
  <c r="B475" i="3"/>
  <c r="A475" i="3"/>
  <c r="B474" i="3"/>
  <c r="A474" i="3"/>
  <c r="B473" i="3"/>
  <c r="A473" i="3"/>
  <c r="B472" i="3"/>
  <c r="A472" i="3"/>
  <c r="B471" i="3"/>
  <c r="A471" i="3"/>
  <c r="B470" i="3"/>
  <c r="A470" i="3"/>
  <c r="B469" i="3"/>
  <c r="A469" i="3"/>
  <c r="B468" i="3"/>
  <c r="A468" i="3"/>
  <c r="B467" i="3"/>
  <c r="A467" i="3"/>
  <c r="B466" i="3"/>
  <c r="A466" i="3"/>
  <c r="B465" i="3"/>
  <c r="A465" i="3"/>
  <c r="B464" i="3"/>
  <c r="A464" i="3"/>
  <c r="B463" i="3"/>
  <c r="A463" i="3"/>
  <c r="B462" i="3"/>
  <c r="A462" i="3"/>
  <c r="B461" i="3"/>
  <c r="A461" i="3"/>
  <c r="B460" i="3"/>
  <c r="A460" i="3"/>
  <c r="B459" i="3"/>
  <c r="A459" i="3"/>
  <c r="B458" i="3"/>
  <c r="A458" i="3"/>
  <c r="B457" i="3"/>
  <c r="A457" i="3"/>
  <c r="B456" i="3"/>
  <c r="A456" i="3"/>
  <c r="B455" i="3"/>
  <c r="A455" i="3"/>
  <c r="B454" i="3"/>
  <c r="A454" i="3"/>
  <c r="B453" i="3"/>
  <c r="A453" i="3"/>
  <c r="B452" i="3"/>
  <c r="A452" i="3"/>
  <c r="B451" i="3"/>
  <c r="A451" i="3"/>
  <c r="B450" i="3"/>
  <c r="A450" i="3"/>
  <c r="B449" i="3"/>
  <c r="A449" i="3"/>
  <c r="B448" i="3"/>
  <c r="A448" i="3"/>
  <c r="B447" i="3"/>
  <c r="A447" i="3"/>
  <c r="B446" i="3"/>
  <c r="A446" i="3"/>
  <c r="B445" i="3"/>
  <c r="A445" i="3"/>
  <c r="B444" i="3"/>
  <c r="A444" i="3"/>
  <c r="B443" i="3"/>
  <c r="A443" i="3"/>
  <c r="B442" i="3"/>
  <c r="A442" i="3"/>
  <c r="B441" i="3"/>
  <c r="A441" i="3"/>
  <c r="B440" i="3"/>
  <c r="A440" i="3"/>
  <c r="B439" i="3"/>
  <c r="A439" i="3"/>
  <c r="B438" i="3"/>
  <c r="A438" i="3"/>
  <c r="B437" i="3"/>
  <c r="A437" i="3"/>
  <c r="B436" i="3"/>
  <c r="A436" i="3"/>
  <c r="B435" i="3"/>
  <c r="A435" i="3"/>
  <c r="B434" i="3"/>
  <c r="A434" i="3"/>
  <c r="B433" i="3"/>
  <c r="A433" i="3"/>
  <c r="B432" i="3"/>
  <c r="A432" i="3"/>
  <c r="B431" i="3"/>
  <c r="A431" i="3"/>
  <c r="B430" i="3"/>
  <c r="A430" i="3"/>
  <c r="B429" i="3"/>
  <c r="A429" i="3"/>
  <c r="B428" i="3"/>
  <c r="A428" i="3"/>
  <c r="B427" i="3"/>
  <c r="A427" i="3"/>
  <c r="B426" i="3"/>
  <c r="A426" i="3"/>
  <c r="B425" i="3"/>
  <c r="A425" i="3"/>
  <c r="B424" i="3"/>
  <c r="A424" i="3"/>
  <c r="B423" i="3"/>
  <c r="A423" i="3"/>
  <c r="B422" i="3"/>
  <c r="A422" i="3"/>
  <c r="B421" i="3"/>
  <c r="A421" i="3"/>
  <c r="B420" i="3"/>
  <c r="A420" i="3"/>
  <c r="B419" i="3"/>
  <c r="A419" i="3"/>
  <c r="B418" i="3"/>
  <c r="A418" i="3"/>
  <c r="B417" i="3"/>
  <c r="A417" i="3"/>
  <c r="B416" i="3"/>
  <c r="A416" i="3"/>
  <c r="B415" i="3"/>
  <c r="A415" i="3"/>
  <c r="B414" i="3"/>
  <c r="A414" i="3"/>
  <c r="B413" i="3"/>
  <c r="A413" i="3"/>
  <c r="B412" i="3"/>
  <c r="A412" i="3"/>
  <c r="B411" i="3"/>
  <c r="A411" i="3"/>
  <c r="B410" i="3"/>
  <c r="A410" i="3"/>
  <c r="B409" i="3"/>
  <c r="A409" i="3"/>
  <c r="B408" i="3"/>
  <c r="A408" i="3"/>
  <c r="B407" i="3"/>
  <c r="A407" i="3"/>
  <c r="B406" i="3"/>
  <c r="A406" i="3"/>
  <c r="B405" i="3"/>
  <c r="A405" i="3"/>
  <c r="B404" i="3"/>
  <c r="A404" i="3"/>
  <c r="B403" i="3"/>
  <c r="A403" i="3"/>
  <c r="B402" i="3"/>
  <c r="A402" i="3"/>
  <c r="B401" i="3"/>
  <c r="A401" i="3"/>
  <c r="B400" i="3"/>
  <c r="A400" i="3"/>
  <c r="B399" i="3"/>
  <c r="A399" i="3"/>
  <c r="B398" i="3"/>
  <c r="A398" i="3"/>
  <c r="B397" i="3"/>
  <c r="A397" i="3"/>
  <c r="B396" i="3"/>
  <c r="A396" i="3"/>
  <c r="B395" i="3"/>
  <c r="A395" i="3"/>
  <c r="B394" i="3"/>
  <c r="A394" i="3"/>
  <c r="B393" i="3"/>
  <c r="A393" i="3"/>
  <c r="B392" i="3"/>
  <c r="A392" i="3"/>
  <c r="B391" i="3"/>
  <c r="A391" i="3"/>
  <c r="B390" i="3"/>
  <c r="A390" i="3"/>
  <c r="B389" i="3"/>
  <c r="A389" i="3"/>
  <c r="B388" i="3"/>
  <c r="A388" i="3"/>
  <c r="B387" i="3"/>
  <c r="A387" i="3"/>
  <c r="B386" i="3"/>
  <c r="A386" i="3"/>
  <c r="B385" i="3"/>
  <c r="A385" i="3"/>
  <c r="B384" i="3"/>
  <c r="A384" i="3"/>
  <c r="B383" i="3"/>
  <c r="A383" i="3"/>
  <c r="B382" i="3"/>
  <c r="A382" i="3"/>
  <c r="B381" i="3"/>
  <c r="A381" i="3"/>
  <c r="B380" i="3"/>
  <c r="A380" i="3"/>
  <c r="B379" i="3"/>
  <c r="A379" i="3"/>
  <c r="B378" i="3"/>
  <c r="A378" i="3"/>
  <c r="B377" i="3"/>
  <c r="A377" i="3"/>
  <c r="B376" i="3"/>
  <c r="A376" i="3"/>
  <c r="B375" i="3"/>
  <c r="A375" i="3"/>
  <c r="B374" i="3"/>
  <c r="A374" i="3"/>
  <c r="B373" i="3"/>
  <c r="A373" i="3"/>
  <c r="B372" i="3"/>
  <c r="A372" i="3"/>
  <c r="B371" i="3"/>
  <c r="A371" i="3"/>
  <c r="B370" i="3"/>
  <c r="A370" i="3"/>
  <c r="B369" i="3"/>
  <c r="A369" i="3"/>
  <c r="B368" i="3"/>
  <c r="A368" i="3"/>
  <c r="B367" i="3"/>
  <c r="A367" i="3"/>
  <c r="B366" i="3"/>
  <c r="A366" i="3"/>
  <c r="B365" i="3"/>
  <c r="A365" i="3"/>
  <c r="B364" i="3"/>
  <c r="A364" i="3"/>
  <c r="B363" i="3"/>
  <c r="A363" i="3"/>
  <c r="B362" i="3"/>
  <c r="A362" i="3"/>
  <c r="B361" i="3"/>
  <c r="A361" i="3"/>
  <c r="B360" i="3"/>
  <c r="A360" i="3"/>
  <c r="B359" i="3"/>
  <c r="A359" i="3"/>
  <c r="B358" i="3"/>
  <c r="A358" i="3"/>
  <c r="B357" i="3"/>
  <c r="A357" i="3"/>
  <c r="B356" i="3"/>
  <c r="A356" i="3"/>
  <c r="B355" i="3"/>
  <c r="A355" i="3"/>
  <c r="B354" i="3"/>
  <c r="A354" i="3"/>
  <c r="B353" i="3"/>
  <c r="A353" i="3"/>
  <c r="B352" i="3"/>
  <c r="A352" i="3"/>
  <c r="B351" i="3"/>
  <c r="A351" i="3"/>
  <c r="B350" i="3"/>
  <c r="A350" i="3"/>
  <c r="B349" i="3"/>
  <c r="A349" i="3"/>
  <c r="B348" i="3"/>
  <c r="A348" i="3"/>
  <c r="B347" i="3"/>
  <c r="A347" i="3"/>
  <c r="B346" i="3"/>
  <c r="A346" i="3"/>
  <c r="B345" i="3"/>
  <c r="A345" i="3"/>
  <c r="B344" i="3"/>
  <c r="A344" i="3"/>
  <c r="B343" i="3"/>
  <c r="A343" i="3"/>
  <c r="B342" i="3"/>
  <c r="A342" i="3"/>
  <c r="B341" i="3"/>
  <c r="A341" i="3"/>
  <c r="B340" i="3"/>
  <c r="A340" i="3"/>
  <c r="B339" i="3"/>
  <c r="A339" i="3"/>
  <c r="B338" i="3"/>
  <c r="A338" i="3"/>
  <c r="B337" i="3"/>
  <c r="A337" i="3"/>
  <c r="B336" i="3"/>
  <c r="A336" i="3"/>
  <c r="B335" i="3"/>
  <c r="A335" i="3"/>
  <c r="B334" i="3"/>
  <c r="A334" i="3"/>
  <c r="B333" i="3"/>
  <c r="A333" i="3"/>
  <c r="B332" i="3"/>
  <c r="A332" i="3"/>
  <c r="B331" i="3"/>
  <c r="A331" i="3"/>
  <c r="B330" i="3"/>
  <c r="A330" i="3"/>
  <c r="B329" i="3"/>
  <c r="A329" i="3"/>
  <c r="B328" i="3"/>
  <c r="A328" i="3"/>
  <c r="B327" i="3"/>
  <c r="A327" i="3"/>
  <c r="B326" i="3"/>
  <c r="A326" i="3"/>
  <c r="B325" i="3"/>
  <c r="A325" i="3"/>
  <c r="B324" i="3"/>
  <c r="A324" i="3"/>
  <c r="B323" i="3"/>
  <c r="A323" i="3"/>
  <c r="B322" i="3"/>
  <c r="A322" i="3"/>
  <c r="B321" i="3"/>
  <c r="A321" i="3"/>
  <c r="B320" i="3"/>
  <c r="A320" i="3"/>
  <c r="B319" i="3"/>
  <c r="A319" i="3"/>
  <c r="B318" i="3"/>
  <c r="A318" i="3"/>
  <c r="B317" i="3"/>
  <c r="A317" i="3"/>
  <c r="B316" i="3"/>
  <c r="A316" i="3"/>
  <c r="B315" i="3"/>
  <c r="A315" i="3"/>
  <c r="B314" i="3"/>
  <c r="A314" i="3"/>
  <c r="B313" i="3"/>
  <c r="A313" i="3"/>
  <c r="B312" i="3"/>
  <c r="A312" i="3"/>
  <c r="B311" i="3"/>
  <c r="A311" i="3"/>
  <c r="B310" i="3"/>
  <c r="A310" i="3"/>
  <c r="B309" i="3"/>
  <c r="A309" i="3"/>
  <c r="B308" i="3"/>
  <c r="A308" i="3"/>
  <c r="B307" i="3"/>
  <c r="A307" i="3"/>
  <c r="B306" i="3"/>
  <c r="A306" i="3"/>
  <c r="B305" i="3"/>
  <c r="A305" i="3"/>
  <c r="B304" i="3"/>
  <c r="A304" i="3"/>
  <c r="B303" i="3"/>
  <c r="A303" i="3"/>
  <c r="B302" i="3"/>
  <c r="A302" i="3"/>
  <c r="B301" i="3"/>
  <c r="A301" i="3"/>
  <c r="B300" i="3"/>
  <c r="A300" i="3"/>
  <c r="B299" i="3"/>
  <c r="A299" i="3"/>
  <c r="B298" i="3"/>
  <c r="A298" i="3"/>
  <c r="B297" i="3"/>
  <c r="A297" i="3"/>
  <c r="B296" i="3"/>
  <c r="A296" i="3"/>
  <c r="B295" i="3"/>
  <c r="A295" i="3"/>
  <c r="B294" i="3"/>
  <c r="A294" i="3"/>
  <c r="B293" i="3"/>
  <c r="A293" i="3"/>
  <c r="B292" i="3"/>
  <c r="A292" i="3"/>
  <c r="B291" i="3"/>
  <c r="A291" i="3"/>
  <c r="B290" i="3"/>
  <c r="A290" i="3"/>
  <c r="B289" i="3"/>
  <c r="A289" i="3"/>
  <c r="B288" i="3"/>
  <c r="A288" i="3"/>
  <c r="B287" i="3"/>
  <c r="A287" i="3"/>
  <c r="B286" i="3"/>
  <c r="A286" i="3"/>
  <c r="B285" i="3"/>
  <c r="A285" i="3"/>
  <c r="B284" i="3"/>
  <c r="A284" i="3"/>
  <c r="B283" i="3"/>
  <c r="A283" i="3"/>
  <c r="B282" i="3"/>
  <c r="A282" i="3"/>
  <c r="B281" i="3"/>
  <c r="A281" i="3"/>
  <c r="B280" i="3"/>
  <c r="A280" i="3"/>
  <c r="B279" i="3"/>
  <c r="A279" i="3"/>
  <c r="B278" i="3"/>
  <c r="A278" i="3"/>
  <c r="B277" i="3"/>
  <c r="A277" i="3"/>
  <c r="B276" i="3"/>
  <c r="A276" i="3"/>
  <c r="B275" i="3"/>
  <c r="A275" i="3"/>
  <c r="B274" i="3"/>
  <c r="A274" i="3"/>
  <c r="B273" i="3"/>
  <c r="A273" i="3"/>
  <c r="B272" i="3"/>
  <c r="A272" i="3"/>
  <c r="B271" i="3"/>
  <c r="A271" i="3"/>
  <c r="B270" i="3"/>
  <c r="A270" i="3"/>
  <c r="B269" i="3"/>
  <c r="A269" i="3"/>
  <c r="B268" i="3"/>
  <c r="A268" i="3"/>
  <c r="B267" i="3"/>
  <c r="A267" i="3"/>
  <c r="B266" i="3"/>
  <c r="A266" i="3"/>
  <c r="B265" i="3"/>
  <c r="A265" i="3"/>
  <c r="B264" i="3"/>
  <c r="A264" i="3"/>
  <c r="B263" i="3"/>
  <c r="A263" i="3"/>
  <c r="B262" i="3"/>
  <c r="A262" i="3"/>
  <c r="B261" i="3"/>
  <c r="A261" i="3"/>
  <c r="B260" i="3"/>
  <c r="A260" i="3"/>
  <c r="B259" i="3"/>
  <c r="A259" i="3"/>
  <c r="B258" i="3"/>
  <c r="A258" i="3"/>
  <c r="B257" i="3"/>
  <c r="A257" i="3"/>
  <c r="B256" i="3"/>
  <c r="A256" i="3"/>
  <c r="B255" i="3"/>
  <c r="A255" i="3"/>
  <c r="B254" i="3"/>
  <c r="A254" i="3"/>
  <c r="B253" i="3"/>
  <c r="A253" i="3"/>
  <c r="B252" i="3"/>
  <c r="A252" i="3"/>
  <c r="B251" i="3"/>
  <c r="A251" i="3"/>
  <c r="B250" i="3"/>
  <c r="A250" i="3"/>
  <c r="B249" i="3"/>
  <c r="A249" i="3"/>
  <c r="B248" i="3"/>
  <c r="A248" i="3"/>
  <c r="B247" i="3"/>
  <c r="A247" i="3"/>
  <c r="B246" i="3"/>
  <c r="A246" i="3"/>
  <c r="B245" i="3"/>
  <c r="A245" i="3"/>
  <c r="B244" i="3"/>
  <c r="A244" i="3"/>
  <c r="B243" i="3"/>
  <c r="A243" i="3"/>
  <c r="B242" i="3"/>
  <c r="A242" i="3"/>
  <c r="B241" i="3"/>
  <c r="A241" i="3"/>
  <c r="B240" i="3"/>
  <c r="A240" i="3"/>
  <c r="B239" i="3"/>
  <c r="A239" i="3"/>
  <c r="B238" i="3"/>
  <c r="A238" i="3"/>
  <c r="B237" i="3"/>
  <c r="A237" i="3"/>
  <c r="B236" i="3"/>
  <c r="A236" i="3"/>
  <c r="B235" i="3"/>
  <c r="A235" i="3"/>
  <c r="B234" i="3"/>
  <c r="A234" i="3"/>
  <c r="B233" i="3"/>
  <c r="A233" i="3"/>
  <c r="B232" i="3"/>
  <c r="A232" i="3"/>
  <c r="B231" i="3"/>
  <c r="A231" i="3"/>
  <c r="B230" i="3"/>
  <c r="A230" i="3"/>
  <c r="B229" i="3"/>
  <c r="A229" i="3"/>
  <c r="B228" i="3"/>
  <c r="A228" i="3"/>
  <c r="B227" i="3"/>
  <c r="A227" i="3"/>
  <c r="B226" i="3"/>
  <c r="A226" i="3"/>
  <c r="B225" i="3"/>
  <c r="A225" i="3"/>
  <c r="B224" i="3"/>
  <c r="A224" i="3"/>
  <c r="B223" i="3"/>
  <c r="A223" i="3"/>
  <c r="B222" i="3"/>
  <c r="A222" i="3"/>
  <c r="B221" i="3"/>
  <c r="A221" i="3"/>
  <c r="B220" i="3"/>
  <c r="A220" i="3"/>
  <c r="B219" i="3"/>
  <c r="A219" i="3"/>
  <c r="B218" i="3"/>
  <c r="A218" i="3"/>
  <c r="B217" i="3"/>
  <c r="A217" i="3"/>
  <c r="B216" i="3"/>
  <c r="A216" i="3"/>
  <c r="B215" i="3"/>
  <c r="A215" i="3"/>
  <c r="B214" i="3"/>
  <c r="A214" i="3"/>
  <c r="B213" i="3"/>
  <c r="A213" i="3"/>
  <c r="B212" i="3"/>
  <c r="A212" i="3"/>
  <c r="B211" i="3"/>
  <c r="A211" i="3"/>
  <c r="B210" i="3"/>
  <c r="A210" i="3"/>
  <c r="B209" i="3"/>
  <c r="A209" i="3"/>
  <c r="B208" i="3"/>
  <c r="A208" i="3"/>
  <c r="B207" i="3"/>
  <c r="A207" i="3"/>
  <c r="B206" i="3"/>
  <c r="A206" i="3"/>
  <c r="B205" i="3"/>
  <c r="A205" i="3"/>
  <c r="B204" i="3"/>
  <c r="A204" i="3"/>
  <c r="B203" i="3"/>
  <c r="A203" i="3"/>
  <c r="B202" i="3"/>
  <c r="A202" i="3"/>
  <c r="B201" i="3"/>
  <c r="A201" i="3"/>
  <c r="B200" i="3"/>
  <c r="A200" i="3"/>
  <c r="B199" i="3"/>
  <c r="A199" i="3"/>
  <c r="B198" i="3"/>
  <c r="A198" i="3"/>
  <c r="B197" i="3"/>
  <c r="A197" i="3"/>
  <c r="B196" i="3"/>
  <c r="A196" i="3"/>
  <c r="B195" i="3"/>
  <c r="A195" i="3"/>
  <c r="B194" i="3"/>
  <c r="A194" i="3"/>
  <c r="B193" i="3"/>
  <c r="A193" i="3"/>
  <c r="B192" i="3"/>
  <c r="A192" i="3"/>
  <c r="B191" i="3"/>
  <c r="A191" i="3"/>
  <c r="B190" i="3"/>
  <c r="A190" i="3"/>
  <c r="B189" i="3"/>
  <c r="A189" i="3"/>
  <c r="B188" i="3"/>
  <c r="A188" i="3"/>
  <c r="B187" i="3"/>
  <c r="A187" i="3"/>
  <c r="B186" i="3"/>
  <c r="A186" i="3"/>
  <c r="B185" i="3"/>
  <c r="A185" i="3"/>
  <c r="B184" i="3"/>
  <c r="A184" i="3"/>
  <c r="B183" i="3"/>
  <c r="A183" i="3"/>
  <c r="B182" i="3"/>
  <c r="A182" i="3"/>
  <c r="B181" i="3"/>
  <c r="A181" i="3"/>
  <c r="B180" i="3"/>
  <c r="A180" i="3"/>
  <c r="B179" i="3"/>
  <c r="A179" i="3"/>
  <c r="B178" i="3"/>
  <c r="A178" i="3"/>
  <c r="B177" i="3"/>
  <c r="A177" i="3"/>
  <c r="B176" i="3"/>
  <c r="A176" i="3"/>
  <c r="B175" i="3"/>
  <c r="A175" i="3"/>
  <c r="B174" i="3"/>
  <c r="A174" i="3"/>
  <c r="B173" i="3"/>
  <c r="A173" i="3"/>
  <c r="B172" i="3"/>
  <c r="A172" i="3"/>
  <c r="B171" i="3"/>
  <c r="A171" i="3"/>
  <c r="B170" i="3"/>
  <c r="A170" i="3"/>
  <c r="B169" i="3"/>
  <c r="A169" i="3"/>
  <c r="B168" i="3"/>
  <c r="A168" i="3"/>
  <c r="B167" i="3"/>
  <c r="A167" i="3"/>
  <c r="B166" i="3"/>
  <c r="A166" i="3"/>
  <c r="B165" i="3"/>
  <c r="A165" i="3"/>
  <c r="B164" i="3"/>
  <c r="A164" i="3"/>
  <c r="B163" i="3"/>
  <c r="A163" i="3"/>
  <c r="B162" i="3"/>
  <c r="A162" i="3"/>
  <c r="B161" i="3"/>
  <c r="A161" i="3"/>
  <c r="B160" i="3"/>
  <c r="A160" i="3"/>
  <c r="B159" i="3"/>
  <c r="A159" i="3"/>
  <c r="B158" i="3"/>
  <c r="A158" i="3"/>
  <c r="B157" i="3"/>
  <c r="A157" i="3"/>
  <c r="B156" i="3"/>
  <c r="A156" i="3"/>
  <c r="B155" i="3"/>
  <c r="A155" i="3"/>
  <c r="B154" i="3"/>
  <c r="A154" i="3"/>
  <c r="B153" i="3"/>
  <c r="A153" i="3"/>
  <c r="B152" i="3"/>
  <c r="A152" i="3"/>
  <c r="B151" i="3"/>
  <c r="A151" i="3"/>
  <c r="B150" i="3"/>
  <c r="A150" i="3"/>
  <c r="B149" i="3"/>
  <c r="A149" i="3"/>
  <c r="B148" i="3"/>
  <c r="A148" i="3"/>
  <c r="B147" i="3"/>
  <c r="A147" i="3"/>
  <c r="B146" i="3"/>
  <c r="A146" i="3"/>
  <c r="B145" i="3"/>
  <c r="A145" i="3"/>
  <c r="B144" i="3"/>
  <c r="A144" i="3"/>
  <c r="B143" i="3"/>
  <c r="A143" i="3"/>
  <c r="B142" i="3"/>
  <c r="A142" i="3"/>
  <c r="B141" i="3"/>
  <c r="A141" i="3"/>
  <c r="B140" i="3"/>
  <c r="A140" i="3"/>
  <c r="B139" i="3"/>
  <c r="A139" i="3"/>
  <c r="B138" i="3"/>
  <c r="A138" i="3"/>
  <c r="B137" i="3"/>
  <c r="A137" i="3"/>
  <c r="B136" i="3"/>
  <c r="A136" i="3"/>
  <c r="B135" i="3"/>
  <c r="A135" i="3"/>
  <c r="B134" i="3"/>
  <c r="A134" i="3"/>
  <c r="B133" i="3"/>
  <c r="A133" i="3"/>
  <c r="B132" i="3"/>
  <c r="A132" i="3"/>
  <c r="B131" i="3"/>
  <c r="A131" i="3"/>
  <c r="B130" i="3"/>
  <c r="A130" i="3"/>
  <c r="B129" i="3"/>
  <c r="A129" i="3"/>
  <c r="B128" i="3"/>
  <c r="A128" i="3"/>
  <c r="B127" i="3"/>
  <c r="A127" i="3"/>
  <c r="B126" i="3"/>
  <c r="A126" i="3"/>
  <c r="B125" i="3"/>
  <c r="A125" i="3"/>
  <c r="B124" i="3"/>
  <c r="A124" i="3"/>
  <c r="B123" i="3"/>
  <c r="A123" i="3"/>
  <c r="B122" i="3"/>
  <c r="A122" i="3"/>
  <c r="B121" i="3"/>
  <c r="A121" i="3"/>
  <c r="B120" i="3"/>
  <c r="A120" i="3"/>
  <c r="B119" i="3"/>
  <c r="A119" i="3"/>
  <c r="B118" i="3"/>
  <c r="A118" i="3"/>
  <c r="B117" i="3"/>
  <c r="A117" i="3"/>
  <c r="B116" i="3"/>
  <c r="A116" i="3"/>
  <c r="B115" i="3"/>
  <c r="A115" i="3"/>
  <c r="B114" i="3"/>
  <c r="A114" i="3"/>
  <c r="B113" i="3"/>
  <c r="A113" i="3"/>
  <c r="B112" i="3"/>
  <c r="A112" i="3"/>
  <c r="B111" i="3"/>
  <c r="A111" i="3"/>
  <c r="B110" i="3"/>
  <c r="A110" i="3"/>
  <c r="B109" i="3"/>
  <c r="A109" i="3"/>
  <c r="B108" i="3"/>
  <c r="A108" i="3"/>
  <c r="B107" i="3"/>
  <c r="A107" i="3"/>
  <c r="B106" i="3"/>
  <c r="A106" i="3"/>
  <c r="B105" i="3"/>
  <c r="A105" i="3"/>
  <c r="B104" i="3"/>
  <c r="A104" i="3"/>
  <c r="B103" i="3"/>
  <c r="A103" i="3"/>
  <c r="B102" i="3"/>
  <c r="A102" i="3"/>
  <c r="B101" i="3"/>
  <c r="A101" i="3"/>
  <c r="B100" i="3"/>
  <c r="A100" i="3"/>
  <c r="B99" i="3"/>
  <c r="A99" i="3"/>
  <c r="B98" i="3"/>
  <c r="A98" i="3"/>
  <c r="B97" i="3"/>
  <c r="A97" i="3"/>
  <c r="B96" i="3"/>
  <c r="A96" i="3"/>
  <c r="B95" i="3"/>
  <c r="A95" i="3"/>
  <c r="B94" i="3"/>
  <c r="A94" i="3"/>
  <c r="B93" i="3"/>
  <c r="A93" i="3"/>
  <c r="B92" i="3"/>
  <c r="A92" i="3"/>
  <c r="B91" i="3"/>
  <c r="A91" i="3"/>
  <c r="B90" i="3"/>
  <c r="A90" i="3"/>
  <c r="B89" i="3"/>
  <c r="A89" i="3"/>
  <c r="B88" i="3"/>
  <c r="A88" i="3"/>
  <c r="B87" i="3"/>
  <c r="A87" i="3"/>
  <c r="B86" i="3"/>
  <c r="A86" i="3"/>
  <c r="B85" i="3"/>
  <c r="A85" i="3"/>
  <c r="B84" i="3"/>
  <c r="A84" i="3"/>
  <c r="B83" i="3"/>
  <c r="A83" i="3"/>
  <c r="B82" i="3"/>
  <c r="A82" i="3"/>
  <c r="B81" i="3"/>
  <c r="A81" i="3"/>
  <c r="B80" i="3"/>
  <c r="A80" i="3"/>
  <c r="B79" i="3"/>
  <c r="A79" i="3"/>
  <c r="B78" i="3"/>
  <c r="A78" i="3"/>
  <c r="B77" i="3"/>
  <c r="A77" i="3"/>
  <c r="B76" i="3"/>
  <c r="A76" i="3"/>
  <c r="B75" i="3"/>
  <c r="A75" i="3"/>
  <c r="B74" i="3"/>
  <c r="A74" i="3"/>
  <c r="B73" i="3"/>
  <c r="A73" i="3"/>
  <c r="B72" i="3"/>
  <c r="A72" i="3"/>
  <c r="B71" i="3"/>
  <c r="A71" i="3"/>
  <c r="B70" i="3"/>
  <c r="A70" i="3"/>
  <c r="B69" i="3"/>
  <c r="A69" i="3"/>
  <c r="B68" i="3"/>
  <c r="A68" i="3"/>
  <c r="B67" i="3"/>
  <c r="A67" i="3"/>
  <c r="B66" i="3"/>
  <c r="A66" i="3"/>
  <c r="B65" i="3"/>
  <c r="A65" i="3"/>
  <c r="B64" i="3"/>
  <c r="A64" i="3"/>
  <c r="B63" i="3"/>
  <c r="A63" i="3"/>
  <c r="B62" i="3"/>
  <c r="A62" i="3"/>
  <c r="B61" i="3"/>
  <c r="A61" i="3"/>
  <c r="B60" i="3"/>
  <c r="A60" i="3"/>
  <c r="B59" i="3"/>
  <c r="A59" i="3"/>
  <c r="B58" i="3"/>
  <c r="A58" i="3"/>
  <c r="B57" i="3"/>
  <c r="A57" i="3"/>
  <c r="B56" i="3"/>
  <c r="A56" i="3"/>
  <c r="B55" i="3"/>
  <c r="A55" i="3"/>
  <c r="B54" i="3"/>
  <c r="A54" i="3"/>
  <c r="B53" i="3"/>
  <c r="A53" i="3"/>
  <c r="B52" i="3"/>
  <c r="A52" i="3"/>
  <c r="B51" i="3"/>
  <c r="A51" i="3"/>
  <c r="B50" i="3"/>
  <c r="A50" i="3"/>
  <c r="B49" i="3"/>
  <c r="A49" i="3"/>
  <c r="B48" i="3"/>
  <c r="A48" i="3"/>
  <c r="B47" i="3"/>
  <c r="A47" i="3"/>
  <c r="B46" i="3"/>
  <c r="A46" i="3"/>
  <c r="B45" i="3"/>
  <c r="A45" i="3"/>
  <c r="B44" i="3"/>
  <c r="A44" i="3"/>
  <c r="B43" i="3"/>
  <c r="A43" i="3"/>
  <c r="B42" i="3"/>
  <c r="A42" i="3"/>
  <c r="B41" i="3"/>
  <c r="A41" i="3"/>
  <c r="B40" i="3"/>
  <c r="A40" i="3"/>
  <c r="B39" i="3"/>
  <c r="A39" i="3"/>
  <c r="B38" i="3"/>
  <c r="A38" i="3"/>
  <c r="B37" i="3"/>
  <c r="A37" i="3"/>
  <c r="B36" i="3"/>
  <c r="A36" i="3"/>
  <c r="B35" i="3"/>
  <c r="A35" i="3"/>
  <c r="B34" i="3"/>
  <c r="A34" i="3"/>
  <c r="B33" i="3"/>
  <c r="A33" i="3"/>
  <c r="B32" i="3"/>
  <c r="A32" i="3"/>
  <c r="B31" i="3"/>
  <c r="A31" i="3"/>
  <c r="B30" i="3"/>
  <c r="A30" i="3"/>
  <c r="B29" i="3"/>
  <c r="A29" i="3"/>
  <c r="B28" i="3"/>
  <c r="A28" i="3"/>
  <c r="B27" i="3"/>
  <c r="A27" i="3"/>
  <c r="B26" i="3"/>
  <c r="A26" i="3"/>
  <c r="B25" i="3"/>
  <c r="A25" i="3"/>
  <c r="B24" i="3"/>
  <c r="A24" i="3"/>
  <c r="B23" i="3"/>
  <c r="A23" i="3"/>
  <c r="B22" i="3"/>
  <c r="A22" i="3"/>
  <c r="B21" i="3"/>
  <c r="A21" i="3"/>
  <c r="B20" i="3"/>
  <c r="A20" i="3"/>
  <c r="B19" i="3"/>
  <c r="A19" i="3"/>
  <c r="B18" i="3"/>
  <c r="A18" i="3"/>
  <c r="B17" i="3"/>
  <c r="A17" i="3"/>
  <c r="B16" i="3"/>
  <c r="A16" i="3"/>
  <c r="B15" i="3"/>
  <c r="A15" i="3"/>
  <c r="B14" i="3"/>
  <c r="A14" i="3"/>
  <c r="B13" i="3"/>
  <c r="A13" i="3"/>
  <c r="B12" i="3"/>
  <c r="A12" i="3"/>
  <c r="B11" i="3"/>
  <c r="A11" i="3"/>
  <c r="B10" i="3"/>
  <c r="A10" i="3"/>
  <c r="B9" i="3"/>
  <c r="A9" i="3"/>
  <c r="B8" i="3"/>
  <c r="A8" i="3"/>
  <c r="B7" i="3"/>
  <c r="A7" i="3"/>
  <c r="B6" i="3"/>
  <c r="A6" i="3"/>
  <c r="B5" i="3"/>
  <c r="A5" i="3"/>
  <c r="B4" i="3"/>
  <c r="A4" i="3"/>
  <c r="B3" i="3"/>
  <c r="A3" i="3"/>
  <c r="B2" i="3"/>
  <c r="A2" i="3"/>
  <c r="B1" i="3"/>
  <c r="C3" i="3" l="1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C99" i="3"/>
  <c r="C100" i="3"/>
  <c r="C101" i="3"/>
  <c r="C102" i="3"/>
  <c r="C103" i="3"/>
  <c r="C104" i="3"/>
  <c r="C105" i="3"/>
  <c r="C106" i="3"/>
  <c r="C107" i="3"/>
  <c r="C108" i="3"/>
  <c r="C109" i="3"/>
  <c r="C110" i="3"/>
  <c r="C111" i="3"/>
  <c r="C112" i="3"/>
  <c r="C113" i="3"/>
  <c r="C114" i="3"/>
  <c r="C115" i="3"/>
  <c r="C116" i="3"/>
  <c r="C117" i="3"/>
  <c r="C118" i="3"/>
  <c r="C119" i="3"/>
  <c r="C120" i="3"/>
  <c r="C121" i="3"/>
  <c r="C122" i="3"/>
  <c r="C123" i="3"/>
  <c r="C124" i="3"/>
  <c r="C125" i="3"/>
  <c r="C126" i="3"/>
  <c r="C127" i="3"/>
  <c r="C128" i="3"/>
  <c r="C129" i="3"/>
  <c r="C130" i="3"/>
  <c r="C131" i="3"/>
  <c r="C132" i="3"/>
  <c r="C133" i="3"/>
  <c r="C134" i="3"/>
  <c r="C135" i="3"/>
  <c r="C136" i="3"/>
  <c r="C137" i="3"/>
  <c r="C138" i="3"/>
  <c r="C139" i="3"/>
  <c r="C140" i="3"/>
  <c r="C141" i="3"/>
  <c r="C142" i="3"/>
  <c r="C143" i="3"/>
  <c r="C144" i="3"/>
  <c r="C145" i="3"/>
  <c r="C146" i="3"/>
  <c r="C147" i="3"/>
  <c r="C148" i="3"/>
  <c r="C149" i="3"/>
  <c r="C150" i="3"/>
  <c r="C151" i="3"/>
  <c r="C152" i="3"/>
  <c r="C153" i="3"/>
  <c r="C154" i="3"/>
  <c r="C155" i="3"/>
  <c r="C156" i="3"/>
  <c r="C157" i="3"/>
  <c r="C158" i="3"/>
  <c r="C159" i="3"/>
  <c r="C160" i="3"/>
  <c r="C161" i="3"/>
  <c r="C162" i="3"/>
  <c r="C163" i="3"/>
  <c r="C164" i="3"/>
  <c r="C165" i="3"/>
  <c r="C166" i="3"/>
  <c r="C167" i="3"/>
  <c r="C168" i="3"/>
  <c r="C169" i="3"/>
  <c r="C170" i="3"/>
  <c r="C171" i="3"/>
  <c r="C172" i="3"/>
  <c r="C173" i="3"/>
  <c r="C174" i="3"/>
  <c r="C175" i="3"/>
  <c r="C176" i="3"/>
  <c r="C177" i="3"/>
  <c r="C178" i="3"/>
  <c r="C179" i="3"/>
  <c r="C180" i="3"/>
  <c r="C181" i="3"/>
  <c r="C182" i="3"/>
  <c r="C183" i="3"/>
  <c r="C184" i="3"/>
  <c r="C185" i="3"/>
  <c r="C186" i="3"/>
  <c r="C187" i="3"/>
  <c r="C188" i="3"/>
  <c r="C189" i="3"/>
  <c r="C190" i="3"/>
  <c r="C191" i="3"/>
  <c r="C192" i="3"/>
  <c r="C193" i="3"/>
  <c r="C194" i="3"/>
  <c r="C195" i="3"/>
  <c r="C196" i="3"/>
  <c r="C197" i="3"/>
  <c r="C198" i="3"/>
  <c r="C199" i="3"/>
  <c r="C200" i="3"/>
  <c r="C201" i="3"/>
  <c r="C202" i="3"/>
  <c r="C203" i="3"/>
  <c r="C204" i="3"/>
  <c r="C205" i="3"/>
  <c r="C206" i="3"/>
  <c r="C207" i="3"/>
  <c r="C208" i="3"/>
  <c r="C209" i="3"/>
  <c r="C210" i="3"/>
  <c r="C211" i="3"/>
  <c r="C212" i="3"/>
  <c r="C213" i="3"/>
  <c r="C214" i="3"/>
  <c r="C215" i="3"/>
  <c r="C216" i="3"/>
  <c r="C217" i="3"/>
  <c r="C218" i="3"/>
  <c r="C219" i="3"/>
  <c r="C220" i="3"/>
  <c r="C221" i="3"/>
  <c r="C222" i="3"/>
  <c r="C223" i="3"/>
  <c r="C224" i="3"/>
  <c r="C225" i="3"/>
  <c r="C226" i="3"/>
  <c r="C227" i="3"/>
  <c r="C228" i="3"/>
  <c r="C229" i="3"/>
  <c r="C230" i="3"/>
  <c r="C231" i="3"/>
  <c r="C232" i="3"/>
  <c r="C233" i="3"/>
  <c r="C234" i="3"/>
  <c r="C235" i="3"/>
  <c r="C236" i="3"/>
  <c r="C237" i="3"/>
  <c r="C238" i="3"/>
  <c r="C239" i="3"/>
  <c r="C240" i="3"/>
  <c r="C241" i="3"/>
  <c r="C242" i="3"/>
  <c r="C243" i="3"/>
  <c r="C244" i="3"/>
  <c r="C245" i="3"/>
  <c r="C246" i="3"/>
  <c r="C247" i="3"/>
  <c r="C248" i="3"/>
  <c r="C249" i="3"/>
  <c r="C250" i="3"/>
  <c r="C251" i="3"/>
  <c r="C252" i="3"/>
  <c r="C253" i="3"/>
  <c r="C254" i="3"/>
  <c r="C255" i="3"/>
  <c r="C256" i="3"/>
  <c r="C257" i="3"/>
  <c r="C258" i="3"/>
  <c r="C259" i="3"/>
  <c r="C260" i="3"/>
  <c r="C261" i="3"/>
  <c r="C262" i="3"/>
  <c r="C263" i="3"/>
  <c r="C264" i="3"/>
  <c r="C265" i="3"/>
  <c r="C266" i="3"/>
  <c r="C267" i="3"/>
  <c r="C268" i="3"/>
  <c r="C269" i="3"/>
  <c r="C270" i="3"/>
  <c r="C271" i="3"/>
  <c r="C272" i="3"/>
  <c r="C273" i="3"/>
  <c r="C274" i="3"/>
  <c r="C275" i="3"/>
  <c r="C276" i="3"/>
  <c r="C277" i="3"/>
  <c r="C278" i="3"/>
  <c r="C279" i="3"/>
  <c r="C280" i="3"/>
  <c r="C281" i="3"/>
  <c r="C282" i="3"/>
  <c r="C283" i="3"/>
  <c r="C284" i="3"/>
  <c r="C285" i="3"/>
  <c r="C286" i="3"/>
  <c r="C287" i="3"/>
  <c r="C288" i="3"/>
  <c r="C289" i="3"/>
  <c r="C290" i="3"/>
  <c r="C291" i="3"/>
  <c r="C292" i="3"/>
  <c r="C293" i="3"/>
  <c r="C294" i="3"/>
  <c r="C295" i="3"/>
  <c r="C296" i="3"/>
  <c r="C297" i="3"/>
  <c r="C298" i="3"/>
  <c r="C299" i="3"/>
  <c r="C300" i="3"/>
  <c r="C301" i="3"/>
  <c r="C302" i="3"/>
  <c r="C303" i="3"/>
  <c r="C304" i="3"/>
  <c r="C305" i="3"/>
  <c r="C306" i="3"/>
  <c r="C307" i="3"/>
  <c r="C308" i="3"/>
  <c r="C309" i="3"/>
  <c r="C310" i="3"/>
  <c r="C311" i="3"/>
  <c r="C312" i="3"/>
  <c r="C313" i="3"/>
  <c r="C314" i="3"/>
  <c r="C315" i="3"/>
  <c r="C316" i="3"/>
  <c r="C317" i="3"/>
  <c r="C318" i="3"/>
  <c r="C319" i="3"/>
  <c r="C320" i="3"/>
  <c r="C321" i="3"/>
  <c r="C322" i="3"/>
  <c r="C323" i="3"/>
  <c r="C324" i="3"/>
  <c r="C325" i="3"/>
  <c r="C326" i="3"/>
  <c r="C327" i="3"/>
  <c r="C328" i="3"/>
  <c r="C329" i="3"/>
  <c r="C330" i="3"/>
  <c r="C331" i="3"/>
  <c r="C332" i="3"/>
  <c r="C333" i="3"/>
  <c r="C334" i="3"/>
  <c r="C335" i="3"/>
  <c r="C336" i="3"/>
  <c r="C337" i="3"/>
  <c r="C338" i="3"/>
  <c r="C339" i="3"/>
  <c r="C340" i="3"/>
  <c r="C341" i="3"/>
  <c r="C342" i="3"/>
  <c r="C343" i="3"/>
  <c r="C344" i="3"/>
  <c r="C345" i="3"/>
  <c r="C346" i="3"/>
  <c r="C347" i="3"/>
  <c r="C348" i="3"/>
  <c r="C349" i="3"/>
  <c r="C350" i="3"/>
  <c r="C351" i="3"/>
  <c r="C352" i="3"/>
  <c r="C353" i="3"/>
  <c r="C354" i="3"/>
  <c r="C355" i="3"/>
  <c r="C356" i="3"/>
  <c r="C357" i="3"/>
  <c r="C358" i="3"/>
  <c r="C359" i="3"/>
  <c r="C360" i="3"/>
  <c r="C361" i="3"/>
  <c r="C362" i="3"/>
  <c r="C363" i="3"/>
  <c r="C364" i="3"/>
  <c r="C365" i="3"/>
  <c r="C366" i="3"/>
  <c r="C367" i="3"/>
  <c r="C368" i="3"/>
  <c r="C369" i="3"/>
  <c r="C370" i="3"/>
  <c r="C371" i="3"/>
  <c r="C372" i="3"/>
  <c r="C373" i="3"/>
  <c r="C374" i="3"/>
  <c r="C375" i="3"/>
  <c r="C376" i="3"/>
  <c r="C377" i="3"/>
  <c r="C378" i="3"/>
  <c r="C379" i="3"/>
  <c r="C380" i="3"/>
  <c r="C381" i="3"/>
  <c r="C382" i="3"/>
  <c r="C383" i="3"/>
  <c r="C384" i="3"/>
  <c r="C385" i="3"/>
  <c r="C386" i="3"/>
  <c r="C387" i="3"/>
  <c r="C388" i="3"/>
  <c r="C389" i="3"/>
  <c r="C390" i="3"/>
  <c r="C391" i="3"/>
  <c r="C392" i="3"/>
  <c r="C393" i="3"/>
  <c r="C394" i="3"/>
  <c r="C395" i="3"/>
  <c r="C396" i="3"/>
  <c r="C397" i="3"/>
  <c r="C398" i="3"/>
  <c r="C399" i="3"/>
  <c r="C400" i="3"/>
  <c r="C401" i="3"/>
  <c r="C402" i="3"/>
  <c r="C403" i="3"/>
  <c r="C404" i="3"/>
  <c r="C405" i="3"/>
  <c r="C406" i="3"/>
  <c r="C407" i="3"/>
  <c r="C408" i="3"/>
  <c r="C409" i="3"/>
  <c r="C410" i="3"/>
  <c r="C411" i="3"/>
  <c r="C412" i="3"/>
  <c r="C413" i="3"/>
  <c r="C414" i="3"/>
  <c r="C415" i="3"/>
  <c r="C416" i="3"/>
  <c r="C417" i="3"/>
  <c r="C418" i="3"/>
  <c r="C419" i="3"/>
  <c r="C420" i="3"/>
  <c r="C421" i="3"/>
  <c r="C422" i="3"/>
  <c r="C423" i="3"/>
  <c r="C424" i="3"/>
  <c r="C425" i="3"/>
  <c r="C426" i="3"/>
  <c r="C427" i="3"/>
  <c r="C428" i="3"/>
  <c r="C429" i="3"/>
  <c r="C430" i="3"/>
  <c r="C431" i="3"/>
  <c r="C432" i="3"/>
  <c r="C433" i="3"/>
  <c r="C434" i="3"/>
  <c r="C435" i="3"/>
  <c r="C436" i="3"/>
  <c r="C437" i="3"/>
  <c r="C438" i="3"/>
  <c r="C439" i="3"/>
  <c r="C440" i="3"/>
  <c r="C441" i="3"/>
  <c r="C442" i="3"/>
  <c r="C443" i="3"/>
  <c r="C444" i="3"/>
  <c r="C445" i="3"/>
  <c r="C446" i="3"/>
  <c r="C447" i="3"/>
  <c r="C448" i="3"/>
  <c r="C449" i="3"/>
  <c r="C450" i="3"/>
  <c r="C451" i="3"/>
  <c r="C452" i="3"/>
  <c r="C453" i="3"/>
  <c r="C454" i="3"/>
  <c r="C455" i="3"/>
  <c r="C456" i="3"/>
  <c r="C457" i="3"/>
  <c r="C458" i="3"/>
  <c r="C459" i="3"/>
  <c r="C460" i="3"/>
  <c r="C461" i="3"/>
  <c r="C462" i="3"/>
  <c r="C463" i="3"/>
  <c r="C464" i="3"/>
  <c r="C465" i="3"/>
  <c r="C466" i="3"/>
  <c r="C467" i="3"/>
  <c r="C468" i="3"/>
  <c r="C469" i="3"/>
  <c r="C470" i="3"/>
  <c r="C471" i="3"/>
  <c r="C472" i="3"/>
  <c r="C473" i="3"/>
  <c r="C474" i="3"/>
  <c r="C475" i="3"/>
  <c r="C476" i="3"/>
  <c r="C477" i="3"/>
  <c r="C478" i="3"/>
  <c r="C479" i="3"/>
  <c r="C480" i="3"/>
  <c r="C481" i="3"/>
  <c r="C482" i="3"/>
  <c r="C483" i="3"/>
  <c r="C484" i="3"/>
  <c r="C485" i="3"/>
  <c r="C486" i="3"/>
  <c r="C487" i="3"/>
  <c r="C488" i="3"/>
  <c r="C489" i="3"/>
  <c r="C490" i="3"/>
  <c r="C491" i="3"/>
  <c r="C492" i="3"/>
  <c r="C493" i="3"/>
  <c r="C494" i="3"/>
  <c r="C495" i="3"/>
  <c r="C496" i="3"/>
  <c r="C497" i="3"/>
  <c r="C498" i="3"/>
  <c r="C499" i="3"/>
  <c r="C500" i="3"/>
  <c r="C501" i="3"/>
  <c r="C502" i="3"/>
  <c r="C503" i="3"/>
  <c r="C504" i="3"/>
  <c r="C505" i="3"/>
  <c r="C506" i="3"/>
  <c r="C507" i="3"/>
  <c r="C508" i="3"/>
  <c r="C509" i="3"/>
  <c r="C510" i="3"/>
  <c r="C511" i="3"/>
  <c r="C512" i="3"/>
  <c r="C513" i="3"/>
  <c r="C514" i="3"/>
  <c r="C515" i="3"/>
  <c r="C516" i="3"/>
  <c r="C517" i="3"/>
  <c r="C518" i="3"/>
  <c r="C519" i="3"/>
  <c r="C520" i="3"/>
  <c r="C521" i="3"/>
  <c r="C522" i="3"/>
  <c r="C523" i="3"/>
  <c r="C524" i="3"/>
  <c r="C525" i="3"/>
  <c r="C526" i="3"/>
  <c r="C527" i="3"/>
  <c r="C528" i="3"/>
  <c r="C529" i="3"/>
  <c r="C530" i="3"/>
  <c r="C531" i="3"/>
  <c r="C532" i="3"/>
  <c r="C533" i="3"/>
  <c r="C534" i="3"/>
  <c r="C535" i="3"/>
  <c r="C536" i="3"/>
  <c r="C537" i="3"/>
  <c r="C538" i="3"/>
  <c r="C539" i="3"/>
  <c r="C540" i="3"/>
  <c r="C541" i="3"/>
  <c r="C542" i="3"/>
  <c r="C543" i="3"/>
  <c r="C544" i="3"/>
  <c r="C545" i="3"/>
  <c r="C546" i="3"/>
  <c r="C547" i="3"/>
  <c r="C548" i="3"/>
  <c r="C549" i="3"/>
  <c r="C550" i="3"/>
  <c r="C551" i="3"/>
  <c r="C552" i="3"/>
  <c r="C553" i="3"/>
  <c r="C554" i="3"/>
  <c r="C555" i="3"/>
  <c r="C556" i="3"/>
  <c r="C557" i="3"/>
  <c r="C558" i="3"/>
  <c r="C559" i="3"/>
  <c r="C560" i="3"/>
  <c r="C561" i="3"/>
  <c r="C562" i="3"/>
  <c r="C563" i="3"/>
  <c r="C564" i="3"/>
  <c r="C565" i="3"/>
  <c r="C566" i="3"/>
  <c r="C567" i="3"/>
  <c r="C568" i="3"/>
  <c r="C569" i="3"/>
  <c r="C570" i="3"/>
  <c r="C571" i="3"/>
  <c r="C572" i="3"/>
  <c r="C573" i="3"/>
  <c r="C574" i="3"/>
  <c r="C575" i="3"/>
  <c r="C576" i="3"/>
  <c r="C577" i="3"/>
  <c r="C578" i="3"/>
  <c r="C579" i="3"/>
  <c r="C580" i="3"/>
  <c r="C581" i="3"/>
  <c r="C582" i="3"/>
  <c r="C583" i="3"/>
  <c r="C584" i="3"/>
  <c r="C585" i="3"/>
  <c r="C586" i="3"/>
  <c r="C587" i="3"/>
  <c r="C588" i="3"/>
  <c r="C589" i="3"/>
  <c r="C590" i="3"/>
  <c r="C591" i="3"/>
  <c r="C592" i="3"/>
  <c r="C593" i="3"/>
  <c r="C594" i="3"/>
  <c r="C595" i="3"/>
  <c r="C596" i="3"/>
  <c r="C597" i="3"/>
  <c r="C598" i="3"/>
  <c r="C599" i="3"/>
  <c r="C600" i="3"/>
  <c r="C601" i="3"/>
  <c r="C602" i="3"/>
  <c r="C603" i="3"/>
  <c r="C604" i="3"/>
  <c r="C605" i="3"/>
  <c r="C606" i="3"/>
  <c r="C607" i="3"/>
  <c r="C608" i="3"/>
  <c r="C609" i="3"/>
  <c r="C610" i="3"/>
  <c r="C611" i="3"/>
  <c r="C612" i="3"/>
  <c r="C613" i="3"/>
  <c r="C614" i="3"/>
  <c r="C615" i="3"/>
  <c r="C616" i="3"/>
  <c r="C617" i="3"/>
  <c r="C618" i="3"/>
  <c r="C619" i="3"/>
  <c r="C620" i="3"/>
  <c r="C621" i="3"/>
  <c r="C622" i="3"/>
  <c r="C623" i="3"/>
  <c r="C624" i="3"/>
  <c r="C625" i="3"/>
  <c r="C626" i="3"/>
  <c r="C627" i="3"/>
  <c r="C628" i="3"/>
  <c r="C629" i="3"/>
  <c r="C630" i="3"/>
  <c r="C631" i="3"/>
  <c r="C632" i="3"/>
  <c r="C633" i="3"/>
  <c r="C634" i="3"/>
  <c r="C635" i="3"/>
  <c r="C636" i="3"/>
  <c r="C637" i="3"/>
  <c r="C638" i="3"/>
  <c r="C639" i="3"/>
  <c r="C640" i="3"/>
  <c r="C641" i="3"/>
  <c r="C642" i="3"/>
  <c r="C643" i="3"/>
  <c r="C644" i="3"/>
  <c r="C645" i="3"/>
  <c r="C646" i="3"/>
  <c r="C647" i="3"/>
  <c r="C648" i="3"/>
  <c r="C649" i="3"/>
  <c r="C650" i="3"/>
  <c r="C651" i="3"/>
  <c r="C652" i="3"/>
  <c r="C653" i="3"/>
  <c r="C654" i="3"/>
  <c r="C655" i="3"/>
  <c r="C656" i="3"/>
  <c r="C657" i="3"/>
  <c r="C658" i="3"/>
  <c r="C659" i="3"/>
  <c r="C660" i="3"/>
  <c r="C661" i="3"/>
  <c r="C662" i="3"/>
  <c r="C663" i="3"/>
  <c r="C664" i="3"/>
  <c r="C665" i="3"/>
  <c r="C666" i="3"/>
  <c r="C667" i="3"/>
  <c r="C668" i="3"/>
  <c r="C669" i="3"/>
  <c r="C670" i="3"/>
  <c r="C671" i="3"/>
  <c r="C672" i="3"/>
  <c r="C673" i="3"/>
  <c r="C674" i="3"/>
  <c r="C675" i="3"/>
  <c r="C676" i="3"/>
  <c r="C677" i="3"/>
  <c r="C678" i="3"/>
  <c r="C679" i="3"/>
  <c r="C680" i="3"/>
  <c r="C681" i="3"/>
  <c r="C682" i="3"/>
  <c r="C683" i="3"/>
  <c r="C684" i="3"/>
  <c r="C685" i="3"/>
  <c r="C686" i="3"/>
  <c r="C687" i="3"/>
  <c r="C688" i="3"/>
  <c r="C689" i="3"/>
  <c r="C690" i="3"/>
  <c r="C691" i="3"/>
  <c r="C692" i="3"/>
  <c r="C693" i="3"/>
  <c r="C694" i="3"/>
  <c r="C695" i="3"/>
  <c r="C696" i="3"/>
  <c r="C697" i="3"/>
  <c r="C698" i="3"/>
  <c r="C699" i="3"/>
  <c r="C700" i="3"/>
  <c r="C701" i="3"/>
  <c r="C702" i="3"/>
  <c r="C703" i="3"/>
  <c r="C704" i="3"/>
  <c r="C705" i="3"/>
  <c r="C706" i="3"/>
  <c r="C707" i="3"/>
  <c r="C708" i="3"/>
  <c r="C709" i="3"/>
  <c r="C710" i="3"/>
  <c r="C711" i="3"/>
  <c r="C712" i="3"/>
  <c r="C713" i="3"/>
  <c r="C714" i="3"/>
  <c r="C715" i="3"/>
  <c r="C716" i="3"/>
  <c r="C717" i="3"/>
  <c r="C718" i="3"/>
  <c r="C719" i="3"/>
  <c r="C720" i="3"/>
  <c r="C721" i="3"/>
  <c r="C722" i="3"/>
  <c r="C723" i="3"/>
  <c r="C724" i="3"/>
  <c r="C725" i="3"/>
  <c r="C726" i="3"/>
  <c r="C727" i="3"/>
  <c r="C728" i="3"/>
  <c r="C729" i="3"/>
  <c r="C730" i="3"/>
  <c r="C731" i="3"/>
  <c r="C732" i="3"/>
  <c r="C733" i="3"/>
  <c r="C734" i="3"/>
  <c r="C735" i="3"/>
  <c r="C736" i="3"/>
  <c r="C737" i="3"/>
  <c r="C738" i="3"/>
  <c r="C739" i="3"/>
  <c r="C740" i="3"/>
  <c r="C741" i="3"/>
  <c r="C742" i="3"/>
  <c r="C743" i="3"/>
  <c r="C744" i="3"/>
  <c r="C745" i="3"/>
  <c r="C746" i="3"/>
  <c r="C747" i="3"/>
  <c r="C748" i="3"/>
  <c r="C749" i="3"/>
  <c r="C750" i="3"/>
  <c r="C751" i="3"/>
  <c r="C752" i="3"/>
  <c r="C753" i="3"/>
  <c r="C754" i="3"/>
  <c r="C755" i="3"/>
  <c r="C756" i="3"/>
  <c r="C757" i="3"/>
  <c r="C758" i="3"/>
  <c r="C759" i="3"/>
  <c r="C760" i="3"/>
  <c r="C761" i="3"/>
  <c r="C762" i="3"/>
  <c r="C763" i="3"/>
  <c r="C764" i="3"/>
  <c r="C765" i="3"/>
  <c r="C766" i="3"/>
  <c r="C767" i="3"/>
  <c r="C768" i="3"/>
  <c r="C769" i="3"/>
  <c r="C770" i="3"/>
  <c r="C771" i="3"/>
  <c r="C772" i="3"/>
  <c r="C773" i="3"/>
  <c r="C774" i="3"/>
  <c r="C775" i="3"/>
  <c r="C776" i="3"/>
  <c r="C777" i="3"/>
  <c r="C778" i="3"/>
  <c r="C779" i="3"/>
  <c r="C780" i="3"/>
  <c r="C781" i="3"/>
  <c r="C782" i="3"/>
  <c r="C783" i="3"/>
  <c r="C784" i="3"/>
  <c r="C785" i="3"/>
  <c r="C786" i="3"/>
  <c r="C787" i="3"/>
  <c r="C788" i="3"/>
  <c r="C789" i="3"/>
  <c r="C790" i="3"/>
  <c r="C791" i="3"/>
  <c r="C792" i="3"/>
  <c r="C793" i="3"/>
  <c r="C794" i="3"/>
  <c r="C795" i="3"/>
  <c r="C796" i="3"/>
  <c r="C797" i="3"/>
  <c r="C798" i="3"/>
  <c r="C799" i="3"/>
  <c r="C800" i="3"/>
  <c r="C801" i="3"/>
  <c r="C802" i="3"/>
  <c r="C803" i="3"/>
  <c r="C804" i="3"/>
  <c r="C805" i="3"/>
  <c r="C806" i="3"/>
  <c r="C807" i="3"/>
  <c r="C808" i="3"/>
  <c r="C809" i="3"/>
  <c r="C810" i="3"/>
  <c r="C811" i="3"/>
  <c r="C812" i="3"/>
  <c r="C813" i="3"/>
  <c r="C814" i="3"/>
  <c r="C815" i="3"/>
  <c r="C816" i="3"/>
  <c r="C817" i="3"/>
  <c r="C818" i="3"/>
  <c r="C819" i="3"/>
  <c r="C820" i="3"/>
  <c r="C821" i="3"/>
  <c r="C822" i="3"/>
  <c r="C823" i="3"/>
  <c r="C824" i="3"/>
  <c r="C825" i="3"/>
  <c r="C826" i="3"/>
  <c r="C827" i="3"/>
  <c r="C828" i="3"/>
  <c r="C829" i="3"/>
  <c r="C830" i="3"/>
  <c r="C831" i="3"/>
  <c r="C832" i="3"/>
  <c r="C833" i="3"/>
  <c r="C834" i="3"/>
  <c r="C835" i="3"/>
  <c r="C836" i="3"/>
  <c r="C837" i="3"/>
  <c r="C838" i="3"/>
  <c r="C839" i="3"/>
  <c r="C840" i="3"/>
  <c r="C841" i="3"/>
  <c r="C842" i="3"/>
  <c r="C843" i="3"/>
  <c r="C844" i="3"/>
  <c r="C845" i="3"/>
  <c r="C846" i="3"/>
  <c r="C847" i="3"/>
  <c r="C848" i="3"/>
  <c r="C849" i="3"/>
  <c r="C850" i="3"/>
  <c r="C851" i="3"/>
  <c r="C852" i="3"/>
  <c r="C853" i="3"/>
  <c r="C854" i="3"/>
  <c r="C855" i="3"/>
  <c r="C856" i="3"/>
  <c r="C857" i="3"/>
  <c r="C858" i="3"/>
  <c r="C859" i="3"/>
  <c r="C860" i="3"/>
  <c r="C861" i="3"/>
  <c r="C862" i="3"/>
  <c r="C863" i="3"/>
  <c r="C864" i="3"/>
  <c r="C865" i="3"/>
  <c r="C866" i="3"/>
  <c r="C867" i="3"/>
  <c r="C868" i="3"/>
  <c r="C869" i="3"/>
  <c r="C870" i="3"/>
  <c r="C871" i="3"/>
  <c r="C872" i="3"/>
  <c r="C873" i="3"/>
  <c r="C874" i="3"/>
  <c r="C875" i="3"/>
  <c r="C876" i="3"/>
  <c r="C877" i="3"/>
  <c r="C878" i="3"/>
  <c r="C879" i="3"/>
  <c r="C880" i="3"/>
  <c r="C881" i="3"/>
  <c r="C882" i="3"/>
  <c r="C883" i="3"/>
  <c r="C884" i="3"/>
  <c r="C885" i="3"/>
  <c r="C886" i="3"/>
  <c r="C887" i="3"/>
  <c r="C888" i="3"/>
  <c r="C889" i="3"/>
  <c r="C890" i="3"/>
  <c r="C891" i="3"/>
  <c r="C892" i="3"/>
  <c r="C893" i="3"/>
  <c r="C894" i="3"/>
  <c r="C895" i="3"/>
  <c r="C896" i="3"/>
  <c r="C897" i="3"/>
  <c r="C898" i="3"/>
  <c r="C899" i="3"/>
  <c r="C900" i="3"/>
  <c r="C901" i="3"/>
  <c r="C902" i="3"/>
  <c r="C903" i="3"/>
  <c r="C904" i="3"/>
  <c r="C905" i="3"/>
  <c r="C906" i="3"/>
  <c r="C907" i="3"/>
  <c r="C908" i="3"/>
  <c r="C909" i="3"/>
  <c r="C910" i="3"/>
  <c r="C911" i="3"/>
  <c r="C912" i="3"/>
  <c r="C913" i="3"/>
  <c r="C914" i="3"/>
  <c r="C915" i="3"/>
  <c r="C916" i="3"/>
  <c r="C917" i="3"/>
  <c r="C918" i="3"/>
  <c r="C919" i="3"/>
  <c r="C920" i="3"/>
  <c r="C921" i="3"/>
  <c r="C922" i="3"/>
  <c r="C923" i="3"/>
  <c r="C924" i="3"/>
  <c r="C925" i="3"/>
  <c r="C926" i="3"/>
  <c r="C927" i="3"/>
  <c r="C928" i="3"/>
  <c r="C929" i="3"/>
  <c r="C930" i="3"/>
  <c r="C931" i="3"/>
  <c r="C932" i="3"/>
  <c r="C933" i="3"/>
  <c r="C934" i="3"/>
  <c r="C935" i="3"/>
  <c r="C936" i="3"/>
  <c r="C937" i="3"/>
  <c r="C938" i="3"/>
  <c r="C939" i="3"/>
  <c r="C940" i="3"/>
  <c r="C941" i="3"/>
  <c r="C942" i="3"/>
  <c r="C943" i="3"/>
  <c r="C944" i="3"/>
  <c r="C945" i="3"/>
  <c r="C946" i="3"/>
  <c r="C947" i="3"/>
  <c r="C948" i="3"/>
  <c r="C949" i="3"/>
  <c r="C950" i="3"/>
  <c r="C951" i="3"/>
  <c r="C952" i="3"/>
  <c r="C953" i="3"/>
  <c r="C954" i="3"/>
  <c r="C955" i="3"/>
  <c r="C956" i="3"/>
  <c r="C957" i="3"/>
  <c r="C958" i="3"/>
  <c r="C959" i="3"/>
  <c r="C960" i="3"/>
  <c r="C961" i="3"/>
  <c r="C962" i="3"/>
  <c r="C963" i="3"/>
  <c r="C964" i="3"/>
  <c r="C965" i="3"/>
  <c r="C966" i="3"/>
  <c r="C967" i="3"/>
  <c r="C968" i="3"/>
  <c r="C969" i="3"/>
  <c r="C970" i="3"/>
  <c r="C971" i="3"/>
  <c r="C972" i="3"/>
  <c r="C973" i="3"/>
  <c r="C974" i="3"/>
  <c r="C975" i="3"/>
  <c r="C976" i="3"/>
  <c r="C977" i="3"/>
  <c r="C978" i="3"/>
  <c r="C979" i="3"/>
  <c r="C980" i="3"/>
  <c r="C981" i="3"/>
  <c r="C982" i="3"/>
  <c r="C983" i="3"/>
  <c r="C984" i="3"/>
  <c r="C985" i="3"/>
  <c r="C986" i="3"/>
  <c r="C987" i="3"/>
  <c r="C988" i="3"/>
  <c r="C989" i="3"/>
  <c r="C990" i="3"/>
  <c r="C991" i="3"/>
  <c r="C992" i="3"/>
  <c r="C993" i="3"/>
  <c r="C994" i="3"/>
  <c r="C995" i="3"/>
  <c r="C996" i="3"/>
  <c r="C997" i="3"/>
  <c r="C998" i="3"/>
  <c r="C999" i="3"/>
  <c r="C1000" i="3"/>
  <c r="C1001" i="3"/>
  <c r="C1002" i="3"/>
  <c r="C1003" i="3"/>
  <c r="C1004" i="3"/>
  <c r="C1005" i="3"/>
  <c r="C1006" i="3"/>
  <c r="C1007" i="3"/>
  <c r="C1008" i="3"/>
  <c r="C1009" i="3"/>
  <c r="C1010" i="3"/>
  <c r="C1011" i="3"/>
  <c r="C1012" i="3"/>
  <c r="C1013" i="3"/>
  <c r="C1014" i="3"/>
  <c r="C1015" i="3"/>
  <c r="C1016" i="3"/>
  <c r="C1017" i="3"/>
  <c r="C1018" i="3"/>
  <c r="C1019" i="3"/>
  <c r="C1020" i="3"/>
  <c r="C1021" i="3"/>
  <c r="C1022" i="3"/>
  <c r="C1023" i="3"/>
  <c r="C1024" i="3"/>
  <c r="C1025" i="3"/>
  <c r="C1026" i="3"/>
  <c r="C1027" i="3"/>
  <c r="C1028" i="3"/>
  <c r="C1029" i="3"/>
  <c r="C1030" i="3"/>
  <c r="C1031" i="3"/>
  <c r="C1032" i="3"/>
  <c r="C1033" i="3"/>
  <c r="C1034" i="3"/>
  <c r="C1035" i="3"/>
  <c r="C1036" i="3"/>
  <c r="C1037" i="3"/>
  <c r="C1038" i="3"/>
  <c r="C1039" i="3"/>
  <c r="C1040" i="3"/>
  <c r="C1041" i="3"/>
  <c r="C1042" i="3"/>
  <c r="C1043" i="3"/>
  <c r="C1044" i="3"/>
  <c r="C1045" i="3"/>
  <c r="C1046" i="3"/>
  <c r="C1047" i="3"/>
  <c r="C1048" i="3"/>
  <c r="C1049" i="3"/>
  <c r="C1050" i="3"/>
  <c r="C1051" i="3"/>
  <c r="C1052" i="3"/>
  <c r="C1053" i="3"/>
  <c r="C1054" i="3"/>
  <c r="C1055" i="3"/>
  <c r="C1056" i="3"/>
  <c r="C1057" i="3"/>
  <c r="C1058" i="3"/>
  <c r="C1059" i="3"/>
  <c r="C1060" i="3"/>
  <c r="C1061" i="3"/>
  <c r="C1062" i="3"/>
  <c r="C1063" i="3"/>
  <c r="C1064" i="3"/>
  <c r="C1065" i="3"/>
  <c r="C1066" i="3"/>
  <c r="C1067" i="3"/>
  <c r="C1068" i="3"/>
  <c r="C1069" i="3"/>
  <c r="C1070" i="3"/>
  <c r="C1071" i="3"/>
  <c r="C1072" i="3"/>
  <c r="C1073" i="3"/>
  <c r="C1074" i="3"/>
  <c r="C1075" i="3"/>
  <c r="C1076" i="3"/>
  <c r="C1077" i="3"/>
  <c r="C1078" i="3"/>
  <c r="C1079" i="3"/>
  <c r="C1080" i="3"/>
  <c r="C1081" i="3"/>
  <c r="C1082" i="3"/>
  <c r="C1083" i="3"/>
  <c r="C1084" i="3"/>
  <c r="C1085" i="3"/>
  <c r="C1086" i="3"/>
  <c r="C1087" i="3"/>
  <c r="C1088" i="3"/>
  <c r="C1089" i="3"/>
  <c r="C1090" i="3"/>
  <c r="C1091" i="3"/>
  <c r="C1092" i="3"/>
  <c r="C1093" i="3"/>
  <c r="C1094" i="3"/>
  <c r="C1095" i="3"/>
  <c r="C1096" i="3"/>
  <c r="C1097" i="3"/>
  <c r="C1098" i="3"/>
  <c r="C1099" i="3"/>
  <c r="C1100" i="3"/>
  <c r="C1101" i="3"/>
  <c r="C1102" i="3"/>
  <c r="C1103" i="3"/>
  <c r="C1104" i="3"/>
  <c r="C1105" i="3"/>
  <c r="C1106" i="3"/>
  <c r="C1107" i="3"/>
  <c r="C1108" i="3"/>
  <c r="C1109" i="3"/>
  <c r="C1110" i="3"/>
  <c r="C1111" i="3"/>
  <c r="C1112" i="3"/>
  <c r="C1113" i="3"/>
  <c r="C1114" i="3"/>
  <c r="C1115" i="3"/>
  <c r="C1116" i="3"/>
  <c r="C1117" i="3"/>
  <c r="C1118" i="3"/>
  <c r="C1119" i="3"/>
  <c r="C1120" i="3"/>
  <c r="C1121" i="3"/>
  <c r="C1122" i="3"/>
  <c r="C1123" i="3"/>
  <c r="C1124" i="3"/>
  <c r="C1125" i="3"/>
  <c r="C1126" i="3"/>
  <c r="C1127" i="3"/>
  <c r="C1128" i="3"/>
  <c r="C1129" i="3"/>
  <c r="C1130" i="3"/>
  <c r="C1131" i="3"/>
  <c r="C1132" i="3"/>
  <c r="C1133" i="3"/>
  <c r="C1134" i="3"/>
  <c r="C1135" i="3"/>
  <c r="C1136" i="3"/>
  <c r="C1137" i="3"/>
  <c r="C1138" i="3"/>
  <c r="C1139" i="3"/>
  <c r="C1140" i="3"/>
  <c r="C1141" i="3"/>
  <c r="C1142" i="3"/>
  <c r="C1143" i="3"/>
  <c r="C1144" i="3"/>
  <c r="C1145" i="3"/>
  <c r="C1146" i="3"/>
  <c r="C1147" i="3"/>
  <c r="C1148" i="3"/>
  <c r="C1149" i="3"/>
  <c r="C1150" i="3"/>
  <c r="C1151" i="3"/>
  <c r="C1152" i="3"/>
  <c r="C1153" i="3"/>
  <c r="C1154" i="3"/>
  <c r="C1155" i="3"/>
  <c r="C1156" i="3"/>
  <c r="C1157" i="3"/>
  <c r="C1158" i="3"/>
  <c r="C1159" i="3"/>
  <c r="C1160" i="3"/>
  <c r="C1161" i="3"/>
  <c r="C1162" i="3"/>
  <c r="C1163" i="3"/>
  <c r="C1164" i="3"/>
  <c r="C1165" i="3"/>
  <c r="C1166" i="3"/>
  <c r="C1167" i="3"/>
  <c r="C1168" i="3"/>
  <c r="C1169" i="3"/>
  <c r="C1170" i="3"/>
  <c r="C1171" i="3"/>
  <c r="C1172" i="3"/>
  <c r="C1173" i="3"/>
  <c r="C1174" i="3"/>
  <c r="C1175" i="3"/>
  <c r="C1176" i="3"/>
  <c r="C1177" i="3"/>
  <c r="C1178" i="3"/>
  <c r="C1179" i="3"/>
  <c r="C1180" i="3"/>
  <c r="C1181" i="3"/>
  <c r="C1182" i="3"/>
  <c r="C1183" i="3"/>
  <c r="C1184" i="3"/>
  <c r="C1185" i="3"/>
  <c r="C1186" i="3"/>
  <c r="C1187" i="3"/>
  <c r="C1188" i="3"/>
  <c r="C1189" i="3"/>
  <c r="C1190" i="3"/>
  <c r="C1191" i="3"/>
  <c r="C1192" i="3"/>
  <c r="C1193" i="3"/>
  <c r="C1194" i="3"/>
  <c r="C1195" i="3"/>
  <c r="C1196" i="3"/>
  <c r="C1197" i="3"/>
  <c r="C1198" i="3"/>
  <c r="C1199" i="3"/>
  <c r="C1200" i="3"/>
  <c r="C1201" i="3"/>
  <c r="C1202" i="3"/>
  <c r="C1203" i="3"/>
  <c r="C1204" i="3"/>
  <c r="C1205" i="3"/>
  <c r="C1206" i="3"/>
  <c r="C1207" i="3"/>
  <c r="C1208" i="3"/>
  <c r="C1209" i="3"/>
  <c r="C1210" i="3"/>
  <c r="C1211" i="3"/>
  <c r="C1212" i="3"/>
  <c r="C1213" i="3"/>
  <c r="C1214" i="3"/>
  <c r="C1215" i="3"/>
  <c r="C1216" i="3"/>
  <c r="C1217" i="3"/>
  <c r="C1218" i="3"/>
  <c r="C1219" i="3"/>
  <c r="C1220" i="3"/>
  <c r="C1221" i="3"/>
  <c r="C1222" i="3"/>
  <c r="C1223" i="3"/>
  <c r="C1224" i="3"/>
  <c r="C1225" i="3"/>
  <c r="C1226" i="3"/>
  <c r="C1227" i="3"/>
  <c r="C1228" i="3"/>
  <c r="C1229" i="3"/>
  <c r="C1230" i="3"/>
  <c r="C1231" i="3"/>
  <c r="C1232" i="3"/>
  <c r="C1233" i="3"/>
  <c r="C1234" i="3"/>
  <c r="C1235" i="3"/>
  <c r="C1236" i="3"/>
  <c r="C1237" i="3"/>
  <c r="C1238" i="3"/>
  <c r="C1239" i="3"/>
  <c r="C1240" i="3"/>
  <c r="C1241" i="3"/>
  <c r="C1242" i="3"/>
  <c r="C1243" i="3"/>
  <c r="C1244" i="3"/>
  <c r="C1245" i="3"/>
  <c r="C1246" i="3"/>
  <c r="C1247" i="3"/>
  <c r="C1248" i="3"/>
  <c r="C1249" i="3"/>
  <c r="C1250" i="3"/>
  <c r="C1251" i="3"/>
  <c r="C1252" i="3"/>
  <c r="C1253" i="3"/>
  <c r="C1254" i="3"/>
  <c r="C1255" i="3"/>
  <c r="C1256" i="3"/>
  <c r="C1257" i="3"/>
  <c r="C1258" i="3"/>
  <c r="C1259" i="3"/>
  <c r="C1260" i="3"/>
  <c r="C1261" i="3"/>
  <c r="C1262" i="3"/>
  <c r="C1263" i="3"/>
  <c r="C1264" i="3"/>
  <c r="C1265" i="3"/>
  <c r="C1266" i="3"/>
  <c r="C1267" i="3"/>
  <c r="C1268" i="3"/>
  <c r="C1269" i="3"/>
  <c r="C1270" i="3"/>
  <c r="C1271" i="3"/>
  <c r="C1272" i="3"/>
  <c r="C1273" i="3"/>
  <c r="C1274" i="3"/>
  <c r="C1275" i="3"/>
  <c r="C1276" i="3"/>
  <c r="C1277" i="3"/>
  <c r="C1278" i="3"/>
  <c r="C1279" i="3"/>
  <c r="C1280" i="3"/>
  <c r="C1281" i="3"/>
  <c r="C1282" i="3"/>
  <c r="C1283" i="3"/>
  <c r="C1284" i="3"/>
  <c r="C1285" i="3"/>
  <c r="C1286" i="3"/>
  <c r="C1287" i="3"/>
  <c r="C1288" i="3"/>
  <c r="C1289" i="3"/>
  <c r="C1290" i="3"/>
  <c r="C1291" i="3"/>
  <c r="C1292" i="3"/>
  <c r="C1293" i="3"/>
  <c r="C1294" i="3"/>
  <c r="C1295" i="3"/>
  <c r="C1296" i="3"/>
  <c r="C1297" i="3"/>
  <c r="C1298" i="3"/>
  <c r="C1299" i="3"/>
  <c r="C1300" i="3"/>
  <c r="C1301" i="3"/>
  <c r="C1302" i="3"/>
  <c r="C1303" i="3"/>
  <c r="C1304" i="3"/>
  <c r="C1305" i="3"/>
  <c r="C1306" i="3"/>
  <c r="C1307" i="3"/>
  <c r="C1308" i="3"/>
  <c r="C1309" i="3"/>
  <c r="C1310" i="3"/>
  <c r="C1311" i="3"/>
  <c r="C1312" i="3"/>
  <c r="C1313" i="3"/>
  <c r="C1314" i="3"/>
  <c r="C1315" i="3"/>
  <c r="C1316" i="3"/>
  <c r="C1317" i="3"/>
  <c r="C1318" i="3"/>
  <c r="C1319" i="3"/>
  <c r="C1320" i="3"/>
  <c r="C1321" i="3"/>
  <c r="C1322" i="3"/>
  <c r="C1323" i="3"/>
  <c r="C1324" i="3"/>
  <c r="C1325" i="3"/>
  <c r="C1326" i="3"/>
  <c r="C1327" i="3"/>
  <c r="C1328" i="3"/>
  <c r="C1329" i="3"/>
  <c r="C1330" i="3"/>
  <c r="C1331" i="3"/>
  <c r="C1332" i="3"/>
  <c r="C1333" i="3"/>
  <c r="C1334" i="3"/>
  <c r="C1335" i="3"/>
  <c r="C1336" i="3"/>
  <c r="C1337" i="3"/>
  <c r="C1338" i="3"/>
  <c r="C1339" i="3"/>
  <c r="C1340" i="3"/>
  <c r="C1341" i="3"/>
  <c r="C1342" i="3"/>
  <c r="C1343" i="3"/>
  <c r="C1344" i="3"/>
  <c r="C1345" i="3"/>
  <c r="C1346" i="3"/>
  <c r="C1347" i="3"/>
  <c r="C1348" i="3"/>
  <c r="C1349" i="3"/>
  <c r="C1350" i="3"/>
  <c r="C1351" i="3"/>
  <c r="C1352" i="3"/>
  <c r="C1353" i="3"/>
  <c r="C1354" i="3"/>
  <c r="C1355" i="3"/>
  <c r="C1356" i="3"/>
  <c r="C1357" i="3"/>
  <c r="C1358" i="3"/>
  <c r="C1359" i="3"/>
  <c r="C1360" i="3"/>
  <c r="C1361" i="3"/>
  <c r="C1362" i="3"/>
  <c r="C1363" i="3"/>
  <c r="C1364" i="3"/>
  <c r="C1365" i="3"/>
  <c r="C1366" i="3"/>
  <c r="C1367" i="3"/>
  <c r="C1368" i="3"/>
  <c r="C1369" i="3"/>
  <c r="C1370" i="3"/>
  <c r="C1371" i="3"/>
  <c r="C1372" i="3"/>
  <c r="C1373" i="3"/>
  <c r="C1374" i="3"/>
  <c r="C1375" i="3"/>
  <c r="C1376" i="3"/>
  <c r="C1377" i="3"/>
  <c r="C1378" i="3"/>
  <c r="C1379" i="3"/>
  <c r="C1380" i="3"/>
  <c r="C1381" i="3"/>
  <c r="C1382" i="3"/>
  <c r="C1383" i="3"/>
  <c r="C1384" i="3"/>
  <c r="C1385" i="3"/>
  <c r="C1386" i="3"/>
  <c r="C1387" i="3"/>
  <c r="C1388" i="3"/>
  <c r="C1389" i="3"/>
  <c r="C1390" i="3"/>
  <c r="C1391" i="3"/>
  <c r="C1392" i="3"/>
  <c r="C1393" i="3"/>
  <c r="C1394" i="3"/>
  <c r="C1395" i="3"/>
  <c r="C1396" i="3"/>
  <c r="C1397" i="3"/>
  <c r="C1398" i="3"/>
  <c r="C1399" i="3"/>
  <c r="C1400" i="3"/>
  <c r="C1401" i="3"/>
  <c r="C1402" i="3"/>
  <c r="C1403" i="3"/>
  <c r="C1404" i="3"/>
  <c r="C1405" i="3"/>
  <c r="C1406" i="3"/>
  <c r="C1407" i="3"/>
  <c r="C1408" i="3"/>
  <c r="C1409" i="3"/>
  <c r="C1410" i="3"/>
  <c r="C1411" i="3"/>
  <c r="C1412" i="3"/>
  <c r="C1413" i="3"/>
  <c r="C1414" i="3"/>
  <c r="C1415" i="3"/>
  <c r="C1416" i="3"/>
  <c r="C1417" i="3"/>
  <c r="C1418" i="3"/>
  <c r="C1419" i="3"/>
  <c r="C1420" i="3"/>
  <c r="C1421" i="3"/>
  <c r="C1422" i="3"/>
  <c r="C1423" i="3"/>
  <c r="C1424" i="3"/>
  <c r="C1425" i="3"/>
  <c r="C1426" i="3"/>
  <c r="C1427" i="3"/>
  <c r="C1428" i="3"/>
  <c r="C1429" i="3"/>
  <c r="C1430" i="3"/>
  <c r="C1431" i="3"/>
  <c r="C1432" i="3"/>
  <c r="C1433" i="3"/>
  <c r="C1434" i="3"/>
  <c r="C1435" i="3"/>
  <c r="C1436" i="3"/>
  <c r="C1437" i="3"/>
  <c r="C1438" i="3"/>
  <c r="C1439" i="3"/>
  <c r="C1440" i="3"/>
  <c r="C1441" i="3"/>
  <c r="C1442" i="3"/>
  <c r="C1443" i="3"/>
  <c r="C1444" i="3"/>
  <c r="C1445" i="3"/>
  <c r="C1446" i="3"/>
  <c r="C1447" i="3"/>
  <c r="C1448" i="3"/>
  <c r="C1449" i="3"/>
  <c r="C1450" i="3"/>
  <c r="C1451" i="3"/>
  <c r="C1452" i="3"/>
  <c r="C1453" i="3"/>
  <c r="C1454" i="3"/>
  <c r="C1455" i="3"/>
  <c r="C1456" i="3"/>
  <c r="C1457" i="3"/>
  <c r="C1458" i="3"/>
  <c r="C1459" i="3"/>
  <c r="C1460" i="3"/>
  <c r="C1461" i="3"/>
  <c r="C1462" i="3"/>
  <c r="C1463" i="3"/>
  <c r="C1464" i="3"/>
  <c r="C1465" i="3"/>
  <c r="C1466" i="3"/>
  <c r="C1467" i="3"/>
  <c r="C1468" i="3"/>
  <c r="C1469" i="3"/>
  <c r="C1470" i="3"/>
  <c r="C1471" i="3"/>
  <c r="C1472" i="3"/>
  <c r="C1473" i="3"/>
  <c r="C1474" i="3"/>
  <c r="C1475" i="3"/>
  <c r="C1476" i="3"/>
  <c r="C1477" i="3"/>
  <c r="C1478" i="3"/>
  <c r="C1479" i="3"/>
  <c r="C1480" i="3"/>
  <c r="C1481" i="3"/>
  <c r="C1482" i="3"/>
  <c r="C1483" i="3"/>
  <c r="C1484" i="3"/>
  <c r="C1485" i="3"/>
  <c r="C1486" i="3"/>
  <c r="C1487" i="3"/>
  <c r="C1488" i="3"/>
  <c r="C1489" i="3"/>
  <c r="C1490" i="3"/>
  <c r="C1491" i="3"/>
  <c r="C1492" i="3"/>
  <c r="C1493" i="3"/>
  <c r="C1494" i="3"/>
  <c r="C1495" i="3"/>
  <c r="C1496" i="3"/>
  <c r="C1497" i="3"/>
  <c r="C1498" i="3"/>
  <c r="C1499" i="3"/>
  <c r="C1500" i="3"/>
  <c r="C1501" i="3"/>
  <c r="C1502" i="3"/>
  <c r="C1503" i="3"/>
  <c r="C1504" i="3"/>
  <c r="C1505" i="3"/>
  <c r="C1506" i="3"/>
  <c r="C1507" i="3"/>
  <c r="C1508" i="3"/>
  <c r="C1509" i="3"/>
  <c r="C1510" i="3"/>
  <c r="C1511" i="3"/>
  <c r="C1512" i="3"/>
  <c r="C1513" i="3"/>
  <c r="C1514" i="3"/>
  <c r="C1515" i="3"/>
  <c r="C1516" i="3"/>
  <c r="C1517" i="3"/>
  <c r="C1518" i="3"/>
  <c r="C1519" i="3"/>
  <c r="C1520" i="3"/>
  <c r="C1521" i="3"/>
  <c r="C1522" i="3"/>
  <c r="C1523" i="3"/>
  <c r="C1524" i="3"/>
  <c r="C1525" i="3"/>
  <c r="C1526" i="3"/>
  <c r="C1527" i="3"/>
  <c r="C1528" i="3"/>
  <c r="C1529" i="3"/>
  <c r="C1530" i="3"/>
  <c r="C1531" i="3"/>
  <c r="C1532" i="3"/>
  <c r="C1533" i="3"/>
  <c r="C1534" i="3"/>
  <c r="C1535" i="3"/>
  <c r="C1536" i="3"/>
  <c r="C1537" i="3"/>
  <c r="C1538" i="3"/>
  <c r="C1539" i="3"/>
  <c r="C1540" i="3"/>
  <c r="C1541" i="3"/>
  <c r="C1542" i="3"/>
  <c r="C1543" i="3"/>
  <c r="C1544" i="3"/>
  <c r="C1545" i="3"/>
  <c r="C1546" i="3"/>
  <c r="C1547" i="3"/>
  <c r="C1548" i="3"/>
  <c r="C1549" i="3"/>
  <c r="C1550" i="3"/>
  <c r="C1551" i="3"/>
  <c r="C1552" i="3"/>
  <c r="C1553" i="3"/>
  <c r="C1554" i="3"/>
  <c r="C1555" i="3"/>
  <c r="C1556" i="3"/>
  <c r="C1557" i="3"/>
  <c r="C1558" i="3"/>
  <c r="C1559" i="3"/>
  <c r="C1560" i="3"/>
  <c r="C1561" i="3"/>
  <c r="C1562" i="3"/>
  <c r="C1563" i="3"/>
  <c r="C1564" i="3"/>
  <c r="C1565" i="3"/>
  <c r="C1566" i="3"/>
  <c r="C1567" i="3"/>
  <c r="C1568" i="3"/>
  <c r="C1569" i="3"/>
  <c r="C1570" i="3"/>
  <c r="C1571" i="3"/>
  <c r="C1572" i="3"/>
  <c r="C1573" i="3"/>
  <c r="C1574" i="3"/>
  <c r="C1575" i="3"/>
  <c r="C1576" i="3"/>
  <c r="C1577" i="3"/>
  <c r="C1578" i="3"/>
  <c r="C1579" i="3"/>
  <c r="C1580" i="3"/>
  <c r="C1581" i="3"/>
  <c r="C1582" i="3"/>
  <c r="C1583" i="3"/>
  <c r="C1584" i="3"/>
  <c r="C1585" i="3"/>
  <c r="C1586" i="3"/>
  <c r="C1587" i="3"/>
  <c r="C1588" i="3"/>
  <c r="C1589" i="3"/>
  <c r="C1590" i="3"/>
  <c r="C1591" i="3"/>
  <c r="C1592" i="3"/>
  <c r="C1593" i="3"/>
  <c r="C1594" i="3"/>
  <c r="C1595" i="3"/>
  <c r="C1596" i="3"/>
  <c r="C1597" i="3"/>
  <c r="C1598" i="3"/>
  <c r="C1599" i="3"/>
  <c r="C1600" i="3"/>
  <c r="C1601" i="3"/>
  <c r="C1602" i="3"/>
  <c r="C1603" i="3"/>
  <c r="C1604" i="3"/>
  <c r="C1605" i="3"/>
  <c r="C1606" i="3"/>
  <c r="C1607" i="3"/>
  <c r="C1608" i="3"/>
  <c r="C1609" i="3"/>
  <c r="C1610" i="3"/>
  <c r="C1611" i="3"/>
  <c r="C1612" i="3"/>
  <c r="C1613" i="3"/>
  <c r="C1614" i="3"/>
  <c r="C1615" i="3"/>
  <c r="C1616" i="3"/>
  <c r="C1617" i="3"/>
  <c r="C1618" i="3"/>
  <c r="C1619" i="3"/>
  <c r="C1620" i="3"/>
  <c r="C1621" i="3"/>
  <c r="C1622" i="3"/>
  <c r="C1623" i="3"/>
  <c r="C1624" i="3"/>
  <c r="C1625" i="3"/>
  <c r="C1626" i="3"/>
  <c r="C1627" i="3"/>
  <c r="C1628" i="3"/>
  <c r="C1629" i="3"/>
  <c r="C1630" i="3"/>
  <c r="C1631" i="3"/>
  <c r="C1632" i="3"/>
  <c r="C1633" i="3"/>
  <c r="C1634" i="3"/>
  <c r="C1635" i="3"/>
  <c r="C1636" i="3"/>
  <c r="C1637" i="3"/>
  <c r="C1638" i="3"/>
  <c r="C1639" i="3"/>
  <c r="C1640" i="3"/>
  <c r="C1641" i="3"/>
  <c r="C1642" i="3"/>
  <c r="C1643" i="3"/>
  <c r="C1644" i="3"/>
  <c r="C1645" i="3"/>
  <c r="C1646" i="3"/>
  <c r="C1647" i="3"/>
  <c r="C1648" i="3"/>
  <c r="C1649" i="3"/>
  <c r="C1650" i="3"/>
  <c r="C1651" i="3"/>
  <c r="C1652" i="3"/>
  <c r="C1653" i="3"/>
  <c r="C1654" i="3"/>
  <c r="C1655" i="3"/>
  <c r="C1656" i="3"/>
  <c r="C1657" i="3"/>
  <c r="C1658" i="3"/>
  <c r="C1659" i="3"/>
  <c r="C1660" i="3"/>
  <c r="C1661" i="3"/>
  <c r="C1662" i="3"/>
  <c r="C1663" i="3"/>
  <c r="C1664" i="3"/>
  <c r="C1665" i="3"/>
  <c r="C1666" i="3"/>
  <c r="C1667" i="3"/>
  <c r="C1668" i="3"/>
  <c r="C1669" i="3"/>
  <c r="C1670" i="3"/>
  <c r="C1671" i="3"/>
  <c r="C1672" i="3"/>
  <c r="C1673" i="3"/>
  <c r="C1674" i="3"/>
  <c r="C1675" i="3"/>
  <c r="C1676" i="3"/>
  <c r="C1677" i="3"/>
  <c r="C1678" i="3"/>
  <c r="C1679" i="3"/>
  <c r="C1680" i="3"/>
  <c r="C1681" i="3"/>
  <c r="C1682" i="3"/>
  <c r="C1683" i="3"/>
  <c r="C1684" i="3"/>
  <c r="C1685" i="3"/>
  <c r="C1686" i="3"/>
  <c r="C1687" i="3"/>
  <c r="C1688" i="3"/>
  <c r="C1689" i="3"/>
  <c r="C1690" i="3"/>
  <c r="C1691" i="3"/>
  <c r="C1692" i="3"/>
  <c r="C1693" i="3"/>
  <c r="C1694" i="3"/>
  <c r="C1695" i="3"/>
  <c r="C1696" i="3"/>
  <c r="C1697" i="3"/>
  <c r="C1698" i="3"/>
  <c r="C1699" i="3"/>
  <c r="C1700" i="3"/>
  <c r="C1701" i="3"/>
  <c r="C1702" i="3"/>
  <c r="C1703" i="3"/>
  <c r="C1704" i="3"/>
  <c r="C1705" i="3"/>
  <c r="C1706" i="3"/>
  <c r="C1707" i="3"/>
  <c r="C1708" i="3"/>
  <c r="C1709" i="3"/>
  <c r="C1710" i="3"/>
  <c r="C1711" i="3"/>
  <c r="C1712" i="3"/>
  <c r="C1713" i="3"/>
  <c r="C1714" i="3"/>
  <c r="C1715" i="3"/>
  <c r="C1716" i="3"/>
  <c r="C1717" i="3"/>
  <c r="C1718" i="3"/>
  <c r="C1719" i="3"/>
  <c r="C1720" i="3"/>
  <c r="C1721" i="3"/>
  <c r="C1722" i="3"/>
  <c r="C1723" i="3"/>
  <c r="C1724" i="3"/>
  <c r="C1725" i="3"/>
  <c r="C1726" i="3"/>
  <c r="C1727" i="3"/>
  <c r="C1728" i="3"/>
  <c r="C1729" i="3"/>
  <c r="C1730" i="3"/>
  <c r="C1731" i="3"/>
  <c r="C1732" i="3"/>
  <c r="C1733" i="3"/>
  <c r="C1734" i="3"/>
  <c r="C1735" i="3"/>
  <c r="C1736" i="3"/>
  <c r="C1737" i="3"/>
  <c r="C1738" i="3"/>
  <c r="C1739" i="3"/>
  <c r="C1740" i="3"/>
  <c r="C1741" i="3"/>
  <c r="C1742" i="3"/>
  <c r="C1743" i="3"/>
  <c r="C1744" i="3"/>
  <c r="C1745" i="3"/>
  <c r="C1746" i="3"/>
  <c r="C1747" i="3"/>
  <c r="C1748" i="3"/>
  <c r="C1749" i="3"/>
  <c r="C1750" i="3"/>
  <c r="C1751" i="3"/>
  <c r="C1752" i="3"/>
  <c r="C1753" i="3"/>
  <c r="C1754" i="3"/>
  <c r="C1755" i="3"/>
  <c r="C1756" i="3"/>
  <c r="C1757" i="3"/>
  <c r="C1758" i="3"/>
  <c r="C1759" i="3"/>
  <c r="C1760" i="3"/>
  <c r="C1761" i="3"/>
  <c r="C1762" i="3"/>
  <c r="C1763" i="3"/>
  <c r="C1764" i="3"/>
  <c r="C1765" i="3"/>
  <c r="C1766" i="3"/>
  <c r="C1767" i="3"/>
  <c r="C1768" i="3"/>
  <c r="C1769" i="3"/>
  <c r="C1770" i="3"/>
  <c r="C1771" i="3"/>
  <c r="C1772" i="3"/>
  <c r="C1773" i="3"/>
  <c r="C1774" i="3"/>
  <c r="C1775" i="3"/>
  <c r="C3" i="4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C49" i="4"/>
  <c r="C50" i="4"/>
  <c r="C51" i="4"/>
  <c r="C52" i="4"/>
  <c r="C53" i="4"/>
  <c r="C54" i="4"/>
  <c r="C55" i="4"/>
  <c r="C56" i="4"/>
  <c r="C57" i="4"/>
  <c r="C58" i="4"/>
  <c r="C59" i="4"/>
  <c r="C60" i="4"/>
  <c r="C61" i="4"/>
  <c r="C62" i="4"/>
  <c r="C63" i="4"/>
  <c r="C64" i="4"/>
  <c r="C65" i="4"/>
  <c r="C66" i="4"/>
  <c r="C67" i="4"/>
  <c r="C68" i="4"/>
  <c r="C69" i="4"/>
  <c r="C70" i="4"/>
  <c r="C71" i="4"/>
  <c r="C72" i="4"/>
  <c r="C73" i="4"/>
  <c r="C74" i="4"/>
  <c r="C75" i="4"/>
  <c r="C76" i="4"/>
  <c r="C77" i="4"/>
  <c r="C78" i="4"/>
  <c r="C79" i="4"/>
  <c r="C80" i="4"/>
  <c r="C81" i="4"/>
  <c r="C82" i="4"/>
  <c r="C83" i="4"/>
  <c r="C84" i="4"/>
  <c r="C85" i="4"/>
  <c r="C86" i="4"/>
  <c r="C87" i="4"/>
  <c r="C88" i="4"/>
  <c r="C89" i="4"/>
  <c r="C90" i="4"/>
  <c r="C91" i="4"/>
  <c r="C92" i="4"/>
  <c r="C93" i="4"/>
  <c r="C94" i="4"/>
  <c r="C95" i="4"/>
  <c r="C96" i="4"/>
  <c r="C97" i="4"/>
  <c r="C98" i="4"/>
  <c r="C99" i="4"/>
  <c r="C100" i="4"/>
  <c r="C101" i="4"/>
  <c r="C102" i="4"/>
  <c r="C103" i="4"/>
  <c r="C104" i="4"/>
  <c r="C105" i="4"/>
  <c r="C106" i="4"/>
  <c r="C107" i="4"/>
  <c r="C108" i="4"/>
  <c r="C109" i="4"/>
  <c r="C110" i="4"/>
  <c r="C111" i="4"/>
  <c r="C112" i="4"/>
  <c r="C113" i="4"/>
  <c r="C114" i="4"/>
  <c r="C115" i="4"/>
  <c r="C116" i="4"/>
  <c r="C117" i="4"/>
  <c r="C118" i="4"/>
  <c r="C119" i="4"/>
  <c r="C120" i="4"/>
  <c r="C121" i="4"/>
  <c r="C122" i="4"/>
  <c r="C123" i="4"/>
  <c r="C124" i="4"/>
  <c r="C125" i="4"/>
  <c r="C126" i="4"/>
  <c r="C127" i="4"/>
  <c r="C128" i="4"/>
  <c r="C129" i="4"/>
  <c r="C130" i="4"/>
  <c r="C131" i="4"/>
  <c r="C132" i="4"/>
  <c r="C133" i="4"/>
  <c r="C134" i="4"/>
  <c r="C135" i="4"/>
  <c r="C136" i="4"/>
  <c r="C137" i="4"/>
  <c r="C138" i="4"/>
  <c r="C139" i="4"/>
  <c r="C140" i="4"/>
  <c r="C141" i="4"/>
  <c r="C142" i="4"/>
  <c r="C143" i="4"/>
  <c r="C144" i="4"/>
  <c r="C145" i="4"/>
  <c r="C146" i="4"/>
  <c r="C147" i="4"/>
  <c r="C148" i="4"/>
  <c r="C149" i="4"/>
  <c r="C150" i="4"/>
  <c r="C151" i="4"/>
  <c r="C152" i="4"/>
  <c r="C153" i="4"/>
  <c r="C154" i="4"/>
  <c r="C155" i="4"/>
  <c r="C156" i="4"/>
  <c r="C157" i="4"/>
  <c r="C158" i="4"/>
  <c r="C159" i="4"/>
  <c r="C160" i="4"/>
  <c r="C161" i="4"/>
  <c r="C162" i="4"/>
  <c r="C163" i="4"/>
  <c r="C164" i="4"/>
  <c r="C165" i="4"/>
  <c r="C166" i="4"/>
  <c r="C167" i="4"/>
  <c r="C168" i="4"/>
  <c r="C169" i="4"/>
  <c r="C170" i="4"/>
  <c r="C171" i="4"/>
  <c r="C172" i="4"/>
  <c r="C173" i="4"/>
  <c r="C174" i="4"/>
  <c r="C175" i="4"/>
  <c r="C176" i="4"/>
  <c r="C177" i="4"/>
  <c r="C178" i="4"/>
  <c r="C179" i="4"/>
  <c r="C180" i="4"/>
  <c r="C181" i="4"/>
  <c r="C182" i="4"/>
  <c r="C183" i="4"/>
  <c r="C184" i="4"/>
  <c r="C185" i="4"/>
  <c r="C186" i="4"/>
  <c r="C187" i="4"/>
  <c r="C188" i="4"/>
  <c r="C189" i="4"/>
  <c r="C190" i="4"/>
  <c r="C191" i="4"/>
  <c r="C192" i="4"/>
  <c r="C193" i="4"/>
  <c r="C194" i="4"/>
  <c r="C195" i="4"/>
  <c r="C196" i="4"/>
  <c r="C197" i="4"/>
  <c r="C198" i="4"/>
  <c r="C199" i="4"/>
  <c r="C200" i="4"/>
  <c r="C201" i="4"/>
  <c r="C202" i="4"/>
  <c r="C203" i="4"/>
  <c r="C204" i="4"/>
  <c r="C205" i="4"/>
  <c r="C206" i="4"/>
  <c r="C207" i="4"/>
  <c r="C208" i="4"/>
  <c r="C209" i="4"/>
  <c r="C210" i="4"/>
  <c r="C211" i="4"/>
  <c r="C212" i="4"/>
  <c r="C213" i="4"/>
  <c r="C214" i="4"/>
  <c r="C215" i="4"/>
  <c r="C216" i="4"/>
  <c r="C217" i="4"/>
  <c r="C218" i="4"/>
  <c r="C219" i="4"/>
  <c r="C220" i="4"/>
  <c r="C221" i="4"/>
  <c r="C222" i="4"/>
  <c r="C223" i="4"/>
  <c r="C224" i="4"/>
  <c r="C225" i="4"/>
  <c r="C226" i="4"/>
  <c r="C227" i="4"/>
  <c r="C228" i="4"/>
  <c r="C229" i="4"/>
  <c r="C230" i="4"/>
  <c r="C231" i="4"/>
  <c r="C232" i="4"/>
  <c r="C233" i="4"/>
  <c r="C234" i="4"/>
  <c r="C235" i="4"/>
  <c r="C236" i="4"/>
  <c r="C237" i="4"/>
  <c r="C238" i="4"/>
  <c r="C239" i="4"/>
  <c r="C240" i="4"/>
  <c r="C241" i="4"/>
  <c r="C242" i="4"/>
  <c r="C243" i="4"/>
  <c r="C244" i="4"/>
  <c r="C245" i="4"/>
  <c r="C246" i="4"/>
  <c r="C247" i="4"/>
  <c r="C248" i="4"/>
  <c r="C249" i="4"/>
  <c r="C250" i="4"/>
  <c r="C251" i="4"/>
  <c r="C252" i="4"/>
  <c r="C253" i="4"/>
  <c r="C254" i="4"/>
  <c r="C255" i="4"/>
  <c r="C256" i="4"/>
  <c r="C257" i="4"/>
  <c r="C258" i="4"/>
  <c r="C259" i="4"/>
  <c r="C260" i="4"/>
  <c r="C261" i="4"/>
  <c r="C262" i="4"/>
  <c r="C263" i="4"/>
  <c r="C264" i="4"/>
  <c r="C265" i="4"/>
  <c r="C266" i="4"/>
  <c r="C267" i="4"/>
  <c r="C268" i="4"/>
  <c r="C269" i="4"/>
  <c r="C270" i="4"/>
  <c r="C271" i="4"/>
  <c r="C272" i="4"/>
  <c r="C273" i="4"/>
  <c r="C274" i="4"/>
  <c r="C275" i="4"/>
  <c r="C276" i="4"/>
  <c r="C277" i="4"/>
  <c r="C278" i="4"/>
  <c r="C279" i="4"/>
  <c r="C280" i="4"/>
  <c r="C281" i="4"/>
  <c r="C282" i="4"/>
  <c r="C283" i="4"/>
  <c r="C284" i="4"/>
  <c r="C285" i="4"/>
  <c r="C286" i="4"/>
  <c r="C287" i="4"/>
  <c r="C288" i="4"/>
  <c r="C289" i="4"/>
  <c r="C290" i="4"/>
  <c r="C291" i="4"/>
  <c r="C292" i="4"/>
  <c r="C293" i="4"/>
  <c r="C294" i="4"/>
  <c r="C295" i="4"/>
  <c r="C296" i="4"/>
  <c r="C297" i="4"/>
  <c r="C298" i="4"/>
  <c r="C299" i="4"/>
  <c r="C300" i="4"/>
  <c r="C301" i="4"/>
  <c r="C302" i="4"/>
  <c r="C303" i="4"/>
  <c r="C304" i="4"/>
  <c r="C305" i="4"/>
  <c r="C306" i="4"/>
  <c r="C307" i="4"/>
  <c r="C308" i="4"/>
  <c r="C309" i="4"/>
  <c r="C310" i="4"/>
  <c r="C311" i="4"/>
  <c r="C312" i="4"/>
  <c r="C313" i="4"/>
  <c r="C314" i="4"/>
  <c r="C315" i="4"/>
  <c r="C316" i="4"/>
  <c r="C317" i="4"/>
  <c r="C318" i="4"/>
  <c r="C319" i="4"/>
  <c r="C320" i="4"/>
  <c r="C321" i="4"/>
  <c r="C322" i="4"/>
  <c r="C323" i="4"/>
  <c r="C324" i="4"/>
  <c r="C325" i="4"/>
  <c r="C326" i="4"/>
  <c r="C327" i="4"/>
  <c r="C328" i="4"/>
  <c r="C329" i="4"/>
  <c r="C330" i="4"/>
  <c r="C331" i="4"/>
  <c r="C332" i="4"/>
  <c r="C333" i="4"/>
  <c r="C334" i="4"/>
  <c r="C335" i="4"/>
  <c r="C336" i="4"/>
  <c r="C337" i="4"/>
  <c r="C338" i="4"/>
  <c r="C339" i="4"/>
  <c r="C340" i="4"/>
  <c r="C341" i="4"/>
  <c r="C342" i="4"/>
  <c r="C343" i="4"/>
  <c r="C344" i="4"/>
  <c r="C345" i="4"/>
  <c r="C346" i="4"/>
  <c r="C347" i="4"/>
  <c r="C348" i="4"/>
  <c r="C349" i="4"/>
  <c r="C350" i="4"/>
  <c r="C351" i="4"/>
  <c r="C352" i="4"/>
  <c r="C353" i="4"/>
  <c r="C354" i="4"/>
  <c r="C355" i="4"/>
  <c r="C356" i="4"/>
  <c r="C357" i="4"/>
  <c r="C358" i="4"/>
  <c r="C359" i="4"/>
  <c r="C360" i="4"/>
  <c r="C361" i="4"/>
  <c r="C362" i="4"/>
  <c r="C363" i="4"/>
  <c r="C364" i="4"/>
  <c r="C365" i="4"/>
  <c r="C366" i="4"/>
  <c r="C367" i="4"/>
  <c r="C368" i="4"/>
  <c r="C369" i="4"/>
  <c r="C370" i="4"/>
  <c r="C371" i="4"/>
  <c r="C372" i="4"/>
  <c r="C373" i="4"/>
  <c r="C374" i="4"/>
  <c r="C375" i="4"/>
  <c r="C376" i="4"/>
  <c r="C377" i="4"/>
  <c r="C378" i="4"/>
  <c r="C379" i="4"/>
  <c r="C380" i="4"/>
  <c r="C381" i="4"/>
  <c r="C382" i="4"/>
  <c r="C383" i="4"/>
  <c r="C384" i="4"/>
  <c r="C385" i="4"/>
  <c r="C386" i="4"/>
  <c r="C387" i="4"/>
  <c r="C388" i="4"/>
  <c r="C389" i="4"/>
  <c r="C390" i="4"/>
  <c r="C391" i="4"/>
  <c r="C392" i="4"/>
  <c r="C393" i="4"/>
  <c r="C394" i="4"/>
  <c r="C395" i="4"/>
  <c r="C396" i="4"/>
  <c r="C397" i="4"/>
  <c r="C398" i="4"/>
  <c r="C399" i="4"/>
  <c r="C400" i="4"/>
  <c r="C401" i="4"/>
  <c r="C402" i="4"/>
  <c r="C403" i="4"/>
  <c r="C404" i="4"/>
  <c r="C405" i="4"/>
  <c r="C406" i="4"/>
  <c r="C407" i="4"/>
  <c r="C408" i="4"/>
  <c r="C409" i="4"/>
  <c r="C410" i="4"/>
  <c r="C411" i="4"/>
  <c r="C412" i="4"/>
  <c r="C413" i="4"/>
  <c r="C414" i="4"/>
  <c r="C415" i="4"/>
  <c r="C416" i="4"/>
  <c r="C417" i="4"/>
  <c r="C418" i="4"/>
  <c r="C419" i="4"/>
  <c r="C420" i="4"/>
  <c r="C421" i="4"/>
  <c r="C422" i="4"/>
  <c r="C423" i="4"/>
  <c r="C424" i="4"/>
  <c r="C425" i="4"/>
  <c r="C426" i="4"/>
  <c r="C427" i="4"/>
  <c r="C428" i="4"/>
  <c r="C429" i="4"/>
  <c r="C430" i="4"/>
  <c r="C431" i="4"/>
  <c r="C432" i="4"/>
  <c r="C433" i="4"/>
  <c r="C434" i="4"/>
  <c r="C435" i="4"/>
  <c r="C436" i="4"/>
  <c r="C437" i="4"/>
  <c r="C438" i="4"/>
  <c r="C439" i="4"/>
  <c r="C440" i="4"/>
  <c r="C441" i="4"/>
  <c r="C442" i="4"/>
  <c r="C443" i="4"/>
  <c r="C444" i="4"/>
  <c r="C445" i="4"/>
  <c r="C446" i="4"/>
  <c r="C447" i="4"/>
  <c r="C448" i="4"/>
  <c r="C449" i="4"/>
  <c r="C450" i="4"/>
  <c r="C451" i="4"/>
  <c r="C452" i="4"/>
  <c r="C453" i="4"/>
  <c r="C454" i="4"/>
  <c r="C455" i="4"/>
  <c r="C456" i="4"/>
  <c r="C457" i="4"/>
  <c r="C458" i="4"/>
  <c r="C459" i="4"/>
  <c r="C460" i="4"/>
  <c r="C461" i="4"/>
  <c r="C462" i="4"/>
  <c r="C463" i="4"/>
  <c r="C464" i="4"/>
  <c r="C465" i="4"/>
  <c r="C466" i="4"/>
  <c r="C467" i="4"/>
  <c r="C468" i="4"/>
  <c r="C469" i="4"/>
  <c r="C470" i="4"/>
  <c r="C471" i="4"/>
  <c r="C472" i="4"/>
  <c r="C473" i="4"/>
  <c r="C474" i="4"/>
  <c r="C475" i="4"/>
  <c r="C476" i="4"/>
  <c r="C477" i="4"/>
  <c r="C478" i="4"/>
  <c r="C479" i="4"/>
  <c r="C480" i="4"/>
  <c r="C481" i="4"/>
  <c r="C482" i="4"/>
  <c r="C483" i="4"/>
  <c r="C484" i="4"/>
  <c r="C485" i="4"/>
  <c r="C486" i="4"/>
  <c r="C487" i="4"/>
  <c r="C488" i="4"/>
  <c r="C489" i="4"/>
  <c r="C490" i="4"/>
  <c r="C491" i="4"/>
  <c r="C492" i="4"/>
  <c r="C493" i="4"/>
  <c r="C494" i="4"/>
  <c r="C495" i="4"/>
  <c r="C496" i="4"/>
  <c r="C497" i="4"/>
  <c r="C498" i="4"/>
  <c r="C499" i="4"/>
  <c r="C500" i="4"/>
  <c r="C501" i="4"/>
  <c r="C502" i="4"/>
  <c r="C503" i="4"/>
  <c r="C504" i="4"/>
  <c r="C505" i="4"/>
  <c r="C506" i="4"/>
  <c r="C507" i="4"/>
  <c r="C508" i="4"/>
  <c r="C509" i="4"/>
  <c r="C510" i="4"/>
  <c r="C511" i="4"/>
  <c r="C512" i="4"/>
  <c r="C513" i="4"/>
  <c r="C514" i="4"/>
  <c r="C515" i="4"/>
  <c r="C516" i="4"/>
  <c r="C517" i="4"/>
  <c r="C518" i="4"/>
  <c r="C519" i="4"/>
  <c r="C520" i="4"/>
  <c r="C521" i="4"/>
  <c r="C522" i="4"/>
  <c r="C523" i="4"/>
  <c r="C524" i="4"/>
  <c r="C525" i="4"/>
  <c r="C526" i="4"/>
  <c r="C527" i="4"/>
  <c r="C528" i="4"/>
  <c r="C529" i="4"/>
  <c r="C530" i="4"/>
  <c r="C531" i="4"/>
  <c r="C532" i="4"/>
  <c r="C533" i="4"/>
  <c r="C534" i="4"/>
  <c r="C535" i="4"/>
  <c r="C536" i="4"/>
  <c r="C537" i="4"/>
  <c r="C538" i="4"/>
  <c r="C539" i="4"/>
  <c r="C540" i="4"/>
  <c r="C541" i="4"/>
  <c r="C542" i="4"/>
  <c r="C543" i="4"/>
  <c r="C544" i="4"/>
  <c r="C545" i="4"/>
  <c r="C546" i="4"/>
  <c r="C547" i="4"/>
  <c r="C548" i="4"/>
  <c r="C549" i="4"/>
  <c r="C550" i="4"/>
  <c r="C551" i="4"/>
  <c r="C552" i="4"/>
  <c r="C553" i="4"/>
  <c r="C554" i="4"/>
  <c r="C555" i="4"/>
  <c r="C556" i="4"/>
  <c r="C557" i="4"/>
  <c r="C558" i="4"/>
  <c r="C559" i="4"/>
  <c r="C560" i="4"/>
  <c r="C561" i="4"/>
  <c r="C562" i="4"/>
  <c r="C563" i="4"/>
  <c r="C564" i="4"/>
  <c r="C565" i="4"/>
  <c r="C566" i="4"/>
  <c r="C567" i="4"/>
  <c r="C568" i="4"/>
  <c r="C569" i="4"/>
  <c r="C570" i="4"/>
  <c r="C571" i="4"/>
  <c r="C572" i="4"/>
  <c r="C573" i="4"/>
  <c r="C574" i="4"/>
  <c r="C575" i="4"/>
  <c r="C576" i="4"/>
  <c r="C577" i="4"/>
  <c r="C578" i="4"/>
  <c r="C579" i="4"/>
  <c r="C580" i="4"/>
  <c r="C581" i="4"/>
  <c r="C582" i="4"/>
  <c r="C583" i="4"/>
  <c r="C584" i="4"/>
  <c r="C585" i="4"/>
  <c r="C586" i="4"/>
  <c r="C587" i="4"/>
  <c r="C588" i="4"/>
  <c r="C589" i="4"/>
  <c r="C590" i="4"/>
  <c r="C591" i="4"/>
  <c r="C592" i="4"/>
  <c r="C593" i="4"/>
  <c r="C594" i="4"/>
  <c r="C595" i="4"/>
  <c r="C596" i="4"/>
  <c r="C597" i="4"/>
  <c r="C598" i="4"/>
  <c r="C599" i="4"/>
  <c r="C600" i="4"/>
  <c r="C601" i="4"/>
  <c r="C602" i="4"/>
  <c r="C603" i="4"/>
  <c r="C604" i="4"/>
  <c r="C605" i="4"/>
  <c r="C606" i="4"/>
  <c r="C607" i="4"/>
  <c r="C608" i="4"/>
  <c r="C609" i="4"/>
  <c r="C610" i="4"/>
  <c r="C611" i="4"/>
  <c r="C612" i="4"/>
  <c r="C613" i="4"/>
  <c r="C614" i="4"/>
  <c r="C615" i="4"/>
  <c r="C616" i="4"/>
  <c r="C617" i="4"/>
  <c r="C618" i="4"/>
  <c r="C619" i="4"/>
  <c r="C620" i="4"/>
  <c r="C621" i="4"/>
  <c r="C622" i="4"/>
  <c r="C623" i="4"/>
  <c r="C624" i="4"/>
  <c r="C625" i="4"/>
  <c r="C626" i="4"/>
  <c r="C627" i="4"/>
  <c r="C628" i="4"/>
  <c r="C629" i="4"/>
  <c r="C630" i="4"/>
  <c r="C631" i="4"/>
  <c r="C632" i="4"/>
  <c r="C633" i="4"/>
  <c r="C634" i="4"/>
  <c r="C635" i="4"/>
  <c r="C636" i="4"/>
  <c r="C637" i="4"/>
  <c r="C638" i="4"/>
  <c r="C639" i="4"/>
  <c r="C640" i="4"/>
  <c r="C641" i="4"/>
  <c r="C642" i="4"/>
  <c r="C643" i="4"/>
  <c r="C644" i="4"/>
  <c r="C645" i="4"/>
  <c r="C646" i="4"/>
  <c r="C647" i="4"/>
  <c r="C648" i="4"/>
  <c r="C649" i="4"/>
  <c r="C650" i="4"/>
  <c r="C651" i="4"/>
  <c r="C652" i="4"/>
  <c r="C653" i="4"/>
  <c r="C654" i="4"/>
  <c r="C655" i="4"/>
  <c r="C656" i="4"/>
  <c r="C657" i="4"/>
  <c r="C658" i="4"/>
  <c r="C659" i="4"/>
  <c r="C660" i="4"/>
  <c r="C661" i="4"/>
  <c r="C662" i="4"/>
  <c r="C663" i="4"/>
  <c r="C664" i="4"/>
  <c r="C665" i="4"/>
  <c r="C666" i="4"/>
  <c r="C667" i="4"/>
  <c r="C668" i="4"/>
  <c r="C669" i="4"/>
  <c r="C670" i="4"/>
  <c r="C671" i="4"/>
  <c r="C672" i="4"/>
  <c r="C673" i="4"/>
  <c r="C674" i="4"/>
  <c r="C675" i="4"/>
  <c r="C676" i="4"/>
  <c r="C677" i="4"/>
  <c r="C678" i="4"/>
  <c r="C679" i="4"/>
  <c r="C680" i="4"/>
  <c r="C681" i="4"/>
  <c r="C682" i="4"/>
  <c r="C683" i="4"/>
  <c r="C684" i="4"/>
  <c r="C685" i="4"/>
  <c r="C686" i="4"/>
  <c r="C687" i="4"/>
  <c r="C688" i="4"/>
  <c r="C689" i="4"/>
  <c r="C690" i="4"/>
  <c r="C691" i="4"/>
  <c r="C692" i="4"/>
  <c r="C693" i="4"/>
  <c r="C694" i="4"/>
  <c r="C695" i="4"/>
  <c r="C696" i="4"/>
  <c r="C697" i="4"/>
  <c r="C698" i="4"/>
  <c r="C699" i="4"/>
  <c r="C700" i="4"/>
  <c r="C701" i="4"/>
  <c r="C702" i="4"/>
  <c r="C703" i="4"/>
  <c r="C704" i="4"/>
  <c r="C705" i="4"/>
  <c r="C706" i="4"/>
  <c r="C707" i="4"/>
  <c r="C708" i="4"/>
  <c r="C709" i="4"/>
  <c r="C710" i="4"/>
  <c r="C711" i="4"/>
  <c r="C712" i="4"/>
  <c r="C713" i="4"/>
  <c r="C714" i="4"/>
  <c r="C715" i="4"/>
  <c r="C716" i="4"/>
  <c r="C717" i="4"/>
  <c r="C718" i="4"/>
  <c r="C719" i="4"/>
  <c r="C720" i="4"/>
  <c r="C721" i="4"/>
  <c r="C722" i="4"/>
  <c r="C723" i="4"/>
  <c r="C724" i="4"/>
  <c r="C725" i="4"/>
  <c r="C726" i="4"/>
  <c r="C727" i="4"/>
  <c r="C728" i="4"/>
  <c r="C729" i="4"/>
  <c r="C730" i="4"/>
  <c r="C731" i="4"/>
  <c r="C732" i="4"/>
  <c r="C733" i="4"/>
  <c r="C734" i="4"/>
  <c r="C735" i="4"/>
  <c r="C736" i="4"/>
  <c r="C737" i="4"/>
  <c r="C738" i="4"/>
  <c r="C739" i="4"/>
  <c r="C740" i="4"/>
  <c r="C741" i="4"/>
  <c r="C742" i="4"/>
  <c r="C743" i="4"/>
  <c r="C744" i="4"/>
  <c r="C745" i="4"/>
  <c r="C746" i="4"/>
  <c r="C747" i="4"/>
  <c r="C748" i="4"/>
  <c r="C749" i="4"/>
  <c r="C750" i="4"/>
  <c r="C751" i="4"/>
  <c r="C752" i="4"/>
  <c r="C753" i="4"/>
  <c r="C754" i="4"/>
  <c r="C755" i="4"/>
  <c r="C756" i="4"/>
  <c r="C757" i="4"/>
  <c r="C758" i="4"/>
  <c r="C759" i="4"/>
  <c r="C760" i="4"/>
  <c r="C761" i="4"/>
  <c r="C762" i="4"/>
  <c r="C763" i="4"/>
  <c r="C764" i="4"/>
  <c r="C765" i="4"/>
  <c r="C766" i="4"/>
  <c r="C767" i="4"/>
  <c r="C768" i="4"/>
  <c r="C769" i="4"/>
  <c r="C770" i="4"/>
  <c r="C771" i="4"/>
  <c r="C772" i="4"/>
  <c r="C773" i="4"/>
  <c r="C774" i="4"/>
  <c r="C775" i="4"/>
  <c r="C776" i="4"/>
  <c r="C777" i="4"/>
  <c r="C778" i="4"/>
  <c r="C779" i="4"/>
  <c r="C780" i="4"/>
  <c r="C781" i="4"/>
  <c r="C782" i="4"/>
  <c r="C783" i="4"/>
  <c r="C784" i="4"/>
  <c r="C785" i="4"/>
  <c r="C786" i="4"/>
  <c r="C787" i="4"/>
  <c r="C788" i="4"/>
  <c r="C789" i="4"/>
  <c r="C790" i="4"/>
  <c r="C791" i="4"/>
  <c r="C792" i="4"/>
  <c r="C793" i="4"/>
  <c r="C794" i="4"/>
  <c r="C795" i="4"/>
  <c r="C796" i="4"/>
  <c r="C797" i="4"/>
  <c r="C798" i="4"/>
  <c r="C799" i="4"/>
  <c r="C800" i="4"/>
  <c r="C801" i="4"/>
  <c r="C802" i="4"/>
  <c r="C803" i="4"/>
  <c r="C804" i="4"/>
  <c r="C805" i="4"/>
  <c r="C806" i="4"/>
  <c r="C807" i="4"/>
  <c r="C808" i="4"/>
  <c r="C809" i="4"/>
  <c r="C810" i="4"/>
  <c r="C811" i="4"/>
  <c r="C812" i="4"/>
  <c r="C813" i="4"/>
  <c r="C814" i="4"/>
  <c r="C815" i="4"/>
  <c r="C816" i="4"/>
  <c r="C817" i="4"/>
  <c r="C818" i="4"/>
  <c r="C819" i="4"/>
  <c r="C820" i="4"/>
  <c r="C821" i="4"/>
  <c r="C822" i="4"/>
  <c r="C823" i="4"/>
  <c r="C824" i="4"/>
  <c r="C825" i="4"/>
  <c r="C826" i="4"/>
  <c r="C827" i="4"/>
  <c r="C828" i="4"/>
  <c r="C829" i="4"/>
  <c r="C830" i="4"/>
  <c r="C831" i="4"/>
  <c r="C832" i="4"/>
  <c r="C833" i="4"/>
  <c r="C834" i="4"/>
  <c r="C835" i="4"/>
  <c r="C836" i="4"/>
  <c r="C837" i="4"/>
  <c r="C838" i="4"/>
  <c r="C839" i="4"/>
  <c r="C840" i="4"/>
  <c r="C841" i="4"/>
  <c r="C842" i="4"/>
  <c r="C843" i="4"/>
  <c r="C844" i="4"/>
  <c r="C845" i="4"/>
  <c r="C846" i="4"/>
  <c r="C847" i="4"/>
  <c r="C848" i="4"/>
  <c r="C849" i="4"/>
  <c r="C850" i="4"/>
  <c r="C851" i="4"/>
  <c r="C852" i="4"/>
  <c r="C853" i="4"/>
  <c r="C854" i="4"/>
  <c r="C855" i="4"/>
  <c r="C856" i="4"/>
  <c r="C857" i="4"/>
  <c r="C858" i="4"/>
  <c r="C859" i="4"/>
  <c r="C860" i="4"/>
  <c r="C861" i="4"/>
  <c r="C862" i="4"/>
  <c r="C863" i="4"/>
  <c r="C864" i="4"/>
  <c r="C865" i="4"/>
  <c r="C866" i="4"/>
  <c r="C867" i="4"/>
  <c r="C868" i="4"/>
  <c r="C869" i="4"/>
  <c r="C870" i="4"/>
  <c r="C871" i="4"/>
  <c r="C872" i="4"/>
  <c r="C873" i="4"/>
  <c r="C874" i="4"/>
  <c r="C875" i="4"/>
  <c r="C876" i="4"/>
  <c r="C877" i="4"/>
  <c r="C878" i="4"/>
  <c r="C879" i="4"/>
  <c r="C880" i="4"/>
  <c r="C881" i="4"/>
  <c r="C882" i="4"/>
  <c r="C883" i="4"/>
  <c r="C884" i="4"/>
  <c r="C885" i="4"/>
  <c r="C886" i="4"/>
  <c r="C887" i="4"/>
  <c r="C888" i="4"/>
  <c r="C889" i="4"/>
  <c r="C890" i="4"/>
  <c r="C891" i="4"/>
  <c r="C892" i="4"/>
  <c r="C893" i="4"/>
  <c r="C894" i="4"/>
  <c r="C895" i="4"/>
  <c r="C896" i="4"/>
  <c r="C897" i="4"/>
  <c r="C898" i="4"/>
  <c r="C899" i="4"/>
  <c r="C900" i="4"/>
  <c r="C901" i="4"/>
  <c r="C902" i="4"/>
  <c r="C903" i="4"/>
  <c r="C904" i="4"/>
  <c r="C905" i="4"/>
  <c r="C906" i="4"/>
  <c r="C907" i="4"/>
  <c r="C908" i="4"/>
  <c r="C909" i="4"/>
  <c r="C910" i="4"/>
  <c r="C911" i="4"/>
  <c r="C912" i="4"/>
  <c r="C913" i="4"/>
  <c r="C914" i="4"/>
  <c r="C915" i="4"/>
  <c r="C916" i="4"/>
  <c r="C917" i="4"/>
  <c r="C918" i="4"/>
  <c r="C919" i="4"/>
  <c r="C920" i="4"/>
  <c r="C921" i="4"/>
  <c r="C922" i="4"/>
  <c r="C923" i="4"/>
  <c r="C924" i="4"/>
  <c r="C925" i="4"/>
  <c r="C926" i="4"/>
  <c r="C927" i="4"/>
  <c r="C928" i="4"/>
  <c r="C929" i="4"/>
  <c r="C930" i="4"/>
  <c r="C931" i="4"/>
  <c r="C932" i="4"/>
  <c r="C933" i="4"/>
  <c r="C934" i="4"/>
  <c r="C935" i="4"/>
  <c r="C936" i="4"/>
  <c r="C937" i="4"/>
  <c r="C938" i="4"/>
  <c r="C939" i="4"/>
  <c r="C940" i="4"/>
  <c r="C941" i="4"/>
  <c r="C942" i="4"/>
  <c r="C943" i="4"/>
  <c r="C944" i="4"/>
  <c r="C945" i="4"/>
  <c r="C946" i="4"/>
  <c r="C947" i="4"/>
  <c r="C948" i="4"/>
  <c r="C949" i="4"/>
  <c r="C950" i="4"/>
  <c r="C951" i="4"/>
  <c r="C952" i="4"/>
  <c r="C953" i="4"/>
  <c r="C954" i="4"/>
  <c r="C955" i="4"/>
  <c r="C956" i="4"/>
  <c r="C957" i="4"/>
  <c r="C958" i="4"/>
  <c r="C959" i="4"/>
  <c r="C960" i="4"/>
  <c r="C961" i="4"/>
  <c r="C962" i="4"/>
  <c r="C963" i="4"/>
  <c r="C964" i="4"/>
  <c r="C965" i="4"/>
  <c r="C966" i="4"/>
  <c r="C967" i="4"/>
  <c r="C968" i="4"/>
  <c r="C969" i="4"/>
  <c r="C970" i="4"/>
  <c r="C971" i="4"/>
  <c r="C972" i="4"/>
  <c r="C973" i="4"/>
  <c r="C974" i="4"/>
  <c r="C975" i="4"/>
  <c r="C976" i="4"/>
  <c r="C977" i="4"/>
  <c r="C978" i="4"/>
  <c r="C979" i="4"/>
  <c r="C980" i="4"/>
  <c r="C981" i="4"/>
  <c r="C982" i="4"/>
  <c r="C983" i="4"/>
  <c r="C984" i="4"/>
  <c r="C985" i="4"/>
  <c r="C986" i="4"/>
  <c r="C987" i="4"/>
  <c r="C988" i="4"/>
  <c r="C989" i="4"/>
  <c r="C990" i="4"/>
  <c r="C991" i="4"/>
  <c r="C992" i="4"/>
  <c r="C993" i="4"/>
  <c r="C994" i="4"/>
  <c r="C995" i="4"/>
  <c r="C996" i="4"/>
  <c r="C997" i="4"/>
  <c r="C998" i="4"/>
  <c r="C999" i="4"/>
  <c r="C1000" i="4"/>
  <c r="C1001" i="4"/>
  <c r="C1002" i="4"/>
  <c r="C1003" i="4"/>
  <c r="C1004" i="4"/>
  <c r="C1005" i="4"/>
  <c r="C1006" i="4"/>
  <c r="C1007" i="4"/>
  <c r="C1008" i="4"/>
  <c r="C1009" i="4"/>
  <c r="C1010" i="4"/>
  <c r="C1011" i="4"/>
  <c r="C1012" i="4"/>
  <c r="C1013" i="4"/>
  <c r="C1014" i="4"/>
  <c r="C1015" i="4"/>
  <c r="C1016" i="4"/>
  <c r="C1017" i="4"/>
  <c r="C1018" i="4"/>
  <c r="C1019" i="4"/>
  <c r="C1020" i="4"/>
  <c r="C1021" i="4"/>
  <c r="C1022" i="4"/>
  <c r="C1023" i="4"/>
  <c r="C1024" i="4"/>
  <c r="C1025" i="4"/>
  <c r="C1026" i="4"/>
  <c r="C1027" i="4"/>
  <c r="C1028" i="4"/>
  <c r="C1029" i="4"/>
  <c r="C1030" i="4"/>
  <c r="C1031" i="4"/>
  <c r="C1032" i="4"/>
  <c r="C1033" i="4"/>
  <c r="C1034" i="4"/>
  <c r="C1035" i="4"/>
  <c r="C1036" i="4"/>
  <c r="C1037" i="4"/>
  <c r="C1038" i="4"/>
  <c r="C1039" i="4"/>
  <c r="C1040" i="4"/>
  <c r="C1041" i="4"/>
  <c r="C1042" i="4"/>
  <c r="C1043" i="4"/>
  <c r="C1044" i="4"/>
  <c r="C1045" i="4"/>
  <c r="C1046" i="4"/>
  <c r="C1047" i="4"/>
  <c r="C1048" i="4"/>
  <c r="C1049" i="4"/>
  <c r="C1050" i="4"/>
  <c r="C1051" i="4"/>
  <c r="C1052" i="4"/>
  <c r="C1053" i="4"/>
  <c r="C1054" i="4"/>
  <c r="C1055" i="4"/>
  <c r="C1056" i="4"/>
  <c r="C1057" i="4"/>
  <c r="C1058" i="4"/>
  <c r="C1059" i="4"/>
  <c r="C1060" i="4"/>
  <c r="C1061" i="4"/>
  <c r="C1062" i="4"/>
  <c r="C1063" i="4"/>
  <c r="C1064" i="4"/>
  <c r="C1065" i="4"/>
  <c r="C1066" i="4"/>
  <c r="C1067" i="4"/>
  <c r="C1068" i="4"/>
  <c r="C1069" i="4"/>
  <c r="C1070" i="4"/>
  <c r="C1071" i="4"/>
  <c r="C1072" i="4"/>
  <c r="C1073" i="4"/>
  <c r="C1074" i="4"/>
  <c r="C1075" i="4"/>
  <c r="C1076" i="4"/>
  <c r="C1077" i="4"/>
  <c r="C1078" i="4"/>
  <c r="C1079" i="4"/>
  <c r="C1080" i="4"/>
  <c r="C1081" i="4"/>
  <c r="C1082" i="4"/>
  <c r="C1083" i="4"/>
  <c r="C1084" i="4"/>
  <c r="C1085" i="4"/>
  <c r="C1086" i="4"/>
  <c r="C1087" i="4"/>
  <c r="C1088" i="4"/>
  <c r="C1089" i="4"/>
  <c r="C1090" i="4"/>
  <c r="C1091" i="4"/>
  <c r="C1092" i="4"/>
  <c r="C1093" i="4"/>
  <c r="C1094" i="4"/>
  <c r="C1095" i="4"/>
  <c r="C1096" i="4"/>
  <c r="C1097" i="4"/>
  <c r="C1098" i="4"/>
  <c r="C1099" i="4"/>
  <c r="C1100" i="4"/>
  <c r="C1101" i="4"/>
  <c r="C1102" i="4"/>
  <c r="C1103" i="4"/>
  <c r="C1104" i="4"/>
  <c r="C1105" i="4"/>
  <c r="C1106" i="4"/>
  <c r="C1107" i="4"/>
  <c r="C1108" i="4"/>
  <c r="C1109" i="4"/>
  <c r="C1110" i="4"/>
  <c r="C1111" i="4"/>
  <c r="C1112" i="4"/>
  <c r="C1113" i="4"/>
  <c r="C1114" i="4"/>
  <c r="C1115" i="4"/>
  <c r="C1116" i="4"/>
  <c r="C1117" i="4"/>
  <c r="C1118" i="4"/>
  <c r="C1119" i="4"/>
  <c r="C1120" i="4"/>
  <c r="C1121" i="4"/>
  <c r="C1122" i="4"/>
  <c r="C1123" i="4"/>
  <c r="C1124" i="4"/>
  <c r="C1125" i="4"/>
  <c r="C1126" i="4"/>
  <c r="C1127" i="4"/>
  <c r="C1128" i="4"/>
  <c r="C1129" i="4"/>
  <c r="C1130" i="4"/>
  <c r="C1131" i="4"/>
  <c r="C1132" i="4"/>
  <c r="C1133" i="4"/>
  <c r="C1134" i="4"/>
  <c r="C1135" i="4"/>
  <c r="C1136" i="4"/>
  <c r="C1137" i="4"/>
  <c r="C1138" i="4"/>
  <c r="C1139" i="4"/>
  <c r="C1140" i="4"/>
  <c r="C1141" i="4"/>
  <c r="C1142" i="4"/>
  <c r="C1143" i="4"/>
  <c r="C1144" i="4"/>
  <c r="C1145" i="4"/>
  <c r="C1146" i="4"/>
  <c r="C1147" i="4"/>
  <c r="C1148" i="4"/>
  <c r="C1149" i="4"/>
  <c r="C1150" i="4"/>
  <c r="C1151" i="4"/>
  <c r="C1152" i="4"/>
  <c r="C1153" i="4"/>
  <c r="C1154" i="4"/>
  <c r="C1155" i="4"/>
  <c r="C1156" i="4"/>
  <c r="C1157" i="4"/>
  <c r="C1158" i="4"/>
  <c r="C1159" i="4"/>
  <c r="C1160" i="4"/>
  <c r="C1161" i="4"/>
  <c r="C1162" i="4"/>
  <c r="C1163" i="4"/>
  <c r="C1164" i="4"/>
  <c r="C1165" i="4"/>
  <c r="C1166" i="4"/>
  <c r="C1167" i="4"/>
  <c r="C1168" i="4"/>
  <c r="C1169" i="4"/>
  <c r="C1170" i="4"/>
  <c r="C1171" i="4"/>
  <c r="C1172" i="4"/>
  <c r="C1173" i="4"/>
  <c r="C1174" i="4"/>
  <c r="C1175" i="4"/>
  <c r="C1176" i="4"/>
  <c r="C1177" i="4"/>
  <c r="C1178" i="4"/>
  <c r="C1179" i="4"/>
  <c r="C1180" i="4"/>
  <c r="C1181" i="4"/>
  <c r="C1182" i="4"/>
  <c r="C1183" i="4"/>
  <c r="C1184" i="4"/>
  <c r="C1185" i="4"/>
  <c r="C1186" i="4"/>
  <c r="C1187" i="4"/>
  <c r="C1188" i="4"/>
  <c r="C1189" i="4"/>
  <c r="C1190" i="4"/>
  <c r="C1191" i="4"/>
  <c r="C1192" i="4"/>
  <c r="C1193" i="4"/>
  <c r="C1194" i="4"/>
  <c r="C1195" i="4"/>
  <c r="C1196" i="4"/>
  <c r="C1197" i="4"/>
  <c r="C1198" i="4"/>
  <c r="C1199" i="4"/>
  <c r="C1200" i="4"/>
  <c r="C1201" i="4"/>
  <c r="C1202" i="4"/>
  <c r="C1203" i="4"/>
  <c r="C1204" i="4"/>
  <c r="C1205" i="4"/>
  <c r="C1206" i="4"/>
  <c r="C1207" i="4"/>
  <c r="C1208" i="4"/>
  <c r="C1209" i="4"/>
  <c r="C1210" i="4"/>
  <c r="C1211" i="4"/>
  <c r="C1212" i="4"/>
  <c r="C1213" i="4"/>
  <c r="C1214" i="4"/>
  <c r="C1215" i="4"/>
  <c r="C1216" i="4"/>
  <c r="C1217" i="4"/>
  <c r="C1218" i="4"/>
  <c r="C1219" i="4"/>
  <c r="C1220" i="4"/>
  <c r="C1221" i="4"/>
  <c r="C1222" i="4"/>
  <c r="C1223" i="4"/>
  <c r="C1224" i="4"/>
  <c r="C1225" i="4"/>
  <c r="C1226" i="4"/>
  <c r="C1227" i="4"/>
  <c r="C1228" i="4"/>
  <c r="C1229" i="4"/>
  <c r="C1230" i="4"/>
  <c r="C1231" i="4"/>
  <c r="C1232" i="4"/>
  <c r="C1233" i="4"/>
  <c r="C1234" i="4"/>
  <c r="C1235" i="4"/>
  <c r="C1236" i="4"/>
  <c r="C1237" i="4"/>
  <c r="C1238" i="4"/>
  <c r="C1239" i="4"/>
  <c r="C1240" i="4"/>
  <c r="C1241" i="4"/>
  <c r="C1242" i="4"/>
  <c r="C1243" i="4"/>
  <c r="C1244" i="4"/>
  <c r="C1245" i="4"/>
  <c r="C1246" i="4"/>
  <c r="C1247" i="4"/>
  <c r="C1248" i="4"/>
  <c r="C1249" i="4"/>
  <c r="C1250" i="4"/>
  <c r="C1251" i="4"/>
  <c r="C1252" i="4"/>
  <c r="C1253" i="4"/>
  <c r="C1254" i="4"/>
  <c r="C1255" i="4"/>
  <c r="C1256" i="4"/>
  <c r="C1257" i="4"/>
  <c r="C1258" i="4"/>
  <c r="C1259" i="4"/>
  <c r="C1260" i="4"/>
  <c r="C1261" i="4"/>
  <c r="C1262" i="4"/>
  <c r="C1263" i="4"/>
  <c r="C1264" i="4"/>
  <c r="C1265" i="4"/>
  <c r="C1266" i="4"/>
  <c r="C1267" i="4"/>
  <c r="C1268" i="4"/>
  <c r="C1269" i="4"/>
  <c r="C1270" i="4"/>
  <c r="C1271" i="4"/>
  <c r="C1272" i="4"/>
  <c r="C1273" i="4"/>
  <c r="C1274" i="4"/>
  <c r="C1275" i="4"/>
  <c r="C1276" i="4"/>
  <c r="C1277" i="4"/>
  <c r="C1278" i="4"/>
  <c r="C1279" i="4"/>
  <c r="C1280" i="4"/>
  <c r="C1281" i="4"/>
  <c r="C1282" i="4"/>
  <c r="C1283" i="4"/>
  <c r="C1284" i="4"/>
  <c r="C1285" i="4"/>
  <c r="C1286" i="4"/>
  <c r="C1287" i="4"/>
  <c r="C1288" i="4"/>
  <c r="C1289" i="4"/>
  <c r="C1290" i="4"/>
  <c r="C1291" i="4"/>
  <c r="C1292" i="4"/>
  <c r="C1293" i="4"/>
  <c r="C1294" i="4"/>
  <c r="C1295" i="4"/>
  <c r="C1296" i="4"/>
  <c r="C1297" i="4"/>
  <c r="C1298" i="4"/>
  <c r="C1299" i="4"/>
  <c r="C1300" i="4"/>
  <c r="C1301" i="4"/>
  <c r="C1302" i="4"/>
  <c r="C1303" i="4"/>
  <c r="C1304" i="4"/>
  <c r="C1305" i="4"/>
  <c r="C1306" i="4"/>
  <c r="C1307" i="4"/>
  <c r="C1308" i="4"/>
  <c r="C1309" i="4"/>
  <c r="C1310" i="4"/>
  <c r="C1311" i="4"/>
  <c r="C1312" i="4"/>
  <c r="C1313" i="4"/>
  <c r="C1314" i="4"/>
  <c r="C1315" i="4"/>
  <c r="C1316" i="4"/>
  <c r="C1317" i="4"/>
  <c r="C1318" i="4"/>
  <c r="C1319" i="4"/>
  <c r="C1320" i="4"/>
  <c r="C1321" i="4"/>
  <c r="C1322" i="4"/>
  <c r="C1323" i="4"/>
  <c r="C1324" i="4"/>
  <c r="C1325" i="4"/>
  <c r="C1326" i="4"/>
  <c r="C1327" i="4"/>
  <c r="C1328" i="4"/>
  <c r="C1329" i="4"/>
  <c r="C1330" i="4"/>
  <c r="C1331" i="4"/>
  <c r="C1332" i="4"/>
  <c r="C1333" i="4"/>
  <c r="C1334" i="4"/>
  <c r="C1335" i="4"/>
  <c r="C1336" i="4"/>
  <c r="C1337" i="4"/>
  <c r="C1338" i="4"/>
  <c r="C1339" i="4"/>
  <c r="C1340" i="4"/>
  <c r="C1341" i="4"/>
  <c r="C1342" i="4"/>
  <c r="C1343" i="4"/>
  <c r="C1344" i="4"/>
  <c r="C1345" i="4"/>
  <c r="C1346" i="4"/>
  <c r="C1347" i="4"/>
  <c r="C1348" i="4"/>
  <c r="C1349" i="4"/>
  <c r="C1350" i="4"/>
  <c r="C1351" i="4"/>
  <c r="C1352" i="4"/>
  <c r="C1353" i="4"/>
  <c r="C1354" i="4"/>
  <c r="C1355" i="4"/>
  <c r="C1356" i="4"/>
  <c r="C1357" i="4"/>
  <c r="C1358" i="4"/>
  <c r="C1359" i="4"/>
  <c r="C1360" i="4"/>
  <c r="C1361" i="4"/>
  <c r="C1362" i="4"/>
  <c r="C1363" i="4"/>
  <c r="C1364" i="4"/>
  <c r="C1365" i="4"/>
  <c r="C1366" i="4"/>
  <c r="C1367" i="4"/>
  <c r="C1368" i="4"/>
  <c r="C1369" i="4"/>
  <c r="C1370" i="4"/>
  <c r="C1371" i="4"/>
  <c r="C1372" i="4"/>
  <c r="C1373" i="4"/>
  <c r="C1374" i="4"/>
  <c r="C1375" i="4"/>
  <c r="C1376" i="4"/>
  <c r="C1377" i="4"/>
  <c r="C1378" i="4"/>
  <c r="C1379" i="4"/>
  <c r="C1380" i="4"/>
  <c r="C1381" i="4"/>
  <c r="C1382" i="4"/>
  <c r="C1383" i="4"/>
  <c r="C1384" i="4"/>
  <c r="C1385" i="4"/>
  <c r="C1386" i="4"/>
  <c r="C1387" i="4"/>
  <c r="C1388" i="4"/>
  <c r="C1389" i="4"/>
  <c r="C1390" i="4"/>
  <c r="C1391" i="4"/>
  <c r="C1392" i="4"/>
  <c r="C1393" i="4"/>
  <c r="C1394" i="4"/>
  <c r="C1395" i="4"/>
  <c r="C1396" i="4"/>
  <c r="C1397" i="4"/>
  <c r="C1398" i="4"/>
  <c r="C1399" i="4"/>
  <c r="C1400" i="4"/>
  <c r="C1401" i="4"/>
  <c r="C1402" i="4"/>
  <c r="C1403" i="4"/>
  <c r="C1404" i="4"/>
  <c r="C1405" i="4"/>
  <c r="C1406" i="4"/>
  <c r="C1407" i="4"/>
  <c r="C1408" i="4"/>
  <c r="C1409" i="4"/>
  <c r="C1410" i="4"/>
  <c r="C1411" i="4"/>
  <c r="C1412" i="4"/>
  <c r="C1413" i="4"/>
  <c r="C1414" i="4"/>
  <c r="C1415" i="4"/>
  <c r="C1416" i="4"/>
  <c r="C1417" i="4"/>
  <c r="C1418" i="4"/>
  <c r="C1419" i="4"/>
  <c r="C1420" i="4"/>
  <c r="C1421" i="4"/>
  <c r="C1422" i="4"/>
  <c r="C1423" i="4"/>
  <c r="C1424" i="4"/>
  <c r="C1425" i="4"/>
  <c r="C1426" i="4"/>
  <c r="C1427" i="4"/>
  <c r="C1428" i="4"/>
  <c r="C1429" i="4"/>
  <c r="C1430" i="4"/>
  <c r="C1431" i="4"/>
  <c r="C1432" i="4"/>
  <c r="C1433" i="4"/>
  <c r="C1434" i="4"/>
  <c r="C1435" i="4"/>
  <c r="C1436" i="4"/>
  <c r="C1437" i="4"/>
  <c r="C1438" i="4"/>
  <c r="C1439" i="4"/>
  <c r="C1440" i="4"/>
  <c r="C1441" i="4"/>
  <c r="C1442" i="4"/>
  <c r="C1443" i="4"/>
  <c r="C1444" i="4"/>
  <c r="C1445" i="4"/>
  <c r="C1446" i="4"/>
  <c r="C1447" i="4"/>
  <c r="C1448" i="4"/>
  <c r="C1449" i="4"/>
  <c r="C1450" i="4"/>
  <c r="C1451" i="4"/>
  <c r="C1452" i="4"/>
  <c r="C1453" i="4"/>
  <c r="C1454" i="4"/>
  <c r="C1455" i="4"/>
  <c r="C1456" i="4"/>
  <c r="C1457" i="4"/>
  <c r="C1458" i="4"/>
  <c r="C1459" i="4"/>
  <c r="C1460" i="4"/>
  <c r="C1461" i="4"/>
  <c r="C1462" i="4"/>
  <c r="C1463" i="4"/>
  <c r="C1464" i="4"/>
  <c r="C1465" i="4"/>
  <c r="C1466" i="4"/>
  <c r="C1467" i="4"/>
  <c r="C1468" i="4"/>
  <c r="C1469" i="4"/>
  <c r="C1470" i="4"/>
  <c r="C1471" i="4"/>
  <c r="C1472" i="4"/>
  <c r="C1473" i="4"/>
  <c r="C1474" i="4"/>
  <c r="C1475" i="4"/>
  <c r="C1476" i="4"/>
  <c r="C1477" i="4"/>
  <c r="C1478" i="4"/>
  <c r="C1479" i="4"/>
  <c r="C1480" i="4"/>
  <c r="C1481" i="4"/>
  <c r="C1482" i="4"/>
  <c r="C1483" i="4"/>
  <c r="C1484" i="4"/>
  <c r="C1485" i="4"/>
  <c r="C1486" i="4"/>
  <c r="C1487" i="4"/>
  <c r="C1488" i="4"/>
  <c r="C1489" i="4"/>
  <c r="C1490" i="4"/>
  <c r="C1491" i="4"/>
  <c r="C1492" i="4"/>
  <c r="C1493" i="4"/>
  <c r="C1494" i="4"/>
  <c r="C1495" i="4"/>
  <c r="C1496" i="4"/>
  <c r="C1497" i="4"/>
  <c r="C1498" i="4"/>
  <c r="C1499" i="4"/>
  <c r="C1500" i="4"/>
  <c r="C1501" i="4"/>
  <c r="C1502" i="4"/>
  <c r="C1503" i="4"/>
  <c r="C1504" i="4"/>
  <c r="C1505" i="4"/>
  <c r="C1506" i="4"/>
  <c r="C1507" i="4"/>
  <c r="C1508" i="4"/>
  <c r="C1509" i="4"/>
  <c r="C1510" i="4"/>
  <c r="C1511" i="4"/>
  <c r="C1512" i="4"/>
  <c r="C1513" i="4"/>
  <c r="C1514" i="4"/>
  <c r="C1515" i="4"/>
  <c r="C1516" i="4"/>
  <c r="C1517" i="4"/>
  <c r="C1518" i="4"/>
  <c r="C1519" i="4"/>
  <c r="C1520" i="4"/>
  <c r="C1521" i="4"/>
  <c r="C1522" i="4"/>
  <c r="C1523" i="4"/>
  <c r="C1524" i="4"/>
  <c r="C1525" i="4"/>
  <c r="C1526" i="4"/>
  <c r="C1527" i="4"/>
  <c r="C1528" i="4"/>
  <c r="C1529" i="4"/>
  <c r="C1530" i="4"/>
  <c r="C1531" i="4"/>
  <c r="C1532" i="4"/>
  <c r="C1533" i="4"/>
  <c r="C1534" i="4"/>
  <c r="C1535" i="4"/>
  <c r="C1536" i="4"/>
  <c r="C1537" i="4"/>
  <c r="C1538" i="4"/>
  <c r="C1539" i="4"/>
  <c r="C1540" i="4"/>
  <c r="C1541" i="4"/>
  <c r="C1542" i="4"/>
  <c r="C1543" i="4"/>
  <c r="C1544" i="4"/>
  <c r="C1545" i="4"/>
  <c r="C1546" i="4"/>
  <c r="C1547" i="4"/>
  <c r="C1548" i="4"/>
  <c r="C1549" i="4"/>
  <c r="C1550" i="4"/>
  <c r="C1551" i="4"/>
  <c r="C1552" i="4"/>
  <c r="C1553" i="4"/>
  <c r="C1554" i="4"/>
  <c r="C1555" i="4"/>
  <c r="C1556" i="4"/>
  <c r="C1557" i="4"/>
  <c r="C1558" i="4"/>
  <c r="C1559" i="4"/>
  <c r="C1560" i="4"/>
  <c r="C1561" i="4"/>
  <c r="C1562" i="4"/>
  <c r="C1563" i="4"/>
  <c r="C1564" i="4"/>
  <c r="C1565" i="4"/>
  <c r="C1566" i="4"/>
  <c r="C1567" i="4"/>
  <c r="C1568" i="4"/>
  <c r="C1569" i="4"/>
  <c r="C1570" i="4"/>
  <c r="C1571" i="4"/>
  <c r="C1572" i="4"/>
  <c r="C1573" i="4"/>
  <c r="C1574" i="4"/>
  <c r="C1575" i="4"/>
  <c r="C1576" i="4"/>
  <c r="C1577" i="4"/>
  <c r="C1578" i="4"/>
  <c r="C1579" i="4"/>
  <c r="C1580" i="4"/>
  <c r="C1581" i="4"/>
  <c r="C1582" i="4"/>
  <c r="C1583" i="4"/>
  <c r="C1584" i="4"/>
  <c r="C1585" i="4"/>
  <c r="C1586" i="4"/>
  <c r="C1587" i="4"/>
  <c r="C1588" i="4"/>
  <c r="C1589" i="4"/>
  <c r="C1590" i="4"/>
  <c r="C1591" i="4"/>
  <c r="C1592" i="4"/>
  <c r="C1593" i="4"/>
  <c r="C1594" i="4"/>
  <c r="C1595" i="4"/>
  <c r="C1596" i="4"/>
  <c r="C1597" i="4"/>
  <c r="C1598" i="4"/>
  <c r="C1599" i="4"/>
  <c r="C1600" i="4"/>
  <c r="C1601" i="4"/>
  <c r="C1602" i="4"/>
  <c r="C1603" i="4"/>
  <c r="C1604" i="4"/>
  <c r="C1605" i="4"/>
  <c r="C1606" i="4"/>
  <c r="C1607" i="4"/>
  <c r="C1608" i="4"/>
  <c r="C1609" i="4"/>
  <c r="C1610" i="4"/>
  <c r="C1611" i="4"/>
  <c r="C1612" i="4"/>
  <c r="C1613" i="4"/>
  <c r="C1614" i="4"/>
  <c r="C1615" i="4"/>
  <c r="C1616" i="4"/>
  <c r="C1617" i="4"/>
  <c r="C1618" i="4"/>
  <c r="C1619" i="4"/>
  <c r="C1620" i="4"/>
  <c r="C1621" i="4"/>
  <c r="C1622" i="4"/>
  <c r="C1623" i="4"/>
  <c r="C1624" i="4"/>
  <c r="C1625" i="4"/>
  <c r="C1626" i="4"/>
  <c r="C1627" i="4"/>
  <c r="C1628" i="4"/>
  <c r="C1629" i="4"/>
  <c r="C1630" i="4"/>
  <c r="C1631" i="4"/>
  <c r="C1632" i="4"/>
  <c r="C1633" i="4"/>
  <c r="C1634" i="4"/>
  <c r="C1635" i="4"/>
  <c r="C1636" i="4"/>
  <c r="C1637" i="4"/>
  <c r="C1638" i="4"/>
  <c r="C1639" i="4"/>
  <c r="C1640" i="4"/>
  <c r="C1641" i="4"/>
  <c r="C1642" i="4"/>
  <c r="C1643" i="4"/>
  <c r="C1644" i="4"/>
  <c r="C1645" i="4"/>
  <c r="C1646" i="4"/>
  <c r="C1647" i="4"/>
  <c r="C1648" i="4"/>
  <c r="C1649" i="4"/>
  <c r="C1650" i="4"/>
  <c r="C1651" i="4"/>
  <c r="C1652" i="4"/>
  <c r="C1653" i="4"/>
  <c r="C1654" i="4"/>
  <c r="C1655" i="4"/>
  <c r="C1656" i="4"/>
  <c r="C1657" i="4"/>
  <c r="C1658" i="4"/>
  <c r="C1659" i="4"/>
  <c r="C1660" i="4"/>
  <c r="C1661" i="4"/>
  <c r="C1662" i="4"/>
  <c r="C1663" i="4"/>
  <c r="C1664" i="4"/>
  <c r="C1665" i="4"/>
  <c r="C1666" i="4"/>
  <c r="C1667" i="4"/>
  <c r="C1668" i="4"/>
  <c r="C1669" i="4"/>
  <c r="C1670" i="4"/>
  <c r="C1671" i="4"/>
  <c r="C1672" i="4"/>
  <c r="C1673" i="4"/>
  <c r="C1674" i="4"/>
  <c r="C1675" i="4"/>
  <c r="C1676" i="4"/>
  <c r="C1677" i="4"/>
  <c r="C1678" i="4"/>
  <c r="C1679" i="4"/>
  <c r="C1680" i="4"/>
  <c r="C1681" i="4"/>
  <c r="C1682" i="4"/>
  <c r="C1683" i="4"/>
  <c r="C1684" i="4"/>
  <c r="C1685" i="4"/>
  <c r="C1686" i="4"/>
  <c r="C1687" i="4"/>
  <c r="C1688" i="4"/>
  <c r="C1689" i="4"/>
  <c r="C1690" i="4"/>
  <c r="C1691" i="4"/>
  <c r="C1692" i="4"/>
  <c r="C1693" i="4"/>
  <c r="C1694" i="4"/>
  <c r="C1695" i="4"/>
  <c r="C1696" i="4"/>
  <c r="C1697" i="4"/>
  <c r="C1698" i="4"/>
  <c r="C1699" i="4"/>
  <c r="C1700" i="4"/>
  <c r="C1701" i="4"/>
  <c r="C1702" i="4"/>
  <c r="C1703" i="4"/>
  <c r="C1704" i="4"/>
  <c r="C1705" i="4"/>
  <c r="C1706" i="4"/>
  <c r="C1707" i="4"/>
  <c r="C1708" i="4"/>
  <c r="C1709" i="4"/>
  <c r="C1710" i="4"/>
  <c r="C1711" i="4"/>
  <c r="C1712" i="4"/>
  <c r="C1713" i="4"/>
  <c r="C1714" i="4"/>
  <c r="C1715" i="4"/>
  <c r="C1716" i="4"/>
  <c r="C1717" i="4"/>
  <c r="C1718" i="4"/>
  <c r="C1719" i="4"/>
  <c r="C1720" i="4"/>
  <c r="C1721" i="4"/>
  <c r="C1722" i="4"/>
  <c r="C1723" i="4"/>
  <c r="C1724" i="4"/>
  <c r="C1725" i="4"/>
  <c r="C1726" i="4"/>
  <c r="C1727" i="4"/>
  <c r="C1728" i="4"/>
  <c r="C1729" i="4"/>
  <c r="C1730" i="4"/>
  <c r="C1731" i="4"/>
  <c r="C1732" i="4"/>
  <c r="C1733" i="4"/>
  <c r="C1734" i="4"/>
  <c r="C1735" i="4"/>
  <c r="C1736" i="4"/>
  <c r="C1737" i="4"/>
  <c r="C1738" i="4"/>
  <c r="C1739" i="4"/>
  <c r="C1740" i="4"/>
  <c r="C1741" i="4"/>
  <c r="C1742" i="4"/>
  <c r="C1743" i="4"/>
  <c r="C1744" i="4"/>
  <c r="C1745" i="4"/>
  <c r="C1746" i="4"/>
  <c r="C1747" i="4"/>
  <c r="C1748" i="4"/>
  <c r="C1749" i="4"/>
  <c r="C1750" i="4"/>
  <c r="C1751" i="4"/>
  <c r="C1752" i="4"/>
  <c r="C1753" i="4"/>
  <c r="C1754" i="4"/>
  <c r="C1755" i="4"/>
  <c r="C1756" i="4"/>
  <c r="C1757" i="4"/>
  <c r="C1758" i="4"/>
  <c r="C1759" i="4"/>
  <c r="C1760" i="4"/>
  <c r="C1761" i="4"/>
  <c r="C1762" i="4"/>
  <c r="C1763" i="4"/>
  <c r="C1764" i="4"/>
  <c r="C1765" i="4"/>
  <c r="C1766" i="4"/>
  <c r="C1767" i="4"/>
  <c r="C1768" i="4"/>
  <c r="C1769" i="4"/>
  <c r="C1770" i="4"/>
  <c r="C1771" i="4"/>
  <c r="C1772" i="4"/>
  <c r="C1773" i="4"/>
  <c r="C3" i="5"/>
  <c r="C4" i="5"/>
  <c r="C5" i="5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C33" i="5"/>
  <c r="C34" i="5"/>
  <c r="C35" i="5"/>
  <c r="C36" i="5"/>
  <c r="C37" i="5"/>
  <c r="C38" i="5"/>
  <c r="C39" i="5"/>
  <c r="C40" i="5"/>
  <c r="C41" i="5"/>
  <c r="C42" i="5"/>
  <c r="C43" i="5"/>
  <c r="C44" i="5"/>
  <c r="C45" i="5"/>
  <c r="C46" i="5"/>
  <c r="C47" i="5"/>
  <c r="C48" i="5"/>
  <c r="C49" i="5"/>
  <c r="C50" i="5"/>
  <c r="C51" i="5"/>
  <c r="C52" i="5"/>
  <c r="C53" i="5"/>
  <c r="C54" i="5"/>
  <c r="C55" i="5"/>
  <c r="C56" i="5"/>
  <c r="C57" i="5"/>
  <c r="C58" i="5"/>
  <c r="C59" i="5"/>
  <c r="C60" i="5"/>
  <c r="C61" i="5"/>
  <c r="C62" i="5"/>
  <c r="C63" i="5"/>
  <c r="C64" i="5"/>
  <c r="C65" i="5"/>
  <c r="C66" i="5"/>
  <c r="C67" i="5"/>
  <c r="C68" i="5"/>
  <c r="C69" i="5"/>
  <c r="C70" i="5"/>
  <c r="C71" i="5"/>
  <c r="C72" i="5"/>
  <c r="C73" i="5"/>
  <c r="C74" i="5"/>
  <c r="C75" i="5"/>
  <c r="C76" i="5"/>
  <c r="C77" i="5"/>
  <c r="C78" i="5"/>
  <c r="C79" i="5"/>
  <c r="C80" i="5"/>
  <c r="C81" i="5"/>
  <c r="C82" i="5"/>
  <c r="C83" i="5"/>
  <c r="C84" i="5"/>
  <c r="C85" i="5"/>
  <c r="C86" i="5"/>
  <c r="C87" i="5"/>
  <c r="C88" i="5"/>
  <c r="C89" i="5"/>
  <c r="C90" i="5"/>
  <c r="C91" i="5"/>
  <c r="C92" i="5"/>
  <c r="C93" i="5"/>
  <c r="C94" i="5"/>
  <c r="C95" i="5"/>
  <c r="C96" i="5"/>
  <c r="C97" i="5"/>
  <c r="C98" i="5"/>
  <c r="C99" i="5"/>
  <c r="C100" i="5"/>
  <c r="C101" i="5"/>
  <c r="C102" i="5"/>
  <c r="C103" i="5"/>
  <c r="C104" i="5"/>
  <c r="C105" i="5"/>
  <c r="C106" i="5"/>
  <c r="C107" i="5"/>
  <c r="C108" i="5"/>
  <c r="C109" i="5"/>
  <c r="C110" i="5"/>
  <c r="C111" i="5"/>
  <c r="C112" i="5"/>
  <c r="C113" i="5"/>
  <c r="C114" i="5"/>
  <c r="C115" i="5"/>
  <c r="C116" i="5"/>
  <c r="C117" i="5"/>
  <c r="C118" i="5"/>
  <c r="C119" i="5"/>
  <c r="C120" i="5"/>
  <c r="C121" i="5"/>
  <c r="C122" i="5"/>
  <c r="C123" i="5"/>
  <c r="C124" i="5"/>
  <c r="C125" i="5"/>
  <c r="C126" i="5"/>
  <c r="C127" i="5"/>
  <c r="C128" i="5"/>
  <c r="C129" i="5"/>
  <c r="C130" i="5"/>
  <c r="C131" i="5"/>
  <c r="C132" i="5"/>
  <c r="C133" i="5"/>
  <c r="C134" i="5"/>
  <c r="C135" i="5"/>
  <c r="C136" i="5"/>
  <c r="C137" i="5"/>
  <c r="C138" i="5"/>
  <c r="C139" i="5"/>
  <c r="C140" i="5"/>
  <c r="C141" i="5"/>
  <c r="C142" i="5"/>
  <c r="C143" i="5"/>
  <c r="C144" i="5"/>
  <c r="C145" i="5"/>
  <c r="C146" i="5"/>
  <c r="C147" i="5"/>
  <c r="C148" i="5"/>
  <c r="C149" i="5"/>
  <c r="C150" i="5"/>
  <c r="C151" i="5"/>
  <c r="C152" i="5"/>
  <c r="C153" i="5"/>
  <c r="C154" i="5"/>
  <c r="C155" i="5"/>
  <c r="C156" i="5"/>
  <c r="C157" i="5"/>
  <c r="C158" i="5"/>
  <c r="C159" i="5"/>
  <c r="C160" i="5"/>
  <c r="C161" i="5"/>
  <c r="C162" i="5"/>
  <c r="C163" i="5"/>
  <c r="C164" i="5"/>
  <c r="C165" i="5"/>
  <c r="C166" i="5"/>
  <c r="C167" i="5"/>
  <c r="C168" i="5"/>
  <c r="C169" i="5"/>
  <c r="C170" i="5"/>
  <c r="C171" i="5"/>
  <c r="C172" i="5"/>
  <c r="C173" i="5"/>
  <c r="C174" i="5"/>
  <c r="C175" i="5"/>
  <c r="C176" i="5"/>
  <c r="C177" i="5"/>
  <c r="C178" i="5"/>
  <c r="C179" i="5"/>
  <c r="C180" i="5"/>
  <c r="C181" i="5"/>
  <c r="C182" i="5"/>
  <c r="C183" i="5"/>
  <c r="C184" i="5"/>
  <c r="C185" i="5"/>
  <c r="C186" i="5"/>
  <c r="C187" i="5"/>
  <c r="C188" i="5"/>
  <c r="C189" i="5"/>
  <c r="C190" i="5"/>
  <c r="C191" i="5"/>
  <c r="C192" i="5"/>
  <c r="C193" i="5"/>
  <c r="C194" i="5"/>
  <c r="C195" i="5"/>
  <c r="C196" i="5"/>
  <c r="C197" i="5"/>
  <c r="C198" i="5"/>
  <c r="C199" i="5"/>
  <c r="C200" i="5"/>
  <c r="C201" i="5"/>
  <c r="C202" i="5"/>
  <c r="C203" i="5"/>
  <c r="C204" i="5"/>
  <c r="C205" i="5"/>
  <c r="C206" i="5"/>
  <c r="C207" i="5"/>
  <c r="C208" i="5"/>
  <c r="C209" i="5"/>
  <c r="C210" i="5"/>
  <c r="C211" i="5"/>
  <c r="C212" i="5"/>
  <c r="C213" i="5"/>
  <c r="C214" i="5"/>
  <c r="C215" i="5"/>
  <c r="C216" i="5"/>
  <c r="C217" i="5"/>
  <c r="C218" i="5"/>
  <c r="C219" i="5"/>
  <c r="C220" i="5"/>
  <c r="C221" i="5"/>
  <c r="C222" i="5"/>
  <c r="C223" i="5"/>
  <c r="C224" i="5"/>
  <c r="C225" i="5"/>
  <c r="C226" i="5"/>
  <c r="C227" i="5"/>
  <c r="C228" i="5"/>
  <c r="C229" i="5"/>
  <c r="C230" i="5"/>
  <c r="C231" i="5"/>
  <c r="C232" i="5"/>
  <c r="C233" i="5"/>
  <c r="C234" i="5"/>
  <c r="C235" i="5"/>
  <c r="C236" i="5"/>
  <c r="C237" i="5"/>
  <c r="C238" i="5"/>
  <c r="C239" i="5"/>
  <c r="C240" i="5"/>
  <c r="C241" i="5"/>
  <c r="C242" i="5"/>
  <c r="C243" i="5"/>
  <c r="C244" i="5"/>
  <c r="C245" i="5"/>
  <c r="C246" i="5"/>
  <c r="C247" i="5"/>
  <c r="C248" i="5"/>
  <c r="C249" i="5"/>
  <c r="C250" i="5"/>
  <c r="C251" i="5"/>
  <c r="C252" i="5"/>
  <c r="C253" i="5"/>
  <c r="C254" i="5"/>
  <c r="C255" i="5"/>
  <c r="C256" i="5"/>
  <c r="C257" i="5"/>
  <c r="C258" i="5"/>
  <c r="C259" i="5"/>
  <c r="C260" i="5"/>
  <c r="C261" i="5"/>
  <c r="C262" i="5"/>
  <c r="C263" i="5"/>
  <c r="C264" i="5"/>
  <c r="C265" i="5"/>
  <c r="C266" i="5"/>
  <c r="C267" i="5"/>
  <c r="C268" i="5"/>
  <c r="C269" i="5"/>
  <c r="C270" i="5"/>
  <c r="C271" i="5"/>
  <c r="C272" i="5"/>
  <c r="C273" i="5"/>
  <c r="C274" i="5"/>
  <c r="C275" i="5"/>
  <c r="C276" i="5"/>
  <c r="C277" i="5"/>
  <c r="C278" i="5"/>
  <c r="C279" i="5"/>
  <c r="C280" i="5"/>
  <c r="C281" i="5"/>
  <c r="C282" i="5"/>
  <c r="C283" i="5"/>
  <c r="C284" i="5"/>
  <c r="C285" i="5"/>
  <c r="C286" i="5"/>
  <c r="C287" i="5"/>
  <c r="C288" i="5"/>
  <c r="C289" i="5"/>
  <c r="C290" i="5"/>
  <c r="C291" i="5"/>
  <c r="C292" i="5"/>
  <c r="C293" i="5"/>
  <c r="C294" i="5"/>
  <c r="C295" i="5"/>
  <c r="C296" i="5"/>
  <c r="C297" i="5"/>
  <c r="C298" i="5"/>
  <c r="C299" i="5"/>
  <c r="C300" i="5"/>
  <c r="C301" i="5"/>
  <c r="C302" i="5"/>
  <c r="C303" i="5"/>
  <c r="C304" i="5"/>
  <c r="C305" i="5"/>
  <c r="C306" i="5"/>
  <c r="C307" i="5"/>
  <c r="C308" i="5"/>
  <c r="C309" i="5"/>
  <c r="C310" i="5"/>
  <c r="C311" i="5"/>
  <c r="C312" i="5"/>
  <c r="C313" i="5"/>
  <c r="C314" i="5"/>
  <c r="C315" i="5"/>
  <c r="C316" i="5"/>
  <c r="C317" i="5"/>
  <c r="C318" i="5"/>
  <c r="C319" i="5"/>
  <c r="C320" i="5"/>
  <c r="C321" i="5"/>
  <c r="C322" i="5"/>
  <c r="C323" i="5"/>
  <c r="C324" i="5"/>
  <c r="C325" i="5"/>
  <c r="C326" i="5"/>
  <c r="C327" i="5"/>
  <c r="C328" i="5"/>
  <c r="C329" i="5"/>
  <c r="C330" i="5"/>
  <c r="C331" i="5"/>
  <c r="C332" i="5"/>
  <c r="C333" i="5"/>
  <c r="C334" i="5"/>
  <c r="C335" i="5"/>
  <c r="C336" i="5"/>
  <c r="C337" i="5"/>
  <c r="C338" i="5"/>
  <c r="C339" i="5"/>
  <c r="C340" i="5"/>
  <c r="C341" i="5"/>
  <c r="C342" i="5"/>
  <c r="C343" i="5"/>
  <c r="C344" i="5"/>
  <c r="C345" i="5"/>
  <c r="C346" i="5"/>
  <c r="C347" i="5"/>
  <c r="C348" i="5"/>
  <c r="C349" i="5"/>
  <c r="C350" i="5"/>
  <c r="C351" i="5"/>
  <c r="C352" i="5"/>
  <c r="C353" i="5"/>
  <c r="C354" i="5"/>
  <c r="C355" i="5"/>
  <c r="C356" i="5"/>
  <c r="C357" i="5"/>
  <c r="C358" i="5"/>
  <c r="C359" i="5"/>
  <c r="C360" i="5"/>
  <c r="C361" i="5"/>
  <c r="C362" i="5"/>
  <c r="C363" i="5"/>
  <c r="C364" i="5"/>
  <c r="C365" i="5"/>
  <c r="C366" i="5"/>
  <c r="C367" i="5"/>
  <c r="C368" i="5"/>
  <c r="C369" i="5"/>
  <c r="C370" i="5"/>
  <c r="C371" i="5"/>
  <c r="C372" i="5"/>
  <c r="C373" i="5"/>
  <c r="C374" i="5"/>
  <c r="C375" i="5"/>
  <c r="C376" i="5"/>
  <c r="C377" i="5"/>
  <c r="C378" i="5"/>
  <c r="C379" i="5"/>
  <c r="C380" i="5"/>
  <c r="C381" i="5"/>
  <c r="C382" i="5"/>
  <c r="C383" i="5"/>
  <c r="C384" i="5"/>
  <c r="C385" i="5"/>
  <c r="C386" i="5"/>
  <c r="C387" i="5"/>
  <c r="C388" i="5"/>
  <c r="C389" i="5"/>
  <c r="C390" i="5"/>
  <c r="C391" i="5"/>
  <c r="C392" i="5"/>
  <c r="C393" i="5"/>
  <c r="C394" i="5"/>
  <c r="C395" i="5"/>
  <c r="C396" i="5"/>
  <c r="C397" i="5"/>
  <c r="C398" i="5"/>
  <c r="C399" i="5"/>
  <c r="C400" i="5"/>
  <c r="C401" i="5"/>
  <c r="C402" i="5"/>
  <c r="C403" i="5"/>
  <c r="C404" i="5"/>
  <c r="C405" i="5"/>
  <c r="C406" i="5"/>
  <c r="C407" i="5"/>
  <c r="C408" i="5"/>
  <c r="C409" i="5"/>
  <c r="C410" i="5"/>
  <c r="C411" i="5"/>
  <c r="C412" i="5"/>
  <c r="C413" i="5"/>
  <c r="C414" i="5"/>
  <c r="C415" i="5"/>
  <c r="C416" i="5"/>
  <c r="C417" i="5"/>
  <c r="C418" i="5"/>
  <c r="C419" i="5"/>
  <c r="C420" i="5"/>
  <c r="C421" i="5"/>
  <c r="C422" i="5"/>
  <c r="C423" i="5"/>
  <c r="C424" i="5"/>
  <c r="C425" i="5"/>
  <c r="C426" i="5"/>
  <c r="C427" i="5"/>
  <c r="C428" i="5"/>
  <c r="C429" i="5"/>
  <c r="C430" i="5"/>
  <c r="C431" i="5"/>
  <c r="C432" i="5"/>
  <c r="C433" i="5"/>
  <c r="C434" i="5"/>
  <c r="C435" i="5"/>
  <c r="C436" i="5"/>
  <c r="C437" i="5"/>
  <c r="C438" i="5"/>
  <c r="C439" i="5"/>
  <c r="C440" i="5"/>
  <c r="C441" i="5"/>
  <c r="C442" i="5"/>
  <c r="C443" i="5"/>
  <c r="C444" i="5"/>
  <c r="C445" i="5"/>
  <c r="C446" i="5"/>
  <c r="C447" i="5"/>
  <c r="C448" i="5"/>
  <c r="C449" i="5"/>
  <c r="C450" i="5"/>
  <c r="C451" i="5"/>
  <c r="C452" i="5"/>
  <c r="C453" i="5"/>
  <c r="C454" i="5"/>
  <c r="C455" i="5"/>
  <c r="C456" i="5"/>
  <c r="C457" i="5"/>
  <c r="C458" i="5"/>
  <c r="C459" i="5"/>
  <c r="C460" i="5"/>
  <c r="C461" i="5"/>
  <c r="C462" i="5"/>
  <c r="C463" i="5"/>
  <c r="C464" i="5"/>
  <c r="C465" i="5"/>
  <c r="C466" i="5"/>
  <c r="C467" i="5"/>
  <c r="C468" i="5"/>
  <c r="C469" i="5"/>
  <c r="C470" i="5"/>
  <c r="C471" i="5"/>
  <c r="C472" i="5"/>
  <c r="C473" i="5"/>
  <c r="C474" i="5"/>
  <c r="C475" i="5"/>
  <c r="C476" i="5"/>
  <c r="C477" i="5"/>
  <c r="C478" i="5"/>
  <c r="C479" i="5"/>
  <c r="C480" i="5"/>
  <c r="C481" i="5"/>
  <c r="C482" i="5"/>
  <c r="C483" i="5"/>
  <c r="C484" i="5"/>
  <c r="C485" i="5"/>
  <c r="C486" i="5"/>
  <c r="C487" i="5"/>
  <c r="C488" i="5"/>
  <c r="C489" i="5"/>
  <c r="C490" i="5"/>
  <c r="C491" i="5"/>
  <c r="C492" i="5"/>
  <c r="C493" i="5"/>
  <c r="C494" i="5"/>
  <c r="C495" i="5"/>
  <c r="C496" i="5"/>
  <c r="C497" i="5"/>
  <c r="C498" i="5"/>
  <c r="C499" i="5"/>
  <c r="C500" i="5"/>
  <c r="C501" i="5"/>
  <c r="C502" i="5"/>
  <c r="C503" i="5"/>
  <c r="C504" i="5"/>
  <c r="C505" i="5"/>
  <c r="C506" i="5"/>
  <c r="C507" i="5"/>
  <c r="C508" i="5"/>
  <c r="C509" i="5"/>
  <c r="C510" i="5"/>
  <c r="C511" i="5"/>
  <c r="C512" i="5"/>
  <c r="C513" i="5"/>
  <c r="C514" i="5"/>
  <c r="C515" i="5"/>
  <c r="C516" i="5"/>
  <c r="C517" i="5"/>
  <c r="C518" i="5"/>
  <c r="C519" i="5"/>
  <c r="C520" i="5"/>
  <c r="C521" i="5"/>
  <c r="C522" i="5"/>
  <c r="C523" i="5"/>
  <c r="C524" i="5"/>
  <c r="C525" i="5"/>
  <c r="C526" i="5"/>
  <c r="C527" i="5"/>
  <c r="C528" i="5"/>
  <c r="C529" i="5"/>
  <c r="C530" i="5"/>
  <c r="C531" i="5"/>
  <c r="C532" i="5"/>
  <c r="C533" i="5"/>
  <c r="C534" i="5"/>
  <c r="C535" i="5"/>
  <c r="C536" i="5"/>
  <c r="C537" i="5"/>
  <c r="C538" i="5"/>
  <c r="C539" i="5"/>
  <c r="C540" i="5"/>
  <c r="C541" i="5"/>
  <c r="C542" i="5"/>
  <c r="C543" i="5"/>
  <c r="C544" i="5"/>
  <c r="C545" i="5"/>
  <c r="C546" i="5"/>
  <c r="C547" i="5"/>
  <c r="C548" i="5"/>
  <c r="C549" i="5"/>
  <c r="C550" i="5"/>
  <c r="C551" i="5"/>
  <c r="C552" i="5"/>
  <c r="C553" i="5"/>
  <c r="C554" i="5"/>
  <c r="C555" i="5"/>
  <c r="C556" i="5"/>
  <c r="C557" i="5"/>
  <c r="C558" i="5"/>
  <c r="C559" i="5"/>
  <c r="C560" i="5"/>
  <c r="C561" i="5"/>
  <c r="C562" i="5"/>
  <c r="C563" i="5"/>
  <c r="C564" i="5"/>
  <c r="C565" i="5"/>
  <c r="C566" i="5"/>
  <c r="C567" i="5"/>
  <c r="C568" i="5"/>
  <c r="C569" i="5"/>
  <c r="C570" i="5"/>
  <c r="C571" i="5"/>
  <c r="C572" i="5"/>
  <c r="C573" i="5"/>
  <c r="C574" i="5"/>
  <c r="C575" i="5"/>
  <c r="C576" i="5"/>
  <c r="C577" i="5"/>
  <c r="C578" i="5"/>
  <c r="C579" i="5"/>
  <c r="C580" i="5"/>
  <c r="C581" i="5"/>
  <c r="C582" i="5"/>
  <c r="C583" i="5"/>
  <c r="C584" i="5"/>
  <c r="C585" i="5"/>
  <c r="C586" i="5"/>
  <c r="C587" i="5"/>
  <c r="C588" i="5"/>
  <c r="C589" i="5"/>
  <c r="C590" i="5"/>
  <c r="C591" i="5"/>
  <c r="C592" i="5"/>
  <c r="C593" i="5"/>
  <c r="C594" i="5"/>
  <c r="C595" i="5"/>
  <c r="C596" i="5"/>
  <c r="C597" i="5"/>
  <c r="C598" i="5"/>
  <c r="C599" i="5"/>
  <c r="C600" i="5"/>
  <c r="C601" i="5"/>
  <c r="C602" i="5"/>
  <c r="C603" i="5"/>
  <c r="C604" i="5"/>
  <c r="C605" i="5"/>
  <c r="C606" i="5"/>
  <c r="C607" i="5"/>
  <c r="C608" i="5"/>
  <c r="C609" i="5"/>
  <c r="C610" i="5"/>
  <c r="C611" i="5"/>
  <c r="C612" i="5"/>
  <c r="C613" i="5"/>
  <c r="C614" i="5"/>
  <c r="C615" i="5"/>
  <c r="C616" i="5"/>
  <c r="C617" i="5"/>
  <c r="C618" i="5"/>
  <c r="C619" i="5"/>
  <c r="C620" i="5"/>
  <c r="C621" i="5"/>
  <c r="C622" i="5"/>
  <c r="C623" i="5"/>
  <c r="C624" i="5"/>
  <c r="C625" i="5"/>
  <c r="C626" i="5"/>
  <c r="C627" i="5"/>
  <c r="C628" i="5"/>
  <c r="C629" i="5"/>
  <c r="C630" i="5"/>
  <c r="C631" i="5"/>
  <c r="C632" i="5"/>
  <c r="C633" i="5"/>
  <c r="C634" i="5"/>
  <c r="C635" i="5"/>
  <c r="C636" i="5"/>
  <c r="C637" i="5"/>
  <c r="C638" i="5"/>
  <c r="C639" i="5"/>
  <c r="C640" i="5"/>
  <c r="C641" i="5"/>
  <c r="C642" i="5"/>
  <c r="C643" i="5"/>
  <c r="C644" i="5"/>
  <c r="C645" i="5"/>
  <c r="C646" i="5"/>
  <c r="C647" i="5"/>
  <c r="C648" i="5"/>
  <c r="C649" i="5"/>
  <c r="C650" i="5"/>
  <c r="C651" i="5"/>
  <c r="C652" i="5"/>
  <c r="C653" i="5"/>
  <c r="C654" i="5"/>
  <c r="C655" i="5"/>
  <c r="C656" i="5"/>
  <c r="C657" i="5"/>
  <c r="C658" i="5"/>
  <c r="C659" i="5"/>
  <c r="C660" i="5"/>
  <c r="C661" i="5"/>
  <c r="C662" i="5"/>
  <c r="C663" i="5"/>
  <c r="C664" i="5"/>
  <c r="C665" i="5"/>
  <c r="C666" i="5"/>
  <c r="C667" i="5"/>
  <c r="C668" i="5"/>
  <c r="C669" i="5"/>
  <c r="C670" i="5"/>
  <c r="C671" i="5"/>
  <c r="C672" i="5"/>
  <c r="C673" i="5"/>
  <c r="C674" i="5"/>
  <c r="C675" i="5"/>
  <c r="C676" i="5"/>
  <c r="C677" i="5"/>
  <c r="C678" i="5"/>
  <c r="C679" i="5"/>
  <c r="C680" i="5"/>
  <c r="C681" i="5"/>
  <c r="C682" i="5"/>
  <c r="C683" i="5"/>
  <c r="C684" i="5"/>
  <c r="C685" i="5"/>
  <c r="C686" i="5"/>
  <c r="C687" i="5"/>
  <c r="C688" i="5"/>
  <c r="C689" i="5"/>
  <c r="C690" i="5"/>
  <c r="C691" i="5"/>
  <c r="C692" i="5"/>
  <c r="C693" i="5"/>
  <c r="C694" i="5"/>
  <c r="C695" i="5"/>
  <c r="C696" i="5"/>
  <c r="C697" i="5"/>
  <c r="C698" i="5"/>
  <c r="C699" i="5"/>
  <c r="C700" i="5"/>
  <c r="C701" i="5"/>
  <c r="C702" i="5"/>
  <c r="C703" i="5"/>
  <c r="C704" i="5"/>
  <c r="C705" i="5"/>
  <c r="C706" i="5"/>
  <c r="C707" i="5"/>
  <c r="C708" i="5"/>
  <c r="C709" i="5"/>
  <c r="C710" i="5"/>
  <c r="C711" i="5"/>
  <c r="C712" i="5"/>
  <c r="C713" i="5"/>
  <c r="C714" i="5"/>
  <c r="C715" i="5"/>
  <c r="C716" i="5"/>
  <c r="C717" i="5"/>
  <c r="C718" i="5"/>
  <c r="C719" i="5"/>
  <c r="C720" i="5"/>
  <c r="C721" i="5"/>
  <c r="C722" i="5"/>
  <c r="C723" i="5"/>
  <c r="C724" i="5"/>
  <c r="C725" i="5"/>
  <c r="C726" i="5"/>
  <c r="C727" i="5"/>
  <c r="C728" i="5"/>
  <c r="C729" i="5"/>
  <c r="C730" i="5"/>
  <c r="C731" i="5"/>
  <c r="C732" i="5"/>
  <c r="C733" i="5"/>
  <c r="C734" i="5"/>
  <c r="C735" i="5"/>
  <c r="C736" i="5"/>
  <c r="C737" i="5"/>
  <c r="C738" i="5"/>
  <c r="C739" i="5"/>
  <c r="C740" i="5"/>
  <c r="C741" i="5"/>
  <c r="C742" i="5"/>
  <c r="C743" i="5"/>
  <c r="C744" i="5"/>
  <c r="C745" i="5"/>
  <c r="C746" i="5"/>
  <c r="C747" i="5"/>
  <c r="C748" i="5"/>
  <c r="C749" i="5"/>
  <c r="C750" i="5"/>
  <c r="C751" i="5"/>
  <c r="C752" i="5"/>
  <c r="C753" i="5"/>
  <c r="C754" i="5"/>
  <c r="C755" i="5"/>
  <c r="C756" i="5"/>
  <c r="C757" i="5"/>
  <c r="C758" i="5"/>
  <c r="C759" i="5"/>
  <c r="C760" i="5"/>
  <c r="C761" i="5"/>
  <c r="C762" i="5"/>
  <c r="C763" i="5"/>
  <c r="C764" i="5"/>
  <c r="C765" i="5"/>
  <c r="C766" i="5"/>
  <c r="C767" i="5"/>
  <c r="C768" i="5"/>
  <c r="C769" i="5"/>
  <c r="C770" i="5"/>
  <c r="C771" i="5"/>
  <c r="C772" i="5"/>
  <c r="C773" i="5"/>
  <c r="C774" i="5"/>
  <c r="C775" i="5"/>
  <c r="C776" i="5"/>
  <c r="C777" i="5"/>
  <c r="C778" i="5"/>
  <c r="C779" i="5"/>
  <c r="C780" i="5"/>
  <c r="C781" i="5"/>
  <c r="C782" i="5"/>
  <c r="C783" i="5"/>
  <c r="C784" i="5"/>
  <c r="C785" i="5"/>
  <c r="C786" i="5"/>
  <c r="C787" i="5"/>
  <c r="C788" i="5"/>
  <c r="C789" i="5"/>
  <c r="C790" i="5"/>
  <c r="C791" i="5"/>
  <c r="C792" i="5"/>
  <c r="C793" i="5"/>
  <c r="C794" i="5"/>
  <c r="C795" i="5"/>
  <c r="C796" i="5"/>
  <c r="C797" i="5"/>
  <c r="C798" i="5"/>
  <c r="C799" i="5"/>
  <c r="C800" i="5"/>
  <c r="C801" i="5"/>
  <c r="C802" i="5"/>
  <c r="C803" i="5"/>
  <c r="C804" i="5"/>
  <c r="C805" i="5"/>
  <c r="C806" i="5"/>
  <c r="C807" i="5"/>
  <c r="C808" i="5"/>
  <c r="C809" i="5"/>
  <c r="C810" i="5"/>
  <c r="C811" i="5"/>
  <c r="C812" i="5"/>
  <c r="C813" i="5"/>
  <c r="C814" i="5"/>
  <c r="C815" i="5"/>
  <c r="C816" i="5"/>
  <c r="C817" i="5"/>
  <c r="C818" i="5"/>
  <c r="C819" i="5"/>
  <c r="C820" i="5"/>
  <c r="C821" i="5"/>
  <c r="C822" i="5"/>
  <c r="C823" i="5"/>
  <c r="C824" i="5"/>
  <c r="C825" i="5"/>
  <c r="C826" i="5"/>
  <c r="C827" i="5"/>
  <c r="C828" i="5"/>
  <c r="C829" i="5"/>
  <c r="C830" i="5"/>
  <c r="C831" i="5"/>
  <c r="C832" i="5"/>
  <c r="C833" i="5"/>
  <c r="C834" i="5"/>
  <c r="C835" i="5"/>
  <c r="C836" i="5"/>
  <c r="C837" i="5"/>
  <c r="C838" i="5"/>
  <c r="C839" i="5"/>
  <c r="C840" i="5"/>
  <c r="C841" i="5"/>
  <c r="C842" i="5"/>
  <c r="C843" i="5"/>
  <c r="C844" i="5"/>
  <c r="C845" i="5"/>
  <c r="C846" i="5"/>
  <c r="C847" i="5"/>
  <c r="C848" i="5"/>
  <c r="C849" i="5"/>
  <c r="C850" i="5"/>
  <c r="C851" i="5"/>
  <c r="C852" i="5"/>
  <c r="C853" i="5"/>
  <c r="C854" i="5"/>
  <c r="C855" i="5"/>
  <c r="C856" i="5"/>
  <c r="C857" i="5"/>
  <c r="C858" i="5"/>
  <c r="C859" i="5"/>
  <c r="C860" i="5"/>
  <c r="C861" i="5"/>
  <c r="C862" i="5"/>
  <c r="C863" i="5"/>
  <c r="C864" i="5"/>
  <c r="C865" i="5"/>
  <c r="C866" i="5"/>
  <c r="C867" i="5"/>
  <c r="C868" i="5"/>
  <c r="C869" i="5"/>
  <c r="C870" i="5"/>
  <c r="C871" i="5"/>
  <c r="C872" i="5"/>
  <c r="C873" i="5"/>
  <c r="C874" i="5"/>
  <c r="C875" i="5"/>
  <c r="C876" i="5"/>
  <c r="C877" i="5"/>
  <c r="C878" i="5"/>
  <c r="C879" i="5"/>
  <c r="C880" i="5"/>
  <c r="C881" i="5"/>
  <c r="C882" i="5"/>
  <c r="C883" i="5"/>
  <c r="C884" i="5"/>
  <c r="C885" i="5"/>
  <c r="C886" i="5"/>
  <c r="C887" i="5"/>
  <c r="C888" i="5"/>
  <c r="C889" i="5"/>
  <c r="C890" i="5"/>
  <c r="C891" i="5"/>
  <c r="C892" i="5"/>
  <c r="C893" i="5"/>
  <c r="C894" i="5"/>
  <c r="C895" i="5"/>
  <c r="C896" i="5"/>
  <c r="C897" i="5"/>
  <c r="C898" i="5"/>
  <c r="C899" i="5"/>
  <c r="C900" i="5"/>
  <c r="C901" i="5"/>
  <c r="C902" i="5"/>
  <c r="C903" i="5"/>
  <c r="C904" i="5"/>
  <c r="C905" i="5"/>
  <c r="C906" i="5"/>
  <c r="C907" i="5"/>
  <c r="C908" i="5"/>
  <c r="C909" i="5"/>
  <c r="C910" i="5"/>
  <c r="C911" i="5"/>
  <c r="C912" i="5"/>
  <c r="C913" i="5"/>
  <c r="C914" i="5"/>
  <c r="C915" i="5"/>
  <c r="C916" i="5"/>
  <c r="C917" i="5"/>
  <c r="C918" i="5"/>
  <c r="C919" i="5"/>
  <c r="C920" i="5"/>
  <c r="C921" i="5"/>
  <c r="C922" i="5"/>
  <c r="C923" i="5"/>
  <c r="C924" i="5"/>
  <c r="C925" i="5"/>
  <c r="C926" i="5"/>
  <c r="C927" i="5"/>
  <c r="C928" i="5"/>
  <c r="C929" i="5"/>
  <c r="C930" i="5"/>
  <c r="C931" i="5"/>
  <c r="C932" i="5"/>
  <c r="C933" i="5"/>
  <c r="C934" i="5"/>
  <c r="C935" i="5"/>
  <c r="C936" i="5"/>
  <c r="C937" i="5"/>
  <c r="C938" i="5"/>
  <c r="C939" i="5"/>
  <c r="C940" i="5"/>
  <c r="C941" i="5"/>
  <c r="C942" i="5"/>
  <c r="C943" i="5"/>
  <c r="C944" i="5"/>
  <c r="C945" i="5"/>
  <c r="C946" i="5"/>
  <c r="C947" i="5"/>
  <c r="C948" i="5"/>
  <c r="C949" i="5"/>
  <c r="C950" i="5"/>
  <c r="C951" i="5"/>
  <c r="C952" i="5"/>
  <c r="C953" i="5"/>
  <c r="C954" i="5"/>
  <c r="C955" i="5"/>
  <c r="C956" i="5"/>
  <c r="C957" i="5"/>
  <c r="C958" i="5"/>
  <c r="C959" i="5"/>
  <c r="C960" i="5"/>
  <c r="C961" i="5"/>
  <c r="C962" i="5"/>
  <c r="C963" i="5"/>
  <c r="C964" i="5"/>
  <c r="C965" i="5"/>
  <c r="C966" i="5"/>
  <c r="C967" i="5"/>
  <c r="C968" i="5"/>
  <c r="C969" i="5"/>
  <c r="C970" i="5"/>
  <c r="C971" i="5"/>
  <c r="C972" i="5"/>
  <c r="C973" i="5"/>
  <c r="C974" i="5"/>
  <c r="C975" i="5"/>
  <c r="C976" i="5"/>
  <c r="C977" i="5"/>
  <c r="C978" i="5"/>
  <c r="C979" i="5"/>
  <c r="C980" i="5"/>
  <c r="C981" i="5"/>
  <c r="C982" i="5"/>
  <c r="C983" i="5"/>
  <c r="C984" i="5"/>
  <c r="C985" i="5"/>
  <c r="C986" i="5"/>
  <c r="C987" i="5"/>
  <c r="C988" i="5"/>
  <c r="C989" i="5"/>
  <c r="C990" i="5"/>
  <c r="C991" i="5"/>
  <c r="C992" i="5"/>
  <c r="C993" i="5"/>
  <c r="C994" i="5"/>
  <c r="C995" i="5"/>
  <c r="C996" i="5"/>
  <c r="C997" i="5"/>
  <c r="C998" i="5"/>
  <c r="C999" i="5"/>
  <c r="C1000" i="5"/>
  <c r="C1001" i="5"/>
  <c r="C1002" i="5"/>
  <c r="C1003" i="5"/>
  <c r="C1004" i="5"/>
  <c r="C1005" i="5"/>
  <c r="C1006" i="5"/>
  <c r="C1007" i="5"/>
  <c r="C1008" i="5"/>
  <c r="C1009" i="5"/>
  <c r="C1010" i="5"/>
  <c r="C1011" i="5"/>
  <c r="C1012" i="5"/>
  <c r="C1013" i="5"/>
  <c r="C1014" i="5"/>
  <c r="C1015" i="5"/>
  <c r="C1016" i="5"/>
  <c r="C1017" i="5"/>
  <c r="C1018" i="5"/>
  <c r="C1019" i="5"/>
  <c r="C1020" i="5"/>
  <c r="C1021" i="5"/>
  <c r="C1022" i="5"/>
  <c r="C1023" i="5"/>
  <c r="C1024" i="5"/>
  <c r="C1025" i="5"/>
  <c r="C1026" i="5"/>
  <c r="C1027" i="5"/>
  <c r="C1028" i="5"/>
  <c r="C1029" i="5"/>
  <c r="C1030" i="5"/>
  <c r="C1031" i="5"/>
  <c r="C1032" i="5"/>
  <c r="C1033" i="5"/>
  <c r="C1034" i="5"/>
  <c r="C1035" i="5"/>
  <c r="C1036" i="5"/>
  <c r="C1037" i="5"/>
  <c r="C1038" i="5"/>
  <c r="C1039" i="5"/>
  <c r="C1040" i="5"/>
  <c r="C1041" i="5"/>
  <c r="C1042" i="5"/>
  <c r="C1043" i="5"/>
  <c r="C1044" i="5"/>
  <c r="C1045" i="5"/>
  <c r="C1046" i="5"/>
  <c r="C1047" i="5"/>
  <c r="C1048" i="5"/>
  <c r="C1049" i="5"/>
  <c r="C1050" i="5"/>
  <c r="C1051" i="5"/>
  <c r="C1052" i="5"/>
  <c r="C1053" i="5"/>
  <c r="C1054" i="5"/>
  <c r="C1055" i="5"/>
  <c r="C1056" i="5"/>
  <c r="C1057" i="5"/>
  <c r="C1058" i="5"/>
  <c r="C1059" i="5"/>
  <c r="C1060" i="5"/>
  <c r="C1061" i="5"/>
  <c r="C1062" i="5"/>
  <c r="C1063" i="5"/>
  <c r="C1064" i="5"/>
  <c r="C1065" i="5"/>
  <c r="C1066" i="5"/>
  <c r="C1067" i="5"/>
  <c r="C1068" i="5"/>
  <c r="C1069" i="5"/>
  <c r="C1070" i="5"/>
  <c r="C1071" i="5"/>
  <c r="C1072" i="5"/>
  <c r="C1073" i="5"/>
  <c r="C1074" i="5"/>
  <c r="C1075" i="5"/>
  <c r="C1076" i="5"/>
  <c r="C1077" i="5"/>
  <c r="C1078" i="5"/>
  <c r="C1079" i="5"/>
  <c r="C1080" i="5"/>
  <c r="C1081" i="5"/>
  <c r="C1082" i="5"/>
  <c r="C1083" i="5"/>
  <c r="C1084" i="5"/>
  <c r="C1085" i="5"/>
  <c r="C1086" i="5"/>
  <c r="C1087" i="5"/>
  <c r="C1088" i="5"/>
  <c r="C1089" i="5"/>
  <c r="C1090" i="5"/>
  <c r="C1091" i="5"/>
  <c r="C1092" i="5"/>
  <c r="C1093" i="5"/>
  <c r="C1094" i="5"/>
  <c r="C1095" i="5"/>
  <c r="C1096" i="5"/>
  <c r="C1097" i="5"/>
  <c r="C1098" i="5"/>
  <c r="C1099" i="5"/>
  <c r="C1100" i="5"/>
  <c r="C1101" i="5"/>
  <c r="C1102" i="5"/>
  <c r="C1103" i="5"/>
  <c r="C1104" i="5"/>
  <c r="C1105" i="5"/>
  <c r="C1106" i="5"/>
  <c r="C1107" i="5"/>
  <c r="C1108" i="5"/>
  <c r="C1109" i="5"/>
  <c r="C1110" i="5"/>
  <c r="C1111" i="5"/>
  <c r="C1112" i="5"/>
  <c r="C1113" i="5"/>
  <c r="C1114" i="5"/>
  <c r="C1115" i="5"/>
  <c r="C1116" i="5"/>
  <c r="C1117" i="5"/>
  <c r="C1118" i="5"/>
  <c r="C1119" i="5"/>
  <c r="C1120" i="5"/>
  <c r="C1121" i="5"/>
  <c r="C1122" i="5"/>
  <c r="C1123" i="5"/>
  <c r="C1124" i="5"/>
  <c r="C1125" i="5"/>
  <c r="C1126" i="5"/>
  <c r="C1127" i="5"/>
  <c r="C1128" i="5"/>
  <c r="C1129" i="5"/>
  <c r="C1130" i="5"/>
  <c r="C1131" i="5"/>
  <c r="C1132" i="5"/>
  <c r="C1133" i="5"/>
  <c r="C1134" i="5"/>
  <c r="C1135" i="5"/>
  <c r="C1136" i="5"/>
  <c r="C1137" i="5"/>
  <c r="C1138" i="5"/>
  <c r="C1139" i="5"/>
  <c r="C1140" i="5"/>
  <c r="C1141" i="5"/>
  <c r="C1142" i="5"/>
  <c r="C1143" i="5"/>
  <c r="C1144" i="5"/>
  <c r="C1145" i="5"/>
  <c r="C1146" i="5"/>
  <c r="C1147" i="5"/>
  <c r="C1148" i="5"/>
  <c r="C1149" i="5"/>
  <c r="C1150" i="5"/>
  <c r="C1151" i="5"/>
  <c r="C1152" i="5"/>
  <c r="C1153" i="5"/>
  <c r="C1154" i="5"/>
  <c r="C1155" i="5"/>
  <c r="C1156" i="5"/>
  <c r="C1157" i="5"/>
  <c r="C1158" i="5"/>
  <c r="C1159" i="5"/>
  <c r="C1160" i="5"/>
  <c r="C1161" i="5"/>
  <c r="C1162" i="5"/>
  <c r="C1163" i="5"/>
  <c r="C1164" i="5"/>
  <c r="C1165" i="5"/>
  <c r="C1166" i="5"/>
  <c r="C1167" i="5"/>
  <c r="C1168" i="5"/>
  <c r="C1169" i="5"/>
  <c r="C1170" i="5"/>
  <c r="C1171" i="5"/>
  <c r="C1172" i="5"/>
  <c r="C1173" i="5"/>
  <c r="C1174" i="5"/>
  <c r="C1175" i="5"/>
  <c r="C1176" i="5"/>
  <c r="C1177" i="5"/>
  <c r="C1178" i="5"/>
  <c r="C1179" i="5"/>
  <c r="C1180" i="5"/>
  <c r="C1181" i="5"/>
  <c r="C1182" i="5"/>
  <c r="C1183" i="5"/>
  <c r="C1184" i="5"/>
  <c r="C1185" i="5"/>
  <c r="C1186" i="5"/>
  <c r="C1187" i="5"/>
  <c r="C1188" i="5"/>
  <c r="C1189" i="5"/>
  <c r="C1190" i="5"/>
  <c r="C1191" i="5"/>
  <c r="C1192" i="5"/>
  <c r="C1193" i="5"/>
  <c r="C1194" i="5"/>
  <c r="C1195" i="5"/>
  <c r="C1196" i="5"/>
  <c r="C1197" i="5"/>
  <c r="C1198" i="5"/>
  <c r="C1199" i="5"/>
  <c r="C1200" i="5"/>
  <c r="C1201" i="5"/>
  <c r="C1202" i="5"/>
  <c r="C1203" i="5"/>
  <c r="C1204" i="5"/>
  <c r="C1205" i="5"/>
  <c r="C1206" i="5"/>
  <c r="C1207" i="5"/>
  <c r="C1208" i="5"/>
  <c r="C1209" i="5"/>
  <c r="C1210" i="5"/>
  <c r="C1211" i="5"/>
  <c r="C1212" i="5"/>
  <c r="C1213" i="5"/>
  <c r="C1214" i="5"/>
  <c r="C1215" i="5"/>
  <c r="C1216" i="5"/>
  <c r="C1217" i="5"/>
  <c r="C1218" i="5"/>
  <c r="C1219" i="5"/>
  <c r="C1220" i="5"/>
  <c r="C1221" i="5"/>
  <c r="C1222" i="5"/>
  <c r="C1223" i="5"/>
  <c r="C1224" i="5"/>
  <c r="C1225" i="5"/>
  <c r="C1226" i="5"/>
  <c r="C1227" i="5"/>
  <c r="C1228" i="5"/>
  <c r="C1229" i="5"/>
  <c r="C1230" i="5"/>
  <c r="C1231" i="5"/>
  <c r="C1232" i="5"/>
  <c r="C1233" i="5"/>
  <c r="C1234" i="5"/>
  <c r="C1235" i="5"/>
  <c r="C1236" i="5"/>
  <c r="C1237" i="5"/>
  <c r="C1238" i="5"/>
  <c r="C1239" i="5"/>
  <c r="C1240" i="5"/>
  <c r="C1241" i="5"/>
  <c r="C1242" i="5"/>
  <c r="C1243" i="5"/>
  <c r="C1244" i="5"/>
  <c r="C1245" i="5"/>
  <c r="C1246" i="5"/>
  <c r="C1247" i="5"/>
  <c r="C1248" i="5"/>
  <c r="C1249" i="5"/>
  <c r="C1250" i="5"/>
  <c r="C1251" i="5"/>
  <c r="C1252" i="5"/>
  <c r="C1253" i="5"/>
  <c r="C1254" i="5"/>
  <c r="C1255" i="5"/>
  <c r="C1256" i="5"/>
  <c r="C1257" i="5"/>
  <c r="C1258" i="5"/>
  <c r="C1259" i="5"/>
  <c r="C1260" i="5"/>
  <c r="C1261" i="5"/>
  <c r="C1262" i="5"/>
  <c r="C1263" i="5"/>
  <c r="C1264" i="5"/>
  <c r="C1265" i="5"/>
  <c r="C1266" i="5"/>
  <c r="C1267" i="5"/>
  <c r="C1268" i="5"/>
  <c r="C1269" i="5"/>
  <c r="C1270" i="5"/>
  <c r="C1271" i="5"/>
  <c r="C1272" i="5"/>
  <c r="C1273" i="5"/>
  <c r="C1274" i="5"/>
  <c r="C1275" i="5"/>
  <c r="C1276" i="5"/>
  <c r="C1277" i="5"/>
  <c r="C1278" i="5"/>
  <c r="C1279" i="5"/>
  <c r="C1280" i="5"/>
  <c r="C1281" i="5"/>
  <c r="C1282" i="5"/>
  <c r="C1283" i="5"/>
  <c r="C1284" i="5"/>
  <c r="C1285" i="5"/>
  <c r="C1286" i="5"/>
  <c r="C1287" i="5"/>
  <c r="C1288" i="5"/>
  <c r="C1289" i="5"/>
  <c r="C1290" i="5"/>
  <c r="C1291" i="5"/>
  <c r="C1292" i="5"/>
  <c r="C1293" i="5"/>
  <c r="C1294" i="5"/>
  <c r="C1295" i="5"/>
  <c r="C1296" i="5"/>
  <c r="C1297" i="5"/>
  <c r="C1298" i="5"/>
  <c r="C1299" i="5"/>
  <c r="C1300" i="5"/>
  <c r="C1301" i="5"/>
  <c r="C1302" i="5"/>
  <c r="C1303" i="5"/>
  <c r="C1304" i="5"/>
  <c r="C1305" i="5"/>
  <c r="C1306" i="5"/>
  <c r="C1307" i="5"/>
  <c r="C1308" i="5"/>
  <c r="C1309" i="5"/>
  <c r="C1310" i="5"/>
  <c r="C1311" i="5"/>
  <c r="C1312" i="5"/>
  <c r="C1313" i="5"/>
  <c r="C1314" i="5"/>
  <c r="C1315" i="5"/>
  <c r="C1316" i="5"/>
  <c r="C1317" i="5"/>
  <c r="C1318" i="5"/>
  <c r="C1319" i="5"/>
  <c r="C1320" i="5"/>
  <c r="C1321" i="5"/>
  <c r="C1322" i="5"/>
  <c r="C1323" i="5"/>
  <c r="C1324" i="5"/>
  <c r="C1325" i="5"/>
  <c r="C1326" i="5"/>
  <c r="C1327" i="5"/>
  <c r="C1328" i="5"/>
  <c r="C1329" i="5"/>
  <c r="C1330" i="5"/>
  <c r="C1331" i="5"/>
  <c r="C1332" i="5"/>
  <c r="C1333" i="5"/>
  <c r="C1334" i="5"/>
  <c r="C1335" i="5"/>
  <c r="C1336" i="5"/>
  <c r="C1337" i="5"/>
  <c r="C1338" i="5"/>
  <c r="C1339" i="5"/>
  <c r="C1340" i="5"/>
  <c r="C1341" i="5"/>
  <c r="C1342" i="5"/>
  <c r="C1343" i="5"/>
  <c r="C1344" i="5"/>
  <c r="C1345" i="5"/>
  <c r="C1346" i="5"/>
  <c r="C1347" i="5"/>
  <c r="C1348" i="5"/>
  <c r="C1349" i="5"/>
  <c r="C1350" i="5"/>
  <c r="C1351" i="5"/>
  <c r="C1352" i="5"/>
  <c r="C1353" i="5"/>
  <c r="C1354" i="5"/>
  <c r="C1355" i="5"/>
  <c r="C1356" i="5"/>
  <c r="C1357" i="5"/>
  <c r="C1358" i="5"/>
  <c r="C1359" i="5"/>
  <c r="C1360" i="5"/>
  <c r="C1361" i="5"/>
  <c r="C1362" i="5"/>
  <c r="C1363" i="5"/>
  <c r="C1364" i="5"/>
  <c r="C1365" i="5"/>
  <c r="C1366" i="5"/>
  <c r="C1367" i="5"/>
  <c r="C1368" i="5"/>
  <c r="C1369" i="5"/>
  <c r="C1370" i="5"/>
  <c r="C1371" i="5"/>
  <c r="C1372" i="5"/>
  <c r="C1373" i="5"/>
  <c r="C1374" i="5"/>
  <c r="C1375" i="5"/>
  <c r="C1376" i="5"/>
  <c r="C1377" i="5"/>
  <c r="C1378" i="5"/>
  <c r="C1379" i="5"/>
  <c r="C1380" i="5"/>
  <c r="C1381" i="5"/>
  <c r="C1382" i="5"/>
  <c r="C1383" i="5"/>
  <c r="C1384" i="5"/>
  <c r="C1385" i="5"/>
  <c r="C1386" i="5"/>
  <c r="C1387" i="5"/>
  <c r="C1388" i="5"/>
  <c r="C1389" i="5"/>
  <c r="C1390" i="5"/>
  <c r="C1391" i="5"/>
  <c r="C1392" i="5"/>
  <c r="C1393" i="5"/>
  <c r="C1394" i="5"/>
  <c r="C1395" i="5"/>
  <c r="C1396" i="5"/>
  <c r="C1397" i="5"/>
  <c r="C1398" i="5"/>
  <c r="C1399" i="5"/>
  <c r="C1400" i="5"/>
  <c r="C1401" i="5"/>
  <c r="C1402" i="5"/>
  <c r="C1403" i="5"/>
  <c r="C1404" i="5"/>
  <c r="C1405" i="5"/>
  <c r="C1406" i="5"/>
  <c r="C1407" i="5"/>
  <c r="C1408" i="5"/>
  <c r="C1409" i="5"/>
  <c r="C1410" i="5"/>
  <c r="C1411" i="5"/>
  <c r="C1412" i="5"/>
  <c r="C1413" i="5"/>
  <c r="C1414" i="5"/>
  <c r="C1415" i="5"/>
  <c r="C1416" i="5"/>
  <c r="C1417" i="5"/>
  <c r="C1418" i="5"/>
  <c r="C1419" i="5"/>
  <c r="C1420" i="5"/>
  <c r="C1421" i="5"/>
  <c r="C1422" i="5"/>
  <c r="C1423" i="5"/>
  <c r="C1424" i="5"/>
  <c r="C1425" i="5"/>
  <c r="C1426" i="5"/>
  <c r="C1427" i="5"/>
  <c r="C1428" i="5"/>
  <c r="C1429" i="5"/>
  <c r="C1430" i="5"/>
  <c r="C1431" i="5"/>
  <c r="C1432" i="5"/>
  <c r="C1433" i="5"/>
  <c r="C1434" i="5"/>
  <c r="C1435" i="5"/>
  <c r="C1436" i="5"/>
  <c r="C1437" i="5"/>
  <c r="C1438" i="5"/>
  <c r="C1439" i="5"/>
  <c r="C1440" i="5"/>
  <c r="C1441" i="5"/>
  <c r="C1442" i="5"/>
  <c r="C1443" i="5"/>
  <c r="C1444" i="5"/>
  <c r="C1445" i="5"/>
  <c r="C1446" i="5"/>
  <c r="C1447" i="5"/>
  <c r="C1448" i="5"/>
  <c r="C1449" i="5"/>
  <c r="C1450" i="5"/>
  <c r="C1451" i="5"/>
  <c r="C1452" i="5"/>
  <c r="C1453" i="5"/>
  <c r="C1454" i="5"/>
  <c r="C1455" i="5"/>
  <c r="C1456" i="5"/>
  <c r="C1457" i="5"/>
  <c r="C1458" i="5"/>
  <c r="C1459" i="5"/>
  <c r="C1460" i="5"/>
  <c r="C1461" i="5"/>
  <c r="C1462" i="5"/>
  <c r="C1463" i="5"/>
  <c r="C1464" i="5"/>
  <c r="C1465" i="5"/>
  <c r="C1466" i="5"/>
  <c r="C1467" i="5"/>
  <c r="C1468" i="5"/>
  <c r="C1469" i="5"/>
  <c r="C1470" i="5"/>
  <c r="C1471" i="5"/>
  <c r="C1472" i="5"/>
  <c r="C1473" i="5"/>
  <c r="C1474" i="5"/>
  <c r="C1475" i="5"/>
  <c r="C1476" i="5"/>
  <c r="C1477" i="5"/>
  <c r="C1478" i="5"/>
  <c r="C1479" i="5"/>
  <c r="C1480" i="5"/>
  <c r="C1481" i="5"/>
  <c r="C1482" i="5"/>
  <c r="C1483" i="5"/>
  <c r="C1484" i="5"/>
  <c r="C1485" i="5"/>
  <c r="C1486" i="5"/>
  <c r="C1487" i="5"/>
  <c r="C1488" i="5"/>
  <c r="C1489" i="5"/>
  <c r="C1490" i="5"/>
  <c r="C1491" i="5"/>
  <c r="C1492" i="5"/>
  <c r="C1493" i="5"/>
  <c r="C1494" i="5"/>
  <c r="C1495" i="5"/>
  <c r="C1496" i="5"/>
  <c r="C1497" i="5"/>
  <c r="C1498" i="5"/>
  <c r="C1499" i="5"/>
  <c r="C1500" i="5"/>
  <c r="C1501" i="5"/>
  <c r="C1502" i="5"/>
  <c r="C1503" i="5"/>
  <c r="C1504" i="5"/>
  <c r="C1505" i="5"/>
  <c r="C1506" i="5"/>
  <c r="C1507" i="5"/>
  <c r="C1508" i="5"/>
  <c r="C1509" i="5"/>
  <c r="C1510" i="5"/>
  <c r="C1511" i="5"/>
  <c r="C1512" i="5"/>
  <c r="C1513" i="5"/>
  <c r="C1514" i="5"/>
  <c r="C1515" i="5"/>
  <c r="C1516" i="5"/>
  <c r="C1517" i="5"/>
  <c r="C1518" i="5"/>
  <c r="C1519" i="5"/>
  <c r="C1520" i="5"/>
  <c r="C1521" i="5"/>
  <c r="C1522" i="5"/>
  <c r="C1523" i="5"/>
  <c r="C1524" i="5"/>
  <c r="C1525" i="5"/>
  <c r="C1526" i="5"/>
  <c r="C1527" i="5"/>
  <c r="C1528" i="5"/>
  <c r="C1529" i="5"/>
  <c r="C1530" i="5"/>
  <c r="C1531" i="5"/>
  <c r="C1532" i="5"/>
  <c r="C1533" i="5"/>
  <c r="C1534" i="5"/>
  <c r="C1535" i="5"/>
  <c r="C1536" i="5"/>
  <c r="C1537" i="5"/>
  <c r="C1538" i="5"/>
  <c r="C1539" i="5"/>
  <c r="C1540" i="5"/>
  <c r="C1541" i="5"/>
  <c r="C1542" i="5"/>
  <c r="C1543" i="5"/>
  <c r="C1544" i="5"/>
  <c r="C1545" i="5"/>
  <c r="C1546" i="5"/>
  <c r="C1547" i="5"/>
  <c r="C1548" i="5"/>
  <c r="C1549" i="5"/>
  <c r="C1550" i="5"/>
  <c r="C1551" i="5"/>
  <c r="C1552" i="5"/>
  <c r="C1553" i="5"/>
  <c r="C1554" i="5"/>
  <c r="C1555" i="5"/>
  <c r="C1556" i="5"/>
  <c r="C1557" i="5"/>
  <c r="C1558" i="5"/>
  <c r="C1559" i="5"/>
  <c r="C1560" i="5"/>
  <c r="C1561" i="5"/>
  <c r="C1562" i="5"/>
  <c r="C1563" i="5"/>
  <c r="C1564" i="5"/>
  <c r="C1565" i="5"/>
  <c r="C1566" i="5"/>
  <c r="C1567" i="5"/>
  <c r="C1568" i="5"/>
  <c r="C1569" i="5"/>
  <c r="C1570" i="5"/>
  <c r="C1571" i="5"/>
  <c r="C1572" i="5"/>
  <c r="C1573" i="5"/>
  <c r="C1574" i="5"/>
  <c r="C1575" i="5"/>
  <c r="C1576" i="5"/>
  <c r="C1577" i="5"/>
  <c r="C1578" i="5"/>
  <c r="C1579" i="5"/>
  <c r="C1580" i="5"/>
  <c r="C1581" i="5"/>
  <c r="C1582" i="5"/>
  <c r="C1583" i="5"/>
  <c r="C1584" i="5"/>
  <c r="C1585" i="5"/>
  <c r="C1586" i="5"/>
  <c r="C1587" i="5"/>
  <c r="C1588" i="5"/>
  <c r="C1589" i="5"/>
  <c r="C1590" i="5"/>
  <c r="C1591" i="5"/>
  <c r="C1592" i="5"/>
  <c r="C1593" i="5"/>
  <c r="C1594" i="5"/>
  <c r="C1595" i="5"/>
  <c r="C1596" i="5"/>
  <c r="C1597" i="5"/>
  <c r="C1598" i="5"/>
  <c r="C1599" i="5"/>
  <c r="C1600" i="5"/>
  <c r="C1601" i="5"/>
  <c r="C1602" i="5"/>
  <c r="C1603" i="5"/>
  <c r="C1604" i="5"/>
  <c r="C1605" i="5"/>
  <c r="C1606" i="5"/>
  <c r="C1607" i="5"/>
  <c r="C1608" i="5"/>
  <c r="C1609" i="5"/>
  <c r="C1610" i="5"/>
  <c r="C1611" i="5"/>
  <c r="C1612" i="5"/>
  <c r="C1613" i="5"/>
  <c r="C1614" i="5"/>
  <c r="C1615" i="5"/>
  <c r="C1616" i="5"/>
  <c r="C1617" i="5"/>
  <c r="C1618" i="5"/>
  <c r="C1619" i="5"/>
  <c r="C1620" i="5"/>
  <c r="C1621" i="5"/>
  <c r="C1622" i="5"/>
  <c r="C1623" i="5"/>
  <c r="C1624" i="5"/>
  <c r="C1625" i="5"/>
  <c r="C1626" i="5"/>
  <c r="C1627" i="5"/>
  <c r="C1628" i="5"/>
  <c r="C1629" i="5"/>
  <c r="C1630" i="5"/>
  <c r="C1631" i="5"/>
  <c r="C1632" i="5"/>
  <c r="C1633" i="5"/>
  <c r="C1634" i="5"/>
  <c r="C1635" i="5"/>
  <c r="C1636" i="5"/>
  <c r="C1637" i="5"/>
  <c r="C1638" i="5"/>
  <c r="C1639" i="5"/>
  <c r="C1640" i="5"/>
  <c r="C1641" i="5"/>
  <c r="C1642" i="5"/>
  <c r="C1643" i="5"/>
  <c r="C1644" i="5"/>
  <c r="C1645" i="5"/>
  <c r="C1646" i="5"/>
  <c r="C1647" i="5"/>
  <c r="C1648" i="5"/>
  <c r="C1649" i="5"/>
  <c r="C1650" i="5"/>
  <c r="C1651" i="5"/>
  <c r="C1652" i="5"/>
  <c r="C1653" i="5"/>
  <c r="C1654" i="5"/>
  <c r="C1655" i="5"/>
  <c r="C1656" i="5"/>
  <c r="C1657" i="5"/>
  <c r="C1658" i="5"/>
  <c r="C1659" i="5"/>
  <c r="C1660" i="5"/>
  <c r="C1661" i="5"/>
  <c r="C1662" i="5"/>
  <c r="C1663" i="5"/>
  <c r="C1664" i="5"/>
  <c r="C1665" i="5"/>
  <c r="C1666" i="5"/>
  <c r="C1667" i="5"/>
  <c r="C1668" i="5"/>
  <c r="C1669" i="5"/>
  <c r="C1670" i="5"/>
  <c r="C1671" i="5"/>
  <c r="C1672" i="5"/>
  <c r="C1673" i="5"/>
  <c r="C1674" i="5"/>
  <c r="C1675" i="5"/>
  <c r="C1676" i="5"/>
  <c r="C1677" i="5"/>
  <c r="C1678" i="5"/>
  <c r="C1679" i="5"/>
  <c r="C1680" i="5"/>
  <c r="C1681" i="5"/>
  <c r="C1682" i="5"/>
  <c r="C1683" i="5"/>
  <c r="C1684" i="5"/>
  <c r="C1685" i="5"/>
  <c r="C1686" i="5"/>
  <c r="C1687" i="5"/>
  <c r="C1688" i="5"/>
  <c r="C1689" i="5"/>
  <c r="C1690" i="5"/>
  <c r="C1691" i="5"/>
  <c r="C1692" i="5"/>
  <c r="C1693" i="5"/>
  <c r="C1694" i="5"/>
  <c r="C1695" i="5"/>
  <c r="C1696" i="5"/>
  <c r="C1697" i="5"/>
  <c r="C1698" i="5"/>
  <c r="C1699" i="5"/>
  <c r="C1700" i="5"/>
  <c r="C1701" i="5"/>
  <c r="C1702" i="5"/>
  <c r="C1703" i="5"/>
  <c r="C1704" i="5"/>
  <c r="C1705" i="5"/>
  <c r="C1706" i="5"/>
  <c r="C1707" i="5"/>
  <c r="C1708" i="5"/>
  <c r="C1709" i="5"/>
  <c r="C1710" i="5"/>
  <c r="C1711" i="5"/>
  <c r="C1712" i="5"/>
  <c r="C1713" i="5"/>
  <c r="C1714" i="5"/>
  <c r="C1715" i="5"/>
  <c r="C1716" i="5"/>
  <c r="C1717" i="5"/>
  <c r="C1718" i="5"/>
  <c r="C1719" i="5"/>
  <c r="C1720" i="5"/>
  <c r="C1721" i="5"/>
  <c r="C1722" i="5"/>
  <c r="C1723" i="5"/>
  <c r="C1724" i="5"/>
  <c r="C1725" i="5"/>
  <c r="C1726" i="5"/>
  <c r="C1727" i="5"/>
  <c r="C1728" i="5"/>
  <c r="C1729" i="5"/>
  <c r="C1730" i="5"/>
  <c r="C1731" i="5"/>
  <c r="C1732" i="5"/>
  <c r="C1733" i="5"/>
  <c r="C1734" i="5"/>
  <c r="C1735" i="5"/>
  <c r="C1736" i="5"/>
  <c r="C1737" i="5"/>
  <c r="C1738" i="5"/>
  <c r="C1739" i="5"/>
  <c r="C1740" i="5"/>
  <c r="C1741" i="5"/>
  <c r="C1742" i="5"/>
  <c r="C1743" i="5"/>
  <c r="C1744" i="5"/>
  <c r="C1745" i="5"/>
  <c r="C1746" i="5"/>
  <c r="C1747" i="5"/>
  <c r="C1748" i="5"/>
  <c r="C1749" i="5"/>
  <c r="C1750" i="5"/>
  <c r="C1751" i="5"/>
  <c r="C1752" i="5"/>
  <c r="C1753" i="5"/>
  <c r="C1754" i="5"/>
  <c r="C1755" i="5"/>
  <c r="C1756" i="5"/>
  <c r="C1757" i="5"/>
  <c r="C1758" i="5"/>
  <c r="C1759" i="5"/>
  <c r="C1760" i="5"/>
  <c r="C1761" i="5"/>
  <c r="C1762" i="5"/>
  <c r="C1763" i="5"/>
  <c r="C1764" i="5"/>
  <c r="C1765" i="5"/>
  <c r="C1766" i="5"/>
  <c r="C1767" i="5"/>
  <c r="C1768" i="5"/>
  <c r="C1769" i="5"/>
  <c r="C1770" i="5"/>
  <c r="C1771" i="5"/>
  <c r="C1772" i="5"/>
  <c r="C3" i="6"/>
  <c r="C4" i="6"/>
  <c r="C5" i="6"/>
  <c r="C6" i="6"/>
  <c r="C7" i="6"/>
  <c r="C8" i="6"/>
  <c r="C9" i="6"/>
  <c r="C10" i="6"/>
  <c r="C11" i="6"/>
  <c r="C12" i="6"/>
  <c r="C13" i="6"/>
  <c r="C14" i="6"/>
  <c r="C15" i="6"/>
  <c r="C16" i="6"/>
  <c r="C17" i="6"/>
  <c r="C18" i="6"/>
  <c r="C19" i="6"/>
  <c r="C20" i="6"/>
  <c r="C21" i="6"/>
  <c r="C22" i="6"/>
  <c r="C23" i="6"/>
  <c r="C24" i="6"/>
  <c r="C25" i="6"/>
  <c r="C26" i="6"/>
  <c r="C27" i="6"/>
  <c r="C28" i="6"/>
  <c r="C29" i="6"/>
  <c r="C30" i="6"/>
  <c r="C31" i="6"/>
  <c r="C32" i="6"/>
  <c r="C33" i="6"/>
  <c r="C34" i="6"/>
  <c r="C35" i="6"/>
  <c r="C36" i="6"/>
  <c r="C37" i="6"/>
  <c r="C38" i="6"/>
  <c r="C39" i="6"/>
  <c r="C40" i="6"/>
  <c r="C41" i="6"/>
  <c r="C42" i="6"/>
  <c r="C43" i="6"/>
  <c r="C44" i="6"/>
  <c r="C45" i="6"/>
  <c r="C46" i="6"/>
  <c r="C47" i="6"/>
  <c r="C48" i="6"/>
  <c r="C49" i="6"/>
  <c r="C50" i="6"/>
  <c r="C51" i="6"/>
  <c r="C52" i="6"/>
  <c r="C53" i="6"/>
  <c r="C54" i="6"/>
  <c r="C55" i="6"/>
  <c r="C56" i="6"/>
  <c r="C57" i="6"/>
  <c r="C58" i="6"/>
  <c r="C59" i="6"/>
  <c r="C60" i="6"/>
  <c r="C61" i="6"/>
  <c r="C62" i="6"/>
  <c r="C63" i="6"/>
  <c r="C64" i="6"/>
  <c r="C65" i="6"/>
  <c r="C66" i="6"/>
  <c r="C67" i="6"/>
  <c r="C68" i="6"/>
  <c r="C69" i="6"/>
  <c r="C70" i="6"/>
  <c r="C71" i="6"/>
  <c r="C72" i="6"/>
  <c r="C73" i="6"/>
  <c r="C74" i="6"/>
  <c r="C75" i="6"/>
  <c r="C76" i="6"/>
  <c r="C77" i="6"/>
  <c r="C78" i="6"/>
  <c r="C79" i="6"/>
  <c r="C80" i="6"/>
  <c r="C81" i="6"/>
  <c r="C82" i="6"/>
  <c r="C83" i="6"/>
  <c r="C84" i="6"/>
  <c r="C85" i="6"/>
  <c r="C86" i="6"/>
  <c r="C87" i="6"/>
  <c r="C88" i="6"/>
  <c r="C89" i="6"/>
  <c r="C90" i="6"/>
  <c r="C91" i="6"/>
  <c r="C92" i="6"/>
  <c r="C93" i="6"/>
  <c r="C94" i="6"/>
  <c r="C95" i="6"/>
  <c r="C96" i="6"/>
  <c r="C97" i="6"/>
  <c r="C98" i="6"/>
  <c r="C99" i="6"/>
  <c r="C100" i="6"/>
  <c r="C101" i="6"/>
  <c r="C102" i="6"/>
  <c r="C103" i="6"/>
  <c r="C104" i="6"/>
  <c r="C105" i="6"/>
  <c r="C106" i="6"/>
  <c r="C107" i="6"/>
  <c r="C108" i="6"/>
  <c r="C109" i="6"/>
  <c r="C110" i="6"/>
  <c r="C111" i="6"/>
  <c r="C112" i="6"/>
  <c r="C113" i="6"/>
  <c r="C114" i="6"/>
  <c r="C115" i="6"/>
  <c r="C116" i="6"/>
  <c r="C117" i="6"/>
  <c r="C118" i="6"/>
  <c r="C119" i="6"/>
  <c r="C120" i="6"/>
  <c r="C121" i="6"/>
  <c r="C122" i="6"/>
  <c r="C123" i="6"/>
  <c r="C124" i="6"/>
  <c r="C125" i="6"/>
  <c r="C126" i="6"/>
  <c r="C127" i="6"/>
  <c r="C128" i="6"/>
  <c r="C129" i="6"/>
  <c r="C130" i="6"/>
  <c r="C131" i="6"/>
  <c r="C132" i="6"/>
  <c r="C133" i="6"/>
  <c r="C134" i="6"/>
  <c r="C135" i="6"/>
  <c r="C136" i="6"/>
  <c r="C137" i="6"/>
  <c r="C138" i="6"/>
  <c r="C139" i="6"/>
  <c r="C140" i="6"/>
  <c r="C141" i="6"/>
  <c r="C142" i="6"/>
  <c r="C143" i="6"/>
  <c r="C144" i="6"/>
  <c r="C145" i="6"/>
  <c r="C146" i="6"/>
  <c r="C147" i="6"/>
  <c r="C148" i="6"/>
  <c r="C149" i="6"/>
  <c r="C150" i="6"/>
  <c r="C151" i="6"/>
  <c r="C152" i="6"/>
  <c r="C153" i="6"/>
  <c r="C154" i="6"/>
  <c r="C155" i="6"/>
  <c r="C156" i="6"/>
  <c r="C157" i="6"/>
  <c r="C158" i="6"/>
  <c r="C159" i="6"/>
  <c r="C160" i="6"/>
  <c r="C161" i="6"/>
  <c r="C162" i="6"/>
  <c r="C163" i="6"/>
  <c r="C164" i="6"/>
  <c r="C165" i="6"/>
  <c r="C166" i="6"/>
  <c r="C167" i="6"/>
  <c r="C168" i="6"/>
  <c r="C169" i="6"/>
  <c r="C170" i="6"/>
  <c r="C171" i="6"/>
  <c r="C172" i="6"/>
  <c r="C173" i="6"/>
  <c r="C174" i="6"/>
  <c r="C175" i="6"/>
  <c r="C176" i="6"/>
  <c r="C177" i="6"/>
  <c r="C178" i="6"/>
  <c r="C179" i="6"/>
  <c r="C180" i="6"/>
  <c r="C181" i="6"/>
  <c r="C182" i="6"/>
  <c r="C183" i="6"/>
  <c r="C184" i="6"/>
  <c r="C185" i="6"/>
  <c r="C186" i="6"/>
  <c r="C187" i="6"/>
  <c r="C188" i="6"/>
  <c r="C189" i="6"/>
  <c r="C190" i="6"/>
  <c r="C191" i="6"/>
  <c r="C192" i="6"/>
  <c r="C193" i="6"/>
  <c r="C194" i="6"/>
  <c r="C195" i="6"/>
  <c r="C196" i="6"/>
  <c r="C197" i="6"/>
  <c r="C198" i="6"/>
  <c r="C199" i="6"/>
  <c r="C200" i="6"/>
  <c r="C201" i="6"/>
  <c r="C202" i="6"/>
  <c r="C203" i="6"/>
  <c r="C204" i="6"/>
  <c r="C205" i="6"/>
  <c r="C206" i="6"/>
  <c r="C207" i="6"/>
  <c r="C208" i="6"/>
  <c r="C209" i="6"/>
  <c r="C210" i="6"/>
  <c r="C211" i="6"/>
  <c r="C212" i="6"/>
  <c r="C213" i="6"/>
  <c r="C214" i="6"/>
  <c r="C215" i="6"/>
  <c r="C216" i="6"/>
  <c r="C217" i="6"/>
  <c r="C218" i="6"/>
  <c r="C219" i="6"/>
  <c r="C220" i="6"/>
  <c r="C221" i="6"/>
  <c r="C222" i="6"/>
  <c r="C223" i="6"/>
  <c r="C224" i="6"/>
  <c r="C225" i="6"/>
  <c r="C226" i="6"/>
  <c r="C227" i="6"/>
  <c r="C228" i="6"/>
  <c r="C229" i="6"/>
  <c r="C230" i="6"/>
  <c r="C231" i="6"/>
  <c r="C232" i="6"/>
  <c r="C233" i="6"/>
  <c r="C234" i="6"/>
  <c r="C235" i="6"/>
  <c r="C236" i="6"/>
  <c r="C237" i="6"/>
  <c r="C238" i="6"/>
  <c r="C239" i="6"/>
  <c r="C240" i="6"/>
  <c r="C241" i="6"/>
  <c r="C242" i="6"/>
  <c r="C243" i="6"/>
  <c r="C244" i="6"/>
  <c r="C245" i="6"/>
  <c r="C246" i="6"/>
  <c r="C247" i="6"/>
  <c r="C248" i="6"/>
  <c r="C249" i="6"/>
  <c r="C250" i="6"/>
  <c r="C251" i="6"/>
  <c r="C252" i="6"/>
  <c r="C253" i="6"/>
  <c r="C254" i="6"/>
  <c r="C255" i="6"/>
  <c r="C256" i="6"/>
  <c r="C257" i="6"/>
  <c r="C258" i="6"/>
  <c r="C259" i="6"/>
  <c r="C260" i="6"/>
  <c r="C261" i="6"/>
  <c r="C262" i="6"/>
  <c r="C263" i="6"/>
  <c r="C264" i="6"/>
  <c r="C265" i="6"/>
  <c r="C266" i="6"/>
  <c r="C267" i="6"/>
  <c r="C268" i="6"/>
  <c r="C269" i="6"/>
  <c r="C270" i="6"/>
  <c r="C271" i="6"/>
  <c r="C272" i="6"/>
  <c r="C273" i="6"/>
  <c r="C274" i="6"/>
  <c r="C275" i="6"/>
  <c r="C276" i="6"/>
  <c r="C277" i="6"/>
  <c r="C278" i="6"/>
  <c r="C279" i="6"/>
  <c r="C280" i="6"/>
  <c r="C281" i="6"/>
  <c r="C282" i="6"/>
  <c r="C283" i="6"/>
  <c r="C284" i="6"/>
  <c r="C285" i="6"/>
  <c r="C286" i="6"/>
  <c r="C287" i="6"/>
  <c r="C288" i="6"/>
  <c r="C289" i="6"/>
  <c r="C290" i="6"/>
  <c r="C291" i="6"/>
  <c r="C292" i="6"/>
  <c r="C293" i="6"/>
  <c r="C294" i="6"/>
  <c r="C295" i="6"/>
  <c r="C296" i="6"/>
  <c r="C297" i="6"/>
  <c r="C298" i="6"/>
  <c r="C299" i="6"/>
  <c r="C300" i="6"/>
  <c r="C301" i="6"/>
  <c r="C302" i="6"/>
  <c r="C303" i="6"/>
  <c r="C304" i="6"/>
  <c r="C305" i="6"/>
  <c r="C306" i="6"/>
  <c r="C307" i="6"/>
  <c r="C308" i="6"/>
  <c r="C309" i="6"/>
  <c r="C310" i="6"/>
  <c r="C311" i="6"/>
  <c r="C312" i="6"/>
  <c r="C313" i="6"/>
  <c r="C314" i="6"/>
  <c r="C315" i="6"/>
  <c r="C316" i="6"/>
  <c r="C317" i="6"/>
  <c r="C318" i="6"/>
  <c r="C319" i="6"/>
  <c r="C320" i="6"/>
  <c r="C321" i="6"/>
  <c r="C322" i="6"/>
  <c r="C323" i="6"/>
  <c r="C324" i="6"/>
  <c r="C325" i="6"/>
  <c r="C326" i="6"/>
  <c r="C327" i="6"/>
  <c r="C328" i="6"/>
  <c r="C329" i="6"/>
  <c r="C330" i="6"/>
  <c r="C331" i="6"/>
  <c r="C332" i="6"/>
  <c r="C333" i="6"/>
  <c r="C334" i="6"/>
  <c r="C335" i="6"/>
  <c r="C336" i="6"/>
  <c r="C337" i="6"/>
  <c r="C338" i="6"/>
  <c r="C339" i="6"/>
  <c r="C340" i="6"/>
  <c r="C341" i="6"/>
  <c r="C342" i="6"/>
  <c r="C343" i="6"/>
  <c r="C344" i="6"/>
  <c r="C345" i="6"/>
  <c r="C346" i="6"/>
  <c r="C347" i="6"/>
  <c r="C348" i="6"/>
  <c r="C349" i="6"/>
  <c r="C350" i="6"/>
  <c r="C351" i="6"/>
  <c r="C352" i="6"/>
  <c r="C353" i="6"/>
  <c r="C354" i="6"/>
  <c r="C355" i="6"/>
  <c r="C356" i="6"/>
  <c r="C357" i="6"/>
  <c r="C358" i="6"/>
  <c r="C359" i="6"/>
  <c r="C360" i="6"/>
  <c r="C361" i="6"/>
  <c r="C362" i="6"/>
  <c r="C363" i="6"/>
  <c r="C364" i="6"/>
  <c r="C365" i="6"/>
  <c r="C366" i="6"/>
  <c r="C367" i="6"/>
  <c r="C368" i="6"/>
  <c r="C369" i="6"/>
  <c r="C370" i="6"/>
  <c r="C371" i="6"/>
  <c r="C372" i="6"/>
  <c r="C373" i="6"/>
  <c r="C374" i="6"/>
  <c r="C375" i="6"/>
  <c r="C376" i="6"/>
  <c r="C377" i="6"/>
  <c r="C378" i="6"/>
  <c r="C379" i="6"/>
  <c r="C380" i="6"/>
  <c r="C381" i="6"/>
  <c r="C382" i="6"/>
  <c r="C383" i="6"/>
  <c r="C384" i="6"/>
  <c r="C385" i="6"/>
  <c r="C386" i="6"/>
  <c r="C387" i="6"/>
  <c r="C388" i="6"/>
  <c r="C389" i="6"/>
  <c r="C390" i="6"/>
  <c r="C391" i="6"/>
  <c r="C392" i="6"/>
  <c r="C393" i="6"/>
  <c r="C394" i="6"/>
  <c r="C395" i="6"/>
  <c r="C396" i="6"/>
  <c r="C397" i="6"/>
  <c r="C398" i="6"/>
  <c r="C399" i="6"/>
  <c r="C400" i="6"/>
  <c r="C401" i="6"/>
  <c r="C402" i="6"/>
  <c r="C403" i="6"/>
  <c r="C404" i="6"/>
  <c r="C405" i="6"/>
  <c r="C406" i="6"/>
  <c r="C407" i="6"/>
  <c r="C408" i="6"/>
  <c r="C409" i="6"/>
  <c r="C410" i="6"/>
  <c r="C411" i="6"/>
  <c r="C412" i="6"/>
  <c r="C413" i="6"/>
  <c r="C414" i="6"/>
  <c r="C415" i="6"/>
  <c r="C416" i="6"/>
  <c r="C417" i="6"/>
  <c r="C418" i="6"/>
  <c r="C419" i="6"/>
  <c r="C420" i="6"/>
  <c r="C421" i="6"/>
  <c r="C422" i="6"/>
  <c r="C423" i="6"/>
  <c r="C424" i="6"/>
  <c r="C425" i="6"/>
  <c r="C426" i="6"/>
  <c r="C427" i="6"/>
  <c r="C428" i="6"/>
  <c r="C429" i="6"/>
  <c r="C430" i="6"/>
  <c r="C431" i="6"/>
  <c r="C432" i="6"/>
  <c r="C433" i="6"/>
  <c r="C434" i="6"/>
  <c r="C435" i="6"/>
  <c r="C436" i="6"/>
  <c r="C437" i="6"/>
  <c r="C438" i="6"/>
  <c r="C439" i="6"/>
  <c r="C440" i="6"/>
  <c r="C441" i="6"/>
  <c r="C442" i="6"/>
  <c r="C443" i="6"/>
  <c r="C444" i="6"/>
  <c r="C445" i="6"/>
  <c r="C446" i="6"/>
  <c r="C447" i="6"/>
  <c r="C448" i="6"/>
  <c r="C449" i="6"/>
  <c r="C450" i="6"/>
  <c r="C451" i="6"/>
  <c r="C452" i="6"/>
  <c r="C453" i="6"/>
  <c r="C454" i="6"/>
  <c r="C455" i="6"/>
  <c r="C456" i="6"/>
  <c r="C457" i="6"/>
  <c r="C458" i="6"/>
  <c r="C459" i="6"/>
  <c r="C460" i="6"/>
  <c r="C461" i="6"/>
  <c r="C462" i="6"/>
  <c r="C463" i="6"/>
  <c r="C464" i="6"/>
  <c r="C465" i="6"/>
  <c r="C466" i="6"/>
  <c r="C467" i="6"/>
  <c r="C468" i="6"/>
  <c r="C469" i="6"/>
  <c r="C470" i="6"/>
  <c r="C471" i="6"/>
  <c r="C472" i="6"/>
  <c r="C473" i="6"/>
  <c r="C474" i="6"/>
  <c r="C475" i="6"/>
  <c r="C476" i="6"/>
  <c r="C477" i="6"/>
  <c r="C478" i="6"/>
  <c r="C479" i="6"/>
  <c r="C480" i="6"/>
  <c r="C481" i="6"/>
  <c r="C482" i="6"/>
  <c r="C483" i="6"/>
  <c r="C484" i="6"/>
  <c r="C485" i="6"/>
  <c r="C486" i="6"/>
  <c r="C487" i="6"/>
  <c r="C488" i="6"/>
  <c r="C489" i="6"/>
  <c r="C490" i="6"/>
  <c r="C491" i="6"/>
  <c r="C492" i="6"/>
  <c r="C493" i="6"/>
  <c r="C494" i="6"/>
  <c r="C495" i="6"/>
  <c r="C496" i="6"/>
  <c r="C497" i="6"/>
  <c r="C498" i="6"/>
  <c r="C499" i="6"/>
  <c r="C500" i="6"/>
  <c r="C501" i="6"/>
  <c r="C502" i="6"/>
  <c r="C503" i="6"/>
  <c r="C504" i="6"/>
  <c r="C505" i="6"/>
  <c r="C506" i="6"/>
  <c r="C507" i="6"/>
  <c r="C508" i="6"/>
  <c r="C509" i="6"/>
  <c r="C510" i="6"/>
  <c r="C511" i="6"/>
  <c r="C512" i="6"/>
  <c r="C513" i="6"/>
  <c r="C514" i="6"/>
  <c r="C515" i="6"/>
  <c r="C516" i="6"/>
  <c r="C517" i="6"/>
  <c r="C518" i="6"/>
  <c r="C519" i="6"/>
  <c r="C520" i="6"/>
  <c r="C521" i="6"/>
  <c r="C522" i="6"/>
  <c r="C523" i="6"/>
  <c r="C524" i="6"/>
  <c r="C525" i="6"/>
  <c r="C526" i="6"/>
  <c r="C527" i="6"/>
  <c r="C528" i="6"/>
  <c r="C529" i="6"/>
  <c r="C530" i="6"/>
  <c r="C531" i="6"/>
  <c r="C532" i="6"/>
  <c r="C533" i="6"/>
  <c r="C534" i="6"/>
  <c r="C535" i="6"/>
  <c r="C536" i="6"/>
  <c r="C537" i="6"/>
  <c r="C538" i="6"/>
  <c r="C539" i="6"/>
  <c r="C540" i="6"/>
  <c r="C541" i="6"/>
  <c r="C542" i="6"/>
  <c r="C543" i="6"/>
  <c r="C544" i="6"/>
  <c r="C545" i="6"/>
  <c r="C546" i="6"/>
  <c r="C547" i="6"/>
  <c r="C548" i="6"/>
  <c r="C549" i="6"/>
  <c r="C550" i="6"/>
  <c r="C551" i="6"/>
  <c r="C552" i="6"/>
  <c r="C553" i="6"/>
  <c r="C554" i="6"/>
  <c r="C555" i="6"/>
  <c r="C556" i="6"/>
  <c r="C557" i="6"/>
  <c r="C558" i="6"/>
  <c r="C559" i="6"/>
  <c r="C560" i="6"/>
  <c r="C561" i="6"/>
  <c r="C562" i="6"/>
  <c r="C563" i="6"/>
  <c r="C564" i="6"/>
  <c r="C565" i="6"/>
  <c r="C566" i="6"/>
  <c r="C567" i="6"/>
  <c r="C568" i="6"/>
  <c r="C569" i="6"/>
  <c r="C570" i="6"/>
  <c r="C571" i="6"/>
  <c r="C572" i="6"/>
  <c r="C573" i="6"/>
  <c r="C574" i="6"/>
  <c r="C575" i="6"/>
  <c r="C576" i="6"/>
  <c r="C577" i="6"/>
  <c r="C578" i="6"/>
  <c r="C579" i="6"/>
  <c r="C580" i="6"/>
  <c r="C581" i="6"/>
  <c r="C582" i="6"/>
  <c r="C583" i="6"/>
  <c r="C584" i="6"/>
  <c r="C585" i="6"/>
  <c r="C586" i="6"/>
  <c r="C587" i="6"/>
  <c r="C588" i="6"/>
  <c r="C589" i="6"/>
  <c r="C590" i="6"/>
  <c r="C591" i="6"/>
  <c r="C592" i="6"/>
  <c r="C593" i="6"/>
  <c r="C594" i="6"/>
  <c r="C595" i="6"/>
  <c r="C596" i="6"/>
  <c r="C597" i="6"/>
  <c r="C598" i="6"/>
  <c r="C599" i="6"/>
  <c r="C600" i="6"/>
  <c r="C601" i="6"/>
  <c r="C602" i="6"/>
  <c r="C603" i="6"/>
  <c r="C604" i="6"/>
  <c r="C605" i="6"/>
  <c r="C606" i="6"/>
  <c r="C607" i="6"/>
  <c r="C608" i="6"/>
  <c r="C609" i="6"/>
  <c r="C610" i="6"/>
  <c r="C611" i="6"/>
  <c r="C612" i="6"/>
  <c r="C613" i="6"/>
  <c r="C614" i="6"/>
  <c r="C615" i="6"/>
  <c r="C616" i="6"/>
  <c r="C617" i="6"/>
  <c r="C618" i="6"/>
  <c r="C619" i="6"/>
  <c r="C620" i="6"/>
  <c r="C621" i="6"/>
  <c r="C622" i="6"/>
  <c r="C623" i="6"/>
  <c r="C624" i="6"/>
  <c r="C625" i="6"/>
  <c r="C626" i="6"/>
  <c r="C627" i="6"/>
  <c r="C628" i="6"/>
  <c r="C629" i="6"/>
  <c r="C630" i="6"/>
  <c r="C631" i="6"/>
  <c r="C632" i="6"/>
  <c r="C633" i="6"/>
  <c r="C634" i="6"/>
  <c r="C635" i="6"/>
  <c r="C636" i="6"/>
  <c r="C637" i="6"/>
  <c r="C638" i="6"/>
  <c r="C639" i="6"/>
  <c r="C640" i="6"/>
  <c r="C641" i="6"/>
  <c r="C642" i="6"/>
  <c r="C643" i="6"/>
  <c r="C644" i="6"/>
  <c r="C645" i="6"/>
  <c r="C646" i="6"/>
  <c r="C647" i="6"/>
  <c r="C648" i="6"/>
  <c r="C649" i="6"/>
  <c r="C650" i="6"/>
  <c r="C651" i="6"/>
  <c r="C652" i="6"/>
  <c r="C653" i="6"/>
  <c r="C654" i="6"/>
  <c r="C655" i="6"/>
  <c r="C656" i="6"/>
  <c r="C657" i="6"/>
  <c r="C658" i="6"/>
  <c r="C659" i="6"/>
  <c r="C660" i="6"/>
  <c r="C661" i="6"/>
  <c r="C662" i="6"/>
  <c r="C663" i="6"/>
  <c r="C664" i="6"/>
  <c r="C665" i="6"/>
  <c r="C666" i="6"/>
  <c r="C667" i="6"/>
  <c r="C668" i="6"/>
  <c r="C669" i="6"/>
  <c r="C670" i="6"/>
  <c r="C671" i="6"/>
  <c r="C672" i="6"/>
  <c r="C673" i="6"/>
  <c r="C674" i="6"/>
  <c r="C675" i="6"/>
  <c r="C676" i="6"/>
  <c r="C677" i="6"/>
  <c r="C678" i="6"/>
  <c r="C679" i="6"/>
  <c r="C680" i="6"/>
  <c r="C681" i="6"/>
  <c r="C682" i="6"/>
  <c r="C683" i="6"/>
  <c r="C684" i="6"/>
  <c r="C685" i="6"/>
  <c r="C686" i="6"/>
  <c r="C687" i="6"/>
  <c r="C688" i="6"/>
  <c r="C689" i="6"/>
  <c r="C690" i="6"/>
  <c r="C691" i="6"/>
  <c r="C692" i="6"/>
  <c r="C693" i="6"/>
  <c r="C694" i="6"/>
  <c r="C695" i="6"/>
  <c r="C696" i="6"/>
  <c r="C697" i="6"/>
  <c r="C698" i="6"/>
  <c r="C699" i="6"/>
  <c r="C700" i="6"/>
  <c r="C701" i="6"/>
  <c r="C702" i="6"/>
  <c r="C703" i="6"/>
  <c r="C704" i="6"/>
  <c r="C705" i="6"/>
  <c r="C706" i="6"/>
  <c r="C707" i="6"/>
  <c r="C708" i="6"/>
  <c r="C709" i="6"/>
  <c r="C710" i="6"/>
  <c r="C711" i="6"/>
  <c r="C712" i="6"/>
  <c r="C713" i="6"/>
  <c r="C714" i="6"/>
  <c r="C715" i="6"/>
  <c r="C716" i="6"/>
  <c r="C717" i="6"/>
  <c r="C718" i="6"/>
  <c r="C719" i="6"/>
  <c r="C720" i="6"/>
  <c r="C721" i="6"/>
  <c r="C722" i="6"/>
  <c r="C723" i="6"/>
  <c r="C724" i="6"/>
  <c r="C725" i="6"/>
  <c r="C726" i="6"/>
  <c r="C727" i="6"/>
  <c r="C728" i="6"/>
  <c r="C729" i="6"/>
  <c r="C730" i="6"/>
  <c r="C731" i="6"/>
  <c r="C732" i="6"/>
  <c r="C733" i="6"/>
  <c r="C734" i="6"/>
  <c r="C735" i="6"/>
  <c r="C736" i="6"/>
  <c r="C737" i="6"/>
  <c r="C738" i="6"/>
  <c r="C739" i="6"/>
  <c r="C740" i="6"/>
  <c r="C741" i="6"/>
  <c r="C742" i="6"/>
  <c r="C743" i="6"/>
  <c r="C744" i="6"/>
  <c r="C745" i="6"/>
  <c r="C746" i="6"/>
  <c r="C747" i="6"/>
  <c r="C748" i="6"/>
  <c r="C749" i="6"/>
  <c r="C750" i="6"/>
  <c r="C751" i="6"/>
  <c r="C752" i="6"/>
  <c r="C753" i="6"/>
  <c r="C754" i="6"/>
  <c r="C755" i="6"/>
  <c r="C756" i="6"/>
  <c r="C757" i="6"/>
  <c r="C758" i="6"/>
  <c r="C759" i="6"/>
  <c r="C760" i="6"/>
  <c r="C761" i="6"/>
  <c r="C762" i="6"/>
  <c r="C763" i="6"/>
  <c r="C764" i="6"/>
  <c r="C765" i="6"/>
  <c r="C766" i="6"/>
  <c r="C767" i="6"/>
  <c r="C768" i="6"/>
  <c r="C769" i="6"/>
  <c r="C770" i="6"/>
  <c r="C771" i="6"/>
  <c r="C772" i="6"/>
  <c r="C773" i="6"/>
  <c r="C774" i="6"/>
  <c r="C775" i="6"/>
  <c r="C776" i="6"/>
  <c r="C777" i="6"/>
  <c r="C778" i="6"/>
  <c r="C779" i="6"/>
  <c r="C780" i="6"/>
  <c r="C781" i="6"/>
  <c r="C782" i="6"/>
  <c r="C783" i="6"/>
  <c r="C784" i="6"/>
  <c r="C785" i="6"/>
  <c r="C786" i="6"/>
  <c r="C787" i="6"/>
  <c r="C788" i="6"/>
  <c r="C789" i="6"/>
  <c r="C790" i="6"/>
  <c r="C791" i="6"/>
  <c r="C792" i="6"/>
  <c r="C793" i="6"/>
  <c r="C794" i="6"/>
  <c r="C795" i="6"/>
  <c r="C796" i="6"/>
  <c r="C797" i="6"/>
  <c r="C798" i="6"/>
  <c r="C799" i="6"/>
  <c r="C800" i="6"/>
  <c r="C801" i="6"/>
  <c r="C802" i="6"/>
  <c r="C803" i="6"/>
  <c r="C804" i="6"/>
  <c r="C805" i="6"/>
  <c r="C806" i="6"/>
  <c r="C807" i="6"/>
  <c r="C808" i="6"/>
  <c r="C809" i="6"/>
  <c r="C810" i="6"/>
  <c r="C811" i="6"/>
  <c r="C812" i="6"/>
  <c r="C813" i="6"/>
  <c r="C814" i="6"/>
  <c r="C815" i="6"/>
  <c r="C816" i="6"/>
  <c r="C817" i="6"/>
  <c r="C818" i="6"/>
  <c r="C819" i="6"/>
  <c r="C820" i="6"/>
  <c r="C821" i="6"/>
  <c r="C822" i="6"/>
  <c r="C823" i="6"/>
  <c r="C824" i="6"/>
  <c r="C825" i="6"/>
  <c r="C826" i="6"/>
  <c r="C827" i="6"/>
  <c r="C828" i="6"/>
  <c r="C829" i="6"/>
  <c r="C830" i="6"/>
  <c r="C831" i="6"/>
  <c r="C832" i="6"/>
  <c r="C833" i="6"/>
  <c r="C834" i="6"/>
  <c r="C835" i="6"/>
  <c r="C836" i="6"/>
  <c r="C837" i="6"/>
  <c r="C838" i="6"/>
  <c r="C839" i="6"/>
  <c r="C840" i="6"/>
  <c r="C841" i="6"/>
  <c r="C842" i="6"/>
  <c r="C843" i="6"/>
  <c r="C844" i="6"/>
  <c r="C845" i="6"/>
  <c r="C846" i="6"/>
  <c r="C847" i="6"/>
  <c r="C848" i="6"/>
  <c r="C849" i="6"/>
  <c r="C850" i="6"/>
  <c r="C851" i="6"/>
  <c r="C852" i="6"/>
  <c r="C853" i="6"/>
  <c r="C854" i="6"/>
  <c r="C855" i="6"/>
  <c r="C856" i="6"/>
  <c r="C857" i="6"/>
  <c r="C858" i="6"/>
  <c r="C859" i="6"/>
  <c r="C860" i="6"/>
  <c r="C861" i="6"/>
  <c r="C862" i="6"/>
  <c r="C863" i="6"/>
  <c r="C864" i="6"/>
  <c r="C865" i="6"/>
  <c r="C866" i="6"/>
  <c r="C867" i="6"/>
  <c r="C868" i="6"/>
  <c r="C869" i="6"/>
  <c r="C870" i="6"/>
  <c r="C871" i="6"/>
  <c r="C872" i="6"/>
  <c r="C873" i="6"/>
  <c r="C874" i="6"/>
  <c r="C875" i="6"/>
  <c r="C876" i="6"/>
  <c r="C877" i="6"/>
  <c r="C878" i="6"/>
  <c r="C879" i="6"/>
  <c r="C880" i="6"/>
  <c r="C881" i="6"/>
  <c r="C882" i="6"/>
  <c r="C883" i="6"/>
  <c r="C884" i="6"/>
  <c r="C885" i="6"/>
  <c r="C886" i="6"/>
  <c r="C887" i="6"/>
  <c r="C888" i="6"/>
  <c r="C889" i="6"/>
  <c r="C890" i="6"/>
  <c r="C891" i="6"/>
  <c r="C892" i="6"/>
  <c r="C893" i="6"/>
  <c r="C894" i="6"/>
  <c r="C895" i="6"/>
  <c r="C896" i="6"/>
  <c r="C897" i="6"/>
  <c r="C898" i="6"/>
  <c r="C899" i="6"/>
  <c r="C900" i="6"/>
  <c r="C901" i="6"/>
  <c r="C902" i="6"/>
  <c r="C903" i="6"/>
  <c r="C904" i="6"/>
  <c r="C905" i="6"/>
  <c r="C906" i="6"/>
  <c r="C907" i="6"/>
  <c r="C908" i="6"/>
  <c r="C909" i="6"/>
  <c r="C910" i="6"/>
  <c r="C911" i="6"/>
  <c r="C912" i="6"/>
  <c r="C913" i="6"/>
  <c r="C914" i="6"/>
  <c r="C915" i="6"/>
  <c r="C916" i="6"/>
  <c r="C917" i="6"/>
  <c r="C918" i="6"/>
  <c r="C919" i="6"/>
  <c r="C920" i="6"/>
  <c r="C921" i="6"/>
  <c r="C922" i="6"/>
  <c r="C923" i="6"/>
  <c r="C924" i="6"/>
  <c r="C925" i="6"/>
  <c r="C926" i="6"/>
  <c r="C927" i="6"/>
  <c r="C928" i="6"/>
  <c r="C929" i="6"/>
  <c r="C930" i="6"/>
  <c r="C931" i="6"/>
  <c r="C932" i="6"/>
  <c r="C933" i="6"/>
  <c r="C934" i="6"/>
  <c r="C935" i="6"/>
  <c r="C936" i="6"/>
  <c r="C937" i="6"/>
  <c r="C938" i="6"/>
  <c r="C939" i="6"/>
  <c r="C940" i="6"/>
  <c r="C941" i="6"/>
  <c r="C942" i="6"/>
  <c r="C943" i="6"/>
  <c r="C944" i="6"/>
  <c r="C945" i="6"/>
  <c r="C946" i="6"/>
  <c r="C947" i="6"/>
  <c r="C948" i="6"/>
  <c r="C949" i="6"/>
  <c r="C950" i="6"/>
  <c r="C951" i="6"/>
  <c r="C952" i="6"/>
  <c r="C953" i="6"/>
  <c r="C954" i="6"/>
  <c r="C955" i="6"/>
  <c r="C956" i="6"/>
  <c r="C957" i="6"/>
  <c r="C958" i="6"/>
  <c r="C959" i="6"/>
  <c r="C960" i="6"/>
  <c r="C961" i="6"/>
  <c r="C962" i="6"/>
  <c r="C963" i="6"/>
  <c r="C964" i="6"/>
  <c r="C965" i="6"/>
  <c r="C966" i="6"/>
  <c r="C967" i="6"/>
  <c r="C968" i="6"/>
  <c r="C969" i="6"/>
  <c r="C970" i="6"/>
  <c r="C971" i="6"/>
  <c r="C972" i="6"/>
  <c r="C973" i="6"/>
  <c r="C974" i="6"/>
  <c r="C975" i="6"/>
  <c r="C976" i="6"/>
  <c r="C977" i="6"/>
  <c r="C978" i="6"/>
  <c r="C979" i="6"/>
  <c r="C980" i="6"/>
  <c r="C981" i="6"/>
  <c r="C982" i="6"/>
  <c r="C983" i="6"/>
  <c r="C984" i="6"/>
  <c r="C985" i="6"/>
  <c r="C986" i="6"/>
  <c r="C987" i="6"/>
  <c r="C988" i="6"/>
  <c r="C989" i="6"/>
  <c r="C990" i="6"/>
  <c r="C991" i="6"/>
  <c r="C992" i="6"/>
  <c r="C993" i="6"/>
  <c r="C994" i="6"/>
  <c r="C995" i="6"/>
  <c r="C996" i="6"/>
  <c r="C997" i="6"/>
  <c r="C998" i="6"/>
  <c r="C999" i="6"/>
  <c r="C1000" i="6"/>
  <c r="C1001" i="6"/>
  <c r="C1002" i="6"/>
  <c r="C1003" i="6"/>
  <c r="C1004" i="6"/>
  <c r="C1005" i="6"/>
  <c r="C1006" i="6"/>
  <c r="C1007" i="6"/>
  <c r="C1008" i="6"/>
  <c r="C1009" i="6"/>
  <c r="C1010" i="6"/>
  <c r="C1011" i="6"/>
  <c r="C1012" i="6"/>
  <c r="C1013" i="6"/>
  <c r="C1014" i="6"/>
  <c r="C1015" i="6"/>
  <c r="C1016" i="6"/>
  <c r="C1017" i="6"/>
  <c r="C1018" i="6"/>
  <c r="C1019" i="6"/>
  <c r="C1020" i="6"/>
  <c r="C1021" i="6"/>
  <c r="C1022" i="6"/>
  <c r="C1023" i="6"/>
  <c r="C1024" i="6"/>
  <c r="C1025" i="6"/>
  <c r="C1026" i="6"/>
  <c r="C1027" i="6"/>
  <c r="C1028" i="6"/>
  <c r="C1029" i="6"/>
  <c r="C1030" i="6"/>
  <c r="C1031" i="6"/>
  <c r="C1032" i="6"/>
  <c r="C1033" i="6"/>
  <c r="C1034" i="6"/>
  <c r="C1035" i="6"/>
  <c r="C1036" i="6"/>
  <c r="C1037" i="6"/>
  <c r="C1038" i="6"/>
  <c r="C1039" i="6"/>
  <c r="C1040" i="6"/>
  <c r="C1041" i="6"/>
  <c r="C1042" i="6"/>
  <c r="C1043" i="6"/>
  <c r="C1044" i="6"/>
  <c r="C1045" i="6"/>
  <c r="C1046" i="6"/>
  <c r="C1047" i="6"/>
  <c r="C1048" i="6"/>
  <c r="C1049" i="6"/>
  <c r="C1050" i="6"/>
  <c r="C1051" i="6"/>
  <c r="C1052" i="6"/>
  <c r="C1053" i="6"/>
  <c r="C1054" i="6"/>
  <c r="C1055" i="6"/>
  <c r="C1056" i="6"/>
  <c r="C1057" i="6"/>
  <c r="C1058" i="6"/>
  <c r="C1059" i="6"/>
  <c r="C1060" i="6"/>
  <c r="C1061" i="6"/>
  <c r="C1062" i="6"/>
  <c r="C1063" i="6"/>
  <c r="C1064" i="6"/>
  <c r="C1065" i="6"/>
  <c r="C1066" i="6"/>
  <c r="C1067" i="6"/>
  <c r="C1068" i="6"/>
  <c r="C1069" i="6"/>
  <c r="C1070" i="6"/>
  <c r="C1071" i="6"/>
  <c r="C1072" i="6"/>
  <c r="C1073" i="6"/>
  <c r="C1074" i="6"/>
  <c r="C1075" i="6"/>
  <c r="C1076" i="6"/>
  <c r="C1077" i="6"/>
  <c r="C1078" i="6"/>
  <c r="C1079" i="6"/>
  <c r="C1080" i="6"/>
  <c r="C1081" i="6"/>
  <c r="C1082" i="6"/>
  <c r="C1083" i="6"/>
  <c r="C1084" i="6"/>
  <c r="C1085" i="6"/>
  <c r="C1086" i="6"/>
  <c r="C1087" i="6"/>
  <c r="C1088" i="6"/>
  <c r="C1089" i="6"/>
  <c r="C1090" i="6"/>
  <c r="C1091" i="6"/>
  <c r="C1092" i="6"/>
  <c r="C1093" i="6"/>
  <c r="C1094" i="6"/>
  <c r="C1095" i="6"/>
  <c r="C1096" i="6"/>
  <c r="C1097" i="6"/>
  <c r="C1098" i="6"/>
  <c r="C1099" i="6"/>
  <c r="C1100" i="6"/>
  <c r="C1101" i="6"/>
  <c r="C1102" i="6"/>
  <c r="C1103" i="6"/>
  <c r="C1104" i="6"/>
  <c r="C1105" i="6"/>
  <c r="C1106" i="6"/>
  <c r="C1107" i="6"/>
  <c r="C1108" i="6"/>
  <c r="C1109" i="6"/>
  <c r="C1110" i="6"/>
  <c r="C1111" i="6"/>
  <c r="C1112" i="6"/>
  <c r="C1113" i="6"/>
  <c r="C1114" i="6"/>
  <c r="C1115" i="6"/>
  <c r="C1116" i="6"/>
  <c r="C1117" i="6"/>
  <c r="C1118" i="6"/>
  <c r="C1119" i="6"/>
  <c r="C1120" i="6"/>
  <c r="C1121" i="6"/>
  <c r="C1122" i="6"/>
  <c r="C1123" i="6"/>
  <c r="C1124" i="6"/>
  <c r="C1125" i="6"/>
  <c r="C1126" i="6"/>
  <c r="C1127" i="6"/>
  <c r="C1128" i="6"/>
  <c r="C1129" i="6"/>
  <c r="C1130" i="6"/>
  <c r="C1131" i="6"/>
  <c r="C1132" i="6"/>
  <c r="C1133" i="6"/>
  <c r="C1134" i="6"/>
  <c r="C1135" i="6"/>
  <c r="C1136" i="6"/>
  <c r="C1137" i="6"/>
  <c r="C1138" i="6"/>
  <c r="C1139" i="6"/>
  <c r="C1140" i="6"/>
  <c r="C1141" i="6"/>
  <c r="C1142" i="6"/>
  <c r="C1143" i="6"/>
  <c r="C1144" i="6"/>
  <c r="C1145" i="6"/>
  <c r="C1146" i="6"/>
  <c r="C1147" i="6"/>
  <c r="C1148" i="6"/>
  <c r="C1149" i="6"/>
  <c r="C1150" i="6"/>
  <c r="C1151" i="6"/>
  <c r="C1152" i="6"/>
  <c r="C1153" i="6"/>
  <c r="C1154" i="6"/>
  <c r="C1155" i="6"/>
  <c r="C1156" i="6"/>
  <c r="C1157" i="6"/>
  <c r="C1158" i="6"/>
  <c r="C1159" i="6"/>
  <c r="C1160" i="6"/>
  <c r="C1161" i="6"/>
  <c r="C1162" i="6"/>
  <c r="C1163" i="6"/>
  <c r="C1164" i="6"/>
  <c r="C1165" i="6"/>
  <c r="C1166" i="6"/>
  <c r="C1167" i="6"/>
  <c r="C1168" i="6"/>
  <c r="C1169" i="6"/>
  <c r="C1170" i="6"/>
  <c r="C1171" i="6"/>
  <c r="C1172" i="6"/>
  <c r="C1173" i="6"/>
  <c r="C1174" i="6"/>
  <c r="C1175" i="6"/>
  <c r="C1176" i="6"/>
  <c r="C1177" i="6"/>
  <c r="C1178" i="6"/>
  <c r="C1179" i="6"/>
  <c r="C1180" i="6"/>
  <c r="C1181" i="6"/>
  <c r="C1182" i="6"/>
  <c r="C1183" i="6"/>
  <c r="C1184" i="6"/>
  <c r="C1185" i="6"/>
  <c r="C1186" i="6"/>
  <c r="C1187" i="6"/>
  <c r="C1188" i="6"/>
  <c r="C1189" i="6"/>
  <c r="C1190" i="6"/>
  <c r="C1191" i="6"/>
  <c r="C1192" i="6"/>
  <c r="C1193" i="6"/>
  <c r="C1194" i="6"/>
  <c r="C1195" i="6"/>
  <c r="C1196" i="6"/>
  <c r="C1197" i="6"/>
  <c r="C1198" i="6"/>
  <c r="C1199" i="6"/>
  <c r="C1200" i="6"/>
  <c r="C1201" i="6"/>
  <c r="C1202" i="6"/>
  <c r="C1203" i="6"/>
  <c r="C1204" i="6"/>
  <c r="C1205" i="6"/>
  <c r="C1206" i="6"/>
  <c r="C1207" i="6"/>
  <c r="C1208" i="6"/>
  <c r="C1209" i="6"/>
  <c r="C1210" i="6"/>
  <c r="C1211" i="6"/>
  <c r="C1212" i="6"/>
  <c r="C1213" i="6"/>
  <c r="C1214" i="6"/>
  <c r="C1215" i="6"/>
  <c r="C1216" i="6"/>
  <c r="C1217" i="6"/>
  <c r="C1218" i="6"/>
  <c r="C1219" i="6"/>
  <c r="C1220" i="6"/>
  <c r="C1221" i="6"/>
  <c r="C1222" i="6"/>
  <c r="C1223" i="6"/>
  <c r="C1224" i="6"/>
  <c r="C1225" i="6"/>
  <c r="C1226" i="6"/>
  <c r="C1227" i="6"/>
  <c r="C1228" i="6"/>
  <c r="C1229" i="6"/>
  <c r="C1230" i="6"/>
  <c r="C1231" i="6"/>
  <c r="C1232" i="6"/>
  <c r="C1233" i="6"/>
  <c r="C1234" i="6"/>
  <c r="C1235" i="6"/>
  <c r="C1236" i="6"/>
  <c r="C1237" i="6"/>
  <c r="C1238" i="6"/>
  <c r="C1239" i="6"/>
  <c r="C1240" i="6"/>
  <c r="C1241" i="6"/>
  <c r="C1242" i="6"/>
  <c r="C1243" i="6"/>
  <c r="C1244" i="6"/>
  <c r="C1245" i="6"/>
  <c r="C1246" i="6"/>
  <c r="C1247" i="6"/>
  <c r="C1248" i="6"/>
  <c r="C1249" i="6"/>
  <c r="C1250" i="6"/>
  <c r="C1251" i="6"/>
  <c r="C1252" i="6"/>
  <c r="C1253" i="6"/>
  <c r="C1254" i="6"/>
  <c r="C1255" i="6"/>
  <c r="C1256" i="6"/>
  <c r="C1257" i="6"/>
  <c r="C1258" i="6"/>
  <c r="C1259" i="6"/>
  <c r="C1260" i="6"/>
  <c r="C1261" i="6"/>
  <c r="C1262" i="6"/>
  <c r="C1263" i="6"/>
  <c r="C1264" i="6"/>
  <c r="C1265" i="6"/>
  <c r="C1266" i="6"/>
  <c r="C1267" i="6"/>
  <c r="C1268" i="6"/>
  <c r="C1269" i="6"/>
  <c r="C1270" i="6"/>
  <c r="C1271" i="6"/>
  <c r="C1272" i="6"/>
  <c r="C1273" i="6"/>
  <c r="C1274" i="6"/>
  <c r="C1275" i="6"/>
  <c r="C1276" i="6"/>
  <c r="C1277" i="6"/>
  <c r="C1278" i="6"/>
  <c r="C1279" i="6"/>
  <c r="C1280" i="6"/>
  <c r="C1281" i="6"/>
  <c r="C1282" i="6"/>
  <c r="C1283" i="6"/>
  <c r="C1284" i="6"/>
  <c r="C1285" i="6"/>
  <c r="C1286" i="6"/>
  <c r="C1287" i="6"/>
  <c r="C1288" i="6"/>
  <c r="C1289" i="6"/>
  <c r="C1290" i="6"/>
  <c r="C1291" i="6"/>
  <c r="C1292" i="6"/>
  <c r="C1293" i="6"/>
  <c r="C1294" i="6"/>
  <c r="C1295" i="6"/>
  <c r="C1296" i="6"/>
  <c r="C1297" i="6"/>
  <c r="C1298" i="6"/>
  <c r="C1299" i="6"/>
  <c r="C1300" i="6"/>
  <c r="C1301" i="6"/>
  <c r="C1302" i="6"/>
  <c r="C1303" i="6"/>
  <c r="C1304" i="6"/>
  <c r="C1305" i="6"/>
  <c r="C1306" i="6"/>
  <c r="C1307" i="6"/>
  <c r="C1308" i="6"/>
  <c r="C1309" i="6"/>
  <c r="C1310" i="6"/>
  <c r="C1311" i="6"/>
  <c r="C1312" i="6"/>
  <c r="C1313" i="6"/>
  <c r="C1314" i="6"/>
  <c r="C1315" i="6"/>
  <c r="C1316" i="6"/>
  <c r="C1317" i="6"/>
  <c r="C1318" i="6"/>
  <c r="C1319" i="6"/>
  <c r="C1320" i="6"/>
  <c r="C1321" i="6"/>
  <c r="C1322" i="6"/>
  <c r="C1323" i="6"/>
  <c r="C1324" i="6"/>
  <c r="C1325" i="6"/>
  <c r="C1326" i="6"/>
  <c r="C1327" i="6"/>
  <c r="C1328" i="6"/>
  <c r="C1329" i="6"/>
  <c r="C1330" i="6"/>
  <c r="C1331" i="6"/>
  <c r="C1332" i="6"/>
  <c r="C1333" i="6"/>
  <c r="C1334" i="6"/>
  <c r="C1335" i="6"/>
  <c r="C1336" i="6"/>
  <c r="C1337" i="6"/>
  <c r="C1338" i="6"/>
  <c r="C1339" i="6"/>
  <c r="C1340" i="6"/>
  <c r="C1341" i="6"/>
  <c r="C1342" i="6"/>
  <c r="C1343" i="6"/>
  <c r="C1344" i="6"/>
  <c r="C1345" i="6"/>
  <c r="C1346" i="6"/>
  <c r="C1347" i="6"/>
  <c r="C1348" i="6"/>
  <c r="C1349" i="6"/>
  <c r="C1350" i="6"/>
  <c r="C1351" i="6"/>
  <c r="C1352" i="6"/>
  <c r="C1353" i="6"/>
  <c r="C1354" i="6"/>
  <c r="C1355" i="6"/>
  <c r="C1356" i="6"/>
  <c r="C1357" i="6"/>
  <c r="C1358" i="6"/>
  <c r="C1359" i="6"/>
  <c r="C1360" i="6"/>
  <c r="C1361" i="6"/>
  <c r="C1362" i="6"/>
  <c r="C1363" i="6"/>
  <c r="C1364" i="6"/>
  <c r="C1365" i="6"/>
  <c r="C1366" i="6"/>
  <c r="C1367" i="6"/>
  <c r="C1368" i="6"/>
  <c r="C1369" i="6"/>
  <c r="C1370" i="6"/>
  <c r="C1371" i="6"/>
  <c r="C1372" i="6"/>
  <c r="C1373" i="6"/>
  <c r="C1374" i="6"/>
  <c r="C1375" i="6"/>
  <c r="C1376" i="6"/>
  <c r="C1377" i="6"/>
  <c r="C1378" i="6"/>
  <c r="C1379" i="6"/>
  <c r="C1380" i="6"/>
  <c r="C1381" i="6"/>
  <c r="C1382" i="6"/>
  <c r="C1383" i="6"/>
  <c r="C1384" i="6"/>
  <c r="C1385" i="6"/>
  <c r="C1386" i="6"/>
  <c r="C1387" i="6"/>
  <c r="C1388" i="6"/>
  <c r="C1389" i="6"/>
  <c r="C1390" i="6"/>
  <c r="C1391" i="6"/>
  <c r="C1392" i="6"/>
  <c r="C1393" i="6"/>
  <c r="C1394" i="6"/>
  <c r="C1395" i="6"/>
  <c r="C1396" i="6"/>
  <c r="C1397" i="6"/>
  <c r="C1398" i="6"/>
  <c r="C1399" i="6"/>
  <c r="C1400" i="6"/>
  <c r="C1401" i="6"/>
  <c r="C1402" i="6"/>
  <c r="C1403" i="6"/>
  <c r="C1404" i="6"/>
  <c r="C1405" i="6"/>
  <c r="C1406" i="6"/>
  <c r="C1407" i="6"/>
  <c r="C1408" i="6"/>
  <c r="C1409" i="6"/>
  <c r="C1410" i="6"/>
  <c r="C1411" i="6"/>
  <c r="C1412" i="6"/>
  <c r="C1413" i="6"/>
  <c r="C1414" i="6"/>
  <c r="C1415" i="6"/>
  <c r="C1416" i="6"/>
  <c r="C1417" i="6"/>
  <c r="C1418" i="6"/>
  <c r="C1419" i="6"/>
  <c r="C1420" i="6"/>
  <c r="C1421" i="6"/>
  <c r="C1422" i="6"/>
  <c r="C1423" i="6"/>
  <c r="C1424" i="6"/>
  <c r="C1425" i="6"/>
  <c r="C1426" i="6"/>
  <c r="C1427" i="6"/>
  <c r="C1428" i="6"/>
  <c r="C1429" i="6"/>
  <c r="C1430" i="6"/>
  <c r="C1431" i="6"/>
  <c r="C1432" i="6"/>
  <c r="C1433" i="6"/>
  <c r="C1434" i="6"/>
  <c r="C1435" i="6"/>
  <c r="C1436" i="6"/>
  <c r="C1437" i="6"/>
  <c r="C1438" i="6"/>
  <c r="C1439" i="6"/>
  <c r="C1440" i="6"/>
  <c r="C1441" i="6"/>
  <c r="C1442" i="6"/>
  <c r="C1443" i="6"/>
  <c r="C1444" i="6"/>
  <c r="C1445" i="6"/>
  <c r="C1446" i="6"/>
  <c r="C1447" i="6"/>
  <c r="C1448" i="6"/>
  <c r="C1449" i="6"/>
  <c r="C1450" i="6"/>
  <c r="C1451" i="6"/>
  <c r="C1452" i="6"/>
  <c r="C1453" i="6"/>
  <c r="C1454" i="6"/>
  <c r="C1455" i="6"/>
  <c r="C1456" i="6"/>
  <c r="C1457" i="6"/>
  <c r="C1458" i="6"/>
  <c r="C1459" i="6"/>
  <c r="C1460" i="6"/>
  <c r="C1461" i="6"/>
  <c r="C1462" i="6"/>
  <c r="C1463" i="6"/>
  <c r="C1464" i="6"/>
  <c r="C1465" i="6"/>
  <c r="C1466" i="6"/>
  <c r="C1467" i="6"/>
  <c r="C1468" i="6"/>
  <c r="C1469" i="6"/>
  <c r="C1470" i="6"/>
  <c r="C1471" i="6"/>
  <c r="C1472" i="6"/>
  <c r="C1473" i="6"/>
  <c r="C1474" i="6"/>
  <c r="C1475" i="6"/>
  <c r="C1476" i="6"/>
  <c r="C1477" i="6"/>
  <c r="C1478" i="6"/>
  <c r="C1479" i="6"/>
  <c r="C1480" i="6"/>
  <c r="C1481" i="6"/>
  <c r="C1482" i="6"/>
  <c r="C1483" i="6"/>
  <c r="C1484" i="6"/>
  <c r="C1485" i="6"/>
  <c r="C1486" i="6"/>
  <c r="C1487" i="6"/>
  <c r="C1488" i="6"/>
  <c r="C1489" i="6"/>
  <c r="C1490" i="6"/>
  <c r="C1491" i="6"/>
  <c r="C1492" i="6"/>
  <c r="C1493" i="6"/>
  <c r="C1494" i="6"/>
  <c r="C1495" i="6"/>
  <c r="C1496" i="6"/>
  <c r="C1497" i="6"/>
  <c r="C1498" i="6"/>
  <c r="C1499" i="6"/>
  <c r="C1500" i="6"/>
  <c r="C1501" i="6"/>
  <c r="C1502" i="6"/>
  <c r="C1503" i="6"/>
  <c r="C1504" i="6"/>
  <c r="C1505" i="6"/>
  <c r="C1506" i="6"/>
  <c r="C1507" i="6"/>
  <c r="C1508" i="6"/>
  <c r="C1509" i="6"/>
  <c r="C1510" i="6"/>
  <c r="C1511" i="6"/>
  <c r="C1512" i="6"/>
  <c r="C1513" i="6"/>
  <c r="C1514" i="6"/>
  <c r="C1515" i="6"/>
  <c r="C1516" i="6"/>
  <c r="C1517" i="6"/>
  <c r="C1518" i="6"/>
  <c r="C1519" i="6"/>
  <c r="C1520" i="6"/>
  <c r="C1521" i="6"/>
  <c r="C1522" i="6"/>
  <c r="C1523" i="6"/>
  <c r="C1524" i="6"/>
  <c r="C1525" i="6"/>
  <c r="C1526" i="6"/>
  <c r="C1527" i="6"/>
  <c r="C1528" i="6"/>
  <c r="C1529" i="6"/>
  <c r="C1530" i="6"/>
  <c r="C1531" i="6"/>
  <c r="C1532" i="6"/>
  <c r="C1533" i="6"/>
  <c r="C1534" i="6"/>
  <c r="C1535" i="6"/>
  <c r="C1536" i="6"/>
  <c r="C1537" i="6"/>
  <c r="C1538" i="6"/>
  <c r="C1539" i="6"/>
  <c r="C1540" i="6"/>
  <c r="C1541" i="6"/>
  <c r="C1542" i="6"/>
  <c r="C1543" i="6"/>
  <c r="C1544" i="6"/>
  <c r="C1545" i="6"/>
  <c r="C1546" i="6"/>
  <c r="C1547" i="6"/>
  <c r="C1548" i="6"/>
  <c r="C1549" i="6"/>
  <c r="C1550" i="6"/>
  <c r="C1551" i="6"/>
  <c r="C1552" i="6"/>
  <c r="C1553" i="6"/>
  <c r="C1554" i="6"/>
  <c r="C1555" i="6"/>
  <c r="C1556" i="6"/>
  <c r="C1557" i="6"/>
  <c r="C1558" i="6"/>
  <c r="C1559" i="6"/>
  <c r="C1560" i="6"/>
  <c r="C1561" i="6"/>
  <c r="C1562" i="6"/>
  <c r="C1563" i="6"/>
  <c r="C1564" i="6"/>
  <c r="C1565" i="6"/>
  <c r="C1566" i="6"/>
  <c r="C1567" i="6"/>
  <c r="C1568" i="6"/>
  <c r="C1569" i="6"/>
  <c r="C1570" i="6"/>
  <c r="C1571" i="6"/>
  <c r="C1572" i="6"/>
  <c r="C1573" i="6"/>
  <c r="C1574" i="6"/>
  <c r="C1575" i="6"/>
  <c r="C1576" i="6"/>
  <c r="C1577" i="6"/>
  <c r="C1578" i="6"/>
  <c r="C1579" i="6"/>
  <c r="C1580" i="6"/>
  <c r="C1581" i="6"/>
  <c r="C1582" i="6"/>
  <c r="C1583" i="6"/>
  <c r="C1584" i="6"/>
  <c r="C1585" i="6"/>
  <c r="C1586" i="6"/>
  <c r="C1587" i="6"/>
  <c r="C1588" i="6"/>
  <c r="C1589" i="6"/>
  <c r="C1590" i="6"/>
  <c r="C1591" i="6"/>
  <c r="C1592" i="6"/>
  <c r="C1593" i="6"/>
  <c r="C1594" i="6"/>
  <c r="C1595" i="6"/>
  <c r="C1596" i="6"/>
  <c r="C1597" i="6"/>
  <c r="C1598" i="6"/>
  <c r="C1599" i="6"/>
  <c r="C1600" i="6"/>
  <c r="C1601" i="6"/>
  <c r="C1602" i="6"/>
  <c r="C1603" i="6"/>
  <c r="C1604" i="6"/>
  <c r="C1605" i="6"/>
  <c r="C1606" i="6"/>
  <c r="C1607" i="6"/>
  <c r="C1608" i="6"/>
  <c r="C1609" i="6"/>
  <c r="C1610" i="6"/>
  <c r="C1611" i="6"/>
  <c r="C1612" i="6"/>
  <c r="C1613" i="6"/>
  <c r="C1614" i="6"/>
  <c r="C1615" i="6"/>
  <c r="C1616" i="6"/>
  <c r="C1617" i="6"/>
  <c r="C1618" i="6"/>
  <c r="C1619" i="6"/>
  <c r="C1620" i="6"/>
  <c r="C1621" i="6"/>
  <c r="C1622" i="6"/>
  <c r="C1623" i="6"/>
  <c r="C1624" i="6"/>
  <c r="C1625" i="6"/>
  <c r="C1626" i="6"/>
  <c r="C1627" i="6"/>
  <c r="C1628" i="6"/>
  <c r="C1629" i="6"/>
  <c r="C1630" i="6"/>
  <c r="C1631" i="6"/>
  <c r="C1632" i="6"/>
  <c r="C1633" i="6"/>
  <c r="C1634" i="6"/>
  <c r="C1635" i="6"/>
  <c r="C1636" i="6"/>
  <c r="C1637" i="6"/>
  <c r="C1638" i="6"/>
  <c r="C1639" i="6"/>
  <c r="C1640" i="6"/>
  <c r="C1641" i="6"/>
  <c r="C1642" i="6"/>
  <c r="C1643" i="6"/>
  <c r="C1644" i="6"/>
  <c r="C1645" i="6"/>
  <c r="C1646" i="6"/>
  <c r="C1647" i="6"/>
  <c r="C1648" i="6"/>
  <c r="C1649" i="6"/>
  <c r="C1650" i="6"/>
  <c r="C1651" i="6"/>
  <c r="C1652" i="6"/>
  <c r="C1653" i="6"/>
  <c r="C1654" i="6"/>
  <c r="C1655" i="6"/>
  <c r="C1656" i="6"/>
  <c r="C1657" i="6"/>
  <c r="C1658" i="6"/>
  <c r="C1659" i="6"/>
  <c r="C1660" i="6"/>
  <c r="C1661" i="6"/>
  <c r="C1662" i="6"/>
  <c r="C1663" i="6"/>
  <c r="C1664" i="6"/>
  <c r="C1665" i="6"/>
  <c r="C1666" i="6"/>
  <c r="C1667" i="6"/>
  <c r="C1668" i="6"/>
  <c r="C1669" i="6"/>
  <c r="C1670" i="6"/>
  <c r="C1671" i="6"/>
  <c r="C1672" i="6"/>
  <c r="C1673" i="6"/>
  <c r="C1674" i="6"/>
  <c r="C1675" i="6"/>
  <c r="C1676" i="6"/>
  <c r="C1677" i="6"/>
  <c r="C1678" i="6"/>
  <c r="C1679" i="6"/>
  <c r="C1680" i="6"/>
  <c r="C1681" i="6"/>
  <c r="C1682" i="6"/>
  <c r="C1683" i="6"/>
  <c r="C1684" i="6"/>
  <c r="C1685" i="6"/>
  <c r="C1686" i="6"/>
  <c r="C1687" i="6"/>
  <c r="C1688" i="6"/>
  <c r="C1689" i="6"/>
  <c r="C1690" i="6"/>
  <c r="C1691" i="6"/>
  <c r="C1692" i="6"/>
  <c r="C1693" i="6"/>
  <c r="C1694" i="6"/>
  <c r="C1695" i="6"/>
  <c r="C1696" i="6"/>
  <c r="C1697" i="6"/>
  <c r="C1698" i="6"/>
  <c r="C1699" i="6"/>
  <c r="C1700" i="6"/>
  <c r="C1701" i="6"/>
  <c r="C1702" i="6"/>
  <c r="C1703" i="6"/>
  <c r="C1704" i="6"/>
  <c r="C1705" i="6"/>
  <c r="C1706" i="6"/>
  <c r="C1707" i="6"/>
  <c r="C1708" i="6"/>
  <c r="C1709" i="6"/>
  <c r="C1710" i="6"/>
  <c r="C1711" i="6"/>
  <c r="C1712" i="6"/>
  <c r="C1713" i="6"/>
  <c r="C1714" i="6"/>
  <c r="C1715" i="6"/>
  <c r="C1716" i="6"/>
  <c r="C1717" i="6"/>
  <c r="C1718" i="6"/>
  <c r="C1719" i="6"/>
  <c r="C1720" i="6"/>
  <c r="C1721" i="6"/>
  <c r="C1722" i="6"/>
  <c r="C1723" i="6"/>
  <c r="C1724" i="6"/>
  <c r="C1725" i="6"/>
  <c r="C1726" i="6"/>
  <c r="C1727" i="6"/>
  <c r="C1728" i="6"/>
  <c r="C1729" i="6"/>
  <c r="C1730" i="6"/>
  <c r="C1731" i="6"/>
  <c r="C1732" i="6"/>
  <c r="C1733" i="6"/>
  <c r="C1734" i="6"/>
  <c r="C1735" i="6"/>
  <c r="C1736" i="6"/>
  <c r="C1737" i="6"/>
  <c r="C1738" i="6"/>
  <c r="C1739" i="6"/>
  <c r="C1740" i="6"/>
  <c r="C1741" i="6"/>
  <c r="C1742" i="6"/>
  <c r="C1743" i="6"/>
  <c r="C1744" i="6"/>
  <c r="C1745" i="6"/>
  <c r="C1746" i="6"/>
  <c r="C1747" i="6"/>
  <c r="C1748" i="6"/>
  <c r="C1749" i="6"/>
  <c r="C1750" i="6"/>
  <c r="C1751" i="6"/>
  <c r="C1752" i="6"/>
  <c r="C1753" i="6"/>
  <c r="C1754" i="6"/>
  <c r="C1755" i="6"/>
  <c r="C1756" i="6"/>
  <c r="C1757" i="6"/>
  <c r="C1758" i="6"/>
  <c r="C1759" i="6"/>
  <c r="C1760" i="6"/>
  <c r="C1761" i="6"/>
  <c r="C1762" i="6"/>
  <c r="C1763" i="6"/>
  <c r="C1764" i="6"/>
  <c r="C1765" i="6"/>
  <c r="C1766" i="6"/>
  <c r="C1767" i="6"/>
  <c r="C1768" i="6"/>
  <c r="C1769" i="6"/>
  <c r="C1770" i="6"/>
  <c r="C1771" i="6"/>
  <c r="C1772" i="6"/>
  <c r="C1773" i="6"/>
  <c r="C3" i="7"/>
  <c r="C4" i="7"/>
  <c r="C5" i="7"/>
  <c r="C6" i="7"/>
  <c r="C7" i="7"/>
  <c r="C8" i="7"/>
  <c r="C9" i="7"/>
  <c r="C10" i="7"/>
  <c r="C11" i="7"/>
  <c r="C12" i="7"/>
  <c r="C13" i="7"/>
  <c r="C14" i="7"/>
  <c r="C15" i="7"/>
  <c r="C16" i="7"/>
  <c r="C17" i="7"/>
  <c r="C18" i="7"/>
  <c r="C19" i="7"/>
  <c r="C20" i="7"/>
  <c r="C21" i="7"/>
  <c r="C22" i="7"/>
  <c r="C23" i="7"/>
  <c r="C24" i="7"/>
  <c r="C25" i="7"/>
  <c r="C26" i="7"/>
  <c r="C27" i="7"/>
  <c r="C28" i="7"/>
  <c r="C29" i="7"/>
  <c r="C30" i="7"/>
  <c r="C31" i="7"/>
  <c r="C32" i="7"/>
  <c r="C33" i="7"/>
  <c r="C34" i="7"/>
  <c r="C35" i="7"/>
  <c r="C36" i="7"/>
  <c r="C37" i="7"/>
  <c r="C38" i="7"/>
  <c r="C39" i="7"/>
  <c r="C40" i="7"/>
  <c r="C41" i="7"/>
  <c r="C42" i="7"/>
  <c r="C43" i="7"/>
  <c r="C44" i="7"/>
  <c r="C45" i="7"/>
  <c r="C46" i="7"/>
  <c r="C47" i="7"/>
  <c r="C48" i="7"/>
  <c r="C49" i="7"/>
  <c r="C50" i="7"/>
  <c r="C51" i="7"/>
  <c r="C52" i="7"/>
  <c r="C53" i="7"/>
  <c r="C54" i="7"/>
  <c r="C55" i="7"/>
  <c r="C56" i="7"/>
  <c r="C57" i="7"/>
  <c r="C58" i="7"/>
  <c r="C59" i="7"/>
  <c r="C60" i="7"/>
  <c r="C61" i="7"/>
  <c r="C62" i="7"/>
  <c r="C63" i="7"/>
  <c r="C64" i="7"/>
  <c r="C65" i="7"/>
  <c r="C66" i="7"/>
  <c r="C67" i="7"/>
  <c r="C68" i="7"/>
  <c r="C69" i="7"/>
  <c r="C70" i="7"/>
  <c r="C71" i="7"/>
  <c r="C72" i="7"/>
  <c r="C73" i="7"/>
  <c r="C74" i="7"/>
  <c r="C75" i="7"/>
  <c r="C76" i="7"/>
  <c r="C77" i="7"/>
  <c r="C78" i="7"/>
  <c r="C79" i="7"/>
  <c r="C80" i="7"/>
  <c r="C81" i="7"/>
  <c r="C82" i="7"/>
  <c r="C83" i="7"/>
  <c r="C84" i="7"/>
  <c r="C85" i="7"/>
  <c r="C86" i="7"/>
  <c r="C87" i="7"/>
  <c r="C88" i="7"/>
  <c r="C89" i="7"/>
  <c r="C90" i="7"/>
  <c r="C91" i="7"/>
  <c r="C92" i="7"/>
  <c r="C93" i="7"/>
  <c r="C94" i="7"/>
  <c r="C95" i="7"/>
  <c r="C96" i="7"/>
  <c r="C97" i="7"/>
  <c r="C98" i="7"/>
  <c r="C99" i="7"/>
  <c r="C100" i="7"/>
  <c r="C101" i="7"/>
  <c r="C102" i="7"/>
  <c r="C103" i="7"/>
  <c r="C104" i="7"/>
  <c r="C105" i="7"/>
  <c r="C106" i="7"/>
  <c r="C107" i="7"/>
  <c r="C108" i="7"/>
  <c r="C109" i="7"/>
  <c r="C110" i="7"/>
  <c r="C111" i="7"/>
  <c r="C112" i="7"/>
  <c r="C113" i="7"/>
  <c r="C114" i="7"/>
  <c r="C115" i="7"/>
  <c r="C116" i="7"/>
  <c r="C117" i="7"/>
  <c r="C118" i="7"/>
  <c r="C119" i="7"/>
  <c r="C120" i="7"/>
  <c r="C121" i="7"/>
  <c r="C122" i="7"/>
  <c r="C123" i="7"/>
  <c r="C124" i="7"/>
  <c r="C125" i="7"/>
  <c r="C126" i="7"/>
  <c r="C127" i="7"/>
  <c r="C128" i="7"/>
  <c r="C129" i="7"/>
  <c r="C130" i="7"/>
  <c r="C131" i="7"/>
  <c r="C132" i="7"/>
  <c r="C133" i="7"/>
  <c r="C134" i="7"/>
  <c r="C135" i="7"/>
  <c r="C136" i="7"/>
  <c r="C137" i="7"/>
  <c r="C138" i="7"/>
  <c r="C139" i="7"/>
  <c r="C140" i="7"/>
  <c r="C141" i="7"/>
  <c r="C142" i="7"/>
  <c r="C143" i="7"/>
  <c r="C144" i="7"/>
  <c r="C145" i="7"/>
  <c r="C146" i="7"/>
  <c r="C147" i="7"/>
  <c r="C148" i="7"/>
  <c r="C149" i="7"/>
  <c r="C150" i="7"/>
  <c r="C151" i="7"/>
  <c r="C152" i="7"/>
  <c r="C153" i="7"/>
  <c r="C154" i="7"/>
  <c r="C155" i="7"/>
  <c r="C156" i="7"/>
  <c r="C157" i="7"/>
  <c r="C158" i="7"/>
  <c r="C159" i="7"/>
  <c r="C160" i="7"/>
  <c r="C161" i="7"/>
  <c r="C162" i="7"/>
  <c r="C163" i="7"/>
  <c r="C164" i="7"/>
  <c r="C165" i="7"/>
  <c r="C166" i="7"/>
  <c r="C167" i="7"/>
  <c r="C168" i="7"/>
  <c r="C169" i="7"/>
  <c r="C170" i="7"/>
  <c r="C171" i="7"/>
  <c r="C172" i="7"/>
  <c r="C173" i="7"/>
  <c r="C174" i="7"/>
  <c r="C175" i="7"/>
  <c r="C176" i="7"/>
  <c r="C177" i="7"/>
  <c r="C178" i="7"/>
  <c r="C179" i="7"/>
  <c r="C180" i="7"/>
  <c r="C181" i="7"/>
  <c r="C182" i="7"/>
  <c r="C183" i="7"/>
  <c r="C184" i="7"/>
  <c r="C185" i="7"/>
  <c r="C186" i="7"/>
  <c r="C187" i="7"/>
  <c r="C188" i="7"/>
  <c r="C189" i="7"/>
  <c r="C190" i="7"/>
  <c r="C191" i="7"/>
  <c r="C192" i="7"/>
  <c r="C193" i="7"/>
  <c r="C194" i="7"/>
  <c r="C195" i="7"/>
  <c r="C196" i="7"/>
  <c r="C197" i="7"/>
  <c r="C198" i="7"/>
  <c r="C199" i="7"/>
  <c r="C200" i="7"/>
  <c r="C201" i="7"/>
  <c r="C202" i="7"/>
  <c r="C203" i="7"/>
  <c r="C204" i="7"/>
  <c r="C205" i="7"/>
  <c r="C206" i="7"/>
  <c r="C207" i="7"/>
  <c r="C208" i="7"/>
  <c r="C209" i="7"/>
  <c r="C210" i="7"/>
  <c r="C211" i="7"/>
  <c r="C212" i="7"/>
  <c r="C213" i="7"/>
  <c r="C214" i="7"/>
  <c r="C215" i="7"/>
  <c r="C216" i="7"/>
  <c r="C217" i="7"/>
  <c r="C218" i="7"/>
  <c r="C219" i="7"/>
  <c r="C220" i="7"/>
  <c r="C221" i="7"/>
  <c r="C222" i="7"/>
  <c r="C223" i="7"/>
  <c r="C224" i="7"/>
  <c r="C225" i="7"/>
  <c r="C226" i="7"/>
  <c r="C227" i="7"/>
  <c r="C228" i="7"/>
  <c r="C229" i="7"/>
  <c r="C230" i="7"/>
  <c r="C231" i="7"/>
  <c r="C232" i="7"/>
  <c r="C233" i="7"/>
  <c r="C234" i="7"/>
  <c r="C235" i="7"/>
  <c r="C236" i="7"/>
  <c r="C237" i="7"/>
  <c r="C238" i="7"/>
  <c r="C239" i="7"/>
  <c r="C240" i="7"/>
  <c r="C241" i="7"/>
  <c r="C242" i="7"/>
  <c r="C243" i="7"/>
  <c r="C244" i="7"/>
  <c r="C245" i="7"/>
  <c r="C246" i="7"/>
  <c r="C247" i="7"/>
  <c r="C248" i="7"/>
  <c r="C249" i="7"/>
  <c r="C250" i="7"/>
  <c r="C251" i="7"/>
  <c r="C252" i="7"/>
  <c r="C253" i="7"/>
  <c r="C254" i="7"/>
  <c r="C255" i="7"/>
  <c r="C256" i="7"/>
  <c r="C257" i="7"/>
  <c r="C258" i="7"/>
  <c r="C259" i="7"/>
  <c r="C260" i="7"/>
  <c r="C261" i="7"/>
  <c r="C262" i="7"/>
  <c r="C263" i="7"/>
  <c r="C264" i="7"/>
  <c r="C265" i="7"/>
  <c r="C266" i="7"/>
  <c r="C267" i="7"/>
  <c r="C268" i="7"/>
  <c r="C269" i="7"/>
  <c r="C270" i="7"/>
  <c r="C271" i="7"/>
  <c r="C272" i="7"/>
  <c r="C273" i="7"/>
  <c r="C274" i="7"/>
  <c r="C275" i="7"/>
  <c r="C276" i="7"/>
  <c r="C277" i="7"/>
  <c r="C278" i="7"/>
  <c r="C279" i="7"/>
  <c r="C280" i="7"/>
  <c r="C281" i="7"/>
  <c r="C282" i="7"/>
  <c r="C283" i="7"/>
  <c r="C284" i="7"/>
  <c r="C285" i="7"/>
  <c r="C286" i="7"/>
  <c r="C287" i="7"/>
  <c r="C288" i="7"/>
  <c r="C289" i="7"/>
  <c r="C290" i="7"/>
  <c r="C291" i="7"/>
  <c r="C292" i="7"/>
  <c r="C293" i="7"/>
  <c r="C294" i="7"/>
  <c r="C295" i="7"/>
  <c r="C296" i="7"/>
  <c r="C297" i="7"/>
  <c r="C298" i="7"/>
  <c r="C299" i="7"/>
  <c r="C300" i="7"/>
  <c r="C301" i="7"/>
  <c r="C302" i="7"/>
  <c r="C303" i="7"/>
  <c r="C304" i="7"/>
  <c r="C305" i="7"/>
  <c r="C306" i="7"/>
  <c r="C307" i="7"/>
  <c r="C308" i="7"/>
  <c r="C309" i="7"/>
  <c r="C310" i="7"/>
  <c r="C311" i="7"/>
  <c r="C312" i="7"/>
  <c r="C313" i="7"/>
  <c r="C314" i="7"/>
  <c r="C315" i="7"/>
  <c r="C316" i="7"/>
  <c r="C317" i="7"/>
  <c r="C318" i="7"/>
  <c r="C319" i="7"/>
  <c r="C320" i="7"/>
  <c r="C321" i="7"/>
  <c r="C322" i="7"/>
  <c r="C323" i="7"/>
  <c r="C324" i="7"/>
  <c r="C325" i="7"/>
  <c r="C326" i="7"/>
  <c r="C327" i="7"/>
  <c r="C328" i="7"/>
  <c r="C329" i="7"/>
  <c r="C330" i="7"/>
  <c r="C331" i="7"/>
  <c r="C332" i="7"/>
  <c r="C333" i="7"/>
  <c r="C334" i="7"/>
  <c r="C335" i="7"/>
  <c r="C336" i="7"/>
  <c r="C337" i="7"/>
  <c r="C338" i="7"/>
  <c r="C339" i="7"/>
  <c r="C340" i="7"/>
  <c r="C341" i="7"/>
  <c r="C342" i="7"/>
  <c r="C343" i="7"/>
  <c r="C344" i="7"/>
  <c r="C345" i="7"/>
  <c r="C346" i="7"/>
  <c r="C347" i="7"/>
  <c r="C348" i="7"/>
  <c r="C349" i="7"/>
  <c r="C350" i="7"/>
  <c r="C351" i="7"/>
  <c r="C352" i="7"/>
  <c r="C353" i="7"/>
  <c r="C354" i="7"/>
  <c r="C355" i="7"/>
  <c r="C356" i="7"/>
  <c r="C357" i="7"/>
  <c r="C358" i="7"/>
  <c r="C359" i="7"/>
  <c r="C360" i="7"/>
  <c r="C361" i="7"/>
  <c r="C362" i="7"/>
  <c r="C363" i="7"/>
  <c r="C364" i="7"/>
  <c r="C365" i="7"/>
  <c r="C366" i="7"/>
  <c r="C367" i="7"/>
  <c r="C368" i="7"/>
  <c r="C369" i="7"/>
  <c r="C370" i="7"/>
  <c r="C371" i="7"/>
  <c r="C372" i="7"/>
  <c r="C373" i="7"/>
  <c r="C374" i="7"/>
  <c r="C375" i="7"/>
  <c r="C376" i="7"/>
  <c r="C377" i="7"/>
  <c r="C378" i="7"/>
  <c r="C379" i="7"/>
  <c r="C380" i="7"/>
  <c r="C381" i="7"/>
  <c r="C382" i="7"/>
  <c r="C383" i="7"/>
  <c r="C384" i="7"/>
  <c r="C385" i="7"/>
  <c r="C386" i="7"/>
  <c r="C387" i="7"/>
  <c r="C388" i="7"/>
  <c r="C389" i="7"/>
  <c r="C390" i="7"/>
  <c r="C391" i="7"/>
  <c r="C392" i="7"/>
  <c r="C393" i="7"/>
  <c r="C394" i="7"/>
  <c r="C395" i="7"/>
  <c r="C396" i="7"/>
  <c r="C397" i="7"/>
  <c r="C398" i="7"/>
  <c r="C399" i="7"/>
  <c r="C400" i="7"/>
  <c r="C401" i="7"/>
  <c r="C402" i="7"/>
  <c r="C403" i="7"/>
  <c r="C404" i="7"/>
  <c r="C405" i="7"/>
  <c r="C406" i="7"/>
  <c r="C407" i="7"/>
  <c r="C408" i="7"/>
  <c r="C409" i="7"/>
  <c r="C410" i="7"/>
  <c r="C411" i="7"/>
  <c r="C412" i="7"/>
  <c r="C413" i="7"/>
  <c r="C414" i="7"/>
  <c r="C415" i="7"/>
  <c r="C416" i="7"/>
  <c r="C417" i="7"/>
  <c r="C418" i="7"/>
  <c r="C419" i="7"/>
  <c r="C420" i="7"/>
  <c r="C421" i="7"/>
  <c r="C422" i="7"/>
  <c r="C423" i="7"/>
  <c r="C424" i="7"/>
  <c r="C425" i="7"/>
  <c r="C426" i="7"/>
  <c r="C427" i="7"/>
  <c r="C428" i="7"/>
  <c r="C429" i="7"/>
  <c r="C430" i="7"/>
  <c r="C431" i="7"/>
  <c r="C432" i="7"/>
  <c r="C433" i="7"/>
  <c r="C434" i="7"/>
  <c r="C435" i="7"/>
  <c r="C436" i="7"/>
  <c r="C437" i="7"/>
  <c r="C438" i="7"/>
  <c r="C439" i="7"/>
  <c r="C440" i="7"/>
  <c r="C441" i="7"/>
  <c r="C442" i="7"/>
  <c r="C443" i="7"/>
  <c r="C444" i="7"/>
  <c r="C445" i="7"/>
  <c r="C446" i="7"/>
  <c r="C447" i="7"/>
  <c r="C448" i="7"/>
  <c r="C449" i="7"/>
  <c r="C450" i="7"/>
  <c r="C451" i="7"/>
  <c r="C452" i="7"/>
  <c r="C453" i="7"/>
  <c r="C454" i="7"/>
  <c r="C455" i="7"/>
  <c r="C456" i="7"/>
  <c r="C457" i="7"/>
  <c r="C458" i="7"/>
  <c r="C459" i="7"/>
  <c r="C460" i="7"/>
  <c r="C461" i="7"/>
  <c r="C462" i="7"/>
  <c r="C463" i="7"/>
  <c r="C464" i="7"/>
  <c r="C465" i="7"/>
  <c r="C466" i="7"/>
  <c r="C467" i="7"/>
  <c r="C468" i="7"/>
  <c r="C469" i="7"/>
  <c r="C470" i="7"/>
  <c r="C471" i="7"/>
  <c r="C472" i="7"/>
  <c r="C473" i="7"/>
  <c r="C474" i="7"/>
  <c r="C475" i="7"/>
  <c r="C476" i="7"/>
  <c r="C477" i="7"/>
  <c r="C478" i="7"/>
  <c r="C479" i="7"/>
  <c r="C480" i="7"/>
  <c r="C481" i="7"/>
  <c r="C482" i="7"/>
  <c r="C483" i="7"/>
  <c r="C484" i="7"/>
  <c r="C485" i="7"/>
  <c r="C486" i="7"/>
  <c r="C487" i="7"/>
  <c r="C488" i="7"/>
  <c r="C489" i="7"/>
  <c r="C490" i="7"/>
  <c r="C491" i="7"/>
  <c r="C492" i="7"/>
  <c r="C493" i="7"/>
  <c r="C494" i="7"/>
  <c r="C495" i="7"/>
  <c r="C496" i="7"/>
  <c r="C497" i="7"/>
  <c r="C498" i="7"/>
  <c r="C499" i="7"/>
  <c r="C500" i="7"/>
  <c r="C501" i="7"/>
  <c r="C502" i="7"/>
  <c r="C503" i="7"/>
  <c r="C504" i="7"/>
  <c r="C505" i="7"/>
  <c r="C506" i="7"/>
  <c r="C507" i="7"/>
  <c r="C508" i="7"/>
  <c r="C509" i="7"/>
  <c r="C510" i="7"/>
  <c r="C511" i="7"/>
  <c r="C512" i="7"/>
  <c r="C513" i="7"/>
  <c r="C514" i="7"/>
  <c r="C515" i="7"/>
  <c r="C516" i="7"/>
  <c r="C517" i="7"/>
  <c r="C518" i="7"/>
  <c r="C519" i="7"/>
  <c r="C520" i="7"/>
  <c r="C521" i="7"/>
  <c r="C522" i="7"/>
  <c r="C523" i="7"/>
  <c r="C524" i="7"/>
  <c r="C525" i="7"/>
  <c r="C526" i="7"/>
  <c r="C527" i="7"/>
  <c r="C528" i="7"/>
  <c r="C529" i="7"/>
  <c r="C530" i="7"/>
  <c r="C531" i="7"/>
  <c r="C532" i="7"/>
  <c r="C533" i="7"/>
  <c r="C534" i="7"/>
  <c r="C535" i="7"/>
  <c r="C536" i="7"/>
  <c r="C537" i="7"/>
  <c r="C538" i="7"/>
  <c r="C539" i="7"/>
  <c r="C540" i="7"/>
  <c r="C541" i="7"/>
  <c r="C542" i="7"/>
  <c r="C543" i="7"/>
  <c r="C544" i="7"/>
  <c r="C545" i="7"/>
  <c r="C546" i="7"/>
  <c r="C547" i="7"/>
  <c r="C548" i="7"/>
  <c r="C549" i="7"/>
  <c r="C550" i="7"/>
  <c r="C551" i="7"/>
  <c r="C552" i="7"/>
  <c r="C553" i="7"/>
  <c r="C554" i="7"/>
  <c r="C555" i="7"/>
  <c r="C556" i="7"/>
  <c r="C557" i="7"/>
  <c r="C558" i="7"/>
  <c r="C559" i="7"/>
  <c r="C560" i="7"/>
  <c r="C561" i="7"/>
  <c r="C562" i="7"/>
  <c r="C563" i="7"/>
  <c r="C564" i="7"/>
  <c r="C565" i="7"/>
  <c r="C566" i="7"/>
  <c r="C567" i="7"/>
  <c r="C568" i="7"/>
  <c r="C569" i="7"/>
  <c r="C570" i="7"/>
  <c r="C571" i="7"/>
  <c r="C572" i="7"/>
  <c r="C573" i="7"/>
  <c r="C574" i="7"/>
  <c r="C575" i="7"/>
  <c r="C576" i="7"/>
  <c r="C577" i="7"/>
  <c r="C578" i="7"/>
  <c r="C579" i="7"/>
  <c r="C580" i="7"/>
  <c r="C581" i="7"/>
  <c r="C582" i="7"/>
  <c r="C583" i="7"/>
  <c r="C584" i="7"/>
  <c r="C585" i="7"/>
  <c r="C586" i="7"/>
  <c r="C587" i="7"/>
  <c r="C588" i="7"/>
  <c r="C589" i="7"/>
  <c r="C590" i="7"/>
  <c r="C591" i="7"/>
  <c r="C592" i="7"/>
  <c r="C593" i="7"/>
  <c r="C594" i="7"/>
  <c r="C595" i="7"/>
  <c r="C596" i="7"/>
  <c r="C597" i="7"/>
  <c r="C598" i="7"/>
  <c r="C599" i="7"/>
  <c r="C600" i="7"/>
  <c r="C601" i="7"/>
  <c r="C602" i="7"/>
  <c r="C603" i="7"/>
  <c r="C604" i="7"/>
  <c r="C605" i="7"/>
  <c r="C606" i="7"/>
  <c r="C607" i="7"/>
  <c r="C608" i="7"/>
  <c r="C609" i="7"/>
  <c r="C610" i="7"/>
  <c r="C611" i="7"/>
  <c r="C612" i="7"/>
  <c r="C613" i="7"/>
  <c r="C614" i="7"/>
  <c r="C615" i="7"/>
  <c r="C616" i="7"/>
  <c r="C617" i="7"/>
  <c r="C618" i="7"/>
  <c r="C619" i="7"/>
  <c r="C620" i="7"/>
  <c r="C621" i="7"/>
  <c r="C622" i="7"/>
  <c r="C623" i="7"/>
  <c r="C624" i="7"/>
  <c r="C625" i="7"/>
  <c r="C626" i="7"/>
  <c r="C627" i="7"/>
  <c r="C628" i="7"/>
  <c r="C629" i="7"/>
  <c r="C630" i="7"/>
  <c r="C631" i="7"/>
  <c r="C632" i="7"/>
  <c r="C633" i="7"/>
  <c r="C634" i="7"/>
  <c r="C635" i="7"/>
  <c r="C636" i="7"/>
  <c r="C637" i="7"/>
  <c r="C638" i="7"/>
  <c r="C639" i="7"/>
  <c r="C640" i="7"/>
  <c r="C641" i="7"/>
  <c r="C642" i="7"/>
  <c r="C643" i="7"/>
  <c r="C644" i="7"/>
  <c r="C645" i="7"/>
  <c r="C646" i="7"/>
  <c r="C647" i="7"/>
  <c r="C648" i="7"/>
  <c r="C649" i="7"/>
  <c r="C650" i="7"/>
  <c r="C651" i="7"/>
  <c r="C652" i="7"/>
  <c r="C653" i="7"/>
  <c r="C654" i="7"/>
  <c r="C655" i="7"/>
  <c r="C656" i="7"/>
  <c r="C657" i="7"/>
  <c r="C658" i="7"/>
  <c r="C659" i="7"/>
  <c r="C660" i="7"/>
  <c r="C661" i="7"/>
  <c r="C662" i="7"/>
  <c r="C663" i="7"/>
  <c r="C664" i="7"/>
  <c r="C665" i="7"/>
  <c r="C666" i="7"/>
  <c r="C667" i="7"/>
  <c r="C668" i="7"/>
  <c r="C669" i="7"/>
  <c r="C670" i="7"/>
  <c r="C671" i="7"/>
  <c r="C672" i="7"/>
  <c r="C673" i="7"/>
  <c r="C674" i="7"/>
  <c r="C675" i="7"/>
  <c r="C676" i="7"/>
  <c r="C677" i="7"/>
  <c r="C678" i="7"/>
  <c r="C679" i="7"/>
  <c r="C680" i="7"/>
  <c r="C681" i="7"/>
  <c r="C682" i="7"/>
  <c r="C683" i="7"/>
  <c r="C684" i="7"/>
  <c r="C685" i="7"/>
  <c r="C686" i="7"/>
  <c r="C687" i="7"/>
  <c r="C688" i="7"/>
  <c r="C689" i="7"/>
  <c r="C690" i="7"/>
  <c r="C691" i="7"/>
  <c r="C692" i="7"/>
  <c r="C693" i="7"/>
  <c r="C694" i="7"/>
  <c r="C695" i="7"/>
  <c r="C696" i="7"/>
  <c r="C697" i="7"/>
  <c r="C698" i="7"/>
  <c r="C699" i="7"/>
  <c r="C700" i="7"/>
  <c r="C701" i="7"/>
  <c r="C702" i="7"/>
  <c r="C703" i="7"/>
  <c r="C704" i="7"/>
  <c r="C705" i="7"/>
  <c r="C706" i="7"/>
  <c r="C707" i="7"/>
  <c r="C708" i="7"/>
  <c r="C709" i="7"/>
  <c r="C710" i="7"/>
  <c r="C711" i="7"/>
  <c r="C712" i="7"/>
  <c r="C713" i="7"/>
  <c r="C714" i="7"/>
  <c r="C715" i="7"/>
  <c r="C716" i="7"/>
  <c r="C717" i="7"/>
  <c r="C718" i="7"/>
  <c r="C719" i="7"/>
  <c r="C720" i="7"/>
  <c r="C721" i="7"/>
  <c r="C722" i="7"/>
  <c r="C723" i="7"/>
  <c r="C724" i="7"/>
  <c r="C725" i="7"/>
  <c r="C726" i="7"/>
  <c r="C727" i="7"/>
  <c r="C728" i="7"/>
  <c r="C729" i="7"/>
  <c r="C730" i="7"/>
  <c r="C731" i="7"/>
  <c r="C732" i="7"/>
  <c r="C733" i="7"/>
  <c r="C734" i="7"/>
  <c r="C735" i="7"/>
  <c r="C736" i="7"/>
  <c r="C737" i="7"/>
  <c r="C738" i="7"/>
  <c r="C739" i="7"/>
  <c r="C740" i="7"/>
  <c r="C741" i="7"/>
  <c r="C742" i="7"/>
  <c r="C743" i="7"/>
  <c r="C744" i="7"/>
  <c r="C745" i="7"/>
  <c r="C746" i="7"/>
  <c r="C747" i="7"/>
  <c r="C748" i="7"/>
  <c r="C749" i="7"/>
  <c r="C750" i="7"/>
  <c r="C751" i="7"/>
  <c r="C752" i="7"/>
  <c r="C753" i="7"/>
  <c r="C754" i="7"/>
  <c r="C755" i="7"/>
  <c r="C756" i="7"/>
  <c r="C757" i="7"/>
  <c r="C758" i="7"/>
  <c r="C759" i="7"/>
  <c r="C760" i="7"/>
  <c r="C761" i="7"/>
  <c r="C762" i="7"/>
  <c r="C763" i="7"/>
  <c r="C764" i="7"/>
  <c r="C765" i="7"/>
  <c r="C766" i="7"/>
  <c r="C767" i="7"/>
  <c r="C768" i="7"/>
  <c r="C769" i="7"/>
  <c r="C770" i="7"/>
  <c r="C771" i="7"/>
  <c r="C772" i="7"/>
  <c r="C773" i="7"/>
  <c r="C774" i="7"/>
  <c r="C775" i="7"/>
  <c r="C776" i="7"/>
  <c r="C777" i="7"/>
  <c r="C778" i="7"/>
  <c r="C779" i="7"/>
  <c r="C780" i="7"/>
  <c r="C781" i="7"/>
  <c r="C782" i="7"/>
  <c r="C783" i="7"/>
  <c r="C784" i="7"/>
  <c r="C785" i="7"/>
  <c r="C786" i="7"/>
  <c r="C787" i="7"/>
  <c r="C788" i="7"/>
  <c r="C789" i="7"/>
  <c r="C790" i="7"/>
  <c r="C791" i="7"/>
  <c r="C792" i="7"/>
  <c r="C793" i="7"/>
  <c r="C794" i="7"/>
  <c r="C795" i="7"/>
  <c r="C796" i="7"/>
  <c r="C797" i="7"/>
  <c r="C798" i="7"/>
  <c r="C799" i="7"/>
  <c r="C800" i="7"/>
  <c r="C801" i="7"/>
  <c r="C802" i="7"/>
  <c r="C803" i="7"/>
  <c r="C804" i="7"/>
  <c r="C805" i="7"/>
  <c r="C806" i="7"/>
  <c r="C807" i="7"/>
  <c r="C808" i="7"/>
  <c r="C809" i="7"/>
  <c r="C810" i="7"/>
  <c r="C811" i="7"/>
  <c r="C812" i="7"/>
  <c r="C813" i="7"/>
  <c r="C814" i="7"/>
  <c r="C815" i="7"/>
  <c r="C816" i="7"/>
  <c r="C817" i="7"/>
  <c r="C818" i="7"/>
  <c r="C819" i="7"/>
  <c r="C820" i="7"/>
  <c r="C821" i="7"/>
  <c r="C822" i="7"/>
  <c r="C823" i="7"/>
  <c r="C824" i="7"/>
  <c r="C825" i="7"/>
  <c r="C826" i="7"/>
  <c r="C827" i="7"/>
  <c r="C828" i="7"/>
  <c r="C829" i="7"/>
  <c r="C830" i="7"/>
  <c r="C831" i="7"/>
  <c r="C832" i="7"/>
  <c r="C833" i="7"/>
  <c r="C834" i="7"/>
  <c r="C835" i="7"/>
  <c r="C836" i="7"/>
  <c r="C837" i="7"/>
  <c r="C838" i="7"/>
  <c r="C839" i="7"/>
  <c r="C840" i="7"/>
  <c r="C841" i="7"/>
  <c r="C842" i="7"/>
  <c r="C843" i="7"/>
  <c r="C844" i="7"/>
  <c r="C845" i="7"/>
  <c r="C846" i="7"/>
  <c r="C847" i="7"/>
  <c r="C848" i="7"/>
  <c r="C849" i="7"/>
  <c r="C850" i="7"/>
  <c r="C851" i="7"/>
  <c r="C852" i="7"/>
  <c r="C853" i="7"/>
  <c r="C854" i="7"/>
  <c r="C855" i="7"/>
  <c r="C856" i="7"/>
  <c r="C857" i="7"/>
  <c r="C858" i="7"/>
  <c r="C859" i="7"/>
  <c r="C860" i="7"/>
  <c r="C861" i="7"/>
  <c r="C862" i="7"/>
  <c r="C863" i="7"/>
  <c r="C864" i="7"/>
  <c r="C865" i="7"/>
  <c r="C866" i="7"/>
  <c r="C867" i="7"/>
  <c r="C868" i="7"/>
  <c r="C869" i="7"/>
  <c r="C870" i="7"/>
  <c r="C871" i="7"/>
  <c r="C872" i="7"/>
  <c r="C873" i="7"/>
  <c r="C874" i="7"/>
  <c r="C875" i="7"/>
  <c r="C876" i="7"/>
  <c r="C877" i="7"/>
  <c r="C878" i="7"/>
  <c r="C879" i="7"/>
  <c r="C880" i="7"/>
  <c r="C881" i="7"/>
  <c r="C882" i="7"/>
  <c r="C883" i="7"/>
  <c r="C884" i="7"/>
  <c r="C885" i="7"/>
  <c r="C886" i="7"/>
  <c r="C887" i="7"/>
  <c r="C888" i="7"/>
  <c r="C889" i="7"/>
  <c r="C890" i="7"/>
  <c r="C891" i="7"/>
  <c r="C892" i="7"/>
  <c r="C893" i="7"/>
  <c r="C894" i="7"/>
  <c r="C895" i="7"/>
  <c r="C896" i="7"/>
  <c r="C897" i="7"/>
  <c r="C898" i="7"/>
  <c r="C899" i="7"/>
  <c r="C900" i="7"/>
  <c r="C901" i="7"/>
  <c r="C902" i="7"/>
  <c r="C903" i="7"/>
  <c r="C904" i="7"/>
  <c r="C905" i="7"/>
  <c r="C906" i="7"/>
  <c r="C907" i="7"/>
  <c r="C908" i="7"/>
  <c r="C909" i="7"/>
  <c r="C910" i="7"/>
  <c r="C911" i="7"/>
  <c r="C912" i="7"/>
  <c r="C913" i="7"/>
  <c r="C914" i="7"/>
  <c r="C915" i="7"/>
  <c r="C916" i="7"/>
  <c r="C917" i="7"/>
  <c r="C918" i="7"/>
  <c r="C919" i="7"/>
  <c r="C920" i="7"/>
  <c r="C921" i="7"/>
  <c r="C922" i="7"/>
  <c r="C923" i="7"/>
  <c r="C924" i="7"/>
  <c r="C925" i="7"/>
  <c r="C926" i="7"/>
  <c r="C927" i="7"/>
  <c r="C928" i="7"/>
  <c r="C929" i="7"/>
  <c r="C930" i="7"/>
  <c r="C931" i="7"/>
  <c r="C932" i="7"/>
  <c r="C933" i="7"/>
  <c r="C934" i="7"/>
  <c r="C935" i="7"/>
  <c r="C936" i="7"/>
  <c r="C937" i="7"/>
  <c r="C938" i="7"/>
  <c r="C939" i="7"/>
  <c r="C940" i="7"/>
  <c r="C941" i="7"/>
  <c r="C942" i="7"/>
  <c r="C943" i="7"/>
  <c r="C944" i="7"/>
  <c r="C945" i="7"/>
  <c r="C946" i="7"/>
  <c r="C947" i="7"/>
  <c r="C948" i="7"/>
  <c r="C949" i="7"/>
  <c r="C950" i="7"/>
  <c r="C951" i="7"/>
  <c r="C952" i="7"/>
  <c r="C953" i="7"/>
  <c r="C954" i="7"/>
  <c r="C955" i="7"/>
  <c r="C956" i="7"/>
  <c r="C957" i="7"/>
  <c r="C958" i="7"/>
  <c r="C959" i="7"/>
  <c r="C960" i="7"/>
  <c r="C961" i="7"/>
  <c r="C962" i="7"/>
  <c r="C963" i="7"/>
  <c r="C964" i="7"/>
  <c r="C965" i="7"/>
  <c r="C966" i="7"/>
  <c r="C967" i="7"/>
  <c r="C968" i="7"/>
  <c r="C969" i="7"/>
  <c r="C970" i="7"/>
  <c r="C971" i="7"/>
  <c r="C972" i="7"/>
  <c r="C973" i="7"/>
  <c r="C974" i="7"/>
  <c r="C975" i="7"/>
  <c r="C976" i="7"/>
  <c r="C977" i="7"/>
  <c r="C978" i="7"/>
  <c r="C979" i="7"/>
  <c r="C980" i="7"/>
  <c r="C981" i="7"/>
  <c r="C982" i="7"/>
  <c r="C983" i="7"/>
  <c r="C984" i="7"/>
  <c r="C985" i="7"/>
  <c r="C986" i="7"/>
  <c r="C987" i="7"/>
  <c r="C988" i="7"/>
  <c r="C989" i="7"/>
  <c r="C990" i="7"/>
  <c r="C991" i="7"/>
  <c r="C992" i="7"/>
  <c r="C993" i="7"/>
  <c r="C994" i="7"/>
  <c r="C995" i="7"/>
  <c r="C996" i="7"/>
  <c r="C997" i="7"/>
  <c r="C998" i="7"/>
  <c r="C999" i="7"/>
  <c r="C1000" i="7"/>
  <c r="C1001" i="7"/>
  <c r="C1002" i="7"/>
  <c r="C1003" i="7"/>
  <c r="C1004" i="7"/>
  <c r="C1005" i="7"/>
  <c r="C1006" i="7"/>
  <c r="C1007" i="7"/>
  <c r="C1008" i="7"/>
  <c r="C1009" i="7"/>
  <c r="C1010" i="7"/>
  <c r="C1011" i="7"/>
  <c r="C1012" i="7"/>
  <c r="C1013" i="7"/>
  <c r="C1014" i="7"/>
  <c r="C1015" i="7"/>
  <c r="C1016" i="7"/>
  <c r="C1017" i="7"/>
  <c r="C1018" i="7"/>
  <c r="C1019" i="7"/>
  <c r="C1020" i="7"/>
  <c r="C1021" i="7"/>
  <c r="C1022" i="7"/>
  <c r="C1023" i="7"/>
  <c r="C1024" i="7"/>
  <c r="C1025" i="7"/>
  <c r="C1026" i="7"/>
  <c r="C1027" i="7"/>
  <c r="C1028" i="7"/>
  <c r="C1029" i="7"/>
  <c r="C1030" i="7"/>
  <c r="C1031" i="7"/>
  <c r="C1032" i="7"/>
  <c r="C1033" i="7"/>
  <c r="C1034" i="7"/>
  <c r="C1035" i="7"/>
  <c r="C1036" i="7"/>
  <c r="C1037" i="7"/>
  <c r="C1038" i="7"/>
  <c r="C1039" i="7"/>
  <c r="C1040" i="7"/>
  <c r="C1041" i="7"/>
  <c r="C1042" i="7"/>
  <c r="C1043" i="7"/>
  <c r="C1044" i="7"/>
  <c r="C1045" i="7"/>
  <c r="C1046" i="7"/>
  <c r="C1047" i="7"/>
  <c r="C1048" i="7"/>
  <c r="C1049" i="7"/>
  <c r="C1050" i="7"/>
  <c r="C1051" i="7"/>
  <c r="C1052" i="7"/>
  <c r="C1053" i="7"/>
  <c r="C1054" i="7"/>
  <c r="C1055" i="7"/>
  <c r="C1056" i="7"/>
  <c r="C1057" i="7"/>
  <c r="C1058" i="7"/>
  <c r="C1059" i="7"/>
  <c r="C1060" i="7"/>
  <c r="C1061" i="7"/>
  <c r="C1062" i="7"/>
  <c r="C1063" i="7"/>
  <c r="C1064" i="7"/>
  <c r="C1065" i="7"/>
  <c r="C1066" i="7"/>
  <c r="C1067" i="7"/>
  <c r="C1068" i="7"/>
  <c r="C1069" i="7"/>
  <c r="C1070" i="7"/>
  <c r="C1071" i="7"/>
  <c r="C1072" i="7"/>
  <c r="C1073" i="7"/>
  <c r="C1074" i="7"/>
  <c r="C1075" i="7"/>
  <c r="C1076" i="7"/>
  <c r="C1077" i="7"/>
  <c r="C1078" i="7"/>
  <c r="C1079" i="7"/>
  <c r="C1080" i="7"/>
  <c r="C1081" i="7"/>
  <c r="C1082" i="7"/>
  <c r="C1083" i="7"/>
  <c r="C1084" i="7"/>
  <c r="C1085" i="7"/>
  <c r="C1086" i="7"/>
  <c r="C1087" i="7"/>
  <c r="C1088" i="7"/>
  <c r="C1089" i="7"/>
  <c r="C1090" i="7"/>
  <c r="C1091" i="7"/>
  <c r="C1092" i="7"/>
  <c r="C1093" i="7"/>
  <c r="C1094" i="7"/>
  <c r="C1095" i="7"/>
  <c r="C1096" i="7"/>
  <c r="C1097" i="7"/>
  <c r="C1098" i="7"/>
  <c r="C1099" i="7"/>
  <c r="C1100" i="7"/>
  <c r="C1101" i="7"/>
  <c r="C1102" i="7"/>
  <c r="C1103" i="7"/>
  <c r="C1104" i="7"/>
  <c r="C1105" i="7"/>
  <c r="C1106" i="7"/>
  <c r="C1107" i="7"/>
  <c r="C1108" i="7"/>
  <c r="C1109" i="7"/>
  <c r="C1110" i="7"/>
  <c r="C1111" i="7"/>
  <c r="C1112" i="7"/>
  <c r="C1113" i="7"/>
  <c r="C1114" i="7"/>
  <c r="C1115" i="7"/>
  <c r="C1116" i="7"/>
  <c r="C1117" i="7"/>
  <c r="C1118" i="7"/>
  <c r="C1119" i="7"/>
  <c r="C1120" i="7"/>
  <c r="C1121" i="7"/>
  <c r="C1122" i="7"/>
  <c r="C1123" i="7"/>
  <c r="C1124" i="7"/>
  <c r="C1125" i="7"/>
  <c r="C1126" i="7"/>
  <c r="C1127" i="7"/>
  <c r="C1128" i="7"/>
  <c r="C1129" i="7"/>
  <c r="C1130" i="7"/>
  <c r="C1131" i="7"/>
  <c r="C1132" i="7"/>
  <c r="C1133" i="7"/>
  <c r="C1134" i="7"/>
  <c r="C1135" i="7"/>
  <c r="C1136" i="7"/>
  <c r="C1137" i="7"/>
  <c r="C1138" i="7"/>
  <c r="C1139" i="7"/>
  <c r="C1140" i="7"/>
  <c r="C1141" i="7"/>
  <c r="C1142" i="7"/>
  <c r="C1143" i="7"/>
  <c r="C1144" i="7"/>
  <c r="C1145" i="7"/>
  <c r="C1146" i="7"/>
  <c r="C1147" i="7"/>
  <c r="C1148" i="7"/>
  <c r="C1149" i="7"/>
  <c r="C1150" i="7"/>
  <c r="C1151" i="7"/>
  <c r="C1152" i="7"/>
  <c r="C1153" i="7"/>
  <c r="C1154" i="7"/>
  <c r="C1155" i="7"/>
  <c r="C1156" i="7"/>
  <c r="C1157" i="7"/>
  <c r="C1158" i="7"/>
  <c r="C1159" i="7"/>
  <c r="C1160" i="7"/>
  <c r="C1161" i="7"/>
  <c r="C1162" i="7"/>
  <c r="C1163" i="7"/>
  <c r="C1164" i="7"/>
  <c r="C1165" i="7"/>
  <c r="C1166" i="7"/>
  <c r="C1167" i="7"/>
  <c r="C1168" i="7"/>
  <c r="C1169" i="7"/>
  <c r="C1170" i="7"/>
  <c r="C1171" i="7"/>
  <c r="C1172" i="7"/>
  <c r="C1173" i="7"/>
  <c r="C1174" i="7"/>
  <c r="C1175" i="7"/>
  <c r="C1176" i="7"/>
  <c r="C1177" i="7"/>
  <c r="C1178" i="7"/>
  <c r="C1179" i="7"/>
  <c r="C1180" i="7"/>
  <c r="C1181" i="7"/>
  <c r="C1182" i="7"/>
  <c r="C1183" i="7"/>
  <c r="C1184" i="7"/>
  <c r="C1185" i="7"/>
  <c r="C1186" i="7"/>
  <c r="C1187" i="7"/>
  <c r="C1188" i="7"/>
  <c r="C1189" i="7"/>
  <c r="C1190" i="7"/>
  <c r="C1191" i="7"/>
  <c r="C1192" i="7"/>
  <c r="C1193" i="7"/>
  <c r="C1194" i="7"/>
  <c r="C1195" i="7"/>
  <c r="C1196" i="7"/>
  <c r="C1197" i="7"/>
  <c r="C1198" i="7"/>
  <c r="C1199" i="7"/>
  <c r="C1200" i="7"/>
  <c r="C1201" i="7"/>
  <c r="C1202" i="7"/>
  <c r="C1203" i="7"/>
  <c r="C1204" i="7"/>
  <c r="C1205" i="7"/>
  <c r="C1206" i="7"/>
  <c r="C1207" i="7"/>
  <c r="C1208" i="7"/>
  <c r="C1209" i="7"/>
  <c r="C1210" i="7"/>
  <c r="C1211" i="7"/>
  <c r="C1212" i="7"/>
  <c r="C1213" i="7"/>
  <c r="C1214" i="7"/>
  <c r="C1215" i="7"/>
  <c r="C1216" i="7"/>
  <c r="C1217" i="7"/>
  <c r="C1218" i="7"/>
  <c r="C1219" i="7"/>
  <c r="C1220" i="7"/>
  <c r="C1221" i="7"/>
  <c r="C1222" i="7"/>
  <c r="C1223" i="7"/>
  <c r="C1224" i="7"/>
  <c r="C1225" i="7"/>
  <c r="C1226" i="7"/>
  <c r="C1227" i="7"/>
  <c r="C1228" i="7"/>
  <c r="C1229" i="7"/>
  <c r="C1230" i="7"/>
  <c r="C1231" i="7"/>
  <c r="C1232" i="7"/>
  <c r="C1233" i="7"/>
  <c r="C1234" i="7"/>
  <c r="C1235" i="7"/>
  <c r="C1236" i="7"/>
  <c r="C1237" i="7"/>
  <c r="C1238" i="7"/>
  <c r="C1239" i="7"/>
  <c r="C1240" i="7"/>
  <c r="C1241" i="7"/>
  <c r="C1242" i="7"/>
  <c r="C1243" i="7"/>
  <c r="C1244" i="7"/>
  <c r="C1245" i="7"/>
  <c r="C1246" i="7"/>
  <c r="C1247" i="7"/>
  <c r="C1248" i="7"/>
  <c r="C1249" i="7"/>
  <c r="C1250" i="7"/>
  <c r="C1251" i="7"/>
  <c r="C1252" i="7"/>
  <c r="C1253" i="7"/>
  <c r="C1254" i="7"/>
  <c r="C1255" i="7"/>
  <c r="C1256" i="7"/>
  <c r="C1257" i="7"/>
  <c r="C1258" i="7"/>
  <c r="C1259" i="7"/>
  <c r="C1260" i="7"/>
  <c r="C1261" i="7"/>
  <c r="C1262" i="7"/>
  <c r="C1263" i="7"/>
  <c r="C1264" i="7"/>
  <c r="C1265" i="7"/>
  <c r="C1266" i="7"/>
  <c r="C1267" i="7"/>
  <c r="C1268" i="7"/>
  <c r="C1269" i="7"/>
  <c r="C1270" i="7"/>
  <c r="C1271" i="7"/>
  <c r="C1272" i="7"/>
  <c r="C1273" i="7"/>
  <c r="C1274" i="7"/>
  <c r="C1275" i="7"/>
  <c r="C1276" i="7"/>
  <c r="C1277" i="7"/>
  <c r="C1278" i="7"/>
  <c r="C1279" i="7"/>
  <c r="C1280" i="7"/>
  <c r="C1281" i="7"/>
  <c r="C1282" i="7"/>
  <c r="C1283" i="7"/>
  <c r="C1284" i="7"/>
  <c r="C1285" i="7"/>
  <c r="C1286" i="7"/>
  <c r="C1287" i="7"/>
  <c r="C1288" i="7"/>
  <c r="C1289" i="7"/>
  <c r="C1290" i="7"/>
  <c r="C1291" i="7"/>
  <c r="C1292" i="7"/>
  <c r="C1293" i="7"/>
  <c r="C1294" i="7"/>
  <c r="C1295" i="7"/>
  <c r="C1296" i="7"/>
  <c r="C1297" i="7"/>
  <c r="C1298" i="7"/>
  <c r="C1299" i="7"/>
  <c r="C1300" i="7"/>
  <c r="C1301" i="7"/>
  <c r="C1302" i="7"/>
  <c r="C1303" i="7"/>
  <c r="C1304" i="7"/>
  <c r="C1305" i="7"/>
  <c r="C1306" i="7"/>
  <c r="C1307" i="7"/>
  <c r="C1308" i="7"/>
  <c r="C1309" i="7"/>
  <c r="C1310" i="7"/>
  <c r="C1311" i="7"/>
  <c r="C1312" i="7"/>
  <c r="C1313" i="7"/>
  <c r="C1314" i="7"/>
  <c r="C1315" i="7"/>
  <c r="C1316" i="7"/>
  <c r="C1317" i="7"/>
  <c r="C1318" i="7"/>
  <c r="C1319" i="7"/>
  <c r="C1320" i="7"/>
  <c r="C1321" i="7"/>
  <c r="C1322" i="7"/>
  <c r="C1323" i="7"/>
  <c r="C1324" i="7"/>
  <c r="C1325" i="7"/>
  <c r="C1326" i="7"/>
  <c r="C1327" i="7"/>
  <c r="C1328" i="7"/>
  <c r="C1329" i="7"/>
  <c r="C1330" i="7"/>
  <c r="C1331" i="7"/>
  <c r="C1332" i="7"/>
  <c r="C1333" i="7"/>
  <c r="C1334" i="7"/>
  <c r="C1335" i="7"/>
  <c r="C1336" i="7"/>
  <c r="C1337" i="7"/>
  <c r="C1338" i="7"/>
  <c r="C1339" i="7"/>
  <c r="C1340" i="7"/>
  <c r="C1341" i="7"/>
  <c r="C1342" i="7"/>
  <c r="C1343" i="7"/>
  <c r="C1344" i="7"/>
  <c r="C1345" i="7"/>
  <c r="C1346" i="7"/>
  <c r="C1347" i="7"/>
  <c r="C1348" i="7"/>
  <c r="C1349" i="7"/>
  <c r="C1350" i="7"/>
  <c r="C1351" i="7"/>
  <c r="C1352" i="7"/>
  <c r="C1353" i="7"/>
  <c r="C1354" i="7"/>
  <c r="C1355" i="7"/>
  <c r="C1356" i="7"/>
  <c r="C1357" i="7"/>
  <c r="C1358" i="7"/>
  <c r="C1359" i="7"/>
  <c r="C1360" i="7"/>
  <c r="C1361" i="7"/>
  <c r="C1362" i="7"/>
  <c r="C1363" i="7"/>
  <c r="C1364" i="7"/>
  <c r="C1365" i="7"/>
  <c r="C1366" i="7"/>
  <c r="C1367" i="7"/>
  <c r="C1368" i="7"/>
  <c r="C1369" i="7"/>
  <c r="C1370" i="7"/>
  <c r="C1371" i="7"/>
  <c r="C1372" i="7"/>
  <c r="C1373" i="7"/>
  <c r="C1374" i="7"/>
  <c r="C1375" i="7"/>
  <c r="C1376" i="7"/>
  <c r="C1377" i="7"/>
  <c r="C1378" i="7"/>
  <c r="C1379" i="7"/>
  <c r="C1380" i="7"/>
  <c r="C1381" i="7"/>
  <c r="C1382" i="7"/>
  <c r="C1383" i="7"/>
  <c r="C1384" i="7"/>
  <c r="C1385" i="7"/>
  <c r="C1386" i="7"/>
  <c r="C1387" i="7"/>
  <c r="C1388" i="7"/>
  <c r="C1389" i="7"/>
  <c r="C1390" i="7"/>
  <c r="C1391" i="7"/>
  <c r="C1392" i="7"/>
  <c r="C1393" i="7"/>
  <c r="C1394" i="7"/>
  <c r="C1395" i="7"/>
  <c r="C1396" i="7"/>
  <c r="C1397" i="7"/>
  <c r="C1398" i="7"/>
  <c r="C1399" i="7"/>
  <c r="C1400" i="7"/>
  <c r="C1401" i="7"/>
  <c r="C1402" i="7"/>
  <c r="C1403" i="7"/>
  <c r="C1404" i="7"/>
  <c r="C1405" i="7"/>
  <c r="C1406" i="7"/>
  <c r="C1407" i="7"/>
  <c r="C1408" i="7"/>
  <c r="C1409" i="7"/>
  <c r="C1410" i="7"/>
  <c r="C1411" i="7"/>
  <c r="C1412" i="7"/>
  <c r="C1413" i="7"/>
  <c r="C1414" i="7"/>
  <c r="C1415" i="7"/>
  <c r="C1416" i="7"/>
  <c r="C1417" i="7"/>
  <c r="C1418" i="7"/>
  <c r="C1419" i="7"/>
  <c r="C1420" i="7"/>
  <c r="C1421" i="7"/>
  <c r="C1422" i="7"/>
  <c r="C1423" i="7"/>
  <c r="C1424" i="7"/>
  <c r="C1425" i="7"/>
  <c r="C1426" i="7"/>
  <c r="C1427" i="7"/>
  <c r="C1428" i="7"/>
  <c r="C1429" i="7"/>
  <c r="C1430" i="7"/>
  <c r="C1431" i="7"/>
  <c r="C1432" i="7"/>
  <c r="C1433" i="7"/>
  <c r="C1434" i="7"/>
  <c r="C1435" i="7"/>
  <c r="C1436" i="7"/>
  <c r="C1437" i="7"/>
  <c r="C1438" i="7"/>
  <c r="C1439" i="7"/>
  <c r="C1440" i="7"/>
  <c r="C1441" i="7"/>
  <c r="C1442" i="7"/>
  <c r="C1443" i="7"/>
  <c r="C1444" i="7"/>
  <c r="C1445" i="7"/>
  <c r="C1446" i="7"/>
  <c r="C1447" i="7"/>
  <c r="C1448" i="7"/>
  <c r="C1449" i="7"/>
  <c r="C1450" i="7"/>
  <c r="C1451" i="7"/>
  <c r="C1452" i="7"/>
  <c r="C1453" i="7"/>
  <c r="C1454" i="7"/>
  <c r="C1455" i="7"/>
  <c r="C1456" i="7"/>
  <c r="C1457" i="7"/>
  <c r="C1458" i="7"/>
  <c r="C1459" i="7"/>
  <c r="C1460" i="7"/>
  <c r="C1461" i="7"/>
  <c r="C1462" i="7"/>
  <c r="C1463" i="7"/>
  <c r="C1464" i="7"/>
  <c r="C1465" i="7"/>
  <c r="C1466" i="7"/>
  <c r="C1467" i="7"/>
  <c r="C1468" i="7"/>
  <c r="C1469" i="7"/>
  <c r="C1470" i="7"/>
  <c r="C1471" i="7"/>
  <c r="C1472" i="7"/>
  <c r="C1473" i="7"/>
  <c r="C1474" i="7"/>
  <c r="C1475" i="7"/>
  <c r="C1476" i="7"/>
  <c r="C1477" i="7"/>
  <c r="C1478" i="7"/>
  <c r="C1479" i="7"/>
  <c r="C1480" i="7"/>
  <c r="C1481" i="7"/>
  <c r="C1482" i="7"/>
  <c r="C1483" i="7"/>
  <c r="C1484" i="7"/>
  <c r="C1485" i="7"/>
  <c r="C1486" i="7"/>
  <c r="C1487" i="7"/>
  <c r="C1488" i="7"/>
  <c r="C1489" i="7"/>
  <c r="C1490" i="7"/>
  <c r="C1491" i="7"/>
  <c r="C1492" i="7"/>
  <c r="C1493" i="7"/>
  <c r="C1494" i="7"/>
  <c r="C1495" i="7"/>
  <c r="C1496" i="7"/>
  <c r="C1497" i="7"/>
  <c r="C1498" i="7"/>
  <c r="C1499" i="7"/>
  <c r="C1500" i="7"/>
  <c r="C1501" i="7"/>
  <c r="C1502" i="7"/>
  <c r="C1503" i="7"/>
  <c r="C1504" i="7"/>
  <c r="C1505" i="7"/>
  <c r="C1506" i="7"/>
  <c r="C1507" i="7"/>
  <c r="C1508" i="7"/>
  <c r="C1509" i="7"/>
  <c r="C1510" i="7"/>
  <c r="C1511" i="7"/>
  <c r="C1512" i="7"/>
  <c r="C1513" i="7"/>
  <c r="C1514" i="7"/>
  <c r="C1515" i="7"/>
  <c r="C1516" i="7"/>
  <c r="C1517" i="7"/>
  <c r="C1518" i="7"/>
  <c r="C1519" i="7"/>
  <c r="C1520" i="7"/>
  <c r="C1521" i="7"/>
  <c r="C1522" i="7"/>
  <c r="C1523" i="7"/>
  <c r="C1524" i="7"/>
  <c r="C1525" i="7"/>
  <c r="C1526" i="7"/>
  <c r="C1527" i="7"/>
  <c r="C1528" i="7"/>
  <c r="C1529" i="7"/>
  <c r="C1530" i="7"/>
  <c r="C1531" i="7"/>
  <c r="C1532" i="7"/>
  <c r="C1533" i="7"/>
  <c r="C1534" i="7"/>
  <c r="C1535" i="7"/>
  <c r="C1536" i="7"/>
  <c r="C1537" i="7"/>
  <c r="C1538" i="7"/>
  <c r="C1539" i="7"/>
  <c r="C1540" i="7"/>
  <c r="C1541" i="7"/>
  <c r="C1542" i="7"/>
  <c r="C1543" i="7"/>
  <c r="C1544" i="7"/>
  <c r="C1545" i="7"/>
  <c r="C1546" i="7"/>
  <c r="C1547" i="7"/>
  <c r="C1548" i="7"/>
  <c r="C1549" i="7"/>
  <c r="C1550" i="7"/>
  <c r="C1551" i="7"/>
  <c r="C1552" i="7"/>
  <c r="C1553" i="7"/>
  <c r="C1554" i="7"/>
  <c r="C1555" i="7"/>
  <c r="C1556" i="7"/>
  <c r="C1557" i="7"/>
  <c r="C1558" i="7"/>
  <c r="C1559" i="7"/>
  <c r="C1560" i="7"/>
  <c r="C1561" i="7"/>
  <c r="C1562" i="7"/>
  <c r="C1563" i="7"/>
  <c r="C1564" i="7"/>
  <c r="C1565" i="7"/>
  <c r="C1566" i="7"/>
  <c r="C1567" i="7"/>
  <c r="C1568" i="7"/>
  <c r="C1569" i="7"/>
  <c r="C1570" i="7"/>
  <c r="C1571" i="7"/>
  <c r="C1572" i="7"/>
  <c r="C1573" i="7"/>
  <c r="C1574" i="7"/>
  <c r="C1575" i="7"/>
  <c r="C1576" i="7"/>
  <c r="C1577" i="7"/>
  <c r="C1578" i="7"/>
  <c r="C1579" i="7"/>
  <c r="C1580" i="7"/>
  <c r="C1581" i="7"/>
  <c r="C1582" i="7"/>
  <c r="C1583" i="7"/>
  <c r="C1584" i="7"/>
  <c r="C1585" i="7"/>
  <c r="C1586" i="7"/>
  <c r="C1587" i="7"/>
  <c r="C1588" i="7"/>
  <c r="C1589" i="7"/>
  <c r="C1590" i="7"/>
  <c r="C1591" i="7"/>
  <c r="C1592" i="7"/>
  <c r="C1593" i="7"/>
  <c r="C1594" i="7"/>
  <c r="C1595" i="7"/>
  <c r="C1596" i="7"/>
  <c r="C1597" i="7"/>
  <c r="C1598" i="7"/>
  <c r="C1599" i="7"/>
  <c r="C1600" i="7"/>
  <c r="C1601" i="7"/>
  <c r="C1602" i="7"/>
  <c r="C1603" i="7"/>
  <c r="C1604" i="7"/>
  <c r="C1605" i="7"/>
  <c r="C1606" i="7"/>
  <c r="C1607" i="7"/>
  <c r="C1608" i="7"/>
  <c r="C1609" i="7"/>
  <c r="C1610" i="7"/>
  <c r="C1611" i="7"/>
  <c r="C1612" i="7"/>
  <c r="C1613" i="7"/>
  <c r="C1614" i="7"/>
  <c r="C1615" i="7"/>
  <c r="C1616" i="7"/>
  <c r="C1617" i="7"/>
  <c r="C1618" i="7"/>
  <c r="C1619" i="7"/>
  <c r="C1620" i="7"/>
  <c r="C1621" i="7"/>
  <c r="C1622" i="7"/>
  <c r="C1623" i="7"/>
  <c r="C1624" i="7"/>
  <c r="C1625" i="7"/>
  <c r="C1626" i="7"/>
  <c r="C1627" i="7"/>
  <c r="C1628" i="7"/>
  <c r="C1629" i="7"/>
  <c r="C1630" i="7"/>
  <c r="C1631" i="7"/>
  <c r="C1632" i="7"/>
  <c r="C1633" i="7"/>
  <c r="C1634" i="7"/>
  <c r="C1635" i="7"/>
  <c r="C1636" i="7"/>
  <c r="C1637" i="7"/>
  <c r="C1638" i="7"/>
  <c r="C1639" i="7"/>
  <c r="C1640" i="7"/>
  <c r="C1641" i="7"/>
  <c r="C1642" i="7"/>
  <c r="C1643" i="7"/>
  <c r="C1644" i="7"/>
  <c r="C1645" i="7"/>
  <c r="C1646" i="7"/>
  <c r="C1647" i="7"/>
  <c r="C1648" i="7"/>
  <c r="C1649" i="7"/>
  <c r="C1650" i="7"/>
  <c r="C1651" i="7"/>
  <c r="C1652" i="7"/>
  <c r="C1653" i="7"/>
  <c r="C1654" i="7"/>
  <c r="C1655" i="7"/>
  <c r="C1656" i="7"/>
  <c r="C1657" i="7"/>
  <c r="C1658" i="7"/>
  <c r="C1659" i="7"/>
  <c r="C1660" i="7"/>
  <c r="C1661" i="7"/>
  <c r="C1662" i="7"/>
  <c r="C1663" i="7"/>
  <c r="C1664" i="7"/>
  <c r="C1665" i="7"/>
  <c r="C1666" i="7"/>
  <c r="C1667" i="7"/>
  <c r="C1668" i="7"/>
  <c r="C1669" i="7"/>
  <c r="C1670" i="7"/>
  <c r="C1671" i="7"/>
  <c r="C1672" i="7"/>
  <c r="C1673" i="7"/>
  <c r="C1674" i="7"/>
  <c r="C1675" i="7"/>
  <c r="C1676" i="7"/>
  <c r="C1677" i="7"/>
  <c r="C1678" i="7"/>
  <c r="C1679" i="7"/>
  <c r="C1680" i="7"/>
  <c r="C1681" i="7"/>
  <c r="C1682" i="7"/>
  <c r="C1683" i="7"/>
  <c r="C1684" i="7"/>
  <c r="C1685" i="7"/>
  <c r="C1686" i="7"/>
  <c r="C1687" i="7"/>
  <c r="C1688" i="7"/>
  <c r="C1689" i="7"/>
  <c r="C1690" i="7"/>
  <c r="C1691" i="7"/>
  <c r="C1692" i="7"/>
  <c r="C1693" i="7"/>
  <c r="C1694" i="7"/>
  <c r="C1695" i="7"/>
  <c r="C1696" i="7"/>
  <c r="C1697" i="7"/>
  <c r="C1698" i="7"/>
  <c r="C1699" i="7"/>
  <c r="C1700" i="7"/>
  <c r="C1701" i="7"/>
  <c r="C1702" i="7"/>
  <c r="C1703" i="7"/>
  <c r="C1704" i="7"/>
  <c r="C1705" i="7"/>
  <c r="C1706" i="7"/>
  <c r="C1707" i="7"/>
  <c r="C1708" i="7"/>
  <c r="C1709" i="7"/>
  <c r="C1710" i="7"/>
  <c r="C1711" i="7"/>
  <c r="C1712" i="7"/>
  <c r="C1713" i="7"/>
  <c r="C1714" i="7"/>
  <c r="C1715" i="7"/>
  <c r="C1716" i="7"/>
  <c r="C1717" i="7"/>
  <c r="C1718" i="7"/>
  <c r="C1719" i="7"/>
  <c r="C1720" i="7"/>
  <c r="C1721" i="7"/>
  <c r="C1722" i="7"/>
  <c r="C1723" i="7"/>
  <c r="C1724" i="7"/>
  <c r="C1725" i="7"/>
  <c r="C1726" i="7"/>
  <c r="C1727" i="7"/>
  <c r="C1728" i="7"/>
  <c r="C1729" i="7"/>
  <c r="C1730" i="7"/>
  <c r="C1731" i="7"/>
  <c r="C1732" i="7"/>
  <c r="C1733" i="7"/>
  <c r="C1734" i="7"/>
  <c r="C1735" i="7"/>
  <c r="C1736" i="7"/>
  <c r="C1737" i="7"/>
  <c r="C1738" i="7"/>
  <c r="C1739" i="7"/>
  <c r="C1740" i="7"/>
  <c r="C1741" i="7"/>
  <c r="C1742" i="7"/>
  <c r="C1743" i="7"/>
  <c r="C1744" i="7"/>
  <c r="C1745" i="7"/>
  <c r="C1746" i="7"/>
  <c r="C1747" i="7"/>
  <c r="C1748" i="7"/>
  <c r="C1749" i="7"/>
  <c r="C1750" i="7"/>
  <c r="C1751" i="7"/>
  <c r="C1752" i="7"/>
  <c r="C1753" i="7"/>
  <c r="C1754" i="7"/>
  <c r="C1755" i="7"/>
  <c r="C1756" i="7"/>
  <c r="C1757" i="7"/>
  <c r="C1758" i="7"/>
  <c r="C1759" i="7"/>
  <c r="C1760" i="7"/>
  <c r="C1761" i="7"/>
  <c r="C1762" i="7"/>
  <c r="C1763" i="7"/>
  <c r="C1764" i="7"/>
  <c r="C1765" i="7"/>
  <c r="C1766" i="7"/>
  <c r="C1767" i="7"/>
  <c r="C1768" i="7"/>
  <c r="C1769" i="7"/>
  <c r="C1770" i="7"/>
  <c r="C1771" i="7"/>
  <c r="C1772" i="7"/>
  <c r="C1773" i="7"/>
  <c r="C1774" i="7"/>
  <c r="C1775" i="7"/>
  <c r="C3" i="8"/>
  <c r="C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C52" i="8"/>
  <c r="C53" i="8"/>
  <c r="C54" i="8"/>
  <c r="C55" i="8"/>
  <c r="C56" i="8"/>
  <c r="C57" i="8"/>
  <c r="C58" i="8"/>
  <c r="C59" i="8"/>
  <c r="C60" i="8"/>
  <c r="C61" i="8"/>
  <c r="C62" i="8"/>
  <c r="C63" i="8"/>
  <c r="C64" i="8"/>
  <c r="C65" i="8"/>
  <c r="C66" i="8"/>
  <c r="C67" i="8"/>
  <c r="C68" i="8"/>
  <c r="C69" i="8"/>
  <c r="C70" i="8"/>
  <c r="C71" i="8"/>
  <c r="C72" i="8"/>
  <c r="C73" i="8"/>
  <c r="C74" i="8"/>
  <c r="C75" i="8"/>
  <c r="C76" i="8"/>
  <c r="C77" i="8"/>
  <c r="C78" i="8"/>
  <c r="C79" i="8"/>
  <c r="C80" i="8"/>
  <c r="C81" i="8"/>
  <c r="C82" i="8"/>
  <c r="C83" i="8"/>
  <c r="C84" i="8"/>
  <c r="C85" i="8"/>
  <c r="C86" i="8"/>
  <c r="C87" i="8"/>
  <c r="C88" i="8"/>
  <c r="C89" i="8"/>
  <c r="C90" i="8"/>
  <c r="C91" i="8"/>
  <c r="C92" i="8"/>
  <c r="C93" i="8"/>
  <c r="C94" i="8"/>
  <c r="C95" i="8"/>
  <c r="C96" i="8"/>
  <c r="C97" i="8"/>
  <c r="C98" i="8"/>
  <c r="C99" i="8"/>
  <c r="C100" i="8"/>
  <c r="C101" i="8"/>
  <c r="C102" i="8"/>
  <c r="C103" i="8"/>
  <c r="C104" i="8"/>
  <c r="C105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C639" i="8"/>
  <c r="C640" i="8"/>
  <c r="C641" i="8"/>
  <c r="C642" i="8"/>
  <c r="C643" i="8"/>
  <c r="C644" i="8"/>
  <c r="C645" i="8"/>
  <c r="C646" i="8"/>
  <c r="C647" i="8"/>
  <c r="C648" i="8"/>
  <c r="C649" i="8"/>
  <c r="C650" i="8"/>
  <c r="C651" i="8"/>
  <c r="C652" i="8"/>
  <c r="C653" i="8"/>
  <c r="C654" i="8"/>
  <c r="C655" i="8"/>
  <c r="C656" i="8"/>
  <c r="C657" i="8"/>
  <c r="C658" i="8"/>
  <c r="C659" i="8"/>
  <c r="C660" i="8"/>
  <c r="C661" i="8"/>
  <c r="C662" i="8"/>
  <c r="C663" i="8"/>
  <c r="C664" i="8"/>
  <c r="C665" i="8"/>
  <c r="C666" i="8"/>
  <c r="C667" i="8"/>
  <c r="C668" i="8"/>
  <c r="C669" i="8"/>
  <c r="C670" i="8"/>
  <c r="C671" i="8"/>
  <c r="C672" i="8"/>
  <c r="C673" i="8"/>
  <c r="C674" i="8"/>
  <c r="C675" i="8"/>
  <c r="C676" i="8"/>
  <c r="C677" i="8"/>
  <c r="C678" i="8"/>
  <c r="C679" i="8"/>
  <c r="C680" i="8"/>
  <c r="C681" i="8"/>
  <c r="C682" i="8"/>
  <c r="C683" i="8"/>
  <c r="C684" i="8"/>
  <c r="C685" i="8"/>
  <c r="C686" i="8"/>
  <c r="C687" i="8"/>
  <c r="C688" i="8"/>
  <c r="C689" i="8"/>
  <c r="C690" i="8"/>
  <c r="C691" i="8"/>
  <c r="C692" i="8"/>
  <c r="C693" i="8"/>
  <c r="C694" i="8"/>
  <c r="C695" i="8"/>
  <c r="C696" i="8"/>
  <c r="C697" i="8"/>
  <c r="C698" i="8"/>
  <c r="C699" i="8"/>
  <c r="C700" i="8"/>
  <c r="C701" i="8"/>
  <c r="C702" i="8"/>
  <c r="C703" i="8"/>
  <c r="C704" i="8"/>
  <c r="C705" i="8"/>
  <c r="C706" i="8"/>
  <c r="C707" i="8"/>
  <c r="C708" i="8"/>
  <c r="C709" i="8"/>
  <c r="C710" i="8"/>
  <c r="C711" i="8"/>
  <c r="C712" i="8"/>
  <c r="C713" i="8"/>
  <c r="C714" i="8"/>
  <c r="C715" i="8"/>
  <c r="C716" i="8"/>
  <c r="C717" i="8"/>
  <c r="C718" i="8"/>
  <c r="C719" i="8"/>
  <c r="C720" i="8"/>
  <c r="C721" i="8"/>
  <c r="C722" i="8"/>
  <c r="C723" i="8"/>
  <c r="C724" i="8"/>
  <c r="C725" i="8"/>
  <c r="C726" i="8"/>
  <c r="C727" i="8"/>
  <c r="C728" i="8"/>
  <c r="C729" i="8"/>
  <c r="C730" i="8"/>
  <c r="C731" i="8"/>
  <c r="C732" i="8"/>
  <c r="C733" i="8"/>
  <c r="C734" i="8"/>
  <c r="C735" i="8"/>
  <c r="C736" i="8"/>
  <c r="C737" i="8"/>
  <c r="C738" i="8"/>
  <c r="C739" i="8"/>
  <c r="C740" i="8"/>
  <c r="C741" i="8"/>
  <c r="C742" i="8"/>
  <c r="C743" i="8"/>
  <c r="C744" i="8"/>
  <c r="C745" i="8"/>
  <c r="C746" i="8"/>
  <c r="C747" i="8"/>
  <c r="C748" i="8"/>
  <c r="C749" i="8"/>
  <c r="C750" i="8"/>
  <c r="C751" i="8"/>
  <c r="C752" i="8"/>
  <c r="C753" i="8"/>
  <c r="C754" i="8"/>
  <c r="C755" i="8"/>
  <c r="C756" i="8"/>
  <c r="C757" i="8"/>
  <c r="C758" i="8"/>
  <c r="C759" i="8"/>
  <c r="C760" i="8"/>
  <c r="C761" i="8"/>
  <c r="C762" i="8"/>
  <c r="C763" i="8"/>
  <c r="C764" i="8"/>
  <c r="C765" i="8"/>
  <c r="C766" i="8"/>
  <c r="C767" i="8"/>
  <c r="C768" i="8"/>
  <c r="C769" i="8"/>
  <c r="C770" i="8"/>
  <c r="C771" i="8"/>
  <c r="C772" i="8"/>
  <c r="C773" i="8"/>
  <c r="C774" i="8"/>
  <c r="C775" i="8"/>
  <c r="C776" i="8"/>
  <c r="C777" i="8"/>
  <c r="C778" i="8"/>
  <c r="C779" i="8"/>
  <c r="C780" i="8"/>
  <c r="C781" i="8"/>
  <c r="C782" i="8"/>
  <c r="C783" i="8"/>
  <c r="C784" i="8"/>
  <c r="C785" i="8"/>
  <c r="C786" i="8"/>
  <c r="C787" i="8"/>
  <c r="C788" i="8"/>
  <c r="C789" i="8"/>
  <c r="C790" i="8"/>
  <c r="C791" i="8"/>
  <c r="C792" i="8"/>
  <c r="C793" i="8"/>
  <c r="C794" i="8"/>
  <c r="C795" i="8"/>
  <c r="C796" i="8"/>
  <c r="C797" i="8"/>
  <c r="C798" i="8"/>
  <c r="C799" i="8"/>
  <c r="C800" i="8"/>
  <c r="C801" i="8"/>
  <c r="C802" i="8"/>
  <c r="C803" i="8"/>
  <c r="C804" i="8"/>
  <c r="C805" i="8"/>
  <c r="C806" i="8"/>
  <c r="C807" i="8"/>
  <c r="C808" i="8"/>
  <c r="C809" i="8"/>
  <c r="C810" i="8"/>
  <c r="C811" i="8"/>
  <c r="C812" i="8"/>
  <c r="C813" i="8"/>
  <c r="C814" i="8"/>
  <c r="C815" i="8"/>
  <c r="C816" i="8"/>
  <c r="C817" i="8"/>
  <c r="C818" i="8"/>
  <c r="C819" i="8"/>
  <c r="C820" i="8"/>
  <c r="C821" i="8"/>
  <c r="C822" i="8"/>
  <c r="C823" i="8"/>
  <c r="C824" i="8"/>
  <c r="C825" i="8"/>
  <c r="C826" i="8"/>
  <c r="C827" i="8"/>
  <c r="C828" i="8"/>
  <c r="C829" i="8"/>
  <c r="C830" i="8"/>
  <c r="C831" i="8"/>
  <c r="C832" i="8"/>
  <c r="C833" i="8"/>
  <c r="C834" i="8"/>
  <c r="C835" i="8"/>
  <c r="C836" i="8"/>
  <c r="C837" i="8"/>
  <c r="C838" i="8"/>
  <c r="C839" i="8"/>
  <c r="C840" i="8"/>
  <c r="C841" i="8"/>
  <c r="C842" i="8"/>
  <c r="C843" i="8"/>
  <c r="C844" i="8"/>
  <c r="C845" i="8"/>
  <c r="C846" i="8"/>
  <c r="C847" i="8"/>
  <c r="C848" i="8"/>
  <c r="C849" i="8"/>
  <c r="C850" i="8"/>
  <c r="C851" i="8"/>
  <c r="C852" i="8"/>
  <c r="C853" i="8"/>
  <c r="C854" i="8"/>
  <c r="C855" i="8"/>
  <c r="C856" i="8"/>
  <c r="C857" i="8"/>
  <c r="C858" i="8"/>
  <c r="C859" i="8"/>
  <c r="C860" i="8"/>
  <c r="C861" i="8"/>
  <c r="C862" i="8"/>
  <c r="C863" i="8"/>
  <c r="C864" i="8"/>
  <c r="C865" i="8"/>
  <c r="C866" i="8"/>
  <c r="C867" i="8"/>
  <c r="C868" i="8"/>
  <c r="C869" i="8"/>
  <c r="C870" i="8"/>
  <c r="C871" i="8"/>
  <c r="C872" i="8"/>
  <c r="C873" i="8"/>
  <c r="C874" i="8"/>
  <c r="C875" i="8"/>
  <c r="C876" i="8"/>
  <c r="C877" i="8"/>
  <c r="C878" i="8"/>
  <c r="C879" i="8"/>
  <c r="C880" i="8"/>
  <c r="C881" i="8"/>
  <c r="C882" i="8"/>
  <c r="C883" i="8"/>
  <c r="C884" i="8"/>
  <c r="C885" i="8"/>
  <c r="C886" i="8"/>
  <c r="C887" i="8"/>
  <c r="C888" i="8"/>
  <c r="C889" i="8"/>
  <c r="C890" i="8"/>
  <c r="C891" i="8"/>
  <c r="C892" i="8"/>
  <c r="C893" i="8"/>
  <c r="C894" i="8"/>
  <c r="C895" i="8"/>
  <c r="C896" i="8"/>
  <c r="C897" i="8"/>
  <c r="C898" i="8"/>
  <c r="C899" i="8"/>
  <c r="C900" i="8"/>
  <c r="C901" i="8"/>
  <c r="C902" i="8"/>
  <c r="C903" i="8"/>
  <c r="C904" i="8"/>
  <c r="C905" i="8"/>
  <c r="C906" i="8"/>
  <c r="C907" i="8"/>
  <c r="C908" i="8"/>
  <c r="C909" i="8"/>
  <c r="C910" i="8"/>
  <c r="C911" i="8"/>
  <c r="C912" i="8"/>
  <c r="C913" i="8"/>
  <c r="C914" i="8"/>
  <c r="C915" i="8"/>
  <c r="C916" i="8"/>
  <c r="C917" i="8"/>
  <c r="C918" i="8"/>
  <c r="C919" i="8"/>
  <c r="C920" i="8"/>
  <c r="C921" i="8"/>
  <c r="C922" i="8"/>
  <c r="C923" i="8"/>
  <c r="C924" i="8"/>
  <c r="C925" i="8"/>
  <c r="C926" i="8"/>
  <c r="C927" i="8"/>
  <c r="C928" i="8"/>
  <c r="C929" i="8"/>
  <c r="C930" i="8"/>
  <c r="C931" i="8"/>
  <c r="C932" i="8"/>
  <c r="C933" i="8"/>
  <c r="C934" i="8"/>
  <c r="C935" i="8"/>
  <c r="C936" i="8"/>
  <c r="C937" i="8"/>
  <c r="C938" i="8"/>
  <c r="C939" i="8"/>
  <c r="C940" i="8"/>
  <c r="C941" i="8"/>
  <c r="C942" i="8"/>
  <c r="C943" i="8"/>
  <c r="C944" i="8"/>
  <c r="C945" i="8"/>
  <c r="C946" i="8"/>
  <c r="C947" i="8"/>
  <c r="C948" i="8"/>
  <c r="C949" i="8"/>
  <c r="C950" i="8"/>
  <c r="C951" i="8"/>
  <c r="C952" i="8"/>
  <c r="C953" i="8"/>
  <c r="C954" i="8"/>
  <c r="C955" i="8"/>
  <c r="C956" i="8"/>
  <c r="C957" i="8"/>
  <c r="C958" i="8"/>
  <c r="C959" i="8"/>
  <c r="C960" i="8"/>
  <c r="C961" i="8"/>
  <c r="C962" i="8"/>
  <c r="C963" i="8"/>
  <c r="C964" i="8"/>
  <c r="C965" i="8"/>
  <c r="C966" i="8"/>
  <c r="C967" i="8"/>
  <c r="C968" i="8"/>
  <c r="C969" i="8"/>
  <c r="C970" i="8"/>
  <c r="C971" i="8"/>
  <c r="C972" i="8"/>
  <c r="C973" i="8"/>
  <c r="C974" i="8"/>
  <c r="C975" i="8"/>
  <c r="C976" i="8"/>
  <c r="C977" i="8"/>
  <c r="C978" i="8"/>
  <c r="C979" i="8"/>
  <c r="C980" i="8"/>
  <c r="C981" i="8"/>
  <c r="C982" i="8"/>
  <c r="C983" i="8"/>
  <c r="C984" i="8"/>
  <c r="C985" i="8"/>
  <c r="C986" i="8"/>
  <c r="C987" i="8"/>
  <c r="C988" i="8"/>
  <c r="C989" i="8"/>
  <c r="C990" i="8"/>
  <c r="C991" i="8"/>
  <c r="C992" i="8"/>
  <c r="C993" i="8"/>
  <c r="C994" i="8"/>
  <c r="C995" i="8"/>
  <c r="C996" i="8"/>
  <c r="C997" i="8"/>
  <c r="C998" i="8"/>
  <c r="C999" i="8"/>
  <c r="C1000" i="8"/>
  <c r="C1001" i="8"/>
  <c r="C1002" i="8"/>
  <c r="C1003" i="8"/>
  <c r="C1004" i="8"/>
  <c r="C1005" i="8"/>
  <c r="C1006" i="8"/>
  <c r="C1007" i="8"/>
  <c r="C1008" i="8"/>
  <c r="C1009" i="8"/>
  <c r="C1010" i="8"/>
  <c r="C1011" i="8"/>
  <c r="C1012" i="8"/>
  <c r="C1013" i="8"/>
  <c r="C1014" i="8"/>
  <c r="C1015" i="8"/>
  <c r="C1016" i="8"/>
  <c r="C1017" i="8"/>
  <c r="C1018" i="8"/>
  <c r="C1019" i="8"/>
  <c r="C1020" i="8"/>
  <c r="C1021" i="8"/>
  <c r="C1022" i="8"/>
  <c r="C1023" i="8"/>
  <c r="C1024" i="8"/>
  <c r="C1025" i="8"/>
  <c r="C1026" i="8"/>
  <c r="C1027" i="8"/>
  <c r="C1028" i="8"/>
  <c r="C1029" i="8"/>
  <c r="C1030" i="8"/>
  <c r="C1031" i="8"/>
  <c r="C1032" i="8"/>
  <c r="C1033" i="8"/>
  <c r="C1034" i="8"/>
  <c r="C1035" i="8"/>
  <c r="C1036" i="8"/>
  <c r="C1037" i="8"/>
  <c r="C1038" i="8"/>
  <c r="C1039" i="8"/>
  <c r="C1040" i="8"/>
  <c r="C1041" i="8"/>
  <c r="C1042" i="8"/>
  <c r="C1043" i="8"/>
  <c r="C1044" i="8"/>
  <c r="C1045" i="8"/>
  <c r="C1046" i="8"/>
  <c r="C1047" i="8"/>
  <c r="C1048" i="8"/>
  <c r="C1049" i="8"/>
  <c r="C1050" i="8"/>
  <c r="C1051" i="8"/>
  <c r="C1052" i="8"/>
  <c r="C1053" i="8"/>
  <c r="C1054" i="8"/>
  <c r="C1055" i="8"/>
  <c r="C1056" i="8"/>
  <c r="C1057" i="8"/>
  <c r="C1058" i="8"/>
  <c r="C1059" i="8"/>
  <c r="C1060" i="8"/>
  <c r="C1061" i="8"/>
  <c r="C1062" i="8"/>
  <c r="C1063" i="8"/>
  <c r="C1064" i="8"/>
  <c r="C1065" i="8"/>
  <c r="C1066" i="8"/>
  <c r="C1067" i="8"/>
  <c r="C1068" i="8"/>
  <c r="C1069" i="8"/>
  <c r="C1070" i="8"/>
  <c r="C1071" i="8"/>
  <c r="C1072" i="8"/>
  <c r="C1073" i="8"/>
  <c r="C1074" i="8"/>
  <c r="C1075" i="8"/>
  <c r="C1076" i="8"/>
  <c r="C1077" i="8"/>
  <c r="C1078" i="8"/>
  <c r="C1079" i="8"/>
  <c r="C1080" i="8"/>
  <c r="C1081" i="8"/>
  <c r="C1082" i="8"/>
  <c r="C1083" i="8"/>
  <c r="C1084" i="8"/>
  <c r="C1085" i="8"/>
  <c r="C1086" i="8"/>
  <c r="C1087" i="8"/>
  <c r="C1088" i="8"/>
  <c r="C1089" i="8"/>
  <c r="C1090" i="8"/>
  <c r="C1091" i="8"/>
  <c r="C1092" i="8"/>
  <c r="C1093" i="8"/>
  <c r="C1094" i="8"/>
  <c r="C1095" i="8"/>
  <c r="C1096" i="8"/>
  <c r="C1097" i="8"/>
  <c r="C1098" i="8"/>
  <c r="C1099" i="8"/>
  <c r="C1100" i="8"/>
  <c r="C1101" i="8"/>
  <c r="C1102" i="8"/>
  <c r="C1103" i="8"/>
  <c r="C1104" i="8"/>
  <c r="C1105" i="8"/>
  <c r="C1106" i="8"/>
  <c r="C1107" i="8"/>
  <c r="C1108" i="8"/>
  <c r="C1109" i="8"/>
  <c r="C1110" i="8"/>
  <c r="C1111" i="8"/>
  <c r="C1112" i="8"/>
  <c r="C1113" i="8"/>
  <c r="C1114" i="8"/>
  <c r="C1115" i="8"/>
  <c r="C1116" i="8"/>
  <c r="C1117" i="8"/>
  <c r="C1118" i="8"/>
  <c r="C1119" i="8"/>
  <c r="C1120" i="8"/>
  <c r="C1121" i="8"/>
  <c r="C1122" i="8"/>
  <c r="C1123" i="8"/>
  <c r="C1124" i="8"/>
  <c r="C1125" i="8"/>
  <c r="C1126" i="8"/>
  <c r="C1127" i="8"/>
  <c r="C1128" i="8"/>
  <c r="C1129" i="8"/>
  <c r="C1130" i="8"/>
  <c r="C1131" i="8"/>
  <c r="C1132" i="8"/>
  <c r="C1133" i="8"/>
  <c r="C1134" i="8"/>
  <c r="C1135" i="8"/>
  <c r="C1136" i="8"/>
  <c r="C1137" i="8"/>
  <c r="C1138" i="8"/>
  <c r="C1139" i="8"/>
  <c r="C1140" i="8"/>
  <c r="C1141" i="8"/>
  <c r="C1142" i="8"/>
  <c r="C1143" i="8"/>
  <c r="C1144" i="8"/>
  <c r="C1145" i="8"/>
  <c r="C1146" i="8"/>
  <c r="C1147" i="8"/>
  <c r="C1148" i="8"/>
  <c r="C1149" i="8"/>
  <c r="C1150" i="8"/>
  <c r="C1151" i="8"/>
  <c r="C1152" i="8"/>
  <c r="C1153" i="8"/>
  <c r="C1154" i="8"/>
  <c r="C1155" i="8"/>
  <c r="C1156" i="8"/>
  <c r="C1157" i="8"/>
  <c r="C1158" i="8"/>
  <c r="C1159" i="8"/>
  <c r="C1160" i="8"/>
  <c r="C1161" i="8"/>
  <c r="C1162" i="8"/>
  <c r="C1163" i="8"/>
  <c r="C1164" i="8"/>
  <c r="C1165" i="8"/>
  <c r="C1166" i="8"/>
  <c r="C1167" i="8"/>
  <c r="C1168" i="8"/>
  <c r="C1169" i="8"/>
  <c r="C1170" i="8"/>
  <c r="C1171" i="8"/>
  <c r="C1172" i="8"/>
  <c r="C1173" i="8"/>
  <c r="C1174" i="8"/>
  <c r="C1175" i="8"/>
  <c r="C1176" i="8"/>
  <c r="C1177" i="8"/>
  <c r="C1178" i="8"/>
  <c r="C1179" i="8"/>
  <c r="C1180" i="8"/>
  <c r="C1181" i="8"/>
  <c r="C1182" i="8"/>
  <c r="C1183" i="8"/>
  <c r="C1184" i="8"/>
  <c r="C1185" i="8"/>
  <c r="C1186" i="8"/>
  <c r="C1187" i="8"/>
  <c r="C1188" i="8"/>
  <c r="C1189" i="8"/>
  <c r="C1190" i="8"/>
  <c r="C1191" i="8"/>
  <c r="C1192" i="8"/>
  <c r="C1193" i="8"/>
  <c r="C1194" i="8"/>
  <c r="C1195" i="8"/>
  <c r="C1196" i="8"/>
  <c r="C1197" i="8"/>
  <c r="C1198" i="8"/>
  <c r="C1199" i="8"/>
  <c r="C1200" i="8"/>
  <c r="C1201" i="8"/>
  <c r="C1202" i="8"/>
  <c r="C1203" i="8"/>
  <c r="C1204" i="8"/>
  <c r="C1205" i="8"/>
  <c r="C1206" i="8"/>
  <c r="C1207" i="8"/>
  <c r="C1208" i="8"/>
  <c r="C1209" i="8"/>
  <c r="C1210" i="8"/>
  <c r="C1211" i="8"/>
  <c r="C1212" i="8"/>
  <c r="C1213" i="8"/>
  <c r="C1214" i="8"/>
  <c r="C1215" i="8"/>
  <c r="C1216" i="8"/>
  <c r="C1217" i="8"/>
  <c r="C1218" i="8"/>
  <c r="C1219" i="8"/>
  <c r="C1220" i="8"/>
  <c r="C1221" i="8"/>
  <c r="C1222" i="8"/>
  <c r="C1223" i="8"/>
  <c r="C1224" i="8"/>
  <c r="C1225" i="8"/>
  <c r="C1226" i="8"/>
  <c r="C1227" i="8"/>
  <c r="C1228" i="8"/>
  <c r="C1229" i="8"/>
  <c r="C1230" i="8"/>
  <c r="C1231" i="8"/>
  <c r="C1232" i="8"/>
  <c r="C1233" i="8"/>
  <c r="C1234" i="8"/>
  <c r="C1235" i="8"/>
  <c r="C1236" i="8"/>
  <c r="C1237" i="8"/>
  <c r="C1238" i="8"/>
  <c r="C1239" i="8"/>
  <c r="C1240" i="8"/>
  <c r="C1241" i="8"/>
  <c r="C1242" i="8"/>
  <c r="C1243" i="8"/>
  <c r="C1244" i="8"/>
  <c r="C1245" i="8"/>
  <c r="C1246" i="8"/>
  <c r="C1247" i="8"/>
  <c r="C1248" i="8"/>
  <c r="C1249" i="8"/>
  <c r="C1250" i="8"/>
  <c r="C1251" i="8"/>
  <c r="C1252" i="8"/>
  <c r="C1253" i="8"/>
  <c r="C1254" i="8"/>
  <c r="C1255" i="8"/>
  <c r="C1256" i="8"/>
  <c r="C1257" i="8"/>
  <c r="C1258" i="8"/>
  <c r="C1259" i="8"/>
  <c r="C1260" i="8"/>
  <c r="C1261" i="8"/>
  <c r="C1262" i="8"/>
  <c r="C1263" i="8"/>
  <c r="C1264" i="8"/>
  <c r="C1265" i="8"/>
  <c r="C1266" i="8"/>
  <c r="C1267" i="8"/>
  <c r="C1268" i="8"/>
  <c r="C1269" i="8"/>
  <c r="C1270" i="8"/>
  <c r="C1271" i="8"/>
  <c r="C1272" i="8"/>
  <c r="C1273" i="8"/>
  <c r="C1274" i="8"/>
  <c r="C1275" i="8"/>
  <c r="C1276" i="8"/>
  <c r="C1277" i="8"/>
  <c r="C1278" i="8"/>
  <c r="C1279" i="8"/>
  <c r="C1280" i="8"/>
  <c r="C1281" i="8"/>
  <c r="C1282" i="8"/>
  <c r="C1283" i="8"/>
  <c r="C1284" i="8"/>
  <c r="C1285" i="8"/>
  <c r="C1286" i="8"/>
  <c r="C1287" i="8"/>
  <c r="C1288" i="8"/>
  <c r="C1289" i="8"/>
  <c r="C1290" i="8"/>
  <c r="C1291" i="8"/>
  <c r="C1292" i="8"/>
  <c r="C1293" i="8"/>
  <c r="C1294" i="8"/>
  <c r="C1295" i="8"/>
  <c r="C1296" i="8"/>
  <c r="C1297" i="8"/>
  <c r="C1298" i="8"/>
  <c r="C1299" i="8"/>
  <c r="C1300" i="8"/>
  <c r="C1301" i="8"/>
  <c r="C1302" i="8"/>
  <c r="C1303" i="8"/>
  <c r="C1304" i="8"/>
  <c r="C1305" i="8"/>
  <c r="C1306" i="8"/>
  <c r="C1307" i="8"/>
  <c r="C1308" i="8"/>
  <c r="C1309" i="8"/>
  <c r="C1310" i="8"/>
  <c r="C1311" i="8"/>
  <c r="C1312" i="8"/>
  <c r="C1313" i="8"/>
  <c r="C1314" i="8"/>
  <c r="C1315" i="8"/>
  <c r="C1316" i="8"/>
  <c r="C1317" i="8"/>
  <c r="C1318" i="8"/>
  <c r="C1319" i="8"/>
  <c r="C1320" i="8"/>
  <c r="C1321" i="8"/>
  <c r="C1322" i="8"/>
  <c r="C1323" i="8"/>
  <c r="C1324" i="8"/>
  <c r="C1325" i="8"/>
  <c r="C1326" i="8"/>
  <c r="C1327" i="8"/>
  <c r="C1328" i="8"/>
  <c r="C1329" i="8"/>
  <c r="C1330" i="8"/>
  <c r="C1331" i="8"/>
  <c r="C1332" i="8"/>
  <c r="C1333" i="8"/>
  <c r="C1334" i="8"/>
  <c r="C1335" i="8"/>
  <c r="C1336" i="8"/>
  <c r="C1337" i="8"/>
  <c r="C1338" i="8"/>
  <c r="C1339" i="8"/>
  <c r="C1340" i="8"/>
  <c r="C1341" i="8"/>
  <c r="C1342" i="8"/>
  <c r="C1343" i="8"/>
  <c r="C1344" i="8"/>
  <c r="C1345" i="8"/>
  <c r="C1346" i="8"/>
  <c r="C1347" i="8"/>
  <c r="C1348" i="8"/>
  <c r="C1349" i="8"/>
  <c r="C1350" i="8"/>
  <c r="C1351" i="8"/>
  <c r="C1352" i="8"/>
  <c r="C1353" i="8"/>
  <c r="C1354" i="8"/>
  <c r="C1355" i="8"/>
  <c r="C1356" i="8"/>
  <c r="C1357" i="8"/>
  <c r="C1358" i="8"/>
  <c r="C1359" i="8"/>
  <c r="C1360" i="8"/>
  <c r="C1361" i="8"/>
  <c r="C1362" i="8"/>
  <c r="C1363" i="8"/>
  <c r="C1364" i="8"/>
  <c r="C1365" i="8"/>
  <c r="C1366" i="8"/>
  <c r="C1367" i="8"/>
  <c r="C1368" i="8"/>
  <c r="C1369" i="8"/>
  <c r="C1370" i="8"/>
  <c r="C1371" i="8"/>
  <c r="C1372" i="8"/>
  <c r="C1373" i="8"/>
  <c r="C1374" i="8"/>
  <c r="C1375" i="8"/>
  <c r="C1376" i="8"/>
  <c r="C1377" i="8"/>
  <c r="C1378" i="8"/>
  <c r="C1379" i="8"/>
  <c r="C1380" i="8"/>
  <c r="C1381" i="8"/>
  <c r="C1382" i="8"/>
  <c r="C1383" i="8"/>
  <c r="C1384" i="8"/>
  <c r="C1385" i="8"/>
  <c r="C1386" i="8"/>
  <c r="C1387" i="8"/>
  <c r="C1388" i="8"/>
  <c r="C1389" i="8"/>
  <c r="C1390" i="8"/>
  <c r="C1391" i="8"/>
  <c r="C1392" i="8"/>
  <c r="C1393" i="8"/>
  <c r="C1394" i="8"/>
  <c r="C1395" i="8"/>
  <c r="C1396" i="8"/>
  <c r="C1397" i="8"/>
  <c r="C1398" i="8"/>
  <c r="C1399" i="8"/>
  <c r="C1400" i="8"/>
  <c r="C1401" i="8"/>
  <c r="C1402" i="8"/>
  <c r="C1403" i="8"/>
  <c r="C1404" i="8"/>
  <c r="C1405" i="8"/>
  <c r="C1406" i="8"/>
  <c r="C1407" i="8"/>
  <c r="C1408" i="8"/>
  <c r="C1409" i="8"/>
  <c r="C1410" i="8"/>
  <c r="C1411" i="8"/>
  <c r="C1412" i="8"/>
  <c r="C1413" i="8"/>
  <c r="C1414" i="8"/>
  <c r="C1415" i="8"/>
  <c r="C1416" i="8"/>
  <c r="C1417" i="8"/>
  <c r="C1418" i="8"/>
  <c r="C1419" i="8"/>
  <c r="C1420" i="8"/>
  <c r="C1421" i="8"/>
  <c r="C1422" i="8"/>
  <c r="C1423" i="8"/>
  <c r="C1424" i="8"/>
  <c r="C1425" i="8"/>
  <c r="C1426" i="8"/>
  <c r="C1427" i="8"/>
  <c r="C1428" i="8"/>
  <c r="C1429" i="8"/>
  <c r="C1430" i="8"/>
  <c r="C1431" i="8"/>
  <c r="C1432" i="8"/>
  <c r="C1433" i="8"/>
  <c r="C1434" i="8"/>
  <c r="C1435" i="8"/>
  <c r="C1436" i="8"/>
  <c r="C1437" i="8"/>
  <c r="C1438" i="8"/>
  <c r="C1439" i="8"/>
  <c r="C1440" i="8"/>
  <c r="C1441" i="8"/>
  <c r="C1442" i="8"/>
  <c r="C1443" i="8"/>
  <c r="C1444" i="8"/>
  <c r="C1445" i="8"/>
  <c r="C1446" i="8"/>
  <c r="C1447" i="8"/>
  <c r="C1448" i="8"/>
  <c r="C1449" i="8"/>
  <c r="C1450" i="8"/>
  <c r="C1451" i="8"/>
  <c r="C1452" i="8"/>
  <c r="C1453" i="8"/>
  <c r="C1454" i="8"/>
  <c r="C1455" i="8"/>
  <c r="C1456" i="8"/>
  <c r="C1457" i="8"/>
  <c r="C1458" i="8"/>
  <c r="C1459" i="8"/>
  <c r="C1460" i="8"/>
  <c r="C1461" i="8"/>
  <c r="C1462" i="8"/>
  <c r="C1463" i="8"/>
  <c r="C1464" i="8"/>
  <c r="C1465" i="8"/>
  <c r="C1466" i="8"/>
  <c r="C1467" i="8"/>
  <c r="C1468" i="8"/>
  <c r="C1469" i="8"/>
  <c r="C1470" i="8"/>
  <c r="C1471" i="8"/>
  <c r="C1472" i="8"/>
  <c r="C1473" i="8"/>
  <c r="C1474" i="8"/>
  <c r="C1475" i="8"/>
  <c r="C1476" i="8"/>
  <c r="C1477" i="8"/>
  <c r="C1478" i="8"/>
  <c r="C1479" i="8"/>
  <c r="C1480" i="8"/>
  <c r="C1481" i="8"/>
  <c r="C1482" i="8"/>
  <c r="C1483" i="8"/>
  <c r="C1484" i="8"/>
  <c r="C1485" i="8"/>
  <c r="C1486" i="8"/>
  <c r="C1487" i="8"/>
  <c r="C1488" i="8"/>
  <c r="C1489" i="8"/>
  <c r="C1490" i="8"/>
  <c r="C1491" i="8"/>
  <c r="C1492" i="8"/>
  <c r="C1493" i="8"/>
  <c r="C1494" i="8"/>
  <c r="C1495" i="8"/>
  <c r="C1496" i="8"/>
  <c r="C1497" i="8"/>
  <c r="C1498" i="8"/>
  <c r="C1499" i="8"/>
  <c r="C1500" i="8"/>
  <c r="C1501" i="8"/>
  <c r="C1502" i="8"/>
  <c r="C1503" i="8"/>
  <c r="C1504" i="8"/>
  <c r="C1505" i="8"/>
  <c r="C1506" i="8"/>
  <c r="C1507" i="8"/>
  <c r="C1508" i="8"/>
  <c r="C1509" i="8"/>
  <c r="C1510" i="8"/>
  <c r="C1511" i="8"/>
  <c r="C1512" i="8"/>
  <c r="C1513" i="8"/>
  <c r="C1514" i="8"/>
  <c r="C1515" i="8"/>
  <c r="C1516" i="8"/>
  <c r="C1517" i="8"/>
  <c r="C1518" i="8"/>
  <c r="C1519" i="8"/>
  <c r="C1520" i="8"/>
  <c r="C1521" i="8"/>
  <c r="C1522" i="8"/>
  <c r="C1523" i="8"/>
  <c r="C1524" i="8"/>
  <c r="C1525" i="8"/>
  <c r="C1526" i="8"/>
  <c r="C1527" i="8"/>
  <c r="C1528" i="8"/>
  <c r="C1529" i="8"/>
  <c r="C1530" i="8"/>
  <c r="C1531" i="8"/>
  <c r="C1532" i="8"/>
  <c r="C1533" i="8"/>
  <c r="C1534" i="8"/>
  <c r="C1535" i="8"/>
  <c r="C1536" i="8"/>
  <c r="C1537" i="8"/>
  <c r="C1538" i="8"/>
  <c r="C1539" i="8"/>
  <c r="C1540" i="8"/>
  <c r="C1541" i="8"/>
  <c r="C1542" i="8"/>
  <c r="C1543" i="8"/>
  <c r="C1544" i="8"/>
  <c r="C1545" i="8"/>
  <c r="C1546" i="8"/>
  <c r="C1547" i="8"/>
  <c r="C1548" i="8"/>
  <c r="C1549" i="8"/>
  <c r="C1550" i="8"/>
  <c r="C1551" i="8"/>
  <c r="C1552" i="8"/>
  <c r="C1553" i="8"/>
  <c r="C1554" i="8"/>
  <c r="C1555" i="8"/>
  <c r="C1556" i="8"/>
  <c r="C1557" i="8"/>
  <c r="C1558" i="8"/>
  <c r="C1559" i="8"/>
  <c r="C1560" i="8"/>
  <c r="C1561" i="8"/>
  <c r="C1562" i="8"/>
  <c r="C1563" i="8"/>
  <c r="C1564" i="8"/>
  <c r="C1565" i="8"/>
  <c r="C1566" i="8"/>
  <c r="C1567" i="8"/>
  <c r="C1568" i="8"/>
  <c r="C1569" i="8"/>
  <c r="C1570" i="8"/>
  <c r="C1571" i="8"/>
  <c r="C1572" i="8"/>
  <c r="C1573" i="8"/>
  <c r="C1574" i="8"/>
  <c r="C1575" i="8"/>
  <c r="C1576" i="8"/>
  <c r="C1577" i="8"/>
  <c r="C1578" i="8"/>
  <c r="C1579" i="8"/>
  <c r="C1580" i="8"/>
  <c r="C1581" i="8"/>
  <c r="C1582" i="8"/>
  <c r="C1583" i="8"/>
  <c r="C1584" i="8"/>
  <c r="C1585" i="8"/>
  <c r="C1586" i="8"/>
  <c r="C1587" i="8"/>
  <c r="C1588" i="8"/>
  <c r="C1589" i="8"/>
  <c r="C1590" i="8"/>
  <c r="C1591" i="8"/>
  <c r="C1592" i="8"/>
  <c r="C1593" i="8"/>
  <c r="C1594" i="8"/>
  <c r="C1595" i="8"/>
  <c r="C1596" i="8"/>
  <c r="C1597" i="8"/>
  <c r="C1598" i="8"/>
  <c r="C1599" i="8"/>
  <c r="C1600" i="8"/>
  <c r="C1601" i="8"/>
  <c r="C1602" i="8"/>
  <c r="C1603" i="8"/>
  <c r="C1604" i="8"/>
  <c r="C1605" i="8"/>
  <c r="C1606" i="8"/>
  <c r="C1607" i="8"/>
  <c r="C1608" i="8"/>
  <c r="C1609" i="8"/>
  <c r="C1610" i="8"/>
  <c r="C1611" i="8"/>
  <c r="C1612" i="8"/>
  <c r="C1613" i="8"/>
  <c r="C1614" i="8"/>
  <c r="C1615" i="8"/>
  <c r="C1616" i="8"/>
  <c r="C1617" i="8"/>
  <c r="C1618" i="8"/>
  <c r="C1619" i="8"/>
  <c r="C1620" i="8"/>
  <c r="C1621" i="8"/>
  <c r="C1622" i="8"/>
  <c r="C1623" i="8"/>
  <c r="C1624" i="8"/>
  <c r="C1625" i="8"/>
  <c r="C1626" i="8"/>
  <c r="C1627" i="8"/>
  <c r="C1628" i="8"/>
  <c r="C1629" i="8"/>
  <c r="C1630" i="8"/>
  <c r="C1631" i="8"/>
  <c r="C1632" i="8"/>
  <c r="C1633" i="8"/>
  <c r="C1634" i="8"/>
  <c r="C1635" i="8"/>
  <c r="C1636" i="8"/>
  <c r="C1637" i="8"/>
  <c r="C1638" i="8"/>
  <c r="C1639" i="8"/>
  <c r="C1640" i="8"/>
  <c r="C1641" i="8"/>
  <c r="C1642" i="8"/>
  <c r="C1643" i="8"/>
  <c r="C1644" i="8"/>
  <c r="C1645" i="8"/>
  <c r="C1646" i="8"/>
  <c r="C1647" i="8"/>
  <c r="C1648" i="8"/>
  <c r="C1649" i="8"/>
  <c r="C1650" i="8"/>
  <c r="C1651" i="8"/>
  <c r="C1652" i="8"/>
  <c r="C1653" i="8"/>
  <c r="C1654" i="8"/>
  <c r="C1655" i="8"/>
  <c r="C1656" i="8"/>
  <c r="C1657" i="8"/>
  <c r="C1658" i="8"/>
  <c r="C1659" i="8"/>
  <c r="C1660" i="8"/>
  <c r="C1661" i="8"/>
  <c r="C1662" i="8"/>
  <c r="C1663" i="8"/>
  <c r="C1664" i="8"/>
  <c r="C1665" i="8"/>
  <c r="C1666" i="8"/>
  <c r="C1667" i="8"/>
  <c r="C1668" i="8"/>
  <c r="C1669" i="8"/>
  <c r="C1670" i="8"/>
  <c r="C1671" i="8"/>
  <c r="C1672" i="8"/>
  <c r="C1673" i="8"/>
  <c r="C1674" i="8"/>
  <c r="C1675" i="8"/>
  <c r="C1676" i="8"/>
  <c r="C1677" i="8"/>
  <c r="C1678" i="8"/>
  <c r="C1679" i="8"/>
  <c r="C1680" i="8"/>
  <c r="C1681" i="8"/>
  <c r="C1682" i="8"/>
  <c r="C1683" i="8"/>
  <c r="C1684" i="8"/>
  <c r="C1685" i="8"/>
  <c r="C1686" i="8"/>
  <c r="C1687" i="8"/>
  <c r="C1688" i="8"/>
  <c r="C1689" i="8"/>
  <c r="C1690" i="8"/>
  <c r="C1691" i="8"/>
  <c r="C1692" i="8"/>
  <c r="C1693" i="8"/>
  <c r="C1694" i="8"/>
  <c r="C1695" i="8"/>
  <c r="C1696" i="8"/>
  <c r="C1697" i="8"/>
  <c r="C1698" i="8"/>
  <c r="C1699" i="8"/>
  <c r="C1700" i="8"/>
  <c r="C1701" i="8"/>
  <c r="C1702" i="8"/>
  <c r="C1703" i="8"/>
  <c r="C1704" i="8"/>
  <c r="C1705" i="8"/>
  <c r="C1706" i="8"/>
  <c r="C1707" i="8"/>
  <c r="C1708" i="8"/>
  <c r="C1709" i="8"/>
  <c r="C1710" i="8"/>
  <c r="C1711" i="8"/>
  <c r="C1712" i="8"/>
  <c r="C1713" i="8"/>
  <c r="C1714" i="8"/>
  <c r="C1715" i="8"/>
  <c r="C1716" i="8"/>
  <c r="C1717" i="8"/>
  <c r="C1718" i="8"/>
  <c r="C1719" i="8"/>
  <c r="C1720" i="8"/>
  <c r="C1721" i="8"/>
  <c r="C1722" i="8"/>
  <c r="C1723" i="8"/>
  <c r="C1724" i="8"/>
  <c r="C1725" i="8"/>
  <c r="C1726" i="8"/>
  <c r="C1727" i="8"/>
  <c r="C1728" i="8"/>
  <c r="C1729" i="8"/>
  <c r="C1730" i="8"/>
  <c r="C1731" i="8"/>
  <c r="C1732" i="8"/>
  <c r="C1733" i="8"/>
  <c r="C1734" i="8"/>
  <c r="C1735" i="8"/>
  <c r="C1736" i="8"/>
  <c r="C1737" i="8"/>
  <c r="C1738" i="8"/>
  <c r="C1739" i="8"/>
  <c r="C1740" i="8"/>
  <c r="C1741" i="8"/>
  <c r="C1742" i="8"/>
  <c r="C1743" i="8"/>
  <c r="C1744" i="8"/>
  <c r="C1745" i="8"/>
  <c r="C1746" i="8"/>
  <c r="C1747" i="8"/>
  <c r="C1748" i="8"/>
  <c r="C1749" i="8"/>
  <c r="C1750" i="8"/>
  <c r="C1751" i="8"/>
  <c r="C1752" i="8"/>
  <c r="C1753" i="8"/>
  <c r="C1754" i="8"/>
  <c r="C1755" i="8"/>
  <c r="C1756" i="8"/>
  <c r="C1757" i="8"/>
  <c r="C1758" i="8"/>
  <c r="C1759" i="8"/>
  <c r="C1760" i="8"/>
  <c r="C1761" i="8"/>
  <c r="C1762" i="8"/>
  <c r="C1763" i="8"/>
  <c r="C1764" i="8"/>
  <c r="C1765" i="8"/>
  <c r="C1766" i="8"/>
  <c r="C1767" i="8"/>
  <c r="C1768" i="8"/>
  <c r="C1769" i="8"/>
  <c r="C1770" i="8"/>
  <c r="C1771" i="8"/>
  <c r="C1772" i="8"/>
  <c r="C3" i="9"/>
  <c r="C4" i="9"/>
  <c r="C5" i="9"/>
  <c r="C6" i="9"/>
  <c r="C7" i="9"/>
  <c r="C8" i="9"/>
  <c r="C9" i="9"/>
  <c r="C10" i="9"/>
  <c r="C11" i="9"/>
  <c r="C12" i="9"/>
  <c r="C13" i="9"/>
  <c r="C14" i="9"/>
  <c r="C15" i="9"/>
  <c r="C16" i="9"/>
  <c r="C17" i="9"/>
  <c r="C18" i="9"/>
  <c r="C19" i="9"/>
  <c r="C20" i="9"/>
  <c r="C21" i="9"/>
  <c r="C22" i="9"/>
  <c r="C23" i="9"/>
  <c r="C24" i="9"/>
  <c r="C25" i="9"/>
  <c r="C26" i="9"/>
  <c r="C27" i="9"/>
  <c r="C28" i="9"/>
  <c r="C29" i="9"/>
  <c r="C30" i="9"/>
  <c r="C31" i="9"/>
  <c r="C32" i="9"/>
  <c r="C33" i="9"/>
  <c r="C34" i="9"/>
  <c r="C35" i="9"/>
  <c r="C36" i="9"/>
  <c r="C37" i="9"/>
  <c r="C38" i="9"/>
  <c r="C39" i="9"/>
  <c r="C40" i="9"/>
  <c r="C41" i="9"/>
  <c r="C42" i="9"/>
  <c r="C43" i="9"/>
  <c r="C44" i="9"/>
  <c r="C45" i="9"/>
  <c r="C46" i="9"/>
  <c r="C47" i="9"/>
  <c r="C48" i="9"/>
  <c r="C49" i="9"/>
  <c r="C50" i="9"/>
  <c r="C51" i="9"/>
  <c r="C52" i="9"/>
  <c r="C53" i="9"/>
  <c r="C54" i="9"/>
  <c r="C55" i="9"/>
  <c r="C56" i="9"/>
  <c r="C57" i="9"/>
  <c r="C58" i="9"/>
  <c r="C59" i="9"/>
  <c r="C60" i="9"/>
  <c r="C61" i="9"/>
  <c r="C62" i="9"/>
  <c r="C63" i="9"/>
  <c r="C64" i="9"/>
  <c r="C65" i="9"/>
  <c r="C66" i="9"/>
  <c r="C67" i="9"/>
  <c r="C68" i="9"/>
  <c r="C69" i="9"/>
  <c r="C70" i="9"/>
  <c r="C71" i="9"/>
  <c r="C72" i="9"/>
  <c r="C73" i="9"/>
  <c r="C74" i="9"/>
  <c r="C75" i="9"/>
  <c r="C76" i="9"/>
  <c r="C77" i="9"/>
  <c r="C78" i="9"/>
  <c r="C79" i="9"/>
  <c r="C80" i="9"/>
  <c r="C81" i="9"/>
  <c r="C82" i="9"/>
  <c r="C83" i="9"/>
  <c r="C84" i="9"/>
  <c r="C85" i="9"/>
  <c r="C86" i="9"/>
  <c r="C87" i="9"/>
  <c r="C88" i="9"/>
  <c r="C89" i="9"/>
  <c r="C90" i="9"/>
  <c r="C91" i="9"/>
  <c r="C92" i="9"/>
  <c r="C93" i="9"/>
  <c r="C94" i="9"/>
  <c r="C95" i="9"/>
  <c r="C96" i="9"/>
  <c r="C97" i="9"/>
  <c r="C98" i="9"/>
  <c r="C99" i="9"/>
  <c r="C100" i="9"/>
  <c r="C101" i="9"/>
  <c r="C102" i="9"/>
  <c r="C103" i="9"/>
  <c r="C104" i="9"/>
  <c r="C105" i="9"/>
  <c r="C106" i="9"/>
  <c r="C107" i="9"/>
  <c r="C108" i="9"/>
  <c r="C109" i="9"/>
  <c r="C110" i="9"/>
  <c r="C111" i="9"/>
  <c r="C112" i="9"/>
  <c r="C113" i="9"/>
  <c r="C114" i="9"/>
  <c r="C115" i="9"/>
  <c r="C116" i="9"/>
  <c r="C117" i="9"/>
  <c r="C118" i="9"/>
  <c r="C119" i="9"/>
  <c r="C120" i="9"/>
  <c r="C121" i="9"/>
  <c r="C122" i="9"/>
  <c r="C123" i="9"/>
  <c r="C124" i="9"/>
  <c r="C125" i="9"/>
  <c r="C126" i="9"/>
  <c r="C127" i="9"/>
  <c r="C128" i="9"/>
  <c r="C129" i="9"/>
  <c r="C130" i="9"/>
  <c r="C131" i="9"/>
  <c r="C132" i="9"/>
  <c r="C133" i="9"/>
  <c r="C134" i="9"/>
  <c r="C135" i="9"/>
  <c r="C136" i="9"/>
  <c r="C137" i="9"/>
  <c r="C138" i="9"/>
  <c r="C139" i="9"/>
  <c r="C140" i="9"/>
  <c r="C141" i="9"/>
  <c r="C142" i="9"/>
  <c r="C143" i="9"/>
  <c r="C144" i="9"/>
  <c r="C145" i="9"/>
  <c r="C146" i="9"/>
  <c r="C147" i="9"/>
  <c r="C148" i="9"/>
  <c r="C149" i="9"/>
  <c r="C150" i="9"/>
  <c r="C151" i="9"/>
  <c r="C152" i="9"/>
  <c r="C153" i="9"/>
  <c r="C154" i="9"/>
  <c r="C155" i="9"/>
  <c r="C156" i="9"/>
  <c r="C157" i="9"/>
  <c r="C158" i="9"/>
  <c r="C159" i="9"/>
  <c r="C160" i="9"/>
  <c r="C161" i="9"/>
  <c r="C162" i="9"/>
  <c r="C163" i="9"/>
  <c r="C164" i="9"/>
  <c r="C165" i="9"/>
  <c r="C166" i="9"/>
  <c r="C167" i="9"/>
  <c r="C168" i="9"/>
  <c r="C169" i="9"/>
  <c r="C170" i="9"/>
  <c r="C171" i="9"/>
  <c r="C172" i="9"/>
  <c r="C173" i="9"/>
  <c r="C174" i="9"/>
  <c r="C175" i="9"/>
  <c r="C176" i="9"/>
  <c r="C177" i="9"/>
  <c r="C178" i="9"/>
  <c r="C179" i="9"/>
  <c r="C180" i="9"/>
  <c r="C181" i="9"/>
  <c r="C182" i="9"/>
  <c r="C183" i="9"/>
  <c r="C184" i="9"/>
  <c r="C185" i="9"/>
  <c r="C186" i="9"/>
  <c r="C187" i="9"/>
  <c r="C188" i="9"/>
  <c r="C189" i="9"/>
  <c r="C190" i="9"/>
  <c r="C191" i="9"/>
  <c r="C192" i="9"/>
  <c r="C193" i="9"/>
  <c r="C194" i="9"/>
  <c r="C195" i="9"/>
  <c r="C196" i="9"/>
  <c r="C197" i="9"/>
  <c r="C198" i="9"/>
  <c r="C199" i="9"/>
  <c r="C200" i="9"/>
  <c r="C201" i="9"/>
  <c r="C202" i="9"/>
  <c r="C203" i="9"/>
  <c r="C204" i="9"/>
  <c r="C205" i="9"/>
  <c r="C206" i="9"/>
  <c r="C207" i="9"/>
  <c r="C208" i="9"/>
  <c r="C209" i="9"/>
  <c r="C210" i="9"/>
  <c r="C211" i="9"/>
  <c r="C212" i="9"/>
  <c r="C213" i="9"/>
  <c r="C214" i="9"/>
  <c r="C215" i="9"/>
  <c r="C216" i="9"/>
  <c r="C217" i="9"/>
  <c r="C218" i="9"/>
  <c r="C219" i="9"/>
  <c r="C220" i="9"/>
  <c r="C221" i="9"/>
  <c r="C222" i="9"/>
  <c r="C223" i="9"/>
  <c r="C224" i="9"/>
  <c r="C225" i="9"/>
  <c r="C226" i="9"/>
  <c r="C227" i="9"/>
  <c r="C228" i="9"/>
  <c r="C229" i="9"/>
  <c r="C230" i="9"/>
  <c r="C231" i="9"/>
  <c r="C232" i="9"/>
  <c r="C233" i="9"/>
  <c r="C234" i="9"/>
  <c r="C235" i="9"/>
  <c r="C236" i="9"/>
  <c r="C237" i="9"/>
  <c r="C238" i="9"/>
  <c r="C239" i="9"/>
  <c r="C240" i="9"/>
  <c r="C241" i="9"/>
  <c r="C242" i="9"/>
  <c r="C243" i="9"/>
  <c r="C244" i="9"/>
  <c r="C245" i="9"/>
  <c r="C246" i="9"/>
  <c r="C247" i="9"/>
  <c r="C248" i="9"/>
  <c r="C249" i="9"/>
  <c r="C250" i="9"/>
  <c r="C251" i="9"/>
  <c r="C252" i="9"/>
  <c r="C253" i="9"/>
  <c r="C254" i="9"/>
  <c r="C255" i="9"/>
  <c r="C256" i="9"/>
  <c r="C257" i="9"/>
  <c r="C258" i="9"/>
  <c r="C259" i="9"/>
  <c r="C260" i="9"/>
  <c r="C261" i="9"/>
  <c r="C262" i="9"/>
  <c r="C263" i="9"/>
  <c r="C264" i="9"/>
  <c r="C265" i="9"/>
  <c r="C266" i="9"/>
  <c r="C267" i="9"/>
  <c r="C268" i="9"/>
  <c r="C269" i="9"/>
  <c r="C270" i="9"/>
  <c r="C271" i="9"/>
  <c r="C272" i="9"/>
  <c r="C273" i="9"/>
  <c r="C274" i="9"/>
  <c r="C275" i="9"/>
  <c r="C276" i="9"/>
  <c r="C277" i="9"/>
  <c r="C278" i="9"/>
  <c r="C279" i="9"/>
  <c r="C280" i="9"/>
  <c r="C281" i="9"/>
  <c r="C282" i="9"/>
  <c r="C283" i="9"/>
  <c r="C284" i="9"/>
  <c r="C285" i="9"/>
  <c r="C286" i="9"/>
  <c r="C287" i="9"/>
  <c r="C288" i="9"/>
  <c r="C289" i="9"/>
  <c r="C290" i="9"/>
  <c r="C291" i="9"/>
  <c r="C292" i="9"/>
  <c r="C293" i="9"/>
  <c r="C294" i="9"/>
  <c r="C295" i="9"/>
  <c r="C296" i="9"/>
  <c r="C297" i="9"/>
  <c r="C298" i="9"/>
  <c r="C299" i="9"/>
  <c r="C300" i="9"/>
  <c r="C301" i="9"/>
  <c r="C302" i="9"/>
  <c r="C303" i="9"/>
  <c r="C304" i="9"/>
  <c r="C305" i="9"/>
  <c r="C306" i="9"/>
  <c r="C307" i="9"/>
  <c r="C308" i="9"/>
  <c r="C309" i="9"/>
  <c r="C310" i="9"/>
  <c r="C311" i="9"/>
  <c r="C312" i="9"/>
  <c r="C313" i="9"/>
  <c r="C314" i="9"/>
  <c r="C315" i="9"/>
  <c r="C316" i="9"/>
  <c r="C317" i="9"/>
  <c r="C318" i="9"/>
  <c r="C319" i="9"/>
  <c r="C320" i="9"/>
  <c r="C321" i="9"/>
  <c r="C322" i="9"/>
  <c r="C323" i="9"/>
  <c r="C324" i="9"/>
  <c r="C325" i="9"/>
  <c r="C326" i="9"/>
  <c r="C327" i="9"/>
  <c r="C328" i="9"/>
  <c r="C329" i="9"/>
  <c r="C330" i="9"/>
  <c r="C331" i="9"/>
  <c r="C332" i="9"/>
  <c r="C333" i="9"/>
  <c r="C334" i="9"/>
  <c r="C335" i="9"/>
  <c r="C336" i="9"/>
  <c r="C337" i="9"/>
  <c r="C338" i="9"/>
  <c r="C339" i="9"/>
  <c r="C340" i="9"/>
  <c r="C341" i="9"/>
  <c r="C342" i="9"/>
  <c r="C343" i="9"/>
  <c r="C344" i="9"/>
  <c r="C345" i="9"/>
  <c r="C346" i="9"/>
  <c r="C347" i="9"/>
  <c r="C348" i="9"/>
  <c r="C349" i="9"/>
  <c r="C350" i="9"/>
  <c r="C351" i="9"/>
  <c r="C352" i="9"/>
  <c r="C353" i="9"/>
  <c r="C354" i="9"/>
  <c r="C355" i="9"/>
  <c r="C356" i="9"/>
  <c r="C357" i="9"/>
  <c r="C358" i="9"/>
  <c r="C359" i="9"/>
  <c r="C360" i="9"/>
  <c r="C361" i="9"/>
  <c r="C362" i="9"/>
  <c r="C363" i="9"/>
  <c r="C364" i="9"/>
  <c r="C365" i="9"/>
  <c r="C366" i="9"/>
  <c r="C367" i="9"/>
  <c r="C368" i="9"/>
  <c r="C369" i="9"/>
  <c r="C370" i="9"/>
  <c r="C371" i="9"/>
  <c r="C372" i="9"/>
  <c r="C373" i="9"/>
  <c r="C374" i="9"/>
  <c r="C375" i="9"/>
  <c r="C376" i="9"/>
  <c r="C377" i="9"/>
  <c r="C378" i="9"/>
  <c r="C379" i="9"/>
  <c r="C380" i="9"/>
  <c r="C381" i="9"/>
  <c r="C382" i="9"/>
  <c r="C383" i="9"/>
  <c r="C384" i="9"/>
  <c r="C385" i="9"/>
  <c r="C386" i="9"/>
  <c r="C387" i="9"/>
  <c r="C388" i="9"/>
  <c r="C389" i="9"/>
  <c r="C390" i="9"/>
  <c r="C391" i="9"/>
  <c r="C392" i="9"/>
  <c r="C393" i="9"/>
  <c r="C394" i="9"/>
  <c r="C395" i="9"/>
  <c r="C396" i="9"/>
  <c r="C397" i="9"/>
  <c r="C398" i="9"/>
  <c r="C399" i="9"/>
  <c r="C400" i="9"/>
  <c r="C401" i="9"/>
  <c r="C402" i="9"/>
  <c r="C403" i="9"/>
  <c r="C404" i="9"/>
  <c r="C405" i="9"/>
  <c r="C406" i="9"/>
  <c r="C407" i="9"/>
  <c r="C408" i="9"/>
  <c r="C409" i="9"/>
  <c r="C410" i="9"/>
  <c r="C411" i="9"/>
  <c r="C412" i="9"/>
  <c r="C413" i="9"/>
  <c r="C414" i="9"/>
  <c r="C415" i="9"/>
  <c r="C416" i="9"/>
  <c r="C417" i="9"/>
  <c r="C418" i="9"/>
  <c r="C419" i="9"/>
  <c r="C420" i="9"/>
  <c r="C421" i="9"/>
  <c r="C422" i="9"/>
  <c r="C423" i="9"/>
  <c r="C424" i="9"/>
  <c r="C425" i="9"/>
  <c r="C426" i="9"/>
  <c r="C427" i="9"/>
  <c r="C428" i="9"/>
  <c r="C429" i="9"/>
  <c r="C430" i="9"/>
  <c r="C431" i="9"/>
  <c r="C432" i="9"/>
  <c r="C433" i="9"/>
  <c r="C434" i="9"/>
  <c r="C435" i="9"/>
  <c r="C436" i="9"/>
  <c r="C437" i="9"/>
  <c r="C438" i="9"/>
  <c r="C439" i="9"/>
  <c r="C440" i="9"/>
  <c r="C441" i="9"/>
  <c r="C442" i="9"/>
  <c r="C443" i="9"/>
  <c r="C444" i="9"/>
  <c r="C445" i="9"/>
  <c r="C446" i="9"/>
  <c r="C447" i="9"/>
  <c r="C448" i="9"/>
  <c r="C449" i="9"/>
  <c r="C450" i="9"/>
  <c r="C451" i="9"/>
  <c r="C452" i="9"/>
  <c r="C453" i="9"/>
  <c r="C454" i="9"/>
  <c r="C455" i="9"/>
  <c r="C456" i="9"/>
  <c r="C457" i="9"/>
  <c r="C458" i="9"/>
  <c r="C459" i="9"/>
  <c r="C460" i="9"/>
  <c r="C461" i="9"/>
  <c r="C462" i="9"/>
  <c r="C463" i="9"/>
  <c r="C464" i="9"/>
  <c r="C465" i="9"/>
  <c r="C466" i="9"/>
  <c r="C467" i="9"/>
  <c r="C468" i="9"/>
  <c r="C469" i="9"/>
  <c r="C470" i="9"/>
  <c r="C471" i="9"/>
  <c r="C472" i="9"/>
  <c r="C473" i="9"/>
  <c r="C474" i="9"/>
  <c r="C475" i="9"/>
  <c r="C476" i="9"/>
  <c r="C477" i="9"/>
  <c r="C478" i="9"/>
  <c r="C479" i="9"/>
  <c r="C480" i="9"/>
  <c r="C481" i="9"/>
  <c r="C482" i="9"/>
  <c r="C483" i="9"/>
  <c r="C484" i="9"/>
  <c r="C485" i="9"/>
  <c r="C486" i="9"/>
  <c r="C487" i="9"/>
  <c r="C488" i="9"/>
  <c r="C489" i="9"/>
  <c r="C490" i="9"/>
  <c r="C491" i="9"/>
  <c r="C492" i="9"/>
  <c r="C493" i="9"/>
  <c r="C494" i="9"/>
  <c r="C495" i="9"/>
  <c r="C496" i="9"/>
  <c r="C497" i="9"/>
  <c r="C498" i="9"/>
  <c r="C499" i="9"/>
  <c r="C500" i="9"/>
  <c r="C501" i="9"/>
  <c r="C502" i="9"/>
  <c r="C503" i="9"/>
  <c r="C504" i="9"/>
  <c r="C505" i="9"/>
  <c r="C506" i="9"/>
  <c r="C507" i="9"/>
  <c r="C508" i="9"/>
  <c r="C509" i="9"/>
  <c r="C510" i="9"/>
  <c r="C511" i="9"/>
  <c r="C512" i="9"/>
  <c r="C513" i="9"/>
  <c r="C514" i="9"/>
  <c r="C515" i="9"/>
  <c r="C516" i="9"/>
  <c r="C517" i="9"/>
  <c r="C518" i="9"/>
  <c r="C519" i="9"/>
  <c r="C520" i="9"/>
  <c r="C521" i="9"/>
  <c r="C522" i="9"/>
  <c r="C523" i="9"/>
  <c r="C524" i="9"/>
  <c r="C525" i="9"/>
  <c r="C526" i="9"/>
  <c r="C527" i="9"/>
  <c r="C528" i="9"/>
  <c r="C529" i="9"/>
  <c r="C530" i="9"/>
  <c r="C531" i="9"/>
  <c r="C532" i="9"/>
  <c r="C533" i="9"/>
  <c r="C534" i="9"/>
  <c r="C535" i="9"/>
  <c r="C536" i="9"/>
  <c r="C537" i="9"/>
  <c r="C538" i="9"/>
  <c r="C539" i="9"/>
  <c r="C540" i="9"/>
  <c r="C541" i="9"/>
  <c r="C542" i="9"/>
  <c r="C543" i="9"/>
  <c r="C544" i="9"/>
  <c r="C545" i="9"/>
  <c r="C546" i="9"/>
  <c r="C547" i="9"/>
  <c r="C548" i="9"/>
  <c r="C549" i="9"/>
  <c r="C550" i="9"/>
  <c r="C551" i="9"/>
  <c r="C552" i="9"/>
  <c r="C553" i="9"/>
  <c r="C554" i="9"/>
  <c r="C555" i="9"/>
  <c r="C556" i="9"/>
  <c r="C557" i="9"/>
  <c r="C558" i="9"/>
  <c r="C559" i="9"/>
  <c r="C560" i="9"/>
  <c r="C561" i="9"/>
  <c r="C562" i="9"/>
  <c r="C563" i="9"/>
  <c r="C564" i="9"/>
  <c r="C565" i="9"/>
  <c r="C566" i="9"/>
  <c r="C567" i="9"/>
  <c r="C568" i="9"/>
  <c r="C569" i="9"/>
  <c r="C570" i="9"/>
  <c r="C571" i="9"/>
  <c r="C572" i="9"/>
  <c r="C573" i="9"/>
  <c r="C574" i="9"/>
  <c r="C575" i="9"/>
  <c r="C576" i="9"/>
  <c r="C577" i="9"/>
  <c r="C578" i="9"/>
  <c r="C579" i="9"/>
  <c r="C580" i="9"/>
  <c r="C581" i="9"/>
  <c r="C582" i="9"/>
  <c r="C583" i="9"/>
  <c r="C584" i="9"/>
  <c r="C585" i="9"/>
  <c r="C586" i="9"/>
  <c r="C587" i="9"/>
  <c r="C588" i="9"/>
  <c r="C589" i="9"/>
  <c r="C590" i="9"/>
  <c r="C591" i="9"/>
  <c r="C592" i="9"/>
  <c r="C593" i="9"/>
  <c r="C594" i="9"/>
  <c r="C595" i="9"/>
  <c r="C596" i="9"/>
  <c r="C597" i="9"/>
  <c r="C598" i="9"/>
  <c r="C599" i="9"/>
  <c r="C600" i="9"/>
  <c r="C601" i="9"/>
  <c r="C602" i="9"/>
  <c r="C603" i="9"/>
  <c r="C604" i="9"/>
  <c r="C605" i="9"/>
  <c r="C606" i="9"/>
  <c r="C607" i="9"/>
  <c r="C608" i="9"/>
  <c r="C609" i="9"/>
  <c r="C610" i="9"/>
  <c r="C611" i="9"/>
  <c r="C612" i="9"/>
  <c r="C613" i="9"/>
  <c r="C614" i="9"/>
  <c r="C615" i="9"/>
  <c r="C616" i="9"/>
  <c r="C617" i="9"/>
  <c r="C618" i="9"/>
  <c r="C619" i="9"/>
  <c r="C620" i="9"/>
  <c r="C621" i="9"/>
  <c r="C622" i="9"/>
  <c r="C623" i="9"/>
  <c r="C624" i="9"/>
  <c r="C625" i="9"/>
  <c r="C626" i="9"/>
  <c r="C627" i="9"/>
  <c r="C628" i="9"/>
  <c r="C629" i="9"/>
  <c r="C630" i="9"/>
  <c r="C631" i="9"/>
  <c r="C632" i="9"/>
  <c r="C633" i="9"/>
  <c r="C634" i="9"/>
  <c r="C635" i="9"/>
  <c r="C636" i="9"/>
  <c r="C637" i="9"/>
  <c r="C638" i="9"/>
  <c r="C639" i="9"/>
  <c r="C640" i="9"/>
  <c r="C641" i="9"/>
  <c r="C642" i="9"/>
  <c r="C643" i="9"/>
  <c r="C644" i="9"/>
  <c r="C645" i="9"/>
  <c r="C646" i="9"/>
  <c r="C647" i="9"/>
  <c r="C648" i="9"/>
  <c r="C649" i="9"/>
  <c r="C650" i="9"/>
  <c r="C651" i="9"/>
  <c r="C652" i="9"/>
  <c r="C653" i="9"/>
  <c r="C654" i="9"/>
  <c r="C655" i="9"/>
  <c r="C656" i="9"/>
  <c r="C657" i="9"/>
  <c r="C658" i="9"/>
  <c r="C659" i="9"/>
  <c r="C660" i="9"/>
  <c r="C661" i="9"/>
  <c r="C662" i="9"/>
  <c r="C663" i="9"/>
  <c r="C664" i="9"/>
  <c r="C665" i="9"/>
  <c r="C666" i="9"/>
  <c r="C667" i="9"/>
  <c r="C668" i="9"/>
  <c r="C669" i="9"/>
  <c r="C670" i="9"/>
  <c r="C671" i="9"/>
  <c r="C672" i="9"/>
  <c r="C673" i="9"/>
  <c r="C674" i="9"/>
  <c r="C675" i="9"/>
  <c r="C676" i="9"/>
  <c r="C677" i="9"/>
  <c r="C678" i="9"/>
  <c r="C679" i="9"/>
  <c r="C680" i="9"/>
  <c r="C681" i="9"/>
  <c r="C682" i="9"/>
  <c r="C683" i="9"/>
  <c r="C684" i="9"/>
  <c r="C685" i="9"/>
  <c r="C686" i="9"/>
  <c r="C687" i="9"/>
  <c r="C688" i="9"/>
  <c r="C689" i="9"/>
  <c r="C690" i="9"/>
  <c r="C691" i="9"/>
  <c r="C692" i="9"/>
  <c r="C693" i="9"/>
  <c r="C694" i="9"/>
  <c r="C695" i="9"/>
  <c r="C696" i="9"/>
  <c r="C697" i="9"/>
  <c r="C698" i="9"/>
  <c r="C699" i="9"/>
  <c r="C700" i="9"/>
  <c r="C701" i="9"/>
  <c r="C702" i="9"/>
  <c r="C703" i="9"/>
  <c r="C704" i="9"/>
  <c r="C705" i="9"/>
  <c r="C706" i="9"/>
  <c r="C707" i="9"/>
  <c r="C708" i="9"/>
  <c r="C709" i="9"/>
  <c r="C710" i="9"/>
  <c r="C711" i="9"/>
  <c r="C712" i="9"/>
  <c r="C713" i="9"/>
  <c r="C714" i="9"/>
  <c r="C715" i="9"/>
  <c r="C716" i="9"/>
  <c r="C717" i="9"/>
  <c r="C718" i="9"/>
  <c r="C719" i="9"/>
  <c r="C720" i="9"/>
  <c r="C721" i="9"/>
  <c r="C722" i="9"/>
  <c r="C723" i="9"/>
  <c r="C724" i="9"/>
  <c r="C725" i="9"/>
  <c r="C726" i="9"/>
  <c r="C727" i="9"/>
  <c r="C728" i="9"/>
  <c r="C729" i="9"/>
  <c r="C730" i="9"/>
  <c r="C731" i="9"/>
  <c r="C732" i="9"/>
  <c r="C733" i="9"/>
  <c r="C734" i="9"/>
  <c r="C735" i="9"/>
  <c r="C736" i="9"/>
  <c r="C737" i="9"/>
  <c r="C738" i="9"/>
  <c r="C739" i="9"/>
  <c r="C740" i="9"/>
  <c r="C741" i="9"/>
  <c r="C742" i="9"/>
  <c r="C743" i="9"/>
  <c r="C744" i="9"/>
  <c r="C745" i="9"/>
  <c r="C746" i="9"/>
  <c r="C747" i="9"/>
  <c r="C748" i="9"/>
  <c r="C749" i="9"/>
  <c r="C750" i="9"/>
  <c r="C751" i="9"/>
  <c r="C752" i="9"/>
  <c r="C753" i="9"/>
  <c r="C754" i="9"/>
  <c r="C755" i="9"/>
  <c r="C756" i="9"/>
  <c r="C757" i="9"/>
  <c r="C758" i="9"/>
  <c r="C759" i="9"/>
  <c r="C760" i="9"/>
  <c r="C761" i="9"/>
  <c r="C762" i="9"/>
  <c r="C763" i="9"/>
  <c r="C764" i="9"/>
  <c r="C765" i="9"/>
  <c r="C766" i="9"/>
  <c r="C767" i="9"/>
  <c r="C768" i="9"/>
  <c r="C769" i="9"/>
  <c r="C770" i="9"/>
  <c r="C771" i="9"/>
  <c r="C772" i="9"/>
  <c r="C773" i="9"/>
  <c r="C774" i="9"/>
  <c r="C775" i="9"/>
  <c r="C776" i="9"/>
  <c r="C777" i="9"/>
  <c r="C778" i="9"/>
  <c r="C779" i="9"/>
  <c r="C780" i="9"/>
  <c r="C781" i="9"/>
  <c r="C782" i="9"/>
  <c r="C783" i="9"/>
  <c r="C784" i="9"/>
  <c r="C785" i="9"/>
  <c r="C786" i="9"/>
  <c r="C787" i="9"/>
  <c r="C788" i="9"/>
  <c r="C789" i="9"/>
  <c r="C790" i="9"/>
  <c r="C791" i="9"/>
  <c r="C792" i="9"/>
  <c r="C793" i="9"/>
  <c r="C794" i="9"/>
  <c r="C795" i="9"/>
  <c r="C796" i="9"/>
  <c r="C797" i="9"/>
  <c r="C798" i="9"/>
  <c r="C799" i="9"/>
  <c r="C800" i="9"/>
  <c r="C801" i="9"/>
  <c r="C802" i="9"/>
  <c r="C803" i="9"/>
  <c r="C804" i="9"/>
  <c r="C805" i="9"/>
  <c r="C806" i="9"/>
  <c r="C807" i="9"/>
  <c r="C808" i="9"/>
  <c r="C809" i="9"/>
  <c r="C810" i="9"/>
  <c r="C811" i="9"/>
  <c r="C812" i="9"/>
  <c r="C813" i="9"/>
  <c r="C814" i="9"/>
  <c r="C815" i="9"/>
  <c r="C816" i="9"/>
  <c r="C817" i="9"/>
  <c r="C818" i="9"/>
  <c r="C819" i="9"/>
  <c r="C820" i="9"/>
  <c r="C821" i="9"/>
  <c r="C822" i="9"/>
  <c r="C823" i="9"/>
  <c r="C824" i="9"/>
  <c r="C825" i="9"/>
  <c r="C826" i="9"/>
  <c r="C827" i="9"/>
  <c r="C828" i="9"/>
  <c r="C829" i="9"/>
  <c r="C830" i="9"/>
  <c r="C831" i="9"/>
  <c r="C832" i="9"/>
  <c r="C833" i="9"/>
  <c r="C834" i="9"/>
  <c r="C835" i="9"/>
  <c r="C836" i="9"/>
  <c r="C837" i="9"/>
  <c r="C838" i="9"/>
  <c r="C839" i="9"/>
  <c r="C840" i="9"/>
  <c r="C841" i="9"/>
  <c r="C842" i="9"/>
  <c r="C843" i="9"/>
  <c r="C844" i="9"/>
  <c r="C845" i="9"/>
  <c r="C846" i="9"/>
  <c r="C847" i="9"/>
  <c r="C848" i="9"/>
  <c r="C849" i="9"/>
  <c r="C850" i="9"/>
  <c r="C851" i="9"/>
  <c r="C852" i="9"/>
  <c r="C853" i="9"/>
  <c r="C854" i="9"/>
  <c r="C855" i="9"/>
  <c r="C856" i="9"/>
  <c r="C857" i="9"/>
  <c r="C858" i="9"/>
  <c r="C859" i="9"/>
  <c r="C860" i="9"/>
  <c r="C861" i="9"/>
  <c r="C862" i="9"/>
  <c r="C863" i="9"/>
  <c r="C864" i="9"/>
  <c r="C865" i="9"/>
  <c r="C866" i="9"/>
  <c r="C867" i="9"/>
  <c r="C868" i="9"/>
  <c r="C869" i="9"/>
  <c r="C870" i="9"/>
  <c r="C871" i="9"/>
  <c r="C872" i="9"/>
  <c r="C873" i="9"/>
  <c r="C874" i="9"/>
  <c r="C875" i="9"/>
  <c r="C876" i="9"/>
  <c r="C877" i="9"/>
  <c r="C878" i="9"/>
  <c r="C879" i="9"/>
  <c r="C880" i="9"/>
  <c r="C881" i="9"/>
  <c r="C882" i="9"/>
  <c r="C883" i="9"/>
  <c r="C884" i="9"/>
  <c r="C885" i="9"/>
  <c r="C886" i="9"/>
  <c r="C887" i="9"/>
  <c r="C888" i="9"/>
  <c r="C889" i="9"/>
  <c r="C890" i="9"/>
  <c r="C891" i="9"/>
  <c r="C892" i="9"/>
  <c r="C893" i="9"/>
  <c r="C894" i="9"/>
  <c r="C895" i="9"/>
  <c r="C896" i="9"/>
  <c r="C897" i="9"/>
  <c r="C898" i="9"/>
  <c r="C899" i="9"/>
  <c r="C900" i="9"/>
  <c r="C901" i="9"/>
  <c r="C902" i="9"/>
  <c r="C903" i="9"/>
  <c r="C904" i="9"/>
  <c r="C905" i="9"/>
  <c r="C906" i="9"/>
  <c r="C907" i="9"/>
  <c r="C908" i="9"/>
  <c r="C909" i="9"/>
  <c r="C910" i="9"/>
  <c r="C911" i="9"/>
  <c r="C912" i="9"/>
  <c r="C913" i="9"/>
  <c r="C914" i="9"/>
  <c r="C915" i="9"/>
  <c r="C916" i="9"/>
  <c r="C917" i="9"/>
  <c r="C918" i="9"/>
  <c r="C919" i="9"/>
  <c r="C920" i="9"/>
  <c r="C921" i="9"/>
  <c r="C922" i="9"/>
  <c r="C923" i="9"/>
  <c r="C924" i="9"/>
  <c r="C925" i="9"/>
  <c r="C926" i="9"/>
  <c r="C927" i="9"/>
  <c r="C928" i="9"/>
  <c r="C929" i="9"/>
  <c r="C930" i="9"/>
  <c r="C931" i="9"/>
  <c r="C932" i="9"/>
  <c r="C933" i="9"/>
  <c r="C934" i="9"/>
  <c r="C935" i="9"/>
  <c r="C936" i="9"/>
  <c r="C937" i="9"/>
  <c r="C938" i="9"/>
  <c r="C939" i="9"/>
  <c r="C940" i="9"/>
  <c r="C941" i="9"/>
  <c r="C942" i="9"/>
  <c r="C943" i="9"/>
  <c r="C944" i="9"/>
  <c r="C945" i="9"/>
  <c r="C946" i="9"/>
  <c r="C947" i="9"/>
  <c r="C948" i="9"/>
  <c r="C949" i="9"/>
  <c r="C950" i="9"/>
  <c r="C951" i="9"/>
  <c r="C952" i="9"/>
  <c r="C953" i="9"/>
  <c r="C954" i="9"/>
  <c r="C955" i="9"/>
  <c r="C956" i="9"/>
  <c r="C957" i="9"/>
  <c r="C958" i="9"/>
  <c r="C959" i="9"/>
  <c r="C960" i="9"/>
  <c r="C961" i="9"/>
  <c r="C962" i="9"/>
  <c r="C963" i="9"/>
  <c r="C964" i="9"/>
  <c r="C965" i="9"/>
  <c r="C966" i="9"/>
  <c r="C967" i="9"/>
  <c r="C968" i="9"/>
  <c r="C969" i="9"/>
  <c r="C970" i="9"/>
  <c r="C971" i="9"/>
  <c r="C972" i="9"/>
  <c r="C973" i="9"/>
  <c r="C974" i="9"/>
  <c r="C975" i="9"/>
  <c r="C976" i="9"/>
  <c r="C977" i="9"/>
  <c r="C978" i="9"/>
  <c r="C979" i="9"/>
  <c r="C980" i="9"/>
  <c r="C981" i="9"/>
  <c r="C982" i="9"/>
  <c r="C983" i="9"/>
  <c r="C984" i="9"/>
  <c r="C985" i="9"/>
  <c r="C986" i="9"/>
  <c r="C987" i="9"/>
  <c r="C988" i="9"/>
  <c r="C989" i="9"/>
  <c r="C990" i="9"/>
  <c r="C991" i="9"/>
  <c r="C992" i="9"/>
  <c r="C993" i="9"/>
  <c r="C994" i="9"/>
  <c r="C995" i="9"/>
  <c r="C996" i="9"/>
  <c r="C997" i="9"/>
  <c r="C998" i="9"/>
  <c r="C999" i="9"/>
  <c r="C1000" i="9"/>
  <c r="C1001" i="9"/>
  <c r="C1002" i="9"/>
  <c r="C1003" i="9"/>
  <c r="C1004" i="9"/>
  <c r="C1005" i="9"/>
  <c r="C1006" i="9"/>
  <c r="C1007" i="9"/>
  <c r="C1008" i="9"/>
  <c r="C1009" i="9"/>
  <c r="C1010" i="9"/>
  <c r="C1011" i="9"/>
  <c r="C1012" i="9"/>
  <c r="C1013" i="9"/>
  <c r="C1014" i="9"/>
  <c r="C1015" i="9"/>
  <c r="C1016" i="9"/>
  <c r="C1017" i="9"/>
  <c r="C1018" i="9"/>
  <c r="C1019" i="9"/>
  <c r="C1020" i="9"/>
  <c r="C1021" i="9"/>
  <c r="C1022" i="9"/>
  <c r="C1023" i="9"/>
  <c r="C1024" i="9"/>
  <c r="C1025" i="9"/>
  <c r="C1026" i="9"/>
  <c r="C1027" i="9"/>
  <c r="C1028" i="9"/>
  <c r="C1029" i="9"/>
  <c r="C1030" i="9"/>
  <c r="C1031" i="9"/>
  <c r="C1032" i="9"/>
  <c r="C1033" i="9"/>
  <c r="C1034" i="9"/>
  <c r="C1035" i="9"/>
  <c r="C1036" i="9"/>
  <c r="C1037" i="9"/>
  <c r="C1038" i="9"/>
  <c r="C1039" i="9"/>
  <c r="C1040" i="9"/>
  <c r="C1041" i="9"/>
  <c r="C1042" i="9"/>
  <c r="C1043" i="9"/>
  <c r="C1044" i="9"/>
  <c r="C1045" i="9"/>
  <c r="C1046" i="9"/>
  <c r="C1047" i="9"/>
  <c r="C1048" i="9"/>
  <c r="C1049" i="9"/>
  <c r="C1050" i="9"/>
  <c r="C1051" i="9"/>
  <c r="C1052" i="9"/>
  <c r="C1053" i="9"/>
  <c r="C1054" i="9"/>
  <c r="C1055" i="9"/>
  <c r="C1056" i="9"/>
  <c r="C1057" i="9"/>
  <c r="C1058" i="9"/>
  <c r="C1059" i="9"/>
  <c r="C1060" i="9"/>
  <c r="C1061" i="9"/>
  <c r="C1062" i="9"/>
  <c r="C1063" i="9"/>
  <c r="C1064" i="9"/>
  <c r="C1065" i="9"/>
  <c r="C1066" i="9"/>
  <c r="C1067" i="9"/>
  <c r="C1068" i="9"/>
  <c r="C1069" i="9"/>
  <c r="C1070" i="9"/>
  <c r="C1071" i="9"/>
  <c r="C1072" i="9"/>
  <c r="C1073" i="9"/>
  <c r="C1074" i="9"/>
  <c r="C1075" i="9"/>
  <c r="C1076" i="9"/>
  <c r="C1077" i="9"/>
  <c r="C1078" i="9"/>
  <c r="C1079" i="9"/>
  <c r="C1080" i="9"/>
  <c r="C1081" i="9"/>
  <c r="C1082" i="9"/>
  <c r="C1083" i="9"/>
  <c r="C1084" i="9"/>
  <c r="C1085" i="9"/>
  <c r="C1086" i="9"/>
  <c r="C1087" i="9"/>
  <c r="C1088" i="9"/>
  <c r="C1089" i="9"/>
  <c r="C1090" i="9"/>
  <c r="C1091" i="9"/>
  <c r="C1092" i="9"/>
  <c r="C1093" i="9"/>
  <c r="C1094" i="9"/>
  <c r="C1095" i="9"/>
  <c r="C1096" i="9"/>
  <c r="C1097" i="9"/>
  <c r="C1098" i="9"/>
  <c r="C1099" i="9"/>
  <c r="C1100" i="9"/>
  <c r="C1101" i="9"/>
  <c r="C1102" i="9"/>
  <c r="C1103" i="9"/>
  <c r="C1104" i="9"/>
  <c r="C1105" i="9"/>
  <c r="C1106" i="9"/>
  <c r="C1107" i="9"/>
  <c r="C1108" i="9"/>
  <c r="C1109" i="9"/>
  <c r="C1110" i="9"/>
  <c r="C1111" i="9"/>
  <c r="C1112" i="9"/>
  <c r="C1113" i="9"/>
  <c r="C1114" i="9"/>
  <c r="C1115" i="9"/>
  <c r="C1116" i="9"/>
  <c r="C1117" i="9"/>
  <c r="C1118" i="9"/>
  <c r="C1119" i="9"/>
  <c r="C1120" i="9"/>
  <c r="C1121" i="9"/>
  <c r="C1122" i="9"/>
  <c r="C1123" i="9"/>
  <c r="C1124" i="9"/>
  <c r="C1125" i="9"/>
  <c r="C1126" i="9"/>
  <c r="C1127" i="9"/>
  <c r="C1128" i="9"/>
  <c r="C1129" i="9"/>
  <c r="C1130" i="9"/>
  <c r="C1131" i="9"/>
  <c r="C1132" i="9"/>
  <c r="C1133" i="9"/>
  <c r="C1134" i="9"/>
  <c r="C1135" i="9"/>
  <c r="C1136" i="9"/>
  <c r="C1137" i="9"/>
  <c r="C1138" i="9"/>
  <c r="C1139" i="9"/>
  <c r="C1140" i="9"/>
  <c r="C1141" i="9"/>
  <c r="C1142" i="9"/>
  <c r="C1143" i="9"/>
  <c r="C1144" i="9"/>
  <c r="C1145" i="9"/>
  <c r="C1146" i="9"/>
  <c r="C1147" i="9"/>
  <c r="C1148" i="9"/>
  <c r="C1149" i="9"/>
  <c r="C1150" i="9"/>
  <c r="C1151" i="9"/>
  <c r="C1152" i="9"/>
  <c r="C1153" i="9"/>
  <c r="C1154" i="9"/>
  <c r="C1155" i="9"/>
  <c r="C1156" i="9"/>
  <c r="C1157" i="9"/>
  <c r="C1158" i="9"/>
  <c r="C1159" i="9"/>
  <c r="C1160" i="9"/>
  <c r="C1161" i="9"/>
  <c r="C1162" i="9"/>
  <c r="C1163" i="9"/>
  <c r="C1164" i="9"/>
  <c r="C1165" i="9"/>
  <c r="C1166" i="9"/>
  <c r="C1167" i="9"/>
  <c r="C1168" i="9"/>
  <c r="C1169" i="9"/>
  <c r="C1170" i="9"/>
  <c r="C1171" i="9"/>
  <c r="C1172" i="9"/>
  <c r="C1173" i="9"/>
  <c r="C1174" i="9"/>
  <c r="C1175" i="9"/>
  <c r="C1176" i="9"/>
  <c r="C1177" i="9"/>
  <c r="C1178" i="9"/>
  <c r="C1179" i="9"/>
  <c r="C1180" i="9"/>
  <c r="C1181" i="9"/>
  <c r="C1182" i="9"/>
  <c r="C1183" i="9"/>
  <c r="C1184" i="9"/>
  <c r="C1185" i="9"/>
  <c r="C1186" i="9"/>
  <c r="C1187" i="9"/>
  <c r="C1188" i="9"/>
  <c r="C1189" i="9"/>
  <c r="C1190" i="9"/>
  <c r="C1191" i="9"/>
  <c r="C1192" i="9"/>
  <c r="C1193" i="9"/>
  <c r="C1194" i="9"/>
  <c r="C1195" i="9"/>
  <c r="C1196" i="9"/>
  <c r="C1197" i="9"/>
  <c r="C1198" i="9"/>
  <c r="C1199" i="9"/>
  <c r="C1200" i="9"/>
  <c r="C1201" i="9"/>
  <c r="C1202" i="9"/>
  <c r="C1203" i="9"/>
  <c r="C1204" i="9"/>
  <c r="C1205" i="9"/>
  <c r="C1206" i="9"/>
  <c r="C1207" i="9"/>
  <c r="C1208" i="9"/>
  <c r="C1209" i="9"/>
  <c r="C1210" i="9"/>
  <c r="C1211" i="9"/>
  <c r="C1212" i="9"/>
  <c r="C1213" i="9"/>
  <c r="C1214" i="9"/>
  <c r="C1215" i="9"/>
  <c r="C1216" i="9"/>
  <c r="C1217" i="9"/>
  <c r="C1218" i="9"/>
  <c r="C1219" i="9"/>
  <c r="C1220" i="9"/>
  <c r="C1221" i="9"/>
  <c r="C1222" i="9"/>
  <c r="C1223" i="9"/>
  <c r="C1224" i="9"/>
  <c r="C1225" i="9"/>
  <c r="C1226" i="9"/>
  <c r="C1227" i="9"/>
  <c r="C1228" i="9"/>
  <c r="C1229" i="9"/>
  <c r="C1230" i="9"/>
  <c r="C1231" i="9"/>
  <c r="C1232" i="9"/>
  <c r="C1233" i="9"/>
  <c r="C1234" i="9"/>
  <c r="C1235" i="9"/>
  <c r="C1236" i="9"/>
  <c r="C1237" i="9"/>
  <c r="C1238" i="9"/>
  <c r="C1239" i="9"/>
  <c r="C1240" i="9"/>
  <c r="C1241" i="9"/>
  <c r="C1242" i="9"/>
  <c r="C1243" i="9"/>
  <c r="C1244" i="9"/>
  <c r="C1245" i="9"/>
  <c r="C1246" i="9"/>
  <c r="C1247" i="9"/>
  <c r="C1248" i="9"/>
  <c r="C1249" i="9"/>
  <c r="C1250" i="9"/>
  <c r="C1251" i="9"/>
  <c r="C1252" i="9"/>
  <c r="C1253" i="9"/>
  <c r="C1254" i="9"/>
  <c r="C1255" i="9"/>
  <c r="C1256" i="9"/>
  <c r="C1257" i="9"/>
  <c r="C1258" i="9"/>
  <c r="C1259" i="9"/>
  <c r="C1260" i="9"/>
  <c r="C1261" i="9"/>
  <c r="C1262" i="9"/>
  <c r="C1263" i="9"/>
  <c r="C1264" i="9"/>
  <c r="C1265" i="9"/>
  <c r="C1266" i="9"/>
  <c r="C1267" i="9"/>
  <c r="C1268" i="9"/>
  <c r="C1269" i="9"/>
  <c r="C1270" i="9"/>
  <c r="C1271" i="9"/>
  <c r="C1272" i="9"/>
  <c r="C1273" i="9"/>
  <c r="C1274" i="9"/>
  <c r="C1275" i="9"/>
  <c r="C1276" i="9"/>
  <c r="C1277" i="9"/>
  <c r="C1278" i="9"/>
  <c r="C1279" i="9"/>
  <c r="C1280" i="9"/>
  <c r="C1281" i="9"/>
  <c r="C1282" i="9"/>
  <c r="C1283" i="9"/>
  <c r="C1284" i="9"/>
  <c r="C1285" i="9"/>
  <c r="C1286" i="9"/>
  <c r="C1287" i="9"/>
  <c r="C1288" i="9"/>
  <c r="C1289" i="9"/>
  <c r="C1290" i="9"/>
  <c r="C1291" i="9"/>
  <c r="C1292" i="9"/>
  <c r="C1293" i="9"/>
  <c r="C1294" i="9"/>
  <c r="C1295" i="9"/>
  <c r="C1296" i="9"/>
  <c r="C1297" i="9"/>
  <c r="C1298" i="9"/>
  <c r="C1299" i="9"/>
  <c r="C1300" i="9"/>
  <c r="C1301" i="9"/>
  <c r="C1302" i="9"/>
  <c r="C1303" i="9"/>
  <c r="C1304" i="9"/>
  <c r="C1305" i="9"/>
  <c r="C1306" i="9"/>
  <c r="C1307" i="9"/>
  <c r="C1308" i="9"/>
  <c r="C1309" i="9"/>
  <c r="C1310" i="9"/>
  <c r="C1311" i="9"/>
  <c r="C1312" i="9"/>
  <c r="C1313" i="9"/>
  <c r="C1314" i="9"/>
  <c r="C1315" i="9"/>
  <c r="C1316" i="9"/>
  <c r="C1317" i="9"/>
  <c r="C1318" i="9"/>
  <c r="C1319" i="9"/>
  <c r="C1320" i="9"/>
  <c r="C1321" i="9"/>
  <c r="C1322" i="9"/>
  <c r="C1323" i="9"/>
  <c r="C1324" i="9"/>
  <c r="C1325" i="9"/>
  <c r="C1326" i="9"/>
  <c r="C1327" i="9"/>
  <c r="C1328" i="9"/>
  <c r="C1329" i="9"/>
  <c r="C1330" i="9"/>
  <c r="C1331" i="9"/>
  <c r="C1332" i="9"/>
  <c r="C1333" i="9"/>
  <c r="C1334" i="9"/>
  <c r="C1335" i="9"/>
  <c r="C1336" i="9"/>
  <c r="C1337" i="9"/>
  <c r="C1338" i="9"/>
  <c r="C1339" i="9"/>
  <c r="C1340" i="9"/>
  <c r="C1341" i="9"/>
  <c r="C1342" i="9"/>
  <c r="C1343" i="9"/>
  <c r="C1344" i="9"/>
  <c r="C1345" i="9"/>
  <c r="C1346" i="9"/>
  <c r="C1347" i="9"/>
  <c r="C1348" i="9"/>
  <c r="C1349" i="9"/>
  <c r="C1350" i="9"/>
  <c r="C1351" i="9"/>
  <c r="C1352" i="9"/>
  <c r="C1353" i="9"/>
  <c r="C1354" i="9"/>
  <c r="C1355" i="9"/>
  <c r="C1356" i="9"/>
  <c r="C1357" i="9"/>
  <c r="C1358" i="9"/>
  <c r="C1359" i="9"/>
  <c r="C1360" i="9"/>
  <c r="C1361" i="9"/>
  <c r="C1362" i="9"/>
  <c r="C1363" i="9"/>
  <c r="C1364" i="9"/>
  <c r="C1365" i="9"/>
  <c r="C1366" i="9"/>
  <c r="C1367" i="9"/>
  <c r="C1368" i="9"/>
  <c r="C1369" i="9"/>
  <c r="C1370" i="9"/>
  <c r="C1371" i="9"/>
  <c r="C1372" i="9"/>
  <c r="C1373" i="9"/>
  <c r="C1374" i="9"/>
  <c r="C1375" i="9"/>
  <c r="C1376" i="9"/>
  <c r="C1377" i="9"/>
  <c r="C1378" i="9"/>
  <c r="C1379" i="9"/>
  <c r="C1380" i="9"/>
  <c r="C1381" i="9"/>
  <c r="C1382" i="9"/>
  <c r="C1383" i="9"/>
  <c r="C1384" i="9"/>
  <c r="C1385" i="9"/>
  <c r="C1386" i="9"/>
  <c r="C1387" i="9"/>
  <c r="C1388" i="9"/>
  <c r="C1389" i="9"/>
  <c r="C1390" i="9"/>
  <c r="C1391" i="9"/>
  <c r="C1392" i="9"/>
  <c r="C1393" i="9"/>
  <c r="C1394" i="9"/>
  <c r="C1395" i="9"/>
  <c r="C1396" i="9"/>
  <c r="C1397" i="9"/>
  <c r="C1398" i="9"/>
  <c r="C1399" i="9"/>
  <c r="C1400" i="9"/>
  <c r="C1401" i="9"/>
  <c r="C1402" i="9"/>
  <c r="C1403" i="9"/>
  <c r="C1404" i="9"/>
  <c r="C1405" i="9"/>
  <c r="C1406" i="9"/>
  <c r="C1407" i="9"/>
  <c r="C1408" i="9"/>
  <c r="C1409" i="9"/>
  <c r="C1410" i="9"/>
  <c r="C1411" i="9"/>
  <c r="C1412" i="9"/>
  <c r="C1413" i="9"/>
  <c r="C1414" i="9"/>
  <c r="C1415" i="9"/>
  <c r="C1416" i="9"/>
  <c r="C1417" i="9"/>
  <c r="C1418" i="9"/>
  <c r="C1419" i="9"/>
  <c r="C1420" i="9"/>
  <c r="C1421" i="9"/>
  <c r="C1422" i="9"/>
  <c r="C1423" i="9"/>
  <c r="C1424" i="9"/>
  <c r="C1425" i="9"/>
  <c r="C1426" i="9"/>
  <c r="C1427" i="9"/>
  <c r="C1428" i="9"/>
  <c r="C1429" i="9"/>
  <c r="C1430" i="9"/>
  <c r="C1431" i="9"/>
  <c r="C1432" i="9"/>
  <c r="C1433" i="9"/>
  <c r="C1434" i="9"/>
  <c r="C1435" i="9"/>
  <c r="C1436" i="9"/>
  <c r="C1437" i="9"/>
  <c r="C1438" i="9"/>
  <c r="C1439" i="9"/>
  <c r="C1440" i="9"/>
  <c r="C1441" i="9"/>
  <c r="C1442" i="9"/>
  <c r="C1443" i="9"/>
  <c r="C1444" i="9"/>
  <c r="C1445" i="9"/>
  <c r="C1446" i="9"/>
  <c r="C1447" i="9"/>
  <c r="C1448" i="9"/>
  <c r="C1449" i="9"/>
  <c r="C1450" i="9"/>
  <c r="C1451" i="9"/>
  <c r="C1452" i="9"/>
  <c r="C1453" i="9"/>
  <c r="C1454" i="9"/>
  <c r="C1455" i="9"/>
  <c r="C1456" i="9"/>
  <c r="C1457" i="9"/>
  <c r="C1458" i="9"/>
  <c r="C1459" i="9"/>
  <c r="C1460" i="9"/>
  <c r="C1461" i="9"/>
  <c r="C1462" i="9"/>
  <c r="C1463" i="9"/>
  <c r="C1464" i="9"/>
  <c r="C1465" i="9"/>
  <c r="C1466" i="9"/>
  <c r="C1467" i="9"/>
  <c r="C1468" i="9"/>
  <c r="C1469" i="9"/>
  <c r="C1470" i="9"/>
  <c r="C1471" i="9"/>
  <c r="C1472" i="9"/>
  <c r="C1473" i="9"/>
  <c r="C1474" i="9"/>
  <c r="C1475" i="9"/>
  <c r="C1476" i="9"/>
  <c r="C1477" i="9"/>
  <c r="C1478" i="9"/>
  <c r="C1479" i="9"/>
  <c r="C1480" i="9"/>
  <c r="C1481" i="9"/>
  <c r="C1482" i="9"/>
  <c r="C1483" i="9"/>
  <c r="C1484" i="9"/>
  <c r="C1485" i="9"/>
  <c r="C1486" i="9"/>
  <c r="C1487" i="9"/>
  <c r="C1488" i="9"/>
  <c r="C1489" i="9"/>
  <c r="C1490" i="9"/>
  <c r="C1491" i="9"/>
  <c r="C1492" i="9"/>
  <c r="C1493" i="9"/>
  <c r="C1494" i="9"/>
  <c r="C1495" i="9"/>
  <c r="C1496" i="9"/>
  <c r="C1497" i="9"/>
  <c r="C1498" i="9"/>
  <c r="C1499" i="9"/>
  <c r="C1500" i="9"/>
  <c r="C1501" i="9"/>
  <c r="C1502" i="9"/>
  <c r="C1503" i="9"/>
  <c r="C1504" i="9"/>
  <c r="C1505" i="9"/>
  <c r="C1506" i="9"/>
  <c r="C1507" i="9"/>
  <c r="C1508" i="9"/>
  <c r="C1509" i="9"/>
  <c r="C1510" i="9"/>
  <c r="C1511" i="9"/>
  <c r="C1512" i="9"/>
  <c r="C1513" i="9"/>
  <c r="C1514" i="9"/>
  <c r="C1515" i="9"/>
  <c r="C1516" i="9"/>
  <c r="C1517" i="9"/>
  <c r="C1518" i="9"/>
  <c r="C1519" i="9"/>
  <c r="C1520" i="9"/>
  <c r="C1521" i="9"/>
  <c r="C1522" i="9"/>
  <c r="C1523" i="9"/>
  <c r="C1524" i="9"/>
  <c r="C1525" i="9"/>
  <c r="C1526" i="9"/>
  <c r="C1527" i="9"/>
  <c r="C1528" i="9"/>
  <c r="C1529" i="9"/>
  <c r="C1530" i="9"/>
  <c r="C1531" i="9"/>
  <c r="C1532" i="9"/>
  <c r="C1533" i="9"/>
  <c r="C1534" i="9"/>
  <c r="C1535" i="9"/>
  <c r="C1536" i="9"/>
  <c r="C1537" i="9"/>
  <c r="C1538" i="9"/>
  <c r="C1539" i="9"/>
  <c r="C1540" i="9"/>
  <c r="C1541" i="9"/>
  <c r="C1542" i="9"/>
  <c r="C1543" i="9"/>
  <c r="C1544" i="9"/>
  <c r="C1545" i="9"/>
  <c r="C1546" i="9"/>
  <c r="C1547" i="9"/>
  <c r="C1548" i="9"/>
  <c r="C1549" i="9"/>
  <c r="C1550" i="9"/>
  <c r="C1551" i="9"/>
  <c r="C1552" i="9"/>
  <c r="C1553" i="9"/>
  <c r="C1554" i="9"/>
  <c r="C1555" i="9"/>
  <c r="C1556" i="9"/>
  <c r="C1557" i="9"/>
  <c r="C1558" i="9"/>
  <c r="C1559" i="9"/>
  <c r="C1560" i="9"/>
  <c r="C1561" i="9"/>
  <c r="C1562" i="9"/>
  <c r="C1563" i="9"/>
  <c r="C1564" i="9"/>
  <c r="C1565" i="9"/>
  <c r="C1566" i="9"/>
  <c r="C1567" i="9"/>
  <c r="C1568" i="9"/>
  <c r="C1569" i="9"/>
  <c r="C1570" i="9"/>
  <c r="C1571" i="9"/>
  <c r="C1572" i="9"/>
  <c r="C1573" i="9"/>
  <c r="C1574" i="9"/>
  <c r="C1575" i="9"/>
  <c r="C1576" i="9"/>
  <c r="C1577" i="9"/>
  <c r="C1578" i="9"/>
  <c r="C1579" i="9"/>
  <c r="C1580" i="9"/>
  <c r="C1581" i="9"/>
  <c r="C1582" i="9"/>
  <c r="C1583" i="9"/>
  <c r="C1584" i="9"/>
  <c r="C1585" i="9"/>
  <c r="C1586" i="9"/>
  <c r="C1587" i="9"/>
  <c r="C1588" i="9"/>
  <c r="C1589" i="9"/>
  <c r="C1590" i="9"/>
  <c r="C1591" i="9"/>
  <c r="C1592" i="9"/>
  <c r="C1593" i="9"/>
  <c r="C1594" i="9"/>
  <c r="C1595" i="9"/>
  <c r="C1596" i="9"/>
  <c r="C1597" i="9"/>
  <c r="C1598" i="9"/>
  <c r="C1599" i="9"/>
  <c r="C1600" i="9"/>
  <c r="C1601" i="9"/>
  <c r="C1602" i="9"/>
  <c r="C1603" i="9"/>
  <c r="C1604" i="9"/>
  <c r="C1605" i="9"/>
  <c r="C1606" i="9"/>
  <c r="C1607" i="9"/>
  <c r="C1608" i="9"/>
  <c r="C1609" i="9"/>
  <c r="C1610" i="9"/>
  <c r="C1611" i="9"/>
  <c r="C1612" i="9"/>
  <c r="C1613" i="9"/>
  <c r="C1614" i="9"/>
  <c r="C1615" i="9"/>
  <c r="C1616" i="9"/>
  <c r="C1617" i="9"/>
  <c r="C1618" i="9"/>
  <c r="C1619" i="9"/>
  <c r="C1620" i="9"/>
  <c r="C1621" i="9"/>
  <c r="C1622" i="9"/>
  <c r="C1623" i="9"/>
  <c r="C1624" i="9"/>
  <c r="C1625" i="9"/>
  <c r="C1626" i="9"/>
  <c r="C1627" i="9"/>
  <c r="C1628" i="9"/>
  <c r="C1629" i="9"/>
  <c r="C1630" i="9"/>
  <c r="C1631" i="9"/>
  <c r="C1632" i="9"/>
  <c r="C1633" i="9"/>
  <c r="C1634" i="9"/>
  <c r="C1635" i="9"/>
  <c r="C1636" i="9"/>
  <c r="C1637" i="9"/>
  <c r="C1638" i="9"/>
  <c r="C1639" i="9"/>
  <c r="C1640" i="9"/>
  <c r="C1641" i="9"/>
  <c r="C1642" i="9"/>
  <c r="C1643" i="9"/>
  <c r="C1644" i="9"/>
  <c r="C1645" i="9"/>
  <c r="C1646" i="9"/>
  <c r="C1647" i="9"/>
  <c r="C1648" i="9"/>
  <c r="C1649" i="9"/>
  <c r="C1650" i="9"/>
  <c r="C1651" i="9"/>
  <c r="C1652" i="9"/>
  <c r="C1653" i="9"/>
  <c r="C1654" i="9"/>
  <c r="C1655" i="9"/>
  <c r="C1656" i="9"/>
  <c r="C1657" i="9"/>
  <c r="C1658" i="9"/>
  <c r="C1659" i="9"/>
  <c r="C1660" i="9"/>
  <c r="C1661" i="9"/>
  <c r="C1662" i="9"/>
  <c r="C1663" i="9"/>
  <c r="C1664" i="9"/>
  <c r="C1665" i="9"/>
  <c r="C1666" i="9"/>
  <c r="C1667" i="9"/>
  <c r="C1668" i="9"/>
  <c r="C1669" i="9"/>
  <c r="C1670" i="9"/>
  <c r="C1671" i="9"/>
  <c r="C1672" i="9"/>
  <c r="C1673" i="9"/>
  <c r="C1674" i="9"/>
  <c r="C1675" i="9"/>
  <c r="C1676" i="9"/>
  <c r="C1677" i="9"/>
  <c r="C1678" i="9"/>
  <c r="C1679" i="9"/>
  <c r="C1680" i="9"/>
  <c r="C1681" i="9"/>
  <c r="C1682" i="9"/>
  <c r="C1683" i="9"/>
  <c r="C1684" i="9"/>
  <c r="C1685" i="9"/>
  <c r="C1686" i="9"/>
  <c r="C1687" i="9"/>
  <c r="C1688" i="9"/>
  <c r="C1689" i="9"/>
  <c r="C1690" i="9"/>
  <c r="C1691" i="9"/>
  <c r="C1692" i="9"/>
  <c r="C1693" i="9"/>
  <c r="C1694" i="9"/>
  <c r="C1695" i="9"/>
  <c r="C1696" i="9"/>
  <c r="C1697" i="9"/>
  <c r="C1698" i="9"/>
  <c r="C1699" i="9"/>
  <c r="C1700" i="9"/>
  <c r="C1701" i="9"/>
  <c r="C1702" i="9"/>
  <c r="C1703" i="9"/>
  <c r="C1704" i="9"/>
  <c r="C1705" i="9"/>
  <c r="C1706" i="9"/>
  <c r="C1707" i="9"/>
  <c r="C1708" i="9"/>
  <c r="C1709" i="9"/>
  <c r="C1710" i="9"/>
  <c r="C1711" i="9"/>
  <c r="C1712" i="9"/>
  <c r="C1713" i="9"/>
  <c r="C1714" i="9"/>
  <c r="C1715" i="9"/>
  <c r="C1716" i="9"/>
  <c r="C1717" i="9"/>
  <c r="C1718" i="9"/>
  <c r="C1719" i="9"/>
  <c r="C1720" i="9"/>
  <c r="C1721" i="9"/>
  <c r="C1722" i="9"/>
  <c r="C1723" i="9"/>
  <c r="C1724" i="9"/>
  <c r="C1725" i="9"/>
  <c r="C1726" i="9"/>
  <c r="C1727" i="9"/>
  <c r="C1728" i="9"/>
  <c r="C1729" i="9"/>
  <c r="C1730" i="9"/>
  <c r="C1731" i="9"/>
  <c r="C1732" i="9"/>
  <c r="C1733" i="9"/>
  <c r="C1734" i="9"/>
  <c r="C1735" i="9"/>
  <c r="C1736" i="9"/>
  <c r="C1737" i="9"/>
  <c r="C1738" i="9"/>
  <c r="C1739" i="9"/>
  <c r="C1740" i="9"/>
  <c r="C1741" i="9"/>
  <c r="C1742" i="9"/>
  <c r="C1743" i="9"/>
  <c r="C1744" i="9"/>
  <c r="C1745" i="9"/>
  <c r="C1746" i="9"/>
  <c r="C1747" i="9"/>
  <c r="C1748" i="9"/>
  <c r="C1749" i="9"/>
  <c r="C1750" i="9"/>
  <c r="C1751" i="9"/>
  <c r="C1752" i="9"/>
  <c r="C1753" i="9"/>
  <c r="C1754" i="9"/>
  <c r="C1755" i="9"/>
  <c r="C1756" i="9"/>
  <c r="C1757" i="9"/>
  <c r="C1758" i="9"/>
  <c r="C1759" i="9"/>
  <c r="C1760" i="9"/>
  <c r="C1761" i="9"/>
  <c r="C1762" i="9"/>
  <c r="C1763" i="9"/>
  <c r="C1764" i="9"/>
  <c r="C1765" i="9"/>
  <c r="C1766" i="9"/>
  <c r="C1767" i="9"/>
  <c r="C1768" i="9"/>
  <c r="C1769" i="9"/>
  <c r="C1770" i="9"/>
  <c r="C1771" i="9"/>
  <c r="C1772" i="9"/>
  <c r="C1773" i="9"/>
  <c r="C1774" i="9"/>
  <c r="C1775" i="9"/>
  <c r="F2" i="9" l="1"/>
  <c r="E2" i="9"/>
  <c r="F2" i="8"/>
  <c r="E2" i="8"/>
  <c r="F2" i="7"/>
  <c r="E2" i="7"/>
  <c r="F2" i="6"/>
  <c r="E2" i="6"/>
  <c r="F2" i="5"/>
  <c r="E2" i="5"/>
  <c r="F2" i="4"/>
  <c r="E2" i="4"/>
  <c r="F2" i="3"/>
  <c r="E2" i="3"/>
  <c r="G2" i="3" l="1"/>
  <c r="B2" i="1"/>
  <c r="H2" i="3"/>
  <c r="C2" i="1"/>
  <c r="G2" i="4"/>
  <c r="B3" i="1"/>
  <c r="H2" i="4"/>
  <c r="C3" i="1"/>
  <c r="G2" i="5"/>
  <c r="B4" i="1"/>
  <c r="H2" i="5"/>
  <c r="C4" i="1"/>
  <c r="G2" i="6"/>
  <c r="B5" i="1"/>
  <c r="H2" i="6"/>
  <c r="C5" i="1"/>
  <c r="G2" i="7"/>
  <c r="B6" i="1"/>
  <c r="H2" i="7"/>
  <c r="C6" i="1"/>
  <c r="G2" i="8"/>
  <c r="B7" i="1"/>
  <c r="H2" i="8"/>
  <c r="C7" i="1"/>
  <c r="G2" i="9"/>
  <c r="B8" i="1"/>
  <c r="H2" i="9"/>
  <c r="C8" i="1"/>
  <c r="C8" i="2" l="1"/>
  <c r="E8" i="1"/>
  <c r="B8" i="2"/>
  <c r="D8" i="1"/>
  <c r="C7" i="2"/>
  <c r="E7" i="1"/>
  <c r="B7" i="2"/>
  <c r="D7" i="2" s="1"/>
  <c r="D7" i="1"/>
  <c r="C6" i="2"/>
  <c r="E6" i="1"/>
  <c r="B6" i="2"/>
  <c r="D6" i="2" s="1"/>
  <c r="D6" i="1"/>
  <c r="C5" i="2"/>
  <c r="E5" i="1"/>
  <c r="B5" i="2"/>
  <c r="D5" i="2" s="1"/>
  <c r="D5" i="1"/>
  <c r="C4" i="2"/>
  <c r="E4" i="1"/>
  <c r="B4" i="2"/>
  <c r="D4" i="2" s="1"/>
  <c r="D4" i="1"/>
  <c r="C3" i="2"/>
  <c r="E3" i="1"/>
  <c r="B3" i="2"/>
  <c r="D3" i="2" s="1"/>
  <c r="D3" i="1"/>
  <c r="C2" i="2"/>
  <c r="E2" i="1"/>
  <c r="B2" i="2"/>
  <c r="D2" i="2" s="1"/>
  <c r="D2" i="1"/>
  <c r="D8" i="2" l="1"/>
</calcChain>
</file>

<file path=xl/sharedStrings.xml><?xml version="1.0" encoding="utf-8"?>
<sst xmlns="http://schemas.openxmlformats.org/spreadsheetml/2006/main" count="58" uniqueCount="18">
  <si>
    <t>Asset</t>
  </si>
  <si>
    <t>Avg Daily Return</t>
  </si>
  <si>
    <t>Daily Volatility</t>
  </si>
  <si>
    <t>Annual Return</t>
  </si>
  <si>
    <t>Annual Volatility</t>
  </si>
  <si>
    <t>AAPL</t>
  </si>
  <si>
    <t>MSFT</t>
  </si>
  <si>
    <t>NVDA</t>
  </si>
  <si>
    <t>JPM</t>
  </si>
  <si>
    <t>BAC</t>
  </si>
  <si>
    <t>KO</t>
  </si>
  <si>
    <t>SPY</t>
  </si>
  <si>
    <t>Sharpe Ratio</t>
  </si>
  <si>
    <t>daily_return</t>
  </si>
  <si>
    <t>avg_daily_return</t>
  </si>
  <si>
    <t>volatility</t>
  </si>
  <si>
    <t>annualized_return</t>
  </si>
  <si>
    <t>annualized_volatility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</si>
</sst>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\ h:mm:ss"/>
  </numFmts>
  <fonts count="2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0" fontId="1" fillId="0" borderId="0" xfId="0" applyNumberFormat="1" applyFont="1"/>
    <xf numFmtId="164" fontId="1" fillId="0" borderId="0" xfId="0" applyNumberFormat="1" applyFont="1"/>
    <xf numFmtId="2" fontId="1" fillId="0" borderId="0" xfId="0" applyNumberFormat="1" applyFon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 sz="1000" b="1" i="0" u="none" strike="noStrike" baseline="0"/>
              <a:t>Risk–Return Profile of Selected U.S. Equities (2019–Present)</a:t>
            </a:r>
            <a:endParaRPr lang="en-US"/>
          </a:p>
        </c:rich>
      </c:tx>
      <c:overlay val="0"/>
    </c:title>
    <c:autoTitleDeleted val="0"/>
    <c:plotArea>
      <c:layout/>
      <c:bubbleChart>
        <c:varyColors val="0"/>
        <c:ser>
          <c:idx val="0"/>
          <c:order val="0"/>
          <c:tx>
            <c:strRef>
              <c:f>Summary!$C$1</c:f>
              <c:strCache>
                <c:ptCount val="1"/>
                <c:pt idx="0">
                  <c:v>Annual Volatility</c:v>
                </c:pt>
              </c:strCache>
            </c:strRef>
          </c:tx>
          <c:spPr>
            <a:ln>
              <a:noFill/>
            </a:ln>
          </c:spPr>
          <c:invertIfNegative val="0"/>
          <c:dLbls>
            <c:dLbl>
              <c:idx val="0"/>
              <c:layout>
                <c:manualLayout>
                  <c:x val="-6.0099423055989122E-2"/>
                  <c:y val="-5.7127711688298298E-2"/>
                </c:manualLayout>
              </c:layout>
              <c:tx>
                <c:rich>
                  <a:bodyPr/>
                  <a:lstStyle/>
                  <a:p>
                    <a:fld id="{27A0E93B-3652-454C-A860-8BFC8730F7C5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719D-43EF-ADDB-ED78D2C005BE}"/>
                </c:ext>
              </c:extLst>
            </c:dLbl>
            <c:dLbl>
              <c:idx val="1"/>
              <c:layout>
                <c:manualLayout>
                  <c:x val="-7.7459027299006986E-2"/>
                  <c:y val="-4.6796508000350644E-2"/>
                </c:manualLayout>
              </c:layout>
              <c:tx>
                <c:rich>
                  <a:bodyPr/>
                  <a:lstStyle/>
                  <a:p>
                    <a:fld id="{1B3BC3EE-609E-4839-8D07-0EB3CDDEB650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2-719D-43EF-ADDB-ED78D2C005BE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51C39CDF-C989-42B4-BBD0-0E0AA3A88D2E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719D-43EF-ADDB-ED78D2C005BE}"/>
                </c:ext>
              </c:extLst>
            </c:dLbl>
            <c:dLbl>
              <c:idx val="3"/>
              <c:layout>
                <c:manualLayout>
                  <c:x val="-5.7704399853244152E-2"/>
                  <c:y val="-4.5642889923631844E-2"/>
                </c:manualLayout>
              </c:layout>
              <c:tx>
                <c:rich>
                  <a:bodyPr/>
                  <a:lstStyle/>
                  <a:p>
                    <a:fld id="{7059AB04-05B4-412D-AE47-DBB30B50D7D1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719D-43EF-ADDB-ED78D2C005BE}"/>
                </c:ext>
              </c:extLst>
            </c:dLbl>
            <c:dLbl>
              <c:idx val="4"/>
              <c:layout>
                <c:manualLayout>
                  <c:x val="-5.4785087347952552E-2"/>
                  <c:y val="-4.1175688009529261E-2"/>
                </c:manualLayout>
              </c:layout>
              <c:tx>
                <c:rich>
                  <a:bodyPr/>
                  <a:lstStyle/>
                  <a:p>
                    <a:fld id="{F9651199-3021-42C4-AB46-98C4F6A7D413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5-719D-43EF-ADDB-ED78D2C005BE}"/>
                </c:ext>
              </c:extLst>
            </c:dLbl>
            <c:dLbl>
              <c:idx val="5"/>
              <c:layout>
                <c:manualLayout>
                  <c:x val="-4.7371014107107583E-2"/>
                  <c:y val="-3.4456734165596782E-2"/>
                </c:manualLayout>
              </c:layout>
              <c:tx>
                <c:rich>
                  <a:bodyPr/>
                  <a:lstStyle/>
                  <a:p>
                    <a:fld id="{371A0335-69F9-45BB-8CE1-C064D058C899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6-719D-43EF-ADDB-ED78D2C005BE}"/>
                </c:ext>
              </c:extLst>
            </c:dLbl>
            <c:dLbl>
              <c:idx val="6"/>
              <c:layout>
                <c:manualLayout>
                  <c:x val="-6.132926932520532E-2"/>
                  <c:y val="-5.5504849713039407E-2"/>
                </c:manualLayout>
              </c:layout>
              <c:tx>
                <c:rich>
                  <a:bodyPr/>
                  <a:lstStyle/>
                  <a:p>
                    <a:fld id="{F5E16431-B8E0-48A1-8F6A-0665B7D40E55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7-719D-43EF-ADDB-ED78D2C005BE}"/>
                </c:ext>
              </c:extLst>
            </c:dLbl>
            <c:spPr>
              <a:noFill/>
              <a:ln>
                <a:noFill/>
              </a:ln>
              <a:effectLst/>
            </c:spPr>
            <c:dLblPos val="t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xVal>
            <c:numRef>
              <c:f>Summary!$C$2:$C$8</c:f>
              <c:numCache>
                <c:formatCode>0.00%</c:formatCode>
                <c:ptCount val="7"/>
                <c:pt idx="0">
                  <c:v>0.31011666337956051</c:v>
                </c:pt>
                <c:pt idx="1">
                  <c:v>0.2835430942963636</c:v>
                </c:pt>
                <c:pt idx="2">
                  <c:v>0.5145628370155032</c:v>
                </c:pt>
                <c:pt idx="3">
                  <c:v>0.29970110222745655</c:v>
                </c:pt>
                <c:pt idx="4">
                  <c:v>0.32990719082094583</c:v>
                </c:pt>
                <c:pt idx="5">
                  <c:v>0.19913835408350816</c:v>
                </c:pt>
                <c:pt idx="6">
                  <c:v>0.19787802634165502</c:v>
                </c:pt>
              </c:numCache>
            </c:numRef>
          </c:xVal>
          <c:yVal>
            <c:numRef>
              <c:f>Summary!$B$2:$B$8</c:f>
              <c:numCache>
                <c:formatCode>0.00%</c:formatCode>
                <c:ptCount val="7"/>
                <c:pt idx="0">
                  <c:v>0.30949633668032911</c:v>
                </c:pt>
                <c:pt idx="1">
                  <c:v>0.25304406250874345</c:v>
                </c:pt>
                <c:pt idx="2">
                  <c:v>0.70066381346552087</c:v>
                </c:pt>
                <c:pt idx="3">
                  <c:v>0.20385228255156582</c:v>
                </c:pt>
                <c:pt idx="4">
                  <c:v>0.15985138337682755</c:v>
                </c:pt>
                <c:pt idx="5">
                  <c:v>8.0617980631209896E-2</c:v>
                </c:pt>
                <c:pt idx="6">
                  <c:v>0.16365234644855295</c:v>
                </c:pt>
              </c:numCache>
            </c:numRef>
          </c:yVal>
          <c:bubbleSize>
            <c:numRef>
              <c:f>Summary!$D$2:$D$8</c:f>
              <c:numCache>
                <c:formatCode>0.00</c:formatCode>
                <c:ptCount val="7"/>
                <c:pt idx="0">
                  <c:v>0.90126191103199671</c:v>
                </c:pt>
                <c:pt idx="1">
                  <c:v>0.78663196880970188</c:v>
                </c:pt>
                <c:pt idx="2">
                  <c:v>1.3033662076247345</c:v>
                </c:pt>
                <c:pt idx="3">
                  <c:v>0.58008556278055179</c:v>
                </c:pt>
                <c:pt idx="4">
                  <c:v>0.39359973650075192</c:v>
                </c:pt>
                <c:pt idx="5">
                  <c:v>0.25418499045132903</c:v>
                </c:pt>
                <c:pt idx="6">
                  <c:v>0.67542793365944331</c:v>
                </c:pt>
              </c:numCache>
            </c:numRef>
          </c:bubbleSize>
          <c:bubble3D val="0"/>
          <c:extLst>
            <c:ext xmlns:c15="http://schemas.microsoft.com/office/drawing/2012/chart" uri="{02D57815-91ED-43cb-92C2-25804820EDAC}">
              <c15:datalabelsRange>
                <c15:f>Summary!$A$2:$A$8</c15:f>
                <c15:dlblRangeCache>
                  <c:ptCount val="7"/>
                  <c:pt idx="0">
                    <c:v>AAPL</c:v>
                  </c:pt>
                  <c:pt idx="1">
                    <c:v>MSFT</c:v>
                  </c:pt>
                  <c:pt idx="2">
                    <c:v>NVDA</c:v>
                  </c:pt>
                  <c:pt idx="3">
                    <c:v>JPM</c:v>
                  </c:pt>
                  <c:pt idx="4">
                    <c:v>BAC</c:v>
                  </c:pt>
                  <c:pt idx="5">
                    <c:v>KO</c:v>
                  </c:pt>
                  <c:pt idx="6">
                    <c:v>SPY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0-719D-43EF-ADDB-ED78D2C005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bubbleScale val="30"/>
        <c:showNegBubbles val="0"/>
        <c:axId val="320815510"/>
        <c:axId val="1439202893"/>
      </c:bubbleChart>
      <c:valAx>
        <c:axId val="320815510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>
                    <a:solidFill>
                      <a:srgbClr val="000000"/>
                    </a:solidFill>
                    <a:latin typeface="+mn-lt"/>
                  </a:rPr>
                  <a:t>Annual Volatility</a:t>
                </a:r>
              </a:p>
            </c:rich>
          </c:tx>
          <c:overlay val="0"/>
        </c:title>
        <c:numFmt formatCode="0.00%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439202893"/>
        <c:crosses val="autoZero"/>
        <c:crossBetween val="midCat"/>
      </c:valAx>
      <c:valAx>
        <c:axId val="143920289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>
                    <a:solidFill>
                      <a:srgbClr val="000000"/>
                    </a:solidFill>
                    <a:latin typeface="+mn-lt"/>
                  </a:rPr>
                  <a:t>Annual Return</a:t>
                </a:r>
              </a:p>
            </c:rich>
          </c:tx>
          <c:overlay val="0"/>
        </c:title>
        <c:numFmt formatCode="0.00%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320815510"/>
        <c:crosses val="autoZero"/>
        <c:crossBetween val="midCat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523876</xdr:colOff>
      <xdr:row>4</xdr:row>
      <xdr:rowOff>38100</xdr:rowOff>
    </xdr:from>
    <xdr:ext cx="5200650" cy="3752850"/>
    <xdr:graphicFrame macro="">
      <xdr:nvGraphicFramePr>
        <xdr:cNvPr id="2" name="Chart 1" title="Chart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8"/>
  <sheetViews>
    <sheetView workbookViewId="0"/>
  </sheetViews>
  <sheetFormatPr defaultColWidth="12.5703125" defaultRowHeight="15.75" customHeight="1"/>
  <cols>
    <col min="2" max="2" width="16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1" t="s">
        <v>5</v>
      </c>
      <c r="B2" s="2">
        <f ca="1">AAPL!E2</f>
        <v>1.2281600661917821E-3</v>
      </c>
      <c r="C2" s="2">
        <f ca="1">AAPL!F2</f>
        <v>1.9535513540939249E-2</v>
      </c>
      <c r="D2" s="2">
        <f ca="1">AAPL!G2</f>
        <v>0.30949633668032911</v>
      </c>
      <c r="E2" s="2">
        <f ca="1">AAPL!H2</f>
        <v>0.31011666337956051</v>
      </c>
    </row>
    <row r="3" spans="1:5">
      <c r="A3" s="1" t="s">
        <v>6</v>
      </c>
      <c r="B3" s="2">
        <f ca="1">MSFT!E2</f>
        <v>1.0041431051934263E-3</v>
      </c>
      <c r="C3" s="2">
        <f ca="1">MSFT!F2</f>
        <v>1.7861536035188447E-2</v>
      </c>
      <c r="D3" s="2">
        <f ca="1">MSFT!G2</f>
        <v>0.25304406250874345</v>
      </c>
      <c r="E3" s="2">
        <f ca="1">MSFT!H2</f>
        <v>0.2835430942963636</v>
      </c>
    </row>
    <row r="4" spans="1:5">
      <c r="A4" s="1" t="s">
        <v>7</v>
      </c>
      <c r="B4" s="2">
        <f ca="1">NVDA!E2</f>
        <v>2.7804119581965113E-3</v>
      </c>
      <c r="C4" s="2">
        <f ca="1">NVDA!F2</f>
        <v>3.2414411920449589E-2</v>
      </c>
      <c r="D4" s="2">
        <f ca="1">NVDA!G2</f>
        <v>0.70066381346552087</v>
      </c>
      <c r="E4" s="2">
        <f ca="1">NVDA!H2</f>
        <v>0.5145628370155032</v>
      </c>
    </row>
    <row r="5" spans="1:5">
      <c r="A5" s="1" t="s">
        <v>8</v>
      </c>
      <c r="B5" s="2">
        <f ca="1">JPM!E2</f>
        <v>8.0893762917288027E-4</v>
      </c>
      <c r="C5" s="2">
        <f ca="1">JPM!F2</f>
        <v>1.8879394860614192E-2</v>
      </c>
      <c r="D5" s="2">
        <f ca="1">JPM!G2</f>
        <v>0.20385228255156582</v>
      </c>
      <c r="E5" s="2">
        <f ca="1">JPM!H2</f>
        <v>0.29970110222745655</v>
      </c>
    </row>
    <row r="6" spans="1:5">
      <c r="A6" s="1" t="s">
        <v>9</v>
      </c>
      <c r="B6" s="2">
        <f ca="1">BAC!E2</f>
        <v>6.343308864159824E-4</v>
      </c>
      <c r="C6" s="2">
        <f ca="1">BAC!F2</f>
        <v>2.0782199586765557E-2</v>
      </c>
      <c r="D6" s="2">
        <f ca="1">BAC!G2</f>
        <v>0.15985138337682755</v>
      </c>
      <c r="E6" s="2">
        <f ca="1">BAC!H2</f>
        <v>0.32990719082094583</v>
      </c>
    </row>
    <row r="7" spans="1:5">
      <c r="A7" s="1" t="s">
        <v>10</v>
      </c>
      <c r="B7" s="2">
        <f ca="1">KO!E2</f>
        <v>3.1991262155242021E-4</v>
      </c>
      <c r="C7" s="2">
        <f ca="1">KO!F2</f>
        <v>1.2544537176183009E-2</v>
      </c>
      <c r="D7" s="2">
        <f ca="1">KO!G2</f>
        <v>8.0617980631209896E-2</v>
      </c>
      <c r="E7" s="2">
        <f ca="1">KO!H2</f>
        <v>0.19913835408350816</v>
      </c>
    </row>
    <row r="8" spans="1:5">
      <c r="A8" s="1" t="s">
        <v>11</v>
      </c>
      <c r="B8" s="2">
        <f ca="1">SPY!E2</f>
        <v>6.4941407320854346E-4</v>
      </c>
      <c r="C8" s="2">
        <f ca="1">SPY!F2</f>
        <v>1.2465143991054937E-2</v>
      </c>
      <c r="D8" s="2">
        <f ca="1">SPY!G2</f>
        <v>0.16365234644855295</v>
      </c>
      <c r="E8" s="2">
        <f ca="1">SPY!H2</f>
        <v>0.19787802634165502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D8"/>
  <sheetViews>
    <sheetView tabSelected="1" workbookViewId="0">
      <selection activeCell="G11" sqref="G11"/>
    </sheetView>
  </sheetViews>
  <sheetFormatPr defaultColWidth="12.5703125" defaultRowHeight="15.75" customHeight="1"/>
  <cols>
    <col min="4" max="4" width="13.28515625" style="5" customWidth="1"/>
  </cols>
  <sheetData>
    <row r="1" spans="1:4">
      <c r="A1" s="1" t="s">
        <v>0</v>
      </c>
      <c r="B1" s="1" t="s">
        <v>3</v>
      </c>
      <c r="C1" s="1" t="s">
        <v>4</v>
      </c>
      <c r="D1" s="4" t="s">
        <v>12</v>
      </c>
    </row>
    <row r="2" spans="1:4">
      <c r="A2" s="1" t="s">
        <v>5</v>
      </c>
      <c r="B2" s="2">
        <f ca="1">AAPL!G2</f>
        <v>0.30949633668032911</v>
      </c>
      <c r="C2" s="2">
        <f ca="1">AAPL!H2</f>
        <v>0.31011666337956051</v>
      </c>
      <c r="D2" s="5">
        <f ca="1">(B2-0.03)/C2</f>
        <v>0.90126191103199671</v>
      </c>
    </row>
    <row r="3" spans="1:4">
      <c r="A3" s="1" t="s">
        <v>6</v>
      </c>
      <c r="B3" s="2">
        <f ca="1">MSFT!G2</f>
        <v>0.25304406250874345</v>
      </c>
      <c r="C3" s="2">
        <f ca="1">MSFT!H2</f>
        <v>0.2835430942963636</v>
      </c>
      <c r="D3" s="5">
        <f t="shared" ref="D3:D8" ca="1" si="0">(B3-0.03)/C3</f>
        <v>0.78663196880970188</v>
      </c>
    </row>
    <row r="4" spans="1:4">
      <c r="A4" s="1" t="s">
        <v>7</v>
      </c>
      <c r="B4" s="2">
        <f ca="1">NVDA!G2</f>
        <v>0.70066381346552087</v>
      </c>
      <c r="C4" s="2">
        <f ca="1">NVDA!H2</f>
        <v>0.5145628370155032</v>
      </c>
      <c r="D4" s="5">
        <f t="shared" ca="1" si="0"/>
        <v>1.3033662076247345</v>
      </c>
    </row>
    <row r="5" spans="1:4">
      <c r="A5" s="1" t="s">
        <v>8</v>
      </c>
      <c r="B5" s="2">
        <f ca="1">JPM!G2</f>
        <v>0.20385228255156582</v>
      </c>
      <c r="C5" s="2">
        <f ca="1">JPM!H2</f>
        <v>0.29970110222745655</v>
      </c>
      <c r="D5" s="5">
        <f t="shared" ca="1" si="0"/>
        <v>0.58008556278055179</v>
      </c>
    </row>
    <row r="6" spans="1:4">
      <c r="A6" s="1" t="s">
        <v>9</v>
      </c>
      <c r="B6" s="2">
        <f ca="1">BAC!G2</f>
        <v>0.15985138337682755</v>
      </c>
      <c r="C6" s="2">
        <f ca="1">BAC!H2</f>
        <v>0.32990719082094583</v>
      </c>
      <c r="D6" s="5">
        <f t="shared" ca="1" si="0"/>
        <v>0.39359973650075192</v>
      </c>
    </row>
    <row r="7" spans="1:4">
      <c r="A7" s="1" t="s">
        <v>10</v>
      </c>
      <c r="B7" s="2">
        <f ca="1">KO!G2</f>
        <v>8.0617980631209896E-2</v>
      </c>
      <c r="C7" s="2">
        <f ca="1">KO!H2</f>
        <v>0.19913835408350816</v>
      </c>
      <c r="D7" s="5">
        <f t="shared" ca="1" si="0"/>
        <v>0.25418499045132903</v>
      </c>
    </row>
    <row r="8" spans="1:4">
      <c r="A8" s="1" t="s">
        <v>11</v>
      </c>
      <c r="B8" s="2">
        <f ca="1">SPY!G2</f>
        <v>0.16365234644855295</v>
      </c>
      <c r="C8" s="2">
        <f ca="1">SPY!H2</f>
        <v>0.19787802634165502</v>
      </c>
      <c r="D8" s="5">
        <f t="shared" ca="1" si="0"/>
        <v>0.67542793365944331</v>
      </c>
    </row>
  </sheetData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H3550"/>
  <sheetViews>
    <sheetView workbookViewId="0"/>
  </sheetViews>
  <sheetFormatPr defaultColWidth="12.5703125" defaultRowHeight="15.75" customHeight="1"/>
  <cols>
    <col min="1" max="1" width="22" customWidth="1"/>
    <col min="5" max="5" width="14.7109375" customWidth="1"/>
    <col min="6" max="6" width="16.5703125" customWidth="1"/>
    <col min="7" max="7" width="15.7109375" customWidth="1"/>
  </cols>
  <sheetData>
    <row r="1" spans="1:8">
      <c r="A1" s="1" t="str">
        <f ca="1">IFERROR(__xludf.UNSUPPORTED(GOOGLEFINANCE("AAPL", "price", "01/01/2019", "01/22/2026", "DAILY")),"Date")</f>
        <v>Date</v>
      </c>
      <c r="B1" s="1" t="str">
        <f ca="1">IFERROR(__xludf.UNSUPPORTED("""COMPUTED_VALUE"""),"Close")</f>
        <v>Close</v>
      </c>
      <c r="C1" s="2" t="s">
        <v>13</v>
      </c>
      <c r="E1" s="1" t="s">
        <v>14</v>
      </c>
      <c r="F1" s="1" t="s">
        <v>15</v>
      </c>
      <c r="G1" s="2" t="s">
        <v>16</v>
      </c>
      <c r="H1" s="2" t="s">
        <v>17</v>
      </c>
    </row>
    <row r="2" spans="1:8">
      <c r="A2" s="3">
        <f ca="1">IFERROR(__xludf.UNSUPPORTED("""COMPUTED_VALUE"""),43467.6666666666)</f>
        <v>43467.666666666599</v>
      </c>
      <c r="B2" s="1">
        <f ca="1">IFERROR(__xludf.UNSUPPORTED("""COMPUTED_VALUE"""),39.48)</f>
        <v>39.479999999999997</v>
      </c>
      <c r="C2" s="2"/>
      <c r="E2" s="2">
        <f ca="1">AVERAGE(C3:C1775)</f>
        <v>1.2281600661917821E-3</v>
      </c>
      <c r="F2" s="2">
        <f ca="1">_xlfn.STDEV.S(C3:C1775)</f>
        <v>1.9535513540939249E-2</v>
      </c>
      <c r="G2" s="2">
        <f ca="1">E2*252</f>
        <v>0.30949633668032911</v>
      </c>
      <c r="H2" s="2">
        <f ca="1">F2*SQRT(252)</f>
        <v>0.31011666337956051</v>
      </c>
    </row>
    <row r="3" spans="1:8">
      <c r="A3" s="3">
        <f ca="1">IFERROR(__xludf.UNSUPPORTED("""COMPUTED_VALUE"""),43468.6666666666)</f>
        <v>43468.666666666599</v>
      </c>
      <c r="B3" s="1">
        <f ca="1">IFERROR(__xludf.UNSUPPORTED("""COMPUTED_VALUE"""),35.55)</f>
        <v>35.549999999999997</v>
      </c>
      <c r="C3" s="2">
        <f t="shared" ref="C3:C257" ca="1" si="0">(B3-B2)/B2</f>
        <v>-9.9544072948328274E-2</v>
      </c>
      <c r="F3" s="2"/>
      <c r="G3" s="2"/>
      <c r="H3" s="2"/>
    </row>
    <row r="4" spans="1:8">
      <c r="A4" s="3">
        <f ca="1">IFERROR(__xludf.UNSUPPORTED("""COMPUTED_VALUE"""),43469.6666666666)</f>
        <v>43469.666666666599</v>
      </c>
      <c r="B4" s="1">
        <f ca="1">IFERROR(__xludf.UNSUPPORTED("""COMPUTED_VALUE"""),37.07)</f>
        <v>37.07</v>
      </c>
      <c r="C4" s="2">
        <f t="shared" ca="1" si="0"/>
        <v>4.275668073136437E-2</v>
      </c>
      <c r="F4" s="2"/>
      <c r="G4" s="2"/>
      <c r="H4" s="2"/>
    </row>
    <row r="5" spans="1:8">
      <c r="A5" s="3">
        <f ca="1">IFERROR(__xludf.UNSUPPORTED("""COMPUTED_VALUE"""),43472.6666666666)</f>
        <v>43472.666666666599</v>
      </c>
      <c r="B5" s="1">
        <f ca="1">IFERROR(__xludf.UNSUPPORTED("""COMPUTED_VALUE"""),36.98)</f>
        <v>36.979999999999997</v>
      </c>
      <c r="C5" s="2">
        <f t="shared" ca="1" si="0"/>
        <v>-2.4278392230915407E-3</v>
      </c>
      <c r="F5" s="2"/>
      <c r="G5" s="2"/>
      <c r="H5" s="2"/>
    </row>
    <row r="6" spans="1:8">
      <c r="A6" s="3">
        <f ca="1">IFERROR(__xludf.UNSUPPORTED("""COMPUTED_VALUE"""),43473.6666666666)</f>
        <v>43473.666666666599</v>
      </c>
      <c r="B6" s="1">
        <f ca="1">IFERROR(__xludf.UNSUPPORTED("""COMPUTED_VALUE"""),37.69)</f>
        <v>37.69</v>
      </c>
      <c r="C6" s="2">
        <f t="shared" ca="1" si="0"/>
        <v>1.9199567333693913E-2</v>
      </c>
      <c r="F6" s="2"/>
      <c r="G6" s="2"/>
      <c r="H6" s="2"/>
    </row>
    <row r="7" spans="1:8">
      <c r="A7" s="3">
        <f ca="1">IFERROR(__xludf.UNSUPPORTED("""COMPUTED_VALUE"""),43474.6666666666)</f>
        <v>43474.666666666599</v>
      </c>
      <c r="B7" s="1">
        <f ca="1">IFERROR(__xludf.UNSUPPORTED("""COMPUTED_VALUE"""),38.33)</f>
        <v>38.33</v>
      </c>
      <c r="C7" s="2">
        <f t="shared" ca="1" si="0"/>
        <v>1.6980631467232703E-2</v>
      </c>
      <c r="F7" s="2"/>
      <c r="G7" s="2"/>
      <c r="H7" s="2"/>
    </row>
    <row r="8" spans="1:8">
      <c r="A8" s="3">
        <f ca="1">IFERROR(__xludf.UNSUPPORTED("""COMPUTED_VALUE"""),43475.6666666666)</f>
        <v>43475.666666666599</v>
      </c>
      <c r="B8" s="1">
        <f ca="1">IFERROR(__xludf.UNSUPPORTED("""COMPUTED_VALUE"""),38.45)</f>
        <v>38.450000000000003</v>
      </c>
      <c r="C8" s="2">
        <f t="shared" ca="1" si="0"/>
        <v>3.1307070180016843E-3</v>
      </c>
      <c r="F8" s="2"/>
      <c r="G8" s="2"/>
      <c r="H8" s="2"/>
    </row>
    <row r="9" spans="1:8">
      <c r="A9" s="3">
        <f ca="1">IFERROR(__xludf.UNSUPPORTED("""COMPUTED_VALUE"""),43476.6666666666)</f>
        <v>43476.666666666599</v>
      </c>
      <c r="B9" s="1">
        <f ca="1">IFERROR(__xludf.UNSUPPORTED("""COMPUTED_VALUE"""),38.07)</f>
        <v>38.07</v>
      </c>
      <c r="C9" s="2">
        <f t="shared" ca="1" si="0"/>
        <v>-9.8829648894669057E-3</v>
      </c>
      <c r="F9" s="2"/>
      <c r="G9" s="2"/>
      <c r="H9" s="2"/>
    </row>
    <row r="10" spans="1:8">
      <c r="A10" s="3">
        <f ca="1">IFERROR(__xludf.UNSUPPORTED("""COMPUTED_VALUE"""),43479.6666666666)</f>
        <v>43479.666666666599</v>
      </c>
      <c r="B10" s="1">
        <f ca="1">IFERROR(__xludf.UNSUPPORTED("""COMPUTED_VALUE"""),37.5)</f>
        <v>37.5</v>
      </c>
      <c r="C10" s="2">
        <f t="shared" ca="1" si="0"/>
        <v>-1.4972419227738384E-2</v>
      </c>
      <c r="F10" s="2"/>
      <c r="G10" s="2"/>
      <c r="H10" s="2"/>
    </row>
    <row r="11" spans="1:8">
      <c r="A11" s="3">
        <f ca="1">IFERROR(__xludf.UNSUPPORTED("""COMPUTED_VALUE"""),43480.6666666666)</f>
        <v>43480.666666666599</v>
      </c>
      <c r="B11" s="1">
        <f ca="1">IFERROR(__xludf.UNSUPPORTED("""COMPUTED_VALUE"""),38.27)</f>
        <v>38.270000000000003</v>
      </c>
      <c r="C11" s="2">
        <f t="shared" ca="1" si="0"/>
        <v>2.0533333333333417E-2</v>
      </c>
      <c r="F11" s="2"/>
      <c r="G11" s="2"/>
      <c r="H11" s="2"/>
    </row>
    <row r="12" spans="1:8">
      <c r="A12" s="3">
        <f ca="1">IFERROR(__xludf.UNSUPPORTED("""COMPUTED_VALUE"""),43481.6666666666)</f>
        <v>43481.666666666599</v>
      </c>
      <c r="B12" s="1">
        <f ca="1">IFERROR(__xludf.UNSUPPORTED("""COMPUTED_VALUE"""),38.74)</f>
        <v>38.74</v>
      </c>
      <c r="C12" s="2">
        <f t="shared" ca="1" si="0"/>
        <v>1.228116017768484E-2</v>
      </c>
      <c r="F12" s="2"/>
      <c r="G12" s="2"/>
      <c r="H12" s="2"/>
    </row>
    <row r="13" spans="1:8">
      <c r="A13" s="3">
        <f ca="1">IFERROR(__xludf.UNSUPPORTED("""COMPUTED_VALUE"""),43482.6666666666)</f>
        <v>43482.666666666599</v>
      </c>
      <c r="B13" s="1">
        <f ca="1">IFERROR(__xludf.UNSUPPORTED("""COMPUTED_VALUE"""),38.97)</f>
        <v>38.97</v>
      </c>
      <c r="C13" s="2">
        <f t="shared" ca="1" si="0"/>
        <v>5.9370160041300173E-3</v>
      </c>
      <c r="F13" s="2"/>
      <c r="G13" s="2"/>
      <c r="H13" s="2"/>
    </row>
    <row r="14" spans="1:8">
      <c r="A14" s="3">
        <f ca="1">IFERROR(__xludf.UNSUPPORTED("""COMPUTED_VALUE"""),43483.6666666666)</f>
        <v>43483.666666666599</v>
      </c>
      <c r="B14" s="1">
        <f ca="1">IFERROR(__xludf.UNSUPPORTED("""COMPUTED_VALUE"""),39.21)</f>
        <v>39.21</v>
      </c>
      <c r="C14" s="2">
        <f t="shared" ca="1" si="0"/>
        <v>6.1585835257891202E-3</v>
      </c>
      <c r="F14" s="2"/>
      <c r="G14" s="2"/>
      <c r="H14" s="2"/>
    </row>
    <row r="15" spans="1:8">
      <c r="A15" s="3">
        <f ca="1">IFERROR(__xludf.UNSUPPORTED("""COMPUTED_VALUE"""),43487.6666666666)</f>
        <v>43487.666666666599</v>
      </c>
      <c r="B15" s="1">
        <f ca="1">IFERROR(__xludf.UNSUPPORTED("""COMPUTED_VALUE"""),38.33)</f>
        <v>38.33</v>
      </c>
      <c r="C15" s="2">
        <f t="shared" ca="1" si="0"/>
        <v>-2.2443254271869485E-2</v>
      </c>
      <c r="F15" s="2"/>
      <c r="G15" s="2"/>
      <c r="H15" s="2"/>
    </row>
    <row r="16" spans="1:8">
      <c r="A16" s="3">
        <f ca="1">IFERROR(__xludf.UNSUPPORTED("""COMPUTED_VALUE"""),43488.6666666666)</f>
        <v>43488.666666666599</v>
      </c>
      <c r="B16" s="1">
        <f ca="1">IFERROR(__xludf.UNSUPPORTED("""COMPUTED_VALUE"""),38.48)</f>
        <v>38.479999999999997</v>
      </c>
      <c r="C16" s="2">
        <f t="shared" ca="1" si="0"/>
        <v>3.9133837725019195E-3</v>
      </c>
      <c r="F16" s="2"/>
      <c r="G16" s="2"/>
      <c r="H16" s="2"/>
    </row>
    <row r="17" spans="1:3">
      <c r="A17" s="3">
        <f ca="1">IFERROR(__xludf.UNSUPPORTED("""COMPUTED_VALUE"""),43489.6666666666)</f>
        <v>43489.666666666599</v>
      </c>
      <c r="B17" s="1">
        <f ca="1">IFERROR(__xludf.UNSUPPORTED("""COMPUTED_VALUE"""),38.17)</f>
        <v>38.17</v>
      </c>
      <c r="C17" s="2">
        <f t="shared" ca="1" si="0"/>
        <v>-8.0561330561329317E-3</v>
      </c>
    </row>
    <row r="18" spans="1:3">
      <c r="A18" s="3">
        <f ca="1">IFERROR(__xludf.UNSUPPORTED("""COMPUTED_VALUE"""),43490.6666666666)</f>
        <v>43490.666666666599</v>
      </c>
      <c r="B18" s="1">
        <f ca="1">IFERROR(__xludf.UNSUPPORTED("""COMPUTED_VALUE"""),39.44)</f>
        <v>39.44</v>
      </c>
      <c r="C18" s="2">
        <f t="shared" ca="1" si="0"/>
        <v>3.3272203301021638E-2</v>
      </c>
    </row>
    <row r="19" spans="1:3">
      <c r="A19" s="3">
        <f ca="1">IFERROR(__xludf.UNSUPPORTED("""COMPUTED_VALUE"""),43493.6666666666)</f>
        <v>43493.666666666599</v>
      </c>
      <c r="B19" s="1">
        <f ca="1">IFERROR(__xludf.UNSUPPORTED("""COMPUTED_VALUE"""),39.08)</f>
        <v>39.08</v>
      </c>
      <c r="C19" s="2">
        <f t="shared" ca="1" si="0"/>
        <v>-9.12778904665313E-3</v>
      </c>
    </row>
    <row r="20" spans="1:3">
      <c r="A20" s="3">
        <f ca="1">IFERROR(__xludf.UNSUPPORTED("""COMPUTED_VALUE"""),43494.6666666666)</f>
        <v>43494.666666666599</v>
      </c>
      <c r="B20" s="1">
        <f ca="1">IFERROR(__xludf.UNSUPPORTED("""COMPUTED_VALUE"""),38.67)</f>
        <v>38.67</v>
      </c>
      <c r="C20" s="2">
        <f t="shared" ca="1" si="0"/>
        <v>-1.0491299897645768E-2</v>
      </c>
    </row>
    <row r="21" spans="1:3">
      <c r="A21" s="3">
        <f ca="1">IFERROR(__xludf.UNSUPPORTED("""COMPUTED_VALUE"""),43495.6666666666)</f>
        <v>43495.666666666599</v>
      </c>
      <c r="B21" s="1">
        <f ca="1">IFERROR(__xludf.UNSUPPORTED("""COMPUTED_VALUE"""),41.31)</f>
        <v>41.31</v>
      </c>
      <c r="C21" s="2">
        <f t="shared" ca="1" si="0"/>
        <v>6.8269976726144307E-2</v>
      </c>
    </row>
    <row r="22" spans="1:3">
      <c r="A22" s="3">
        <f ca="1">IFERROR(__xludf.UNSUPPORTED("""COMPUTED_VALUE"""),43496.6666666666)</f>
        <v>43496.666666666599</v>
      </c>
      <c r="B22" s="1">
        <f ca="1">IFERROR(__xludf.UNSUPPORTED("""COMPUTED_VALUE"""),41.61)</f>
        <v>41.61</v>
      </c>
      <c r="C22" s="2">
        <f t="shared" ca="1" si="0"/>
        <v>7.262164124909154E-3</v>
      </c>
    </row>
    <row r="23" spans="1:3">
      <c r="A23" s="3">
        <f ca="1">IFERROR(__xludf.UNSUPPORTED("""COMPUTED_VALUE"""),43497.6666666666)</f>
        <v>43497.666666666599</v>
      </c>
      <c r="B23" s="1">
        <f ca="1">IFERROR(__xludf.UNSUPPORTED("""COMPUTED_VALUE"""),41.63)</f>
        <v>41.63</v>
      </c>
      <c r="C23" s="2">
        <f t="shared" ca="1" si="0"/>
        <v>4.8065368901713837E-4</v>
      </c>
    </row>
    <row r="24" spans="1:3">
      <c r="A24" s="3">
        <f ca="1">IFERROR(__xludf.UNSUPPORTED("""COMPUTED_VALUE"""),43500.6666666666)</f>
        <v>43500.666666666599</v>
      </c>
      <c r="B24" s="1">
        <f ca="1">IFERROR(__xludf.UNSUPPORTED("""COMPUTED_VALUE"""),42.81)</f>
        <v>42.81</v>
      </c>
      <c r="C24" s="2">
        <f t="shared" ca="1" si="0"/>
        <v>2.8344943550324277E-2</v>
      </c>
    </row>
    <row r="25" spans="1:3">
      <c r="A25" s="3">
        <f ca="1">IFERROR(__xludf.UNSUPPORTED("""COMPUTED_VALUE"""),43501.6666666666)</f>
        <v>43501.666666666599</v>
      </c>
      <c r="B25" s="1">
        <f ca="1">IFERROR(__xludf.UNSUPPORTED("""COMPUTED_VALUE"""),43.55)</f>
        <v>43.55</v>
      </c>
      <c r="C25" s="2">
        <f t="shared" ca="1" si="0"/>
        <v>1.7285680915673788E-2</v>
      </c>
    </row>
    <row r="26" spans="1:3">
      <c r="A26" s="3">
        <f ca="1">IFERROR(__xludf.UNSUPPORTED("""COMPUTED_VALUE"""),43502.6666666666)</f>
        <v>43502.666666666599</v>
      </c>
      <c r="B26" s="1">
        <f ca="1">IFERROR(__xludf.UNSUPPORTED("""COMPUTED_VALUE"""),43.56)</f>
        <v>43.56</v>
      </c>
      <c r="C26" s="2">
        <f t="shared" ca="1" si="0"/>
        <v>2.2962112514363068E-4</v>
      </c>
    </row>
    <row r="27" spans="1:3">
      <c r="A27" s="3">
        <f ca="1">IFERROR(__xludf.UNSUPPORTED("""COMPUTED_VALUE"""),43503.6666666666)</f>
        <v>43503.666666666599</v>
      </c>
      <c r="B27" s="1">
        <f ca="1">IFERROR(__xludf.UNSUPPORTED("""COMPUTED_VALUE"""),42.74)</f>
        <v>42.74</v>
      </c>
      <c r="C27" s="2">
        <f t="shared" ca="1" si="0"/>
        <v>-1.8824609733700648E-2</v>
      </c>
    </row>
    <row r="28" spans="1:3">
      <c r="A28" s="3">
        <f ca="1">IFERROR(__xludf.UNSUPPORTED("""COMPUTED_VALUE"""),43504.6666666666)</f>
        <v>43504.666666666599</v>
      </c>
      <c r="B28" s="1">
        <f ca="1">IFERROR(__xludf.UNSUPPORTED("""COMPUTED_VALUE"""),42.6)</f>
        <v>42.6</v>
      </c>
      <c r="C28" s="2">
        <f t="shared" ca="1" si="0"/>
        <v>-3.2756200280767561E-3</v>
      </c>
    </row>
    <row r="29" spans="1:3">
      <c r="A29" s="3">
        <f ca="1">IFERROR(__xludf.UNSUPPORTED("""COMPUTED_VALUE"""),43507.6666666666)</f>
        <v>43507.666666666599</v>
      </c>
      <c r="B29" s="1">
        <f ca="1">IFERROR(__xludf.UNSUPPORTED("""COMPUTED_VALUE"""),42.36)</f>
        <v>42.36</v>
      </c>
      <c r="C29" s="2">
        <f t="shared" ca="1" si="0"/>
        <v>-5.6338028169014547E-3</v>
      </c>
    </row>
    <row r="30" spans="1:3">
      <c r="A30" s="3">
        <f ca="1">IFERROR(__xludf.UNSUPPORTED("""COMPUTED_VALUE"""),43508.6666666666)</f>
        <v>43508.666666666599</v>
      </c>
      <c r="B30" s="1">
        <f ca="1">IFERROR(__xludf.UNSUPPORTED("""COMPUTED_VALUE"""),42.72)</f>
        <v>42.72</v>
      </c>
      <c r="C30" s="2">
        <f t="shared" ca="1" si="0"/>
        <v>8.4985835694050861E-3</v>
      </c>
    </row>
    <row r="31" spans="1:3">
      <c r="A31" s="3">
        <f ca="1">IFERROR(__xludf.UNSUPPORTED("""COMPUTED_VALUE"""),43509.6666666666)</f>
        <v>43509.666666666599</v>
      </c>
      <c r="B31" s="1">
        <f ca="1">IFERROR(__xludf.UNSUPPORTED("""COMPUTED_VALUE"""),42.55)</f>
        <v>42.55</v>
      </c>
      <c r="C31" s="2">
        <f t="shared" ca="1" si="0"/>
        <v>-3.9794007490637105E-3</v>
      </c>
    </row>
    <row r="32" spans="1:3">
      <c r="A32" s="3">
        <f ca="1">IFERROR(__xludf.UNSUPPORTED("""COMPUTED_VALUE"""),43510.6666666666)</f>
        <v>43510.666666666599</v>
      </c>
      <c r="B32" s="1">
        <f ca="1">IFERROR(__xludf.UNSUPPORTED("""COMPUTED_VALUE"""),42.7)</f>
        <v>42.7</v>
      </c>
      <c r="C32" s="2">
        <f t="shared" ca="1" si="0"/>
        <v>3.5252643948297459E-3</v>
      </c>
    </row>
    <row r="33" spans="1:3">
      <c r="A33" s="3">
        <f ca="1">IFERROR(__xludf.UNSUPPORTED("""COMPUTED_VALUE"""),43511.6666666666)</f>
        <v>43511.666666666599</v>
      </c>
      <c r="B33" s="1">
        <f ca="1">IFERROR(__xludf.UNSUPPORTED("""COMPUTED_VALUE"""),42.61)</f>
        <v>42.61</v>
      </c>
      <c r="C33" s="2">
        <f t="shared" ca="1" si="0"/>
        <v>-2.1077283372366138E-3</v>
      </c>
    </row>
    <row r="34" spans="1:3">
      <c r="A34" s="3">
        <f ca="1">IFERROR(__xludf.UNSUPPORTED("""COMPUTED_VALUE"""),43515.6666666666)</f>
        <v>43515.666666666599</v>
      </c>
      <c r="B34" s="1">
        <f ca="1">IFERROR(__xludf.UNSUPPORTED("""COMPUTED_VALUE"""),42.73)</f>
        <v>42.73</v>
      </c>
      <c r="C34" s="2">
        <f t="shared" ca="1" si="0"/>
        <v>2.816240319173843E-3</v>
      </c>
    </row>
    <row r="35" spans="1:3">
      <c r="A35" s="3">
        <f ca="1">IFERROR(__xludf.UNSUPPORTED("""COMPUTED_VALUE"""),43516.6666666666)</f>
        <v>43516.666666666599</v>
      </c>
      <c r="B35" s="1">
        <f ca="1">IFERROR(__xludf.UNSUPPORTED("""COMPUTED_VALUE"""),43.01)</f>
        <v>43.01</v>
      </c>
      <c r="C35" s="2">
        <f t="shared" ca="1" si="0"/>
        <v>6.5527732272408412E-3</v>
      </c>
    </row>
    <row r="36" spans="1:3">
      <c r="A36" s="3">
        <f ca="1">IFERROR(__xludf.UNSUPPORTED("""COMPUTED_VALUE"""),43517.6666666666)</f>
        <v>43517.666666666599</v>
      </c>
      <c r="B36" s="1">
        <f ca="1">IFERROR(__xludf.UNSUPPORTED("""COMPUTED_VALUE"""),42.77)</f>
        <v>42.77</v>
      </c>
      <c r="C36" s="2">
        <f t="shared" ca="1" si="0"/>
        <v>-5.5800976517087859E-3</v>
      </c>
    </row>
    <row r="37" spans="1:3">
      <c r="A37" s="3">
        <f ca="1">IFERROR(__xludf.UNSUPPORTED("""COMPUTED_VALUE"""),43518.6666666666)</f>
        <v>43518.666666666599</v>
      </c>
      <c r="B37" s="1">
        <f ca="1">IFERROR(__xludf.UNSUPPORTED("""COMPUTED_VALUE"""),43.24)</f>
        <v>43.24</v>
      </c>
      <c r="C37" s="2">
        <f t="shared" ca="1" si="0"/>
        <v>1.0989010989010962E-2</v>
      </c>
    </row>
    <row r="38" spans="1:3">
      <c r="A38" s="3">
        <f ca="1">IFERROR(__xludf.UNSUPPORTED("""COMPUTED_VALUE"""),43521.6666666666)</f>
        <v>43521.666666666599</v>
      </c>
      <c r="B38" s="1">
        <f ca="1">IFERROR(__xludf.UNSUPPORTED("""COMPUTED_VALUE"""),43.56)</f>
        <v>43.56</v>
      </c>
      <c r="C38" s="2">
        <f t="shared" ca="1" si="0"/>
        <v>7.4005550416281285E-3</v>
      </c>
    </row>
    <row r="39" spans="1:3">
      <c r="A39" s="3">
        <f ca="1">IFERROR(__xludf.UNSUPPORTED("""COMPUTED_VALUE"""),43522.6666666666)</f>
        <v>43522.666666666599</v>
      </c>
      <c r="B39" s="1">
        <f ca="1">IFERROR(__xludf.UNSUPPORTED("""COMPUTED_VALUE"""),43.58)</f>
        <v>43.58</v>
      </c>
      <c r="C39" s="2">
        <f t="shared" ca="1" si="0"/>
        <v>4.5913682277309506E-4</v>
      </c>
    </row>
    <row r="40" spans="1:3">
      <c r="A40" s="3">
        <f ca="1">IFERROR(__xludf.UNSUPPORTED("""COMPUTED_VALUE"""),43523.6666666666)</f>
        <v>43523.666666666599</v>
      </c>
      <c r="B40" s="1">
        <f ca="1">IFERROR(__xludf.UNSUPPORTED("""COMPUTED_VALUE"""),43.72)</f>
        <v>43.72</v>
      </c>
      <c r="C40" s="2">
        <f t="shared" ca="1" si="0"/>
        <v>3.2124827902707794E-3</v>
      </c>
    </row>
    <row r="41" spans="1:3">
      <c r="A41" s="3">
        <f ca="1">IFERROR(__xludf.UNSUPPORTED("""COMPUTED_VALUE"""),43524.6666666666)</f>
        <v>43524.666666666599</v>
      </c>
      <c r="B41" s="1">
        <f ca="1">IFERROR(__xludf.UNSUPPORTED("""COMPUTED_VALUE"""),43.29)</f>
        <v>43.29</v>
      </c>
      <c r="C41" s="2">
        <f t="shared" ca="1" si="0"/>
        <v>-9.8353156450137168E-3</v>
      </c>
    </row>
    <row r="42" spans="1:3">
      <c r="A42" s="3">
        <f ca="1">IFERROR(__xludf.UNSUPPORTED("""COMPUTED_VALUE"""),43525.6666666666)</f>
        <v>43525.666666666599</v>
      </c>
      <c r="B42" s="1">
        <f ca="1">IFERROR(__xludf.UNSUPPORTED("""COMPUTED_VALUE"""),43.74)</f>
        <v>43.74</v>
      </c>
      <c r="C42" s="2">
        <f t="shared" ca="1" si="0"/>
        <v>1.0395010395010462E-2</v>
      </c>
    </row>
    <row r="43" spans="1:3">
      <c r="A43" s="3">
        <f ca="1">IFERROR(__xludf.UNSUPPORTED("""COMPUTED_VALUE"""),43528.6666666666)</f>
        <v>43528.666666666599</v>
      </c>
      <c r="B43" s="1">
        <f ca="1">IFERROR(__xludf.UNSUPPORTED("""COMPUTED_VALUE"""),43.96)</f>
        <v>43.96</v>
      </c>
      <c r="C43" s="2">
        <f t="shared" ca="1" si="0"/>
        <v>5.0297210791037687E-3</v>
      </c>
    </row>
    <row r="44" spans="1:3">
      <c r="A44" s="3">
        <f ca="1">IFERROR(__xludf.UNSUPPORTED("""COMPUTED_VALUE"""),43529.6666666666)</f>
        <v>43529.666666666599</v>
      </c>
      <c r="B44" s="1">
        <f ca="1">IFERROR(__xludf.UNSUPPORTED("""COMPUTED_VALUE"""),43.88)</f>
        <v>43.88</v>
      </c>
      <c r="C44" s="2">
        <f t="shared" ca="1" si="0"/>
        <v>-1.8198362147406346E-3</v>
      </c>
    </row>
    <row r="45" spans="1:3">
      <c r="A45" s="3">
        <f ca="1">IFERROR(__xludf.UNSUPPORTED("""COMPUTED_VALUE"""),43530.6666666666)</f>
        <v>43530.666666666599</v>
      </c>
      <c r="B45" s="1">
        <f ca="1">IFERROR(__xludf.UNSUPPORTED("""COMPUTED_VALUE"""),43.63)</f>
        <v>43.63</v>
      </c>
      <c r="C45" s="2">
        <f t="shared" ca="1" si="0"/>
        <v>-5.6973564266180488E-3</v>
      </c>
    </row>
    <row r="46" spans="1:3">
      <c r="A46" s="3">
        <f ca="1">IFERROR(__xludf.UNSUPPORTED("""COMPUTED_VALUE"""),43531.6666666666)</f>
        <v>43531.666666666599</v>
      </c>
      <c r="B46" s="1">
        <f ca="1">IFERROR(__xludf.UNSUPPORTED("""COMPUTED_VALUE"""),43.13)</f>
        <v>43.13</v>
      </c>
      <c r="C46" s="2">
        <f t="shared" ca="1" si="0"/>
        <v>-1.1460004584001832E-2</v>
      </c>
    </row>
    <row r="47" spans="1:3">
      <c r="A47" s="3">
        <f ca="1">IFERROR(__xludf.UNSUPPORTED("""COMPUTED_VALUE"""),43532.6666666666)</f>
        <v>43532.666666666599</v>
      </c>
      <c r="B47" s="1">
        <f ca="1">IFERROR(__xludf.UNSUPPORTED("""COMPUTED_VALUE"""),43.23)</f>
        <v>43.23</v>
      </c>
      <c r="C47" s="2">
        <f t="shared" ca="1" si="0"/>
        <v>2.3185717597958336E-3</v>
      </c>
    </row>
    <row r="48" spans="1:3">
      <c r="A48" s="3">
        <f ca="1">IFERROR(__xludf.UNSUPPORTED("""COMPUTED_VALUE"""),43535.6666666666)</f>
        <v>43535.666666666599</v>
      </c>
      <c r="B48" s="1">
        <f ca="1">IFERROR(__xludf.UNSUPPORTED("""COMPUTED_VALUE"""),44.73)</f>
        <v>44.73</v>
      </c>
      <c r="C48" s="2">
        <f t="shared" ca="1" si="0"/>
        <v>3.4698126301179737E-2</v>
      </c>
    </row>
    <row r="49" spans="1:3">
      <c r="A49" s="3">
        <f ca="1">IFERROR(__xludf.UNSUPPORTED("""COMPUTED_VALUE"""),43536.6666666666)</f>
        <v>43536.666666666599</v>
      </c>
      <c r="B49" s="1">
        <f ca="1">IFERROR(__xludf.UNSUPPORTED("""COMPUTED_VALUE"""),45.23)</f>
        <v>45.23</v>
      </c>
      <c r="C49" s="2">
        <f t="shared" ca="1" si="0"/>
        <v>1.11781801922647E-2</v>
      </c>
    </row>
    <row r="50" spans="1:3">
      <c r="A50" s="3">
        <f ca="1">IFERROR(__xludf.UNSUPPORTED("""COMPUTED_VALUE"""),43537.6666666666)</f>
        <v>43537.666666666599</v>
      </c>
      <c r="B50" s="1">
        <f ca="1">IFERROR(__xludf.UNSUPPORTED("""COMPUTED_VALUE"""),45.43)</f>
        <v>45.43</v>
      </c>
      <c r="C50" s="2">
        <f t="shared" ca="1" si="0"/>
        <v>4.4218439089100782E-3</v>
      </c>
    </row>
    <row r="51" spans="1:3">
      <c r="A51" s="3">
        <f ca="1">IFERROR(__xludf.UNSUPPORTED("""COMPUTED_VALUE"""),43538.6666666666)</f>
        <v>43538.666666666599</v>
      </c>
      <c r="B51" s="1">
        <f ca="1">IFERROR(__xludf.UNSUPPORTED("""COMPUTED_VALUE"""),45.93)</f>
        <v>45.93</v>
      </c>
      <c r="C51" s="2">
        <f t="shared" ca="1" si="0"/>
        <v>1.1005943209333039E-2</v>
      </c>
    </row>
    <row r="52" spans="1:3">
      <c r="A52" s="3">
        <f ca="1">IFERROR(__xludf.UNSUPPORTED("""COMPUTED_VALUE"""),43539.6666666666)</f>
        <v>43539.666666666599</v>
      </c>
      <c r="B52" s="1">
        <f ca="1">IFERROR(__xludf.UNSUPPORTED("""COMPUTED_VALUE"""),46.53)</f>
        <v>46.53</v>
      </c>
      <c r="C52" s="2">
        <f t="shared" ca="1" si="0"/>
        <v>1.3063357282821717E-2</v>
      </c>
    </row>
    <row r="53" spans="1:3">
      <c r="A53" s="3">
        <f ca="1">IFERROR(__xludf.UNSUPPORTED("""COMPUTED_VALUE"""),43542.6666666666)</f>
        <v>43542.666666666599</v>
      </c>
      <c r="B53" s="1">
        <f ca="1">IFERROR(__xludf.UNSUPPORTED("""COMPUTED_VALUE"""),47.01)</f>
        <v>47.01</v>
      </c>
      <c r="C53" s="2">
        <f t="shared" ca="1" si="0"/>
        <v>1.0315925209542163E-2</v>
      </c>
    </row>
    <row r="54" spans="1:3">
      <c r="A54" s="3">
        <f ca="1">IFERROR(__xludf.UNSUPPORTED("""COMPUTED_VALUE"""),43543.6666666666)</f>
        <v>43543.666666666599</v>
      </c>
      <c r="B54" s="1">
        <f ca="1">IFERROR(__xludf.UNSUPPORTED("""COMPUTED_VALUE"""),46.63)</f>
        <v>46.63</v>
      </c>
      <c r="C54" s="2">
        <f t="shared" ca="1" si="0"/>
        <v>-8.0833865135076684E-3</v>
      </c>
    </row>
    <row r="55" spans="1:3">
      <c r="A55" s="3">
        <f ca="1">IFERROR(__xludf.UNSUPPORTED("""COMPUTED_VALUE"""),43544.6666666666)</f>
        <v>43544.666666666599</v>
      </c>
      <c r="B55" s="1">
        <f ca="1">IFERROR(__xludf.UNSUPPORTED("""COMPUTED_VALUE"""),47.04)</f>
        <v>47.04</v>
      </c>
      <c r="C55" s="2">
        <f t="shared" ca="1" si="0"/>
        <v>8.792622775037456E-3</v>
      </c>
    </row>
    <row r="56" spans="1:3">
      <c r="A56" s="3">
        <f ca="1">IFERROR(__xludf.UNSUPPORTED("""COMPUTED_VALUE"""),43545.6666666666)</f>
        <v>43545.666666666599</v>
      </c>
      <c r="B56" s="1">
        <f ca="1">IFERROR(__xludf.UNSUPPORTED("""COMPUTED_VALUE"""),48.77)</f>
        <v>48.77</v>
      </c>
      <c r="C56" s="2">
        <f t="shared" ca="1" si="0"/>
        <v>3.6777210884353824E-2</v>
      </c>
    </row>
    <row r="57" spans="1:3">
      <c r="A57" s="3">
        <f ca="1">IFERROR(__xludf.UNSUPPORTED("""COMPUTED_VALUE"""),43546.6666666666)</f>
        <v>43546.666666666599</v>
      </c>
      <c r="B57" s="1">
        <f ca="1">IFERROR(__xludf.UNSUPPORTED("""COMPUTED_VALUE"""),47.76)</f>
        <v>47.76</v>
      </c>
      <c r="C57" s="2">
        <f t="shared" ca="1" si="0"/>
        <v>-2.0709452532294548E-2</v>
      </c>
    </row>
    <row r="58" spans="1:3">
      <c r="A58" s="3">
        <f ca="1">IFERROR(__xludf.UNSUPPORTED("""COMPUTED_VALUE"""),43549.6666666666)</f>
        <v>43549.666666666599</v>
      </c>
      <c r="B58" s="1">
        <f ca="1">IFERROR(__xludf.UNSUPPORTED("""COMPUTED_VALUE"""),47.19)</f>
        <v>47.19</v>
      </c>
      <c r="C58" s="2">
        <f t="shared" ca="1" si="0"/>
        <v>-1.1934673366834177E-2</v>
      </c>
    </row>
    <row r="59" spans="1:3">
      <c r="A59" s="3">
        <f ca="1">IFERROR(__xludf.UNSUPPORTED("""COMPUTED_VALUE"""),43550.6666666666)</f>
        <v>43550.666666666599</v>
      </c>
      <c r="B59" s="1">
        <f ca="1">IFERROR(__xludf.UNSUPPORTED("""COMPUTED_VALUE"""),46.7)</f>
        <v>46.7</v>
      </c>
      <c r="C59" s="2">
        <f t="shared" ca="1" si="0"/>
        <v>-1.0383555838101185E-2</v>
      </c>
    </row>
    <row r="60" spans="1:3">
      <c r="A60" s="3">
        <f ca="1">IFERROR(__xludf.UNSUPPORTED("""COMPUTED_VALUE"""),43551.6666666666)</f>
        <v>43551.666666666599</v>
      </c>
      <c r="B60" s="1">
        <f ca="1">IFERROR(__xludf.UNSUPPORTED("""COMPUTED_VALUE"""),47.12)</f>
        <v>47.12</v>
      </c>
      <c r="C60" s="2">
        <f t="shared" ca="1" si="0"/>
        <v>8.993576017130505E-3</v>
      </c>
    </row>
    <row r="61" spans="1:3">
      <c r="A61" s="3">
        <f ca="1">IFERROR(__xludf.UNSUPPORTED("""COMPUTED_VALUE"""),43552.6666666666)</f>
        <v>43552.666666666599</v>
      </c>
      <c r="B61" s="1">
        <f ca="1">IFERROR(__xludf.UNSUPPORTED("""COMPUTED_VALUE"""),47.18)</f>
        <v>47.18</v>
      </c>
      <c r="C61" s="2">
        <f t="shared" ca="1" si="0"/>
        <v>1.27334465195251E-3</v>
      </c>
    </row>
    <row r="62" spans="1:3">
      <c r="A62" s="3">
        <f ca="1">IFERROR(__xludf.UNSUPPORTED("""COMPUTED_VALUE"""),43553.6666666666)</f>
        <v>43553.666666666599</v>
      </c>
      <c r="B62" s="1">
        <f ca="1">IFERROR(__xludf.UNSUPPORTED("""COMPUTED_VALUE"""),47.49)</f>
        <v>47.49</v>
      </c>
      <c r="C62" s="2">
        <f t="shared" ca="1" si="0"/>
        <v>6.5705807545570639E-3</v>
      </c>
    </row>
    <row r="63" spans="1:3">
      <c r="A63" s="3">
        <f ca="1">IFERROR(__xludf.UNSUPPORTED("""COMPUTED_VALUE"""),43556.6666666666)</f>
        <v>43556.666666666599</v>
      </c>
      <c r="B63" s="1">
        <f ca="1">IFERROR(__xludf.UNSUPPORTED("""COMPUTED_VALUE"""),47.81)</f>
        <v>47.81</v>
      </c>
      <c r="C63" s="2">
        <f t="shared" ca="1" si="0"/>
        <v>6.7382606864603133E-3</v>
      </c>
    </row>
    <row r="64" spans="1:3">
      <c r="A64" s="3">
        <f ca="1">IFERROR(__xludf.UNSUPPORTED("""COMPUTED_VALUE"""),43557.6666666666)</f>
        <v>43557.666666666599</v>
      </c>
      <c r="B64" s="1">
        <f ca="1">IFERROR(__xludf.UNSUPPORTED("""COMPUTED_VALUE"""),48.51)</f>
        <v>48.51</v>
      </c>
      <c r="C64" s="2">
        <f t="shared" ca="1" si="0"/>
        <v>1.4641288433382048E-2</v>
      </c>
    </row>
    <row r="65" spans="1:3">
      <c r="A65" s="3">
        <f ca="1">IFERROR(__xludf.UNSUPPORTED("""COMPUTED_VALUE"""),43558.6666666666)</f>
        <v>43558.666666666599</v>
      </c>
      <c r="B65" s="1">
        <f ca="1">IFERROR(__xludf.UNSUPPORTED("""COMPUTED_VALUE"""),48.84)</f>
        <v>48.84</v>
      </c>
      <c r="C65" s="2">
        <f t="shared" ca="1" si="0"/>
        <v>6.8027210884354858E-3</v>
      </c>
    </row>
    <row r="66" spans="1:3">
      <c r="A66" s="3">
        <f ca="1">IFERROR(__xludf.UNSUPPORTED("""COMPUTED_VALUE"""),43559.6666666666)</f>
        <v>43559.666666666599</v>
      </c>
      <c r="B66" s="1">
        <f ca="1">IFERROR(__xludf.UNSUPPORTED("""COMPUTED_VALUE"""),48.92)</f>
        <v>48.92</v>
      </c>
      <c r="C66" s="2">
        <f t="shared" ca="1" si="0"/>
        <v>1.638001638001603E-3</v>
      </c>
    </row>
    <row r="67" spans="1:3">
      <c r="A67" s="3">
        <f ca="1">IFERROR(__xludf.UNSUPPORTED("""COMPUTED_VALUE"""),43560.6666666666)</f>
        <v>43560.666666666599</v>
      </c>
      <c r="B67" s="1">
        <f ca="1">IFERROR(__xludf.UNSUPPORTED("""COMPUTED_VALUE"""),49.25)</f>
        <v>49.25</v>
      </c>
      <c r="C67" s="2">
        <f t="shared" ca="1" si="0"/>
        <v>6.745707277187209E-3</v>
      </c>
    </row>
    <row r="68" spans="1:3">
      <c r="A68" s="3">
        <f ca="1">IFERROR(__xludf.UNSUPPORTED("""COMPUTED_VALUE"""),43563.6666666666)</f>
        <v>43563.666666666599</v>
      </c>
      <c r="B68" s="1">
        <f ca="1">IFERROR(__xludf.UNSUPPORTED("""COMPUTED_VALUE"""),50.03)</f>
        <v>50.03</v>
      </c>
      <c r="C68" s="2">
        <f t="shared" ca="1" si="0"/>
        <v>1.5837563451776674E-2</v>
      </c>
    </row>
    <row r="69" spans="1:3">
      <c r="A69" s="3">
        <f ca="1">IFERROR(__xludf.UNSUPPORTED("""COMPUTED_VALUE"""),43564.6666666666)</f>
        <v>43564.666666666599</v>
      </c>
      <c r="B69" s="1">
        <f ca="1">IFERROR(__xludf.UNSUPPORTED("""COMPUTED_VALUE"""),49.88)</f>
        <v>49.88</v>
      </c>
      <c r="C69" s="2">
        <f t="shared" ca="1" si="0"/>
        <v>-2.99820107935236E-3</v>
      </c>
    </row>
    <row r="70" spans="1:3">
      <c r="A70" s="3">
        <f ca="1">IFERROR(__xludf.UNSUPPORTED("""COMPUTED_VALUE"""),43565.6666666666)</f>
        <v>43565.666666666599</v>
      </c>
      <c r="B70" s="1">
        <f ca="1">IFERROR(__xludf.UNSUPPORTED("""COMPUTED_VALUE"""),50.16)</f>
        <v>50.16</v>
      </c>
      <c r="C70" s="2">
        <f t="shared" ca="1" si="0"/>
        <v>5.6134723336005218E-3</v>
      </c>
    </row>
    <row r="71" spans="1:3">
      <c r="A71" s="3">
        <f ca="1">IFERROR(__xludf.UNSUPPORTED("""COMPUTED_VALUE"""),43566.6666666666)</f>
        <v>43566.666666666599</v>
      </c>
      <c r="B71" s="1">
        <f ca="1">IFERROR(__xludf.UNSUPPORTED("""COMPUTED_VALUE"""),49.74)</f>
        <v>49.74</v>
      </c>
      <c r="C71" s="2">
        <f t="shared" ca="1" si="0"/>
        <v>-8.373205741626687E-3</v>
      </c>
    </row>
    <row r="72" spans="1:3">
      <c r="A72" s="3">
        <f ca="1">IFERROR(__xludf.UNSUPPORTED("""COMPUTED_VALUE"""),43567.6666666666)</f>
        <v>43567.666666666599</v>
      </c>
      <c r="B72" s="1">
        <f ca="1">IFERROR(__xludf.UNSUPPORTED("""COMPUTED_VALUE"""),49.72)</f>
        <v>49.72</v>
      </c>
      <c r="C72" s="2">
        <f t="shared" ca="1" si="0"/>
        <v>-4.0209087253725623E-4</v>
      </c>
    </row>
    <row r="73" spans="1:3">
      <c r="A73" s="3">
        <f ca="1">IFERROR(__xludf.UNSUPPORTED("""COMPUTED_VALUE"""),43570.6666666666)</f>
        <v>43570.666666666599</v>
      </c>
      <c r="B73" s="1">
        <f ca="1">IFERROR(__xludf.UNSUPPORTED("""COMPUTED_VALUE"""),49.81)</f>
        <v>49.81</v>
      </c>
      <c r="C73" s="2">
        <f t="shared" ca="1" si="0"/>
        <v>1.810136765889047E-3</v>
      </c>
    </row>
    <row r="74" spans="1:3">
      <c r="A74" s="3">
        <f ca="1">IFERROR(__xludf.UNSUPPORTED("""COMPUTED_VALUE"""),43571.6666666666)</f>
        <v>43571.666666666599</v>
      </c>
      <c r="B74" s="1">
        <f ca="1">IFERROR(__xludf.UNSUPPORTED("""COMPUTED_VALUE"""),49.81)</f>
        <v>49.81</v>
      </c>
      <c r="C74" s="2">
        <f t="shared" ca="1" si="0"/>
        <v>0</v>
      </c>
    </row>
    <row r="75" spans="1:3">
      <c r="A75" s="3">
        <f ca="1">IFERROR(__xludf.UNSUPPORTED("""COMPUTED_VALUE"""),43572.6666666666)</f>
        <v>43572.666666666599</v>
      </c>
      <c r="B75" s="1">
        <f ca="1">IFERROR(__xludf.UNSUPPORTED("""COMPUTED_VALUE"""),50.78)</f>
        <v>50.78</v>
      </c>
      <c r="C75" s="2">
        <f t="shared" ca="1" si="0"/>
        <v>1.947400120457737E-2</v>
      </c>
    </row>
    <row r="76" spans="1:3">
      <c r="A76" s="3">
        <f ca="1">IFERROR(__xludf.UNSUPPORTED("""COMPUTED_VALUE"""),43573.6666666666)</f>
        <v>43573.666666666599</v>
      </c>
      <c r="B76" s="1">
        <f ca="1">IFERROR(__xludf.UNSUPPORTED("""COMPUTED_VALUE"""),50.97)</f>
        <v>50.97</v>
      </c>
      <c r="C76" s="2">
        <f t="shared" ca="1" si="0"/>
        <v>3.741630563213819E-3</v>
      </c>
    </row>
    <row r="77" spans="1:3">
      <c r="A77" s="3">
        <f ca="1">IFERROR(__xludf.UNSUPPORTED("""COMPUTED_VALUE"""),43577.6666666666)</f>
        <v>43577.666666666599</v>
      </c>
      <c r="B77" s="1">
        <f ca="1">IFERROR(__xludf.UNSUPPORTED("""COMPUTED_VALUE"""),51.13)</f>
        <v>51.13</v>
      </c>
      <c r="C77" s="2">
        <f t="shared" ca="1" si="0"/>
        <v>3.139101432215101E-3</v>
      </c>
    </row>
    <row r="78" spans="1:3">
      <c r="A78" s="3">
        <f ca="1">IFERROR(__xludf.UNSUPPORTED("""COMPUTED_VALUE"""),43578.6666666666)</f>
        <v>43578.666666666599</v>
      </c>
      <c r="B78" s="1">
        <f ca="1">IFERROR(__xludf.UNSUPPORTED("""COMPUTED_VALUE"""),51.87)</f>
        <v>51.87</v>
      </c>
      <c r="C78" s="2">
        <f t="shared" ca="1" si="0"/>
        <v>1.447291218462732E-2</v>
      </c>
    </row>
    <row r="79" spans="1:3">
      <c r="A79" s="3">
        <f ca="1">IFERROR(__xludf.UNSUPPORTED("""COMPUTED_VALUE"""),43579.6666666666)</f>
        <v>43579.666666666599</v>
      </c>
      <c r="B79" s="1">
        <f ca="1">IFERROR(__xludf.UNSUPPORTED("""COMPUTED_VALUE"""),51.79)</f>
        <v>51.79</v>
      </c>
      <c r="C79" s="2">
        <f t="shared" ca="1" si="0"/>
        <v>-1.5423173317909832E-3</v>
      </c>
    </row>
    <row r="80" spans="1:3">
      <c r="A80" s="3">
        <f ca="1">IFERROR(__xludf.UNSUPPORTED("""COMPUTED_VALUE"""),43580.6666666666)</f>
        <v>43580.666666666599</v>
      </c>
      <c r="B80" s="1">
        <f ca="1">IFERROR(__xludf.UNSUPPORTED("""COMPUTED_VALUE"""),51.32)</f>
        <v>51.32</v>
      </c>
      <c r="C80" s="2">
        <f t="shared" ca="1" si="0"/>
        <v>-9.075111025294437E-3</v>
      </c>
    </row>
    <row r="81" spans="1:3">
      <c r="A81" s="3">
        <f ca="1">IFERROR(__xludf.UNSUPPORTED("""COMPUTED_VALUE"""),43581.6666666666)</f>
        <v>43581.666666666599</v>
      </c>
      <c r="B81" s="1">
        <f ca="1">IFERROR(__xludf.UNSUPPORTED("""COMPUTED_VALUE"""),51.08)</f>
        <v>51.08</v>
      </c>
      <c r="C81" s="2">
        <f t="shared" ca="1" si="0"/>
        <v>-4.6765393608729925E-3</v>
      </c>
    </row>
    <row r="82" spans="1:3">
      <c r="A82" s="3">
        <f ca="1">IFERROR(__xludf.UNSUPPORTED("""COMPUTED_VALUE"""),43584.6666666666)</f>
        <v>43584.666666666599</v>
      </c>
      <c r="B82" s="1">
        <f ca="1">IFERROR(__xludf.UNSUPPORTED("""COMPUTED_VALUE"""),51.15)</f>
        <v>51.15</v>
      </c>
      <c r="C82" s="2">
        <f t="shared" ca="1" si="0"/>
        <v>1.3703993735317205E-3</v>
      </c>
    </row>
    <row r="83" spans="1:3">
      <c r="A83" s="3">
        <f ca="1">IFERROR(__xludf.UNSUPPORTED("""COMPUTED_VALUE"""),43585.6666666666)</f>
        <v>43585.666666666599</v>
      </c>
      <c r="B83" s="1">
        <f ca="1">IFERROR(__xludf.UNSUPPORTED("""COMPUTED_VALUE"""),50.17)</f>
        <v>50.17</v>
      </c>
      <c r="C83" s="2">
        <f t="shared" ca="1" si="0"/>
        <v>-1.9159335288367486E-2</v>
      </c>
    </row>
    <row r="84" spans="1:3">
      <c r="A84" s="3">
        <f ca="1">IFERROR(__xludf.UNSUPPORTED("""COMPUTED_VALUE"""),43586.6666666666)</f>
        <v>43586.666666666599</v>
      </c>
      <c r="B84" s="1">
        <f ca="1">IFERROR(__xludf.UNSUPPORTED("""COMPUTED_VALUE"""),52.63)</f>
        <v>52.63</v>
      </c>
      <c r="C84" s="2">
        <f t="shared" ca="1" si="0"/>
        <v>4.9033286824795713E-2</v>
      </c>
    </row>
    <row r="85" spans="1:3">
      <c r="A85" s="3">
        <f ca="1">IFERROR(__xludf.UNSUPPORTED("""COMPUTED_VALUE"""),43587.6666666666)</f>
        <v>43587.666666666599</v>
      </c>
      <c r="B85" s="1">
        <f ca="1">IFERROR(__xludf.UNSUPPORTED("""COMPUTED_VALUE"""),52.29)</f>
        <v>52.29</v>
      </c>
      <c r="C85" s="2">
        <f t="shared" ca="1" si="0"/>
        <v>-6.4601938058142386E-3</v>
      </c>
    </row>
    <row r="86" spans="1:3">
      <c r="A86" s="3">
        <f ca="1">IFERROR(__xludf.UNSUPPORTED("""COMPUTED_VALUE"""),43588.6666666666)</f>
        <v>43588.666666666599</v>
      </c>
      <c r="B86" s="1">
        <f ca="1">IFERROR(__xludf.UNSUPPORTED("""COMPUTED_VALUE"""),52.94)</f>
        <v>52.94</v>
      </c>
      <c r="C86" s="2">
        <f t="shared" ca="1" si="0"/>
        <v>1.2430675081277464E-2</v>
      </c>
    </row>
    <row r="87" spans="1:3">
      <c r="A87" s="3">
        <f ca="1">IFERROR(__xludf.UNSUPPORTED("""COMPUTED_VALUE"""),43591.6666666666)</f>
        <v>43591.666666666599</v>
      </c>
      <c r="B87" s="1">
        <f ca="1">IFERROR(__xludf.UNSUPPORTED("""COMPUTED_VALUE"""),52.12)</f>
        <v>52.12</v>
      </c>
      <c r="C87" s="2">
        <f t="shared" ca="1" si="0"/>
        <v>-1.5489233094068763E-2</v>
      </c>
    </row>
    <row r="88" spans="1:3">
      <c r="A88" s="3">
        <f ca="1">IFERROR(__xludf.UNSUPPORTED("""COMPUTED_VALUE"""),43592.6666666666)</f>
        <v>43592.666666666599</v>
      </c>
      <c r="B88" s="1">
        <f ca="1">IFERROR(__xludf.UNSUPPORTED("""COMPUTED_VALUE"""),50.72)</f>
        <v>50.72</v>
      </c>
      <c r="C88" s="2">
        <f t="shared" ca="1" si="0"/>
        <v>-2.6861089792785852E-2</v>
      </c>
    </row>
    <row r="89" spans="1:3">
      <c r="A89" s="3">
        <f ca="1">IFERROR(__xludf.UNSUPPORTED("""COMPUTED_VALUE"""),43593.6666666666)</f>
        <v>43593.666666666599</v>
      </c>
      <c r="B89" s="1">
        <f ca="1">IFERROR(__xludf.UNSUPPORTED("""COMPUTED_VALUE"""),50.73)</f>
        <v>50.73</v>
      </c>
      <c r="C89" s="2">
        <f t="shared" ca="1" si="0"/>
        <v>1.9716088328071787E-4</v>
      </c>
    </row>
    <row r="90" spans="1:3">
      <c r="A90" s="3">
        <f ca="1">IFERROR(__xludf.UNSUPPORTED("""COMPUTED_VALUE"""),43594.6666666666)</f>
        <v>43594.666666666599</v>
      </c>
      <c r="B90" s="1">
        <f ca="1">IFERROR(__xludf.UNSUPPORTED("""COMPUTED_VALUE"""),50.18)</f>
        <v>50.18</v>
      </c>
      <c r="C90" s="2">
        <f t="shared" ca="1" si="0"/>
        <v>-1.084171101912078E-2</v>
      </c>
    </row>
    <row r="91" spans="1:3">
      <c r="A91" s="3">
        <f ca="1">IFERROR(__xludf.UNSUPPORTED("""COMPUTED_VALUE"""),43595.6666666666)</f>
        <v>43595.666666666599</v>
      </c>
      <c r="B91" s="1">
        <f ca="1">IFERROR(__xludf.UNSUPPORTED("""COMPUTED_VALUE"""),49.3)</f>
        <v>49.3</v>
      </c>
      <c r="C91" s="2">
        <f t="shared" ca="1" si="0"/>
        <v>-1.7536867277799972E-2</v>
      </c>
    </row>
    <row r="92" spans="1:3">
      <c r="A92" s="3">
        <f ca="1">IFERROR(__xludf.UNSUPPORTED("""COMPUTED_VALUE"""),43598.6666666666)</f>
        <v>43598.666666666599</v>
      </c>
      <c r="B92" s="1">
        <f ca="1">IFERROR(__xludf.UNSUPPORTED("""COMPUTED_VALUE"""),46.43)</f>
        <v>46.43</v>
      </c>
      <c r="C92" s="2">
        <f t="shared" ca="1" si="0"/>
        <v>-5.821501014198778E-2</v>
      </c>
    </row>
    <row r="93" spans="1:3">
      <c r="A93" s="3">
        <f ca="1">IFERROR(__xludf.UNSUPPORTED("""COMPUTED_VALUE"""),43599.6666666666)</f>
        <v>43599.666666666599</v>
      </c>
      <c r="B93" s="1">
        <f ca="1">IFERROR(__xludf.UNSUPPORTED("""COMPUTED_VALUE"""),47.17)</f>
        <v>47.17</v>
      </c>
      <c r="C93" s="2">
        <f t="shared" ca="1" si="0"/>
        <v>1.59379711393496E-2</v>
      </c>
    </row>
    <row r="94" spans="1:3">
      <c r="A94" s="3">
        <f ca="1">IFERROR(__xludf.UNSUPPORTED("""COMPUTED_VALUE"""),43600.6666666666)</f>
        <v>43600.666666666599</v>
      </c>
      <c r="B94" s="1">
        <f ca="1">IFERROR(__xludf.UNSUPPORTED("""COMPUTED_VALUE"""),47.73)</f>
        <v>47.73</v>
      </c>
      <c r="C94" s="2">
        <f t="shared" ca="1" si="0"/>
        <v>1.1871952512189848E-2</v>
      </c>
    </row>
    <row r="95" spans="1:3">
      <c r="A95" s="3">
        <f ca="1">IFERROR(__xludf.UNSUPPORTED("""COMPUTED_VALUE"""),43601.6666666666)</f>
        <v>43601.666666666599</v>
      </c>
      <c r="B95" s="1">
        <f ca="1">IFERROR(__xludf.UNSUPPORTED("""COMPUTED_VALUE"""),47.52)</f>
        <v>47.52</v>
      </c>
      <c r="C95" s="2">
        <f t="shared" ca="1" si="0"/>
        <v>-4.3997485857949666E-3</v>
      </c>
    </row>
    <row r="96" spans="1:3">
      <c r="A96" s="3">
        <f ca="1">IFERROR(__xludf.UNSUPPORTED("""COMPUTED_VALUE"""),43602.6666666666)</f>
        <v>43602.666666666599</v>
      </c>
      <c r="B96" s="1">
        <f ca="1">IFERROR(__xludf.UNSUPPORTED("""COMPUTED_VALUE"""),47.25)</f>
        <v>47.25</v>
      </c>
      <c r="C96" s="2">
        <f t="shared" ca="1" si="0"/>
        <v>-5.681818181818247E-3</v>
      </c>
    </row>
    <row r="97" spans="1:3">
      <c r="A97" s="3">
        <f ca="1">IFERROR(__xludf.UNSUPPORTED("""COMPUTED_VALUE"""),43605.6666666666)</f>
        <v>43605.666666666599</v>
      </c>
      <c r="B97" s="1">
        <f ca="1">IFERROR(__xludf.UNSUPPORTED("""COMPUTED_VALUE"""),45.77)</f>
        <v>45.77</v>
      </c>
      <c r="C97" s="2">
        <f t="shared" ca="1" si="0"/>
        <v>-3.1322751322751259E-2</v>
      </c>
    </row>
    <row r="98" spans="1:3">
      <c r="A98" s="3">
        <f ca="1">IFERROR(__xludf.UNSUPPORTED("""COMPUTED_VALUE"""),43606.6666666666)</f>
        <v>43606.666666666599</v>
      </c>
      <c r="B98" s="1">
        <f ca="1">IFERROR(__xludf.UNSUPPORTED("""COMPUTED_VALUE"""),46.65)</f>
        <v>46.65</v>
      </c>
      <c r="C98" s="2">
        <f t="shared" ca="1" si="0"/>
        <v>1.9226567620712155E-2</v>
      </c>
    </row>
    <row r="99" spans="1:3">
      <c r="A99" s="3">
        <f ca="1">IFERROR(__xludf.UNSUPPORTED("""COMPUTED_VALUE"""),43607.6666666666)</f>
        <v>43607.666666666599</v>
      </c>
      <c r="B99" s="1">
        <f ca="1">IFERROR(__xludf.UNSUPPORTED("""COMPUTED_VALUE"""),45.7)</f>
        <v>45.7</v>
      </c>
      <c r="C99" s="2">
        <f t="shared" ca="1" si="0"/>
        <v>-2.0364415862808054E-2</v>
      </c>
    </row>
    <row r="100" spans="1:3">
      <c r="A100" s="3">
        <f ca="1">IFERROR(__xludf.UNSUPPORTED("""COMPUTED_VALUE"""),43608.6666666666)</f>
        <v>43608.666666666599</v>
      </c>
      <c r="B100" s="1">
        <f ca="1">IFERROR(__xludf.UNSUPPORTED("""COMPUTED_VALUE"""),44.92)</f>
        <v>44.92</v>
      </c>
      <c r="C100" s="2">
        <f t="shared" ca="1" si="0"/>
        <v>-1.7067833698030659E-2</v>
      </c>
    </row>
    <row r="101" spans="1:3">
      <c r="A101" s="3">
        <f ca="1">IFERROR(__xludf.UNSUPPORTED("""COMPUTED_VALUE"""),43609.6666666666)</f>
        <v>43609.666666666599</v>
      </c>
      <c r="B101" s="1">
        <f ca="1">IFERROR(__xludf.UNSUPPORTED("""COMPUTED_VALUE"""),44.74)</f>
        <v>44.74</v>
      </c>
      <c r="C101" s="2">
        <f t="shared" ca="1" si="0"/>
        <v>-4.0071237756010621E-3</v>
      </c>
    </row>
    <row r="102" spans="1:3">
      <c r="A102" s="3">
        <f ca="1">IFERROR(__xludf.UNSUPPORTED("""COMPUTED_VALUE"""),43613.6666666666)</f>
        <v>43613.666666666599</v>
      </c>
      <c r="B102" s="1">
        <f ca="1">IFERROR(__xludf.UNSUPPORTED("""COMPUTED_VALUE"""),44.56)</f>
        <v>44.56</v>
      </c>
      <c r="C102" s="2">
        <f t="shared" ca="1" si="0"/>
        <v>-4.0232454179704898E-3</v>
      </c>
    </row>
    <row r="103" spans="1:3">
      <c r="A103" s="3">
        <f ca="1">IFERROR(__xludf.UNSUPPORTED("""COMPUTED_VALUE"""),43614.6666666666)</f>
        <v>43614.666666666599</v>
      </c>
      <c r="B103" s="1">
        <f ca="1">IFERROR(__xludf.UNSUPPORTED("""COMPUTED_VALUE"""),44.35)</f>
        <v>44.35</v>
      </c>
      <c r="C103" s="2">
        <f t="shared" ca="1" si="0"/>
        <v>-4.7127468581687803E-3</v>
      </c>
    </row>
    <row r="104" spans="1:3">
      <c r="A104" s="3">
        <f ca="1">IFERROR(__xludf.UNSUPPORTED("""COMPUTED_VALUE"""),43615.6666666666)</f>
        <v>43615.666666666599</v>
      </c>
      <c r="B104" s="1">
        <f ca="1">IFERROR(__xludf.UNSUPPORTED("""COMPUTED_VALUE"""),44.58)</f>
        <v>44.58</v>
      </c>
      <c r="C104" s="2">
        <f t="shared" ca="1" si="0"/>
        <v>5.1860202931228155E-3</v>
      </c>
    </row>
    <row r="105" spans="1:3">
      <c r="A105" s="3">
        <f ca="1">IFERROR(__xludf.UNSUPPORTED("""COMPUTED_VALUE"""),43616.6666666666)</f>
        <v>43616.666666666599</v>
      </c>
      <c r="B105" s="1">
        <f ca="1">IFERROR(__xludf.UNSUPPORTED("""COMPUTED_VALUE"""),43.77)</f>
        <v>43.77</v>
      </c>
      <c r="C105" s="2">
        <f t="shared" ca="1" si="0"/>
        <v>-1.8169582772543633E-2</v>
      </c>
    </row>
    <row r="106" spans="1:3">
      <c r="A106" s="3">
        <f ca="1">IFERROR(__xludf.UNSUPPORTED("""COMPUTED_VALUE"""),43619.6666666666)</f>
        <v>43619.666666666599</v>
      </c>
      <c r="B106" s="1">
        <f ca="1">IFERROR(__xludf.UNSUPPORTED("""COMPUTED_VALUE"""),43.33)</f>
        <v>43.33</v>
      </c>
      <c r="C106" s="2">
        <f t="shared" ca="1" si="0"/>
        <v>-1.0052547406899813E-2</v>
      </c>
    </row>
    <row r="107" spans="1:3">
      <c r="A107" s="3">
        <f ca="1">IFERROR(__xludf.UNSUPPORTED("""COMPUTED_VALUE"""),43620.6666666666)</f>
        <v>43620.666666666599</v>
      </c>
      <c r="B107" s="1">
        <f ca="1">IFERROR(__xludf.UNSUPPORTED("""COMPUTED_VALUE"""),44.91)</f>
        <v>44.91</v>
      </c>
      <c r="C107" s="2">
        <f t="shared" ca="1" si="0"/>
        <v>3.646434341103158E-2</v>
      </c>
    </row>
    <row r="108" spans="1:3">
      <c r="A108" s="3">
        <f ca="1">IFERROR(__xludf.UNSUPPORTED("""COMPUTED_VALUE"""),43621.6666666666)</f>
        <v>43621.666666666599</v>
      </c>
      <c r="B108" s="1">
        <f ca="1">IFERROR(__xludf.UNSUPPORTED("""COMPUTED_VALUE"""),45.64)</f>
        <v>45.64</v>
      </c>
      <c r="C108" s="2">
        <f t="shared" ca="1" si="0"/>
        <v>1.62547316855935E-2</v>
      </c>
    </row>
    <row r="109" spans="1:3">
      <c r="A109" s="3">
        <f ca="1">IFERROR(__xludf.UNSUPPORTED("""COMPUTED_VALUE"""),43622.6666666666)</f>
        <v>43622.666666666599</v>
      </c>
      <c r="B109" s="1">
        <f ca="1">IFERROR(__xludf.UNSUPPORTED("""COMPUTED_VALUE"""),46.31)</f>
        <v>46.31</v>
      </c>
      <c r="C109" s="2">
        <f t="shared" ca="1" si="0"/>
        <v>1.4680105170902754E-2</v>
      </c>
    </row>
    <row r="110" spans="1:3">
      <c r="A110" s="3">
        <f ca="1">IFERROR(__xludf.UNSUPPORTED("""COMPUTED_VALUE"""),43623.6666666666)</f>
        <v>43623.666666666599</v>
      </c>
      <c r="B110" s="1">
        <f ca="1">IFERROR(__xludf.UNSUPPORTED("""COMPUTED_VALUE"""),47.54)</f>
        <v>47.54</v>
      </c>
      <c r="C110" s="2">
        <f t="shared" ca="1" si="0"/>
        <v>2.6560138199093E-2</v>
      </c>
    </row>
    <row r="111" spans="1:3">
      <c r="A111" s="3">
        <f ca="1">IFERROR(__xludf.UNSUPPORTED("""COMPUTED_VALUE"""),43626.6666666666)</f>
        <v>43626.666666666599</v>
      </c>
      <c r="B111" s="1">
        <f ca="1">IFERROR(__xludf.UNSUPPORTED("""COMPUTED_VALUE"""),48.15)</f>
        <v>48.15</v>
      </c>
      <c r="C111" s="2">
        <f t="shared" ca="1" si="0"/>
        <v>1.2831299957930153E-2</v>
      </c>
    </row>
    <row r="112" spans="1:3">
      <c r="A112" s="3">
        <f ca="1">IFERROR(__xludf.UNSUPPORTED("""COMPUTED_VALUE"""),43627.6666666666)</f>
        <v>43627.666666666599</v>
      </c>
      <c r="B112" s="1">
        <f ca="1">IFERROR(__xludf.UNSUPPORTED("""COMPUTED_VALUE"""),48.7)</f>
        <v>48.7</v>
      </c>
      <c r="C112" s="2">
        <f t="shared" ca="1" si="0"/>
        <v>1.1422637590861979E-2</v>
      </c>
    </row>
    <row r="113" spans="1:3">
      <c r="A113" s="3">
        <f ca="1">IFERROR(__xludf.UNSUPPORTED("""COMPUTED_VALUE"""),43628.6666666666)</f>
        <v>43628.666666666599</v>
      </c>
      <c r="B113" s="1">
        <f ca="1">IFERROR(__xludf.UNSUPPORTED("""COMPUTED_VALUE"""),48.55)</f>
        <v>48.55</v>
      </c>
      <c r="C113" s="2">
        <f t="shared" ca="1" si="0"/>
        <v>-3.0800821355237303E-3</v>
      </c>
    </row>
    <row r="114" spans="1:3">
      <c r="A114" s="3">
        <f ca="1">IFERROR(__xludf.UNSUPPORTED("""COMPUTED_VALUE"""),43629.6666666666)</f>
        <v>43629.666666666599</v>
      </c>
      <c r="B114" s="1">
        <f ca="1">IFERROR(__xludf.UNSUPPORTED("""COMPUTED_VALUE"""),48.54)</f>
        <v>48.54</v>
      </c>
      <c r="C114" s="2">
        <f t="shared" ca="1" si="0"/>
        <v>-2.059732234809065E-4</v>
      </c>
    </row>
    <row r="115" spans="1:3">
      <c r="A115" s="3">
        <f ca="1">IFERROR(__xludf.UNSUPPORTED("""COMPUTED_VALUE"""),43630.6666666666)</f>
        <v>43630.666666666599</v>
      </c>
      <c r="B115" s="1">
        <f ca="1">IFERROR(__xludf.UNSUPPORTED("""COMPUTED_VALUE"""),48.19)</f>
        <v>48.19</v>
      </c>
      <c r="C115" s="2">
        <f t="shared" ca="1" si="0"/>
        <v>-7.2105480016481545E-3</v>
      </c>
    </row>
    <row r="116" spans="1:3">
      <c r="A116" s="3">
        <f ca="1">IFERROR(__xludf.UNSUPPORTED("""COMPUTED_VALUE"""),43633.6666666666)</f>
        <v>43633.666666666599</v>
      </c>
      <c r="B116" s="1">
        <f ca="1">IFERROR(__xludf.UNSUPPORTED("""COMPUTED_VALUE"""),48.47)</f>
        <v>48.47</v>
      </c>
      <c r="C116" s="2">
        <f t="shared" ca="1" si="0"/>
        <v>5.810334094210441E-3</v>
      </c>
    </row>
    <row r="117" spans="1:3">
      <c r="A117" s="3">
        <f ca="1">IFERROR(__xludf.UNSUPPORTED("""COMPUTED_VALUE"""),43634.6666666666)</f>
        <v>43634.666666666599</v>
      </c>
      <c r="B117" s="1">
        <f ca="1">IFERROR(__xludf.UNSUPPORTED("""COMPUTED_VALUE"""),49.61)</f>
        <v>49.61</v>
      </c>
      <c r="C117" s="2">
        <f t="shared" ca="1" si="0"/>
        <v>2.3519702909015897E-2</v>
      </c>
    </row>
    <row r="118" spans="1:3">
      <c r="A118" s="3">
        <f ca="1">IFERROR(__xludf.UNSUPPORTED("""COMPUTED_VALUE"""),43635.6666666666)</f>
        <v>43635.666666666599</v>
      </c>
      <c r="B118" s="1">
        <f ca="1">IFERROR(__xludf.UNSUPPORTED("""COMPUTED_VALUE"""),49.47)</f>
        <v>49.47</v>
      </c>
      <c r="C118" s="2">
        <f t="shared" ca="1" si="0"/>
        <v>-2.8220116911913035E-3</v>
      </c>
    </row>
    <row r="119" spans="1:3">
      <c r="A119" s="3">
        <f ca="1">IFERROR(__xludf.UNSUPPORTED("""COMPUTED_VALUE"""),43636.6666666666)</f>
        <v>43636.666666666599</v>
      </c>
      <c r="B119" s="1">
        <f ca="1">IFERROR(__xludf.UNSUPPORTED("""COMPUTED_VALUE"""),49.87)</f>
        <v>49.87</v>
      </c>
      <c r="C119" s="2">
        <f t="shared" ca="1" si="0"/>
        <v>8.0857085102081783E-3</v>
      </c>
    </row>
    <row r="120" spans="1:3">
      <c r="A120" s="3">
        <f ca="1">IFERROR(__xludf.UNSUPPORTED("""COMPUTED_VALUE"""),43637.6666666666)</f>
        <v>43637.666666666599</v>
      </c>
      <c r="B120" s="1">
        <f ca="1">IFERROR(__xludf.UNSUPPORTED("""COMPUTED_VALUE"""),49.7)</f>
        <v>49.7</v>
      </c>
      <c r="C120" s="2">
        <f t="shared" ca="1" si="0"/>
        <v>-3.4088630439140688E-3</v>
      </c>
    </row>
    <row r="121" spans="1:3">
      <c r="A121" s="3">
        <f ca="1">IFERROR(__xludf.UNSUPPORTED("""COMPUTED_VALUE"""),43640.6666666666)</f>
        <v>43640.666666666599</v>
      </c>
      <c r="B121" s="1">
        <f ca="1">IFERROR(__xludf.UNSUPPORTED("""COMPUTED_VALUE"""),49.65)</f>
        <v>49.65</v>
      </c>
      <c r="C121" s="2">
        <f t="shared" ca="1" si="0"/>
        <v>-1.0060362173039087E-3</v>
      </c>
    </row>
    <row r="122" spans="1:3">
      <c r="A122" s="3">
        <f ca="1">IFERROR(__xludf.UNSUPPORTED("""COMPUTED_VALUE"""),43641.6666666666)</f>
        <v>43641.666666666599</v>
      </c>
      <c r="B122" s="1">
        <f ca="1">IFERROR(__xludf.UNSUPPORTED("""COMPUTED_VALUE"""),48.89)</f>
        <v>48.89</v>
      </c>
      <c r="C122" s="2">
        <f t="shared" ca="1" si="0"/>
        <v>-1.5307150050352427E-2</v>
      </c>
    </row>
    <row r="123" spans="1:3">
      <c r="A123" s="3">
        <f ca="1">IFERROR(__xludf.UNSUPPORTED("""COMPUTED_VALUE"""),43642.6666666666)</f>
        <v>43642.666666666599</v>
      </c>
      <c r="B123" s="1">
        <f ca="1">IFERROR(__xludf.UNSUPPORTED("""COMPUTED_VALUE"""),49.95)</f>
        <v>49.95</v>
      </c>
      <c r="C123" s="2">
        <f t="shared" ca="1" si="0"/>
        <v>2.1681325424422217E-2</v>
      </c>
    </row>
    <row r="124" spans="1:3">
      <c r="A124" s="3">
        <f ca="1">IFERROR(__xludf.UNSUPPORTED("""COMPUTED_VALUE"""),43643.6666666666)</f>
        <v>43643.666666666599</v>
      </c>
      <c r="B124" s="1">
        <f ca="1">IFERROR(__xludf.UNSUPPORTED("""COMPUTED_VALUE"""),49.94)</f>
        <v>49.94</v>
      </c>
      <c r="C124" s="2">
        <f t="shared" ca="1" si="0"/>
        <v>-2.0020020020030261E-4</v>
      </c>
    </row>
    <row r="125" spans="1:3">
      <c r="A125" s="3">
        <f ca="1">IFERROR(__xludf.UNSUPPORTED("""COMPUTED_VALUE"""),43644.6666666666)</f>
        <v>43644.666666666599</v>
      </c>
      <c r="B125" s="1">
        <f ca="1">IFERROR(__xludf.UNSUPPORTED("""COMPUTED_VALUE"""),49.48)</f>
        <v>49.48</v>
      </c>
      <c r="C125" s="2">
        <f t="shared" ca="1" si="0"/>
        <v>-9.2110532639167169E-3</v>
      </c>
    </row>
    <row r="126" spans="1:3">
      <c r="A126" s="3">
        <f ca="1">IFERROR(__xludf.UNSUPPORTED("""COMPUTED_VALUE"""),43647.6666666666)</f>
        <v>43647.666666666599</v>
      </c>
      <c r="B126" s="1">
        <f ca="1">IFERROR(__xludf.UNSUPPORTED("""COMPUTED_VALUE"""),50.39)</f>
        <v>50.39</v>
      </c>
      <c r="C126" s="2">
        <f t="shared" ca="1" si="0"/>
        <v>1.8391269199676714E-2</v>
      </c>
    </row>
    <row r="127" spans="1:3">
      <c r="A127" s="3">
        <f ca="1">IFERROR(__xludf.UNSUPPORTED("""COMPUTED_VALUE"""),43648.6666666666)</f>
        <v>43648.666666666599</v>
      </c>
      <c r="B127" s="1">
        <f ca="1">IFERROR(__xludf.UNSUPPORTED("""COMPUTED_VALUE"""),50.68)</f>
        <v>50.68</v>
      </c>
      <c r="C127" s="2">
        <f t="shared" ca="1" si="0"/>
        <v>5.7551101409009557E-3</v>
      </c>
    </row>
    <row r="128" spans="1:3">
      <c r="A128" s="3">
        <f ca="1">IFERROR(__xludf.UNSUPPORTED("""COMPUTED_VALUE"""),43649.5416666666)</f>
        <v>43649.541666666599</v>
      </c>
      <c r="B128" s="1">
        <f ca="1">IFERROR(__xludf.UNSUPPORTED("""COMPUTED_VALUE"""),51.1)</f>
        <v>51.1</v>
      </c>
      <c r="C128" s="2">
        <f t="shared" ca="1" si="0"/>
        <v>8.2872928176795924E-3</v>
      </c>
    </row>
    <row r="129" spans="1:3">
      <c r="A129" s="3">
        <f ca="1">IFERROR(__xludf.UNSUPPORTED("""COMPUTED_VALUE"""),43651.6666666666)</f>
        <v>43651.666666666599</v>
      </c>
      <c r="B129" s="1">
        <f ca="1">IFERROR(__xludf.UNSUPPORTED("""COMPUTED_VALUE"""),51.06)</f>
        <v>51.06</v>
      </c>
      <c r="C129" s="2">
        <f t="shared" ca="1" si="0"/>
        <v>-7.8277886497062912E-4</v>
      </c>
    </row>
    <row r="130" spans="1:3">
      <c r="A130" s="3">
        <f ca="1">IFERROR(__xludf.UNSUPPORTED("""COMPUTED_VALUE"""),43654.6666666666)</f>
        <v>43654.666666666599</v>
      </c>
      <c r="B130" s="1">
        <f ca="1">IFERROR(__xludf.UNSUPPORTED("""COMPUTED_VALUE"""),50.01)</f>
        <v>50.01</v>
      </c>
      <c r="C130" s="2">
        <f t="shared" ca="1" si="0"/>
        <v>-2.0564042303172821E-2</v>
      </c>
    </row>
    <row r="131" spans="1:3">
      <c r="A131" s="3">
        <f ca="1">IFERROR(__xludf.UNSUPPORTED("""COMPUTED_VALUE"""),43655.6666666666)</f>
        <v>43655.666666666599</v>
      </c>
      <c r="B131" s="1">
        <f ca="1">IFERROR(__xludf.UNSUPPORTED("""COMPUTED_VALUE"""),50.31)</f>
        <v>50.31</v>
      </c>
      <c r="C131" s="2">
        <f t="shared" ca="1" si="0"/>
        <v>5.998800239952095E-3</v>
      </c>
    </row>
    <row r="132" spans="1:3">
      <c r="A132" s="3">
        <f ca="1">IFERROR(__xludf.UNSUPPORTED("""COMPUTED_VALUE"""),43656.6666666666)</f>
        <v>43656.666666666599</v>
      </c>
      <c r="B132" s="1">
        <f ca="1">IFERROR(__xludf.UNSUPPORTED("""COMPUTED_VALUE"""),50.81)</f>
        <v>50.81</v>
      </c>
      <c r="C132" s="2">
        <f t="shared" ca="1" si="0"/>
        <v>9.9383820314052872E-3</v>
      </c>
    </row>
    <row r="133" spans="1:3">
      <c r="A133" s="3">
        <f ca="1">IFERROR(__xludf.UNSUPPORTED("""COMPUTED_VALUE"""),43657.6666666666)</f>
        <v>43657.666666666599</v>
      </c>
      <c r="B133" s="1">
        <f ca="1">IFERROR(__xludf.UNSUPPORTED("""COMPUTED_VALUE"""),50.44)</f>
        <v>50.44</v>
      </c>
      <c r="C133" s="2">
        <f t="shared" ca="1" si="0"/>
        <v>-7.282031096240987E-3</v>
      </c>
    </row>
    <row r="134" spans="1:3">
      <c r="A134" s="3">
        <f ca="1">IFERROR(__xludf.UNSUPPORTED("""COMPUTED_VALUE"""),43658.6666666666)</f>
        <v>43658.666666666599</v>
      </c>
      <c r="B134" s="1">
        <f ca="1">IFERROR(__xludf.UNSUPPORTED("""COMPUTED_VALUE"""),50.83)</f>
        <v>50.83</v>
      </c>
      <c r="C134" s="2">
        <f t="shared" ca="1" si="0"/>
        <v>7.7319587628866095E-3</v>
      </c>
    </row>
    <row r="135" spans="1:3">
      <c r="A135" s="3">
        <f ca="1">IFERROR(__xludf.UNSUPPORTED("""COMPUTED_VALUE"""),43661.6666666666)</f>
        <v>43661.666666666599</v>
      </c>
      <c r="B135" s="1">
        <f ca="1">IFERROR(__xludf.UNSUPPORTED("""COMPUTED_VALUE"""),51.3)</f>
        <v>51.3</v>
      </c>
      <c r="C135" s="2">
        <f t="shared" ca="1" si="0"/>
        <v>9.2465079677355663E-3</v>
      </c>
    </row>
    <row r="136" spans="1:3">
      <c r="A136" s="3">
        <f ca="1">IFERROR(__xludf.UNSUPPORTED("""COMPUTED_VALUE"""),43662.6666666666)</f>
        <v>43662.666666666599</v>
      </c>
      <c r="B136" s="1">
        <f ca="1">IFERROR(__xludf.UNSUPPORTED("""COMPUTED_VALUE"""),51.13)</f>
        <v>51.13</v>
      </c>
      <c r="C136" s="2">
        <f t="shared" ca="1" si="0"/>
        <v>-3.3138401559453141E-3</v>
      </c>
    </row>
    <row r="137" spans="1:3">
      <c r="A137" s="3">
        <f ca="1">IFERROR(__xludf.UNSUPPORTED("""COMPUTED_VALUE"""),43663.6666666666)</f>
        <v>43663.666666666599</v>
      </c>
      <c r="B137" s="1">
        <f ca="1">IFERROR(__xludf.UNSUPPORTED("""COMPUTED_VALUE"""),50.84)</f>
        <v>50.84</v>
      </c>
      <c r="C137" s="2">
        <f t="shared" ca="1" si="0"/>
        <v>-5.6718169372188369E-3</v>
      </c>
    </row>
    <row r="138" spans="1:3">
      <c r="A138" s="3">
        <f ca="1">IFERROR(__xludf.UNSUPPORTED("""COMPUTED_VALUE"""),43664.6666666666)</f>
        <v>43664.666666666599</v>
      </c>
      <c r="B138" s="1">
        <f ca="1">IFERROR(__xludf.UNSUPPORTED("""COMPUTED_VALUE"""),51.42)</f>
        <v>51.42</v>
      </c>
      <c r="C138" s="2">
        <f t="shared" ca="1" si="0"/>
        <v>1.1408339889850476E-2</v>
      </c>
    </row>
    <row r="139" spans="1:3">
      <c r="A139" s="3">
        <f ca="1">IFERROR(__xludf.UNSUPPORTED("""COMPUTED_VALUE"""),43665.6666666666)</f>
        <v>43665.666666666599</v>
      </c>
      <c r="B139" s="1">
        <f ca="1">IFERROR(__xludf.UNSUPPORTED("""COMPUTED_VALUE"""),50.65)</f>
        <v>50.65</v>
      </c>
      <c r="C139" s="2">
        <f t="shared" ca="1" si="0"/>
        <v>-1.4974718008557042E-2</v>
      </c>
    </row>
    <row r="140" spans="1:3">
      <c r="A140" s="3">
        <f ca="1">IFERROR(__xludf.UNSUPPORTED("""COMPUTED_VALUE"""),43668.6666666666)</f>
        <v>43668.666666666599</v>
      </c>
      <c r="B140" s="1">
        <f ca="1">IFERROR(__xludf.UNSUPPORTED("""COMPUTED_VALUE"""),51.81)</f>
        <v>51.81</v>
      </c>
      <c r="C140" s="2">
        <f t="shared" ca="1" si="0"/>
        <v>2.2902270483711819E-2</v>
      </c>
    </row>
    <row r="141" spans="1:3">
      <c r="A141" s="3">
        <f ca="1">IFERROR(__xludf.UNSUPPORTED("""COMPUTED_VALUE"""),43669.6666666666)</f>
        <v>43669.666666666599</v>
      </c>
      <c r="B141" s="1">
        <f ca="1">IFERROR(__xludf.UNSUPPORTED("""COMPUTED_VALUE"""),52.21)</f>
        <v>52.21</v>
      </c>
      <c r="C141" s="2">
        <f t="shared" ca="1" si="0"/>
        <v>7.7205172746573746E-3</v>
      </c>
    </row>
    <row r="142" spans="1:3">
      <c r="A142" s="3">
        <f ca="1">IFERROR(__xludf.UNSUPPORTED("""COMPUTED_VALUE"""),43670.6666666666)</f>
        <v>43670.666666666599</v>
      </c>
      <c r="B142" s="1">
        <f ca="1">IFERROR(__xludf.UNSUPPORTED("""COMPUTED_VALUE"""),52.17)</f>
        <v>52.17</v>
      </c>
      <c r="C142" s="2">
        <f t="shared" ca="1" si="0"/>
        <v>-7.6613675541082444E-4</v>
      </c>
    </row>
    <row r="143" spans="1:3">
      <c r="A143" s="3">
        <f ca="1">IFERROR(__xludf.UNSUPPORTED("""COMPUTED_VALUE"""),43671.6666666666)</f>
        <v>43671.666666666599</v>
      </c>
      <c r="B143" s="1">
        <f ca="1">IFERROR(__xludf.UNSUPPORTED("""COMPUTED_VALUE"""),51.76)</f>
        <v>51.76</v>
      </c>
      <c r="C143" s="2">
        <f t="shared" ca="1" si="0"/>
        <v>-7.8589227525398438E-3</v>
      </c>
    </row>
    <row r="144" spans="1:3">
      <c r="A144" s="3">
        <f ca="1">IFERROR(__xludf.UNSUPPORTED("""COMPUTED_VALUE"""),43672.6666666666)</f>
        <v>43672.666666666599</v>
      </c>
      <c r="B144" s="1">
        <f ca="1">IFERROR(__xludf.UNSUPPORTED("""COMPUTED_VALUE"""),51.94)</f>
        <v>51.94</v>
      </c>
      <c r="C144" s="2">
        <f t="shared" ca="1" si="0"/>
        <v>3.4775888717156053E-3</v>
      </c>
    </row>
    <row r="145" spans="1:3">
      <c r="A145" s="3">
        <f ca="1">IFERROR(__xludf.UNSUPPORTED("""COMPUTED_VALUE"""),43675.6666666666)</f>
        <v>43675.666666666599</v>
      </c>
      <c r="B145" s="1">
        <f ca="1">IFERROR(__xludf.UNSUPPORTED("""COMPUTED_VALUE"""),52.42)</f>
        <v>52.42</v>
      </c>
      <c r="C145" s="2">
        <f t="shared" ca="1" si="0"/>
        <v>9.2414324220254918E-3</v>
      </c>
    </row>
    <row r="146" spans="1:3">
      <c r="A146" s="3">
        <f ca="1">IFERROR(__xludf.UNSUPPORTED("""COMPUTED_VALUE"""),43676.6666666666)</f>
        <v>43676.666666666599</v>
      </c>
      <c r="B146" s="1">
        <f ca="1">IFERROR(__xludf.UNSUPPORTED("""COMPUTED_VALUE"""),52.2)</f>
        <v>52.2</v>
      </c>
      <c r="C146" s="2">
        <f t="shared" ca="1" si="0"/>
        <v>-4.1968714231209242E-3</v>
      </c>
    </row>
    <row r="147" spans="1:3">
      <c r="A147" s="3">
        <f ca="1">IFERROR(__xludf.UNSUPPORTED("""COMPUTED_VALUE"""),43677.6666666666)</f>
        <v>43677.666666666599</v>
      </c>
      <c r="B147" s="1">
        <f ca="1">IFERROR(__xludf.UNSUPPORTED("""COMPUTED_VALUE"""),53.26)</f>
        <v>53.26</v>
      </c>
      <c r="C147" s="2">
        <f t="shared" ca="1" si="0"/>
        <v>2.0306513409961591E-2</v>
      </c>
    </row>
    <row r="148" spans="1:3">
      <c r="A148" s="3">
        <f ca="1">IFERROR(__xludf.UNSUPPORTED("""COMPUTED_VALUE"""),43678.6666666666)</f>
        <v>43678.666666666599</v>
      </c>
      <c r="B148" s="1">
        <f ca="1">IFERROR(__xludf.UNSUPPORTED("""COMPUTED_VALUE"""),52.11)</f>
        <v>52.11</v>
      </c>
      <c r="C148" s="2">
        <f t="shared" ca="1" si="0"/>
        <v>-2.1592189260232795E-2</v>
      </c>
    </row>
    <row r="149" spans="1:3">
      <c r="A149" s="3">
        <f ca="1">IFERROR(__xludf.UNSUPPORTED("""COMPUTED_VALUE"""),43679.6666666666)</f>
        <v>43679.666666666599</v>
      </c>
      <c r="B149" s="1">
        <f ca="1">IFERROR(__xludf.UNSUPPORTED("""COMPUTED_VALUE"""),51.01)</f>
        <v>51.01</v>
      </c>
      <c r="C149" s="2">
        <f t="shared" ca="1" si="0"/>
        <v>-2.1109192093648081E-2</v>
      </c>
    </row>
    <row r="150" spans="1:3">
      <c r="A150" s="3">
        <f ca="1">IFERROR(__xludf.UNSUPPORTED("""COMPUTED_VALUE"""),43682.6666666666)</f>
        <v>43682.666666666599</v>
      </c>
      <c r="B150" s="1">
        <f ca="1">IFERROR(__xludf.UNSUPPORTED("""COMPUTED_VALUE"""),48.34)</f>
        <v>48.34</v>
      </c>
      <c r="C150" s="2">
        <f t="shared" ca="1" si="0"/>
        <v>-5.2342677906292781E-2</v>
      </c>
    </row>
    <row r="151" spans="1:3">
      <c r="A151" s="3">
        <f ca="1">IFERROR(__xludf.UNSUPPORTED("""COMPUTED_VALUE"""),43683.6666666666)</f>
        <v>43683.666666666599</v>
      </c>
      <c r="B151" s="1">
        <f ca="1">IFERROR(__xludf.UNSUPPORTED("""COMPUTED_VALUE"""),49.25)</f>
        <v>49.25</v>
      </c>
      <c r="C151" s="2">
        <f t="shared" ca="1" si="0"/>
        <v>1.8824989656599019E-2</v>
      </c>
    </row>
    <row r="152" spans="1:3">
      <c r="A152" s="3">
        <f ca="1">IFERROR(__xludf.UNSUPPORTED("""COMPUTED_VALUE"""),43684.6666666666)</f>
        <v>43684.666666666599</v>
      </c>
      <c r="B152" s="1">
        <f ca="1">IFERROR(__xludf.UNSUPPORTED("""COMPUTED_VALUE"""),49.76)</f>
        <v>49.76</v>
      </c>
      <c r="C152" s="2">
        <f t="shared" ca="1" si="0"/>
        <v>1.0355329949238538E-2</v>
      </c>
    </row>
    <row r="153" spans="1:3">
      <c r="A153" s="3">
        <f ca="1">IFERROR(__xludf.UNSUPPORTED("""COMPUTED_VALUE"""),43685.6666666666)</f>
        <v>43685.666666666599</v>
      </c>
      <c r="B153" s="1">
        <f ca="1">IFERROR(__xludf.UNSUPPORTED("""COMPUTED_VALUE"""),50.86)</f>
        <v>50.86</v>
      </c>
      <c r="C153" s="2">
        <f t="shared" ca="1" si="0"/>
        <v>2.2106109324758871E-2</v>
      </c>
    </row>
    <row r="154" spans="1:3">
      <c r="A154" s="3">
        <f ca="1">IFERROR(__xludf.UNSUPPORTED("""COMPUTED_VALUE"""),43686.6666666666)</f>
        <v>43686.666666666599</v>
      </c>
      <c r="B154" s="1">
        <f ca="1">IFERROR(__xludf.UNSUPPORTED("""COMPUTED_VALUE"""),50.25)</f>
        <v>50.25</v>
      </c>
      <c r="C154" s="2">
        <f t="shared" ca="1" si="0"/>
        <v>-1.1993708218639392E-2</v>
      </c>
    </row>
    <row r="155" spans="1:3">
      <c r="A155" s="3">
        <f ca="1">IFERROR(__xludf.UNSUPPORTED("""COMPUTED_VALUE"""),43689.6666666666)</f>
        <v>43689.666666666599</v>
      </c>
      <c r="B155" s="1">
        <f ca="1">IFERROR(__xludf.UNSUPPORTED("""COMPUTED_VALUE"""),50.12)</f>
        <v>50.12</v>
      </c>
      <c r="C155" s="2">
        <f t="shared" ca="1" si="0"/>
        <v>-2.5870646766169665E-3</v>
      </c>
    </row>
    <row r="156" spans="1:3">
      <c r="A156" s="3">
        <f ca="1">IFERROR(__xludf.UNSUPPORTED("""COMPUTED_VALUE"""),43690.6666666666)</f>
        <v>43690.666666666599</v>
      </c>
      <c r="B156" s="1">
        <f ca="1">IFERROR(__xludf.UNSUPPORTED("""COMPUTED_VALUE"""),52.24)</f>
        <v>52.24</v>
      </c>
      <c r="C156" s="2">
        <f t="shared" ca="1" si="0"/>
        <v>4.2298483639265853E-2</v>
      </c>
    </row>
    <row r="157" spans="1:3">
      <c r="A157" s="3">
        <f ca="1">IFERROR(__xludf.UNSUPPORTED("""COMPUTED_VALUE"""),43691.6666666666)</f>
        <v>43691.666666666599</v>
      </c>
      <c r="B157" s="1">
        <f ca="1">IFERROR(__xludf.UNSUPPORTED("""COMPUTED_VALUE"""),50.69)</f>
        <v>50.69</v>
      </c>
      <c r="C157" s="2">
        <f t="shared" ca="1" si="0"/>
        <v>-2.9670750382848471E-2</v>
      </c>
    </row>
    <row r="158" spans="1:3">
      <c r="A158" s="3">
        <f ca="1">IFERROR(__xludf.UNSUPPORTED("""COMPUTED_VALUE"""),43692.6666666666)</f>
        <v>43692.666666666599</v>
      </c>
      <c r="B158" s="1">
        <f ca="1">IFERROR(__xludf.UNSUPPORTED("""COMPUTED_VALUE"""),50.44)</f>
        <v>50.44</v>
      </c>
      <c r="C158" s="2">
        <f t="shared" ca="1" si="0"/>
        <v>-4.9319392385085816E-3</v>
      </c>
    </row>
    <row r="159" spans="1:3">
      <c r="A159" s="3">
        <f ca="1">IFERROR(__xludf.UNSUPPORTED("""COMPUTED_VALUE"""),43693.6666666666)</f>
        <v>43693.666666666599</v>
      </c>
      <c r="B159" s="1">
        <f ca="1">IFERROR(__xludf.UNSUPPORTED("""COMPUTED_VALUE"""),51.63)</f>
        <v>51.63</v>
      </c>
      <c r="C159" s="2">
        <f t="shared" ca="1" si="0"/>
        <v>2.3592386994448947E-2</v>
      </c>
    </row>
    <row r="160" spans="1:3">
      <c r="A160" s="3">
        <f ca="1">IFERROR(__xludf.UNSUPPORTED("""COMPUTED_VALUE"""),43696.6666666666)</f>
        <v>43696.666666666599</v>
      </c>
      <c r="B160" s="1">
        <f ca="1">IFERROR(__xludf.UNSUPPORTED("""COMPUTED_VALUE"""),52.59)</f>
        <v>52.59</v>
      </c>
      <c r="C160" s="2">
        <f t="shared" ca="1" si="0"/>
        <v>1.859384079023825E-2</v>
      </c>
    </row>
    <row r="161" spans="1:3">
      <c r="A161" s="3">
        <f ca="1">IFERROR(__xludf.UNSUPPORTED("""COMPUTED_VALUE"""),43697.6666666666)</f>
        <v>43697.666666666599</v>
      </c>
      <c r="B161" s="1">
        <f ca="1">IFERROR(__xludf.UNSUPPORTED("""COMPUTED_VALUE"""),52.59)</f>
        <v>52.59</v>
      </c>
      <c r="C161" s="2">
        <f t="shared" ca="1" si="0"/>
        <v>0</v>
      </c>
    </row>
    <row r="162" spans="1:3">
      <c r="A162" s="3">
        <f ca="1">IFERROR(__xludf.UNSUPPORTED("""COMPUTED_VALUE"""),43698.6666666666)</f>
        <v>43698.666666666599</v>
      </c>
      <c r="B162" s="1">
        <f ca="1">IFERROR(__xludf.UNSUPPORTED("""COMPUTED_VALUE"""),53.16)</f>
        <v>53.16</v>
      </c>
      <c r="C162" s="2">
        <f t="shared" ca="1" si="0"/>
        <v>1.0838562464346703E-2</v>
      </c>
    </row>
    <row r="163" spans="1:3">
      <c r="A163" s="3">
        <f ca="1">IFERROR(__xludf.UNSUPPORTED("""COMPUTED_VALUE"""),43699.6666666666)</f>
        <v>43699.666666666599</v>
      </c>
      <c r="B163" s="1">
        <f ca="1">IFERROR(__xludf.UNSUPPORTED("""COMPUTED_VALUE"""),53.12)</f>
        <v>53.12</v>
      </c>
      <c r="C163" s="2">
        <f t="shared" ca="1" si="0"/>
        <v>-7.5244544770502542E-4</v>
      </c>
    </row>
    <row r="164" spans="1:3">
      <c r="A164" s="3">
        <f ca="1">IFERROR(__xludf.UNSUPPORTED("""COMPUTED_VALUE"""),43700.6666666666)</f>
        <v>43700.666666666599</v>
      </c>
      <c r="B164" s="1">
        <f ca="1">IFERROR(__xludf.UNSUPPORTED("""COMPUTED_VALUE"""),50.66)</f>
        <v>50.66</v>
      </c>
      <c r="C164" s="2">
        <f t="shared" ca="1" si="0"/>
        <v>-4.6310240963855442E-2</v>
      </c>
    </row>
    <row r="165" spans="1:3">
      <c r="A165" s="3">
        <f ca="1">IFERROR(__xludf.UNSUPPORTED("""COMPUTED_VALUE"""),43703.6666666666)</f>
        <v>43703.666666666599</v>
      </c>
      <c r="B165" s="1">
        <f ca="1">IFERROR(__xludf.UNSUPPORTED("""COMPUTED_VALUE"""),51.62)</f>
        <v>51.62</v>
      </c>
      <c r="C165" s="2">
        <f t="shared" ca="1" si="0"/>
        <v>1.8949861823924219E-2</v>
      </c>
    </row>
    <row r="166" spans="1:3">
      <c r="A166" s="3">
        <f ca="1">IFERROR(__xludf.UNSUPPORTED("""COMPUTED_VALUE"""),43704.6666666666)</f>
        <v>43704.666666666599</v>
      </c>
      <c r="B166" s="1">
        <f ca="1">IFERROR(__xludf.UNSUPPORTED("""COMPUTED_VALUE"""),51.04)</f>
        <v>51.04</v>
      </c>
      <c r="C166" s="2">
        <f t="shared" ca="1" si="0"/>
        <v>-1.1235955056179742E-2</v>
      </c>
    </row>
    <row r="167" spans="1:3">
      <c r="A167" s="3">
        <f ca="1">IFERROR(__xludf.UNSUPPORTED("""COMPUTED_VALUE"""),43705.6666666666)</f>
        <v>43705.666666666599</v>
      </c>
      <c r="B167" s="1">
        <f ca="1">IFERROR(__xludf.UNSUPPORTED("""COMPUTED_VALUE"""),51.38)</f>
        <v>51.38</v>
      </c>
      <c r="C167" s="2">
        <f t="shared" ca="1" si="0"/>
        <v>6.6614420062696593E-3</v>
      </c>
    </row>
    <row r="168" spans="1:3">
      <c r="A168" s="3">
        <f ca="1">IFERROR(__xludf.UNSUPPORTED("""COMPUTED_VALUE"""),43706.6666666666)</f>
        <v>43706.666666666599</v>
      </c>
      <c r="B168" s="1">
        <f ca="1">IFERROR(__xludf.UNSUPPORTED("""COMPUTED_VALUE"""),52.25)</f>
        <v>52.25</v>
      </c>
      <c r="C168" s="2">
        <f t="shared" ca="1" si="0"/>
        <v>1.6932658622031867E-2</v>
      </c>
    </row>
    <row r="169" spans="1:3">
      <c r="A169" s="3">
        <f ca="1">IFERROR(__xludf.UNSUPPORTED("""COMPUTED_VALUE"""),43707.6666666666)</f>
        <v>43707.666666666599</v>
      </c>
      <c r="B169" s="1">
        <f ca="1">IFERROR(__xludf.UNSUPPORTED("""COMPUTED_VALUE"""),52.19)</f>
        <v>52.19</v>
      </c>
      <c r="C169" s="2">
        <f t="shared" ca="1" si="0"/>
        <v>-1.1483253588517183E-3</v>
      </c>
    </row>
    <row r="170" spans="1:3">
      <c r="A170" s="3">
        <f ca="1">IFERROR(__xludf.UNSUPPORTED("""COMPUTED_VALUE"""),43711.6666666666)</f>
        <v>43711.666666666599</v>
      </c>
      <c r="B170" s="1">
        <f ca="1">IFERROR(__xludf.UNSUPPORTED("""COMPUTED_VALUE"""),51.43)</f>
        <v>51.43</v>
      </c>
      <c r="C170" s="2">
        <f t="shared" ca="1" si="0"/>
        <v>-1.4562176662195786E-2</v>
      </c>
    </row>
    <row r="171" spans="1:3">
      <c r="A171" s="3">
        <f ca="1">IFERROR(__xludf.UNSUPPORTED("""COMPUTED_VALUE"""),43712.6666666666)</f>
        <v>43712.666666666599</v>
      </c>
      <c r="B171" s="1">
        <f ca="1">IFERROR(__xludf.UNSUPPORTED("""COMPUTED_VALUE"""),52.3)</f>
        <v>52.3</v>
      </c>
      <c r="C171" s="2">
        <f t="shared" ca="1" si="0"/>
        <v>1.691619677231183E-2</v>
      </c>
    </row>
    <row r="172" spans="1:3">
      <c r="A172" s="3">
        <f ca="1">IFERROR(__xludf.UNSUPPORTED("""COMPUTED_VALUE"""),43713.6666666666)</f>
        <v>43713.666666666599</v>
      </c>
      <c r="B172" s="1">
        <f ca="1">IFERROR(__xludf.UNSUPPORTED("""COMPUTED_VALUE"""),53.32)</f>
        <v>53.32</v>
      </c>
      <c r="C172" s="2">
        <f t="shared" ca="1" si="0"/>
        <v>1.9502868068833713E-2</v>
      </c>
    </row>
    <row r="173" spans="1:3">
      <c r="A173" s="3">
        <f ca="1">IFERROR(__xludf.UNSUPPORTED("""COMPUTED_VALUE"""),43714.6666666666)</f>
        <v>43714.666666666599</v>
      </c>
      <c r="B173" s="1">
        <f ca="1">IFERROR(__xludf.UNSUPPORTED("""COMPUTED_VALUE"""),53.32)</f>
        <v>53.32</v>
      </c>
      <c r="C173" s="2">
        <f t="shared" ca="1" si="0"/>
        <v>0</v>
      </c>
    </row>
    <row r="174" spans="1:3">
      <c r="A174" s="3">
        <f ca="1">IFERROR(__xludf.UNSUPPORTED("""COMPUTED_VALUE"""),43717.6666666666)</f>
        <v>43717.666666666599</v>
      </c>
      <c r="B174" s="1">
        <f ca="1">IFERROR(__xludf.UNSUPPORTED("""COMPUTED_VALUE"""),53.54)</f>
        <v>53.54</v>
      </c>
      <c r="C174" s="2">
        <f t="shared" ca="1" si="0"/>
        <v>4.1260315078769476E-3</v>
      </c>
    </row>
    <row r="175" spans="1:3">
      <c r="A175" s="3">
        <f ca="1">IFERROR(__xludf.UNSUPPORTED("""COMPUTED_VALUE"""),43718.6666666666)</f>
        <v>43718.666666666599</v>
      </c>
      <c r="B175" s="1">
        <f ca="1">IFERROR(__xludf.UNSUPPORTED("""COMPUTED_VALUE"""),54.18)</f>
        <v>54.18</v>
      </c>
      <c r="C175" s="2">
        <f t="shared" ca="1" si="0"/>
        <v>1.1953679491968633E-2</v>
      </c>
    </row>
    <row r="176" spans="1:3">
      <c r="A176" s="3">
        <f ca="1">IFERROR(__xludf.UNSUPPORTED("""COMPUTED_VALUE"""),43719.6666666666)</f>
        <v>43719.666666666599</v>
      </c>
      <c r="B176" s="1">
        <f ca="1">IFERROR(__xludf.UNSUPPORTED("""COMPUTED_VALUE"""),55.9)</f>
        <v>55.9</v>
      </c>
      <c r="C176" s="2">
        <f t="shared" ca="1" si="0"/>
        <v>3.1746031746031723E-2</v>
      </c>
    </row>
    <row r="177" spans="1:3">
      <c r="A177" s="3">
        <f ca="1">IFERROR(__xludf.UNSUPPORTED("""COMPUTED_VALUE"""),43720.6666666666)</f>
        <v>43720.666666666599</v>
      </c>
      <c r="B177" s="1">
        <f ca="1">IFERROR(__xludf.UNSUPPORTED("""COMPUTED_VALUE"""),55.77)</f>
        <v>55.77</v>
      </c>
      <c r="C177" s="2">
        <f t="shared" ca="1" si="0"/>
        <v>-2.3255813953487561E-3</v>
      </c>
    </row>
    <row r="178" spans="1:3">
      <c r="A178" s="3">
        <f ca="1">IFERROR(__xludf.UNSUPPORTED("""COMPUTED_VALUE"""),43721.6666666666)</f>
        <v>43721.666666666599</v>
      </c>
      <c r="B178" s="1">
        <f ca="1">IFERROR(__xludf.UNSUPPORTED("""COMPUTED_VALUE"""),54.69)</f>
        <v>54.69</v>
      </c>
      <c r="C178" s="2">
        <f t="shared" ca="1" si="0"/>
        <v>-1.9365250134481E-2</v>
      </c>
    </row>
    <row r="179" spans="1:3">
      <c r="A179" s="3">
        <f ca="1">IFERROR(__xludf.UNSUPPORTED("""COMPUTED_VALUE"""),43724.6666666666)</f>
        <v>43724.666666666599</v>
      </c>
      <c r="B179" s="1">
        <f ca="1">IFERROR(__xludf.UNSUPPORTED("""COMPUTED_VALUE"""),54.98)</f>
        <v>54.98</v>
      </c>
      <c r="C179" s="2">
        <f t="shared" ca="1" si="0"/>
        <v>5.3026147376119799E-3</v>
      </c>
    </row>
    <row r="180" spans="1:3">
      <c r="A180" s="3">
        <f ca="1">IFERROR(__xludf.UNSUPPORTED("""COMPUTED_VALUE"""),43725.6666666666)</f>
        <v>43725.666666666599</v>
      </c>
      <c r="B180" s="1">
        <f ca="1">IFERROR(__xludf.UNSUPPORTED("""COMPUTED_VALUE"""),55.18)</f>
        <v>55.18</v>
      </c>
      <c r="C180" s="2">
        <f t="shared" ca="1" si="0"/>
        <v>3.6376864314296626E-3</v>
      </c>
    </row>
    <row r="181" spans="1:3">
      <c r="A181" s="3">
        <f ca="1">IFERROR(__xludf.UNSUPPORTED("""COMPUTED_VALUE"""),43726.6666666666)</f>
        <v>43726.666666666599</v>
      </c>
      <c r="B181" s="1">
        <f ca="1">IFERROR(__xludf.UNSUPPORTED("""COMPUTED_VALUE"""),55.69)</f>
        <v>55.69</v>
      </c>
      <c r="C181" s="2">
        <f t="shared" ca="1" si="0"/>
        <v>9.2424791591155849E-3</v>
      </c>
    </row>
    <row r="182" spans="1:3">
      <c r="A182" s="3">
        <f ca="1">IFERROR(__xludf.UNSUPPORTED("""COMPUTED_VALUE"""),43727.6666666666)</f>
        <v>43727.666666666599</v>
      </c>
      <c r="B182" s="1">
        <f ca="1">IFERROR(__xludf.UNSUPPORTED("""COMPUTED_VALUE"""),55.24)</f>
        <v>55.24</v>
      </c>
      <c r="C182" s="2">
        <f t="shared" ca="1" si="0"/>
        <v>-8.0804453223199089E-3</v>
      </c>
    </row>
    <row r="183" spans="1:3">
      <c r="A183" s="3">
        <f ca="1">IFERROR(__xludf.UNSUPPORTED("""COMPUTED_VALUE"""),43728.6666666666)</f>
        <v>43728.666666666599</v>
      </c>
      <c r="B183" s="1">
        <f ca="1">IFERROR(__xludf.UNSUPPORTED("""COMPUTED_VALUE"""),54.43)</f>
        <v>54.43</v>
      </c>
      <c r="C183" s="2">
        <f t="shared" ca="1" si="0"/>
        <v>-1.4663287472845805E-2</v>
      </c>
    </row>
    <row r="184" spans="1:3">
      <c r="A184" s="3">
        <f ca="1">IFERROR(__xludf.UNSUPPORTED("""COMPUTED_VALUE"""),43731.6666666666)</f>
        <v>43731.666666666599</v>
      </c>
      <c r="B184" s="1">
        <f ca="1">IFERROR(__xludf.UNSUPPORTED("""COMPUTED_VALUE"""),54.68)</f>
        <v>54.68</v>
      </c>
      <c r="C184" s="2">
        <f t="shared" ca="1" si="0"/>
        <v>4.5930553003858164E-3</v>
      </c>
    </row>
    <row r="185" spans="1:3">
      <c r="A185" s="3">
        <f ca="1">IFERROR(__xludf.UNSUPPORTED("""COMPUTED_VALUE"""),43732.6666666666)</f>
        <v>43732.666666666599</v>
      </c>
      <c r="B185" s="1">
        <f ca="1">IFERROR(__xludf.UNSUPPORTED("""COMPUTED_VALUE"""),54.42)</f>
        <v>54.42</v>
      </c>
      <c r="C185" s="2">
        <f t="shared" ca="1" si="0"/>
        <v>-4.7549378200438556E-3</v>
      </c>
    </row>
    <row r="186" spans="1:3">
      <c r="A186" s="3">
        <f ca="1">IFERROR(__xludf.UNSUPPORTED("""COMPUTED_VALUE"""),43733.6666666666)</f>
        <v>43733.666666666599</v>
      </c>
      <c r="B186" s="1">
        <f ca="1">IFERROR(__xludf.UNSUPPORTED("""COMPUTED_VALUE"""),55.26)</f>
        <v>55.26</v>
      </c>
      <c r="C186" s="2">
        <f t="shared" ca="1" si="0"/>
        <v>1.543550165380368E-2</v>
      </c>
    </row>
    <row r="187" spans="1:3">
      <c r="A187" s="3">
        <f ca="1">IFERROR(__xludf.UNSUPPORTED("""COMPUTED_VALUE"""),43734.6666666666)</f>
        <v>43734.666666666599</v>
      </c>
      <c r="B187" s="1">
        <f ca="1">IFERROR(__xludf.UNSUPPORTED("""COMPUTED_VALUE"""),54.97)</f>
        <v>54.97</v>
      </c>
      <c r="C187" s="2">
        <f t="shared" ca="1" si="0"/>
        <v>-5.2479189287006726E-3</v>
      </c>
    </row>
    <row r="188" spans="1:3">
      <c r="A188" s="3">
        <f ca="1">IFERROR(__xludf.UNSUPPORTED("""COMPUTED_VALUE"""),43735.6666666666)</f>
        <v>43735.666666666599</v>
      </c>
      <c r="B188" s="1">
        <f ca="1">IFERROR(__xludf.UNSUPPORTED("""COMPUTED_VALUE"""),54.71)</f>
        <v>54.71</v>
      </c>
      <c r="C188" s="2">
        <f t="shared" ca="1" si="0"/>
        <v>-4.7298526468982725E-3</v>
      </c>
    </row>
    <row r="189" spans="1:3">
      <c r="A189" s="3">
        <f ca="1">IFERROR(__xludf.UNSUPPORTED("""COMPUTED_VALUE"""),43738.6666666666)</f>
        <v>43738.666666666599</v>
      </c>
      <c r="B189" s="1">
        <f ca="1">IFERROR(__xludf.UNSUPPORTED("""COMPUTED_VALUE"""),55.99)</f>
        <v>55.99</v>
      </c>
      <c r="C189" s="2">
        <f t="shared" ca="1" si="0"/>
        <v>2.3396088466459533E-2</v>
      </c>
    </row>
    <row r="190" spans="1:3">
      <c r="A190" s="3">
        <f ca="1">IFERROR(__xludf.UNSUPPORTED("""COMPUTED_VALUE"""),43739.6666666666)</f>
        <v>43739.666666666599</v>
      </c>
      <c r="B190" s="1">
        <f ca="1">IFERROR(__xludf.UNSUPPORTED("""COMPUTED_VALUE"""),56.15)</f>
        <v>56.15</v>
      </c>
      <c r="C190" s="2">
        <f t="shared" ca="1" si="0"/>
        <v>2.8576531523485725E-3</v>
      </c>
    </row>
    <row r="191" spans="1:3">
      <c r="A191" s="3">
        <f ca="1">IFERROR(__xludf.UNSUPPORTED("""COMPUTED_VALUE"""),43740.6666666666)</f>
        <v>43740.666666666599</v>
      </c>
      <c r="B191" s="1">
        <f ca="1">IFERROR(__xludf.UNSUPPORTED("""COMPUTED_VALUE"""),54.74)</f>
        <v>54.74</v>
      </c>
      <c r="C191" s="2">
        <f t="shared" ca="1" si="0"/>
        <v>-2.5111308993766637E-2</v>
      </c>
    </row>
    <row r="192" spans="1:3">
      <c r="A192" s="3">
        <f ca="1">IFERROR(__xludf.UNSUPPORTED("""COMPUTED_VALUE"""),43741.6666666666)</f>
        <v>43741.666666666599</v>
      </c>
      <c r="B192" s="1">
        <f ca="1">IFERROR(__xludf.UNSUPPORTED("""COMPUTED_VALUE"""),55.21)</f>
        <v>55.21</v>
      </c>
      <c r="C192" s="2">
        <f t="shared" ca="1" si="0"/>
        <v>8.5860431128973111E-3</v>
      </c>
    </row>
    <row r="193" spans="1:3">
      <c r="A193" s="3">
        <f ca="1">IFERROR(__xludf.UNSUPPORTED("""COMPUTED_VALUE"""),43742.6666666666)</f>
        <v>43742.666666666599</v>
      </c>
      <c r="B193" s="1">
        <f ca="1">IFERROR(__xludf.UNSUPPORTED("""COMPUTED_VALUE"""),56.75)</f>
        <v>56.75</v>
      </c>
      <c r="C193" s="2">
        <f t="shared" ca="1" si="0"/>
        <v>2.7893497554790782E-2</v>
      </c>
    </row>
    <row r="194" spans="1:3">
      <c r="A194" s="3">
        <f ca="1">IFERROR(__xludf.UNSUPPORTED("""COMPUTED_VALUE"""),43745.6666666666)</f>
        <v>43745.666666666599</v>
      </c>
      <c r="B194" s="1">
        <f ca="1">IFERROR(__xludf.UNSUPPORTED("""COMPUTED_VALUE"""),56.77)</f>
        <v>56.77</v>
      </c>
      <c r="C194" s="2">
        <f t="shared" ca="1" si="0"/>
        <v>3.5242290748904189E-4</v>
      </c>
    </row>
    <row r="195" spans="1:3">
      <c r="A195" s="3">
        <f ca="1">IFERROR(__xludf.UNSUPPORTED("""COMPUTED_VALUE"""),43746.6666666666)</f>
        <v>43746.666666666599</v>
      </c>
      <c r="B195" s="1">
        <f ca="1">IFERROR(__xludf.UNSUPPORTED("""COMPUTED_VALUE"""),56.1)</f>
        <v>56.1</v>
      </c>
      <c r="C195" s="2">
        <f t="shared" ca="1" si="0"/>
        <v>-1.1802008102871265E-2</v>
      </c>
    </row>
    <row r="196" spans="1:3">
      <c r="A196" s="3">
        <f ca="1">IFERROR(__xludf.UNSUPPORTED("""COMPUTED_VALUE"""),43747.6666666666)</f>
        <v>43747.666666666599</v>
      </c>
      <c r="B196" s="1">
        <f ca="1">IFERROR(__xludf.UNSUPPORTED("""COMPUTED_VALUE"""),56.76)</f>
        <v>56.76</v>
      </c>
      <c r="C196" s="2">
        <f t="shared" ca="1" si="0"/>
        <v>1.176470588235288E-2</v>
      </c>
    </row>
    <row r="197" spans="1:3">
      <c r="A197" s="3">
        <f ca="1">IFERROR(__xludf.UNSUPPORTED("""COMPUTED_VALUE"""),43748.6666666666)</f>
        <v>43748.666666666599</v>
      </c>
      <c r="B197" s="1">
        <f ca="1">IFERROR(__xludf.UNSUPPORTED("""COMPUTED_VALUE"""),57.52)</f>
        <v>57.52</v>
      </c>
      <c r="C197" s="2">
        <f t="shared" ca="1" si="0"/>
        <v>1.3389711064129759E-2</v>
      </c>
    </row>
    <row r="198" spans="1:3">
      <c r="A198" s="3">
        <f ca="1">IFERROR(__xludf.UNSUPPORTED("""COMPUTED_VALUE"""),43749.6666666666)</f>
        <v>43749.666666666599</v>
      </c>
      <c r="B198" s="1">
        <f ca="1">IFERROR(__xludf.UNSUPPORTED("""COMPUTED_VALUE"""),59.05)</f>
        <v>59.05</v>
      </c>
      <c r="C198" s="2">
        <f t="shared" ca="1" si="0"/>
        <v>2.6599443671766237E-2</v>
      </c>
    </row>
    <row r="199" spans="1:3">
      <c r="A199" s="3">
        <f ca="1">IFERROR(__xludf.UNSUPPORTED("""COMPUTED_VALUE"""),43752.6666666666)</f>
        <v>43752.666666666599</v>
      </c>
      <c r="B199" s="1">
        <f ca="1">IFERROR(__xludf.UNSUPPORTED("""COMPUTED_VALUE"""),58.97)</f>
        <v>58.97</v>
      </c>
      <c r="C199" s="2">
        <f t="shared" ca="1" si="0"/>
        <v>-1.3547840812870161E-3</v>
      </c>
    </row>
    <row r="200" spans="1:3">
      <c r="A200" s="3">
        <f ca="1">IFERROR(__xludf.UNSUPPORTED("""COMPUTED_VALUE"""),43753.6666666666)</f>
        <v>43753.666666666599</v>
      </c>
      <c r="B200" s="1">
        <f ca="1">IFERROR(__xludf.UNSUPPORTED("""COMPUTED_VALUE"""),58.83)</f>
        <v>58.83</v>
      </c>
      <c r="C200" s="2">
        <f t="shared" ca="1" si="0"/>
        <v>-2.3740885195862398E-3</v>
      </c>
    </row>
    <row r="201" spans="1:3">
      <c r="A201" s="3">
        <f ca="1">IFERROR(__xludf.UNSUPPORTED("""COMPUTED_VALUE"""),43754.6666666666)</f>
        <v>43754.666666666599</v>
      </c>
      <c r="B201" s="1">
        <f ca="1">IFERROR(__xludf.UNSUPPORTED("""COMPUTED_VALUE"""),58.59)</f>
        <v>58.59</v>
      </c>
      <c r="C201" s="2">
        <f t="shared" ca="1" si="0"/>
        <v>-4.0795512493624836E-3</v>
      </c>
    </row>
    <row r="202" spans="1:3">
      <c r="A202" s="3">
        <f ca="1">IFERROR(__xludf.UNSUPPORTED("""COMPUTED_VALUE"""),43755.6666666666)</f>
        <v>43755.666666666599</v>
      </c>
      <c r="B202" s="1">
        <f ca="1">IFERROR(__xludf.UNSUPPORTED("""COMPUTED_VALUE"""),58.82)</f>
        <v>58.82</v>
      </c>
      <c r="C202" s="2">
        <f t="shared" ca="1" si="0"/>
        <v>3.9255845707458076E-3</v>
      </c>
    </row>
    <row r="203" spans="1:3">
      <c r="A203" s="3">
        <f ca="1">IFERROR(__xludf.UNSUPPORTED("""COMPUTED_VALUE"""),43756.6666666666)</f>
        <v>43756.666666666599</v>
      </c>
      <c r="B203" s="1">
        <f ca="1">IFERROR(__xludf.UNSUPPORTED("""COMPUTED_VALUE"""),59.1)</f>
        <v>59.1</v>
      </c>
      <c r="C203" s="2">
        <f t="shared" ca="1" si="0"/>
        <v>4.7602856171370476E-3</v>
      </c>
    </row>
    <row r="204" spans="1:3">
      <c r="A204" s="3">
        <f ca="1">IFERROR(__xludf.UNSUPPORTED("""COMPUTED_VALUE"""),43759.6666666666)</f>
        <v>43759.666666666599</v>
      </c>
      <c r="B204" s="1">
        <f ca="1">IFERROR(__xludf.UNSUPPORTED("""COMPUTED_VALUE"""),60.13)</f>
        <v>60.13</v>
      </c>
      <c r="C204" s="2">
        <f t="shared" ca="1" si="0"/>
        <v>1.7428087986463638E-2</v>
      </c>
    </row>
    <row r="205" spans="1:3">
      <c r="A205" s="3">
        <f ca="1">IFERROR(__xludf.UNSUPPORTED("""COMPUTED_VALUE"""),43760.6666666666)</f>
        <v>43760.666666666599</v>
      </c>
      <c r="B205" s="1">
        <f ca="1">IFERROR(__xludf.UNSUPPORTED("""COMPUTED_VALUE"""),59.99)</f>
        <v>59.99</v>
      </c>
      <c r="C205" s="2">
        <f t="shared" ca="1" si="0"/>
        <v>-2.3282887077997767E-3</v>
      </c>
    </row>
    <row r="206" spans="1:3">
      <c r="A206" s="3">
        <f ca="1">IFERROR(__xludf.UNSUPPORTED("""COMPUTED_VALUE"""),43761.6666666666)</f>
        <v>43761.666666666599</v>
      </c>
      <c r="B206" s="1">
        <f ca="1">IFERROR(__xludf.UNSUPPORTED("""COMPUTED_VALUE"""),60.8)</f>
        <v>60.8</v>
      </c>
      <c r="C206" s="2">
        <f t="shared" ca="1" si="0"/>
        <v>1.3502250375062429E-2</v>
      </c>
    </row>
    <row r="207" spans="1:3">
      <c r="A207" s="3">
        <f ca="1">IFERROR(__xludf.UNSUPPORTED("""COMPUTED_VALUE"""),43762.6666666666)</f>
        <v>43762.666666666599</v>
      </c>
      <c r="B207" s="1">
        <f ca="1">IFERROR(__xludf.UNSUPPORTED("""COMPUTED_VALUE"""),60.9)</f>
        <v>60.9</v>
      </c>
      <c r="C207" s="2">
        <f t="shared" ca="1" si="0"/>
        <v>1.6447368421052867E-3</v>
      </c>
    </row>
    <row r="208" spans="1:3">
      <c r="A208" s="3">
        <f ca="1">IFERROR(__xludf.UNSUPPORTED("""COMPUTED_VALUE"""),43763.6666666666)</f>
        <v>43763.666666666599</v>
      </c>
      <c r="B208" s="1">
        <f ca="1">IFERROR(__xludf.UNSUPPORTED("""COMPUTED_VALUE"""),61.65)</f>
        <v>61.65</v>
      </c>
      <c r="C208" s="2">
        <f t="shared" ca="1" si="0"/>
        <v>1.2315270935960592E-2</v>
      </c>
    </row>
    <row r="209" spans="1:3">
      <c r="A209" s="3">
        <f ca="1">IFERROR(__xludf.UNSUPPORTED("""COMPUTED_VALUE"""),43766.6666666666)</f>
        <v>43766.666666666599</v>
      </c>
      <c r="B209" s="1">
        <f ca="1">IFERROR(__xludf.UNSUPPORTED("""COMPUTED_VALUE"""),62.26)</f>
        <v>62.26</v>
      </c>
      <c r="C209" s="2">
        <f t="shared" ca="1" si="0"/>
        <v>9.8945660989456525E-3</v>
      </c>
    </row>
    <row r="210" spans="1:3">
      <c r="A210" s="3">
        <f ca="1">IFERROR(__xludf.UNSUPPORTED("""COMPUTED_VALUE"""),43767.6666666666)</f>
        <v>43767.666666666599</v>
      </c>
      <c r="B210" s="1">
        <f ca="1">IFERROR(__xludf.UNSUPPORTED("""COMPUTED_VALUE"""),60.82)</f>
        <v>60.82</v>
      </c>
      <c r="C210" s="2">
        <f t="shared" ca="1" si="0"/>
        <v>-2.312881464824924E-2</v>
      </c>
    </row>
    <row r="211" spans="1:3">
      <c r="A211" s="3">
        <f ca="1">IFERROR(__xludf.UNSUPPORTED("""COMPUTED_VALUE"""),43768.6666666666)</f>
        <v>43768.666666666599</v>
      </c>
      <c r="B211" s="1">
        <f ca="1">IFERROR(__xludf.UNSUPPORTED("""COMPUTED_VALUE"""),60.82)</f>
        <v>60.82</v>
      </c>
      <c r="C211" s="2">
        <f t="shared" ca="1" si="0"/>
        <v>0</v>
      </c>
    </row>
    <row r="212" spans="1:3">
      <c r="A212" s="3">
        <f ca="1">IFERROR(__xludf.UNSUPPORTED("""COMPUTED_VALUE"""),43769.6666666666)</f>
        <v>43769.666666666599</v>
      </c>
      <c r="B212" s="1">
        <f ca="1">IFERROR(__xludf.UNSUPPORTED("""COMPUTED_VALUE"""),62.19)</f>
        <v>62.19</v>
      </c>
      <c r="C212" s="2">
        <f t="shared" ca="1" si="0"/>
        <v>2.2525485037816467E-2</v>
      </c>
    </row>
    <row r="213" spans="1:3">
      <c r="A213" s="3">
        <f ca="1">IFERROR(__xludf.UNSUPPORTED("""COMPUTED_VALUE"""),43770.6666666666)</f>
        <v>43770.666666666599</v>
      </c>
      <c r="B213" s="1">
        <f ca="1">IFERROR(__xludf.UNSUPPORTED("""COMPUTED_VALUE"""),63.96)</f>
        <v>63.96</v>
      </c>
      <c r="C213" s="2">
        <f t="shared" ca="1" si="0"/>
        <v>2.8461167390255719E-2</v>
      </c>
    </row>
    <row r="214" spans="1:3">
      <c r="A214" s="3">
        <f ca="1">IFERROR(__xludf.UNSUPPORTED("""COMPUTED_VALUE"""),43773.6666666666)</f>
        <v>43773.666666666599</v>
      </c>
      <c r="B214" s="1">
        <f ca="1">IFERROR(__xludf.UNSUPPORTED("""COMPUTED_VALUE"""),64.38)</f>
        <v>64.38</v>
      </c>
      <c r="C214" s="2">
        <f t="shared" ca="1" si="0"/>
        <v>6.5666041275796528E-3</v>
      </c>
    </row>
    <row r="215" spans="1:3">
      <c r="A215" s="3">
        <f ca="1">IFERROR(__xludf.UNSUPPORTED("""COMPUTED_VALUE"""),43774.6666666666)</f>
        <v>43774.666666666599</v>
      </c>
      <c r="B215" s="1">
        <f ca="1">IFERROR(__xludf.UNSUPPORTED("""COMPUTED_VALUE"""),64.28)</f>
        <v>64.28</v>
      </c>
      <c r="C215" s="2">
        <f t="shared" ca="1" si="0"/>
        <v>-1.5532774153462928E-3</v>
      </c>
    </row>
    <row r="216" spans="1:3">
      <c r="A216" s="3">
        <f ca="1">IFERROR(__xludf.UNSUPPORTED("""COMPUTED_VALUE"""),43775.6666666666)</f>
        <v>43775.666666666599</v>
      </c>
      <c r="B216" s="1">
        <f ca="1">IFERROR(__xludf.UNSUPPORTED("""COMPUTED_VALUE"""),64.31)</f>
        <v>64.31</v>
      </c>
      <c r="C216" s="2">
        <f t="shared" ca="1" si="0"/>
        <v>4.667081518357364E-4</v>
      </c>
    </row>
    <row r="217" spans="1:3">
      <c r="A217" s="3">
        <f ca="1">IFERROR(__xludf.UNSUPPORTED("""COMPUTED_VALUE"""),43776.6666666666)</f>
        <v>43776.666666666599</v>
      </c>
      <c r="B217" s="1">
        <f ca="1">IFERROR(__xludf.UNSUPPORTED("""COMPUTED_VALUE"""),64.86)</f>
        <v>64.86</v>
      </c>
      <c r="C217" s="2">
        <f t="shared" ca="1" si="0"/>
        <v>8.5523246773440698E-3</v>
      </c>
    </row>
    <row r="218" spans="1:3">
      <c r="A218" s="3">
        <f ca="1">IFERROR(__xludf.UNSUPPORTED("""COMPUTED_VALUE"""),43777.6666666666)</f>
        <v>43777.666666666599</v>
      </c>
      <c r="B218" s="1">
        <f ca="1">IFERROR(__xludf.UNSUPPORTED("""COMPUTED_VALUE"""),65.04)</f>
        <v>65.040000000000006</v>
      </c>
      <c r="C218" s="2">
        <f t="shared" ca="1" si="0"/>
        <v>2.7752081406106511E-3</v>
      </c>
    </row>
    <row r="219" spans="1:3">
      <c r="A219" s="3">
        <f ca="1">IFERROR(__xludf.UNSUPPORTED("""COMPUTED_VALUE"""),43780.6666666666)</f>
        <v>43780.666666666599</v>
      </c>
      <c r="B219" s="1">
        <f ca="1">IFERROR(__xludf.UNSUPPORTED("""COMPUTED_VALUE"""),65.55)</f>
        <v>65.55</v>
      </c>
      <c r="C219" s="2">
        <f t="shared" ca="1" si="0"/>
        <v>7.8413284132839919E-3</v>
      </c>
    </row>
    <row r="220" spans="1:3">
      <c r="A220" s="3">
        <f ca="1">IFERROR(__xludf.UNSUPPORTED("""COMPUTED_VALUE"""),43781.6666666666)</f>
        <v>43781.666666666599</v>
      </c>
      <c r="B220" s="1">
        <f ca="1">IFERROR(__xludf.UNSUPPORTED("""COMPUTED_VALUE"""),65.49)</f>
        <v>65.489999999999995</v>
      </c>
      <c r="C220" s="2">
        <f t="shared" ca="1" si="0"/>
        <v>-9.1533180778035511E-4</v>
      </c>
    </row>
    <row r="221" spans="1:3">
      <c r="A221" s="3">
        <f ca="1">IFERROR(__xludf.UNSUPPORTED("""COMPUTED_VALUE"""),43782.6666666666)</f>
        <v>43782.666666666599</v>
      </c>
      <c r="B221" s="1">
        <f ca="1">IFERROR(__xludf.UNSUPPORTED("""COMPUTED_VALUE"""),66.12)</f>
        <v>66.12</v>
      </c>
      <c r="C221" s="2">
        <f t="shared" ca="1" si="0"/>
        <v>9.6197892808063783E-3</v>
      </c>
    </row>
    <row r="222" spans="1:3">
      <c r="A222" s="3">
        <f ca="1">IFERROR(__xludf.UNSUPPORTED("""COMPUTED_VALUE"""),43783.6666666666)</f>
        <v>43783.666666666599</v>
      </c>
      <c r="B222" s="1">
        <f ca="1">IFERROR(__xludf.UNSUPPORTED("""COMPUTED_VALUE"""),65.66)</f>
        <v>65.66</v>
      </c>
      <c r="C222" s="2">
        <f t="shared" ca="1" si="0"/>
        <v>-6.9570477918936471E-3</v>
      </c>
    </row>
    <row r="223" spans="1:3">
      <c r="A223" s="3">
        <f ca="1">IFERROR(__xludf.UNSUPPORTED("""COMPUTED_VALUE"""),43784.6666666666)</f>
        <v>43784.666666666599</v>
      </c>
      <c r="B223" s="1">
        <f ca="1">IFERROR(__xludf.UNSUPPORTED("""COMPUTED_VALUE"""),66.44)</f>
        <v>66.44</v>
      </c>
      <c r="C223" s="2">
        <f t="shared" ca="1" si="0"/>
        <v>1.1879378617118507E-2</v>
      </c>
    </row>
    <row r="224" spans="1:3">
      <c r="A224" s="3">
        <f ca="1">IFERROR(__xludf.UNSUPPORTED("""COMPUTED_VALUE"""),43787.6666666666)</f>
        <v>43787.666666666599</v>
      </c>
      <c r="B224" s="1">
        <f ca="1">IFERROR(__xludf.UNSUPPORTED("""COMPUTED_VALUE"""),66.78)</f>
        <v>66.78</v>
      </c>
      <c r="C224" s="2">
        <f t="shared" ca="1" si="0"/>
        <v>5.1173991571343081E-3</v>
      </c>
    </row>
    <row r="225" spans="1:3">
      <c r="A225" s="3">
        <f ca="1">IFERROR(__xludf.UNSUPPORTED("""COMPUTED_VALUE"""),43788.6666666666)</f>
        <v>43788.666666666599</v>
      </c>
      <c r="B225" s="1">
        <f ca="1">IFERROR(__xludf.UNSUPPORTED("""COMPUTED_VALUE"""),66.57)</f>
        <v>66.569999999999993</v>
      </c>
      <c r="C225" s="2">
        <f t="shared" ca="1" si="0"/>
        <v>-3.1446540880504335E-3</v>
      </c>
    </row>
    <row r="226" spans="1:3">
      <c r="A226" s="3">
        <f ca="1">IFERROR(__xludf.UNSUPPORTED("""COMPUTED_VALUE"""),43789.6666666666)</f>
        <v>43789.666666666599</v>
      </c>
      <c r="B226" s="1">
        <f ca="1">IFERROR(__xludf.UNSUPPORTED("""COMPUTED_VALUE"""),65.8)</f>
        <v>65.8</v>
      </c>
      <c r="C226" s="2">
        <f t="shared" ca="1" si="0"/>
        <v>-1.1566771819137692E-2</v>
      </c>
    </row>
    <row r="227" spans="1:3">
      <c r="A227" s="3">
        <f ca="1">IFERROR(__xludf.UNSUPPORTED("""COMPUTED_VALUE"""),43790.6666666666)</f>
        <v>43790.666666666599</v>
      </c>
      <c r="B227" s="1">
        <f ca="1">IFERROR(__xludf.UNSUPPORTED("""COMPUTED_VALUE"""),65.5)</f>
        <v>65.5</v>
      </c>
      <c r="C227" s="2">
        <f t="shared" ca="1" si="0"/>
        <v>-4.5592705167172825E-3</v>
      </c>
    </row>
    <row r="228" spans="1:3">
      <c r="A228" s="3">
        <f ca="1">IFERROR(__xludf.UNSUPPORTED("""COMPUTED_VALUE"""),43791.6666666666)</f>
        <v>43791.666666666599</v>
      </c>
      <c r="B228" s="1">
        <f ca="1">IFERROR(__xludf.UNSUPPORTED("""COMPUTED_VALUE"""),65.44)</f>
        <v>65.44</v>
      </c>
      <c r="C228" s="2">
        <f t="shared" ca="1" si="0"/>
        <v>-9.160305343511797E-4</v>
      </c>
    </row>
    <row r="229" spans="1:3">
      <c r="A229" s="3">
        <f ca="1">IFERROR(__xludf.UNSUPPORTED("""COMPUTED_VALUE"""),43794.6666666666)</f>
        <v>43794.666666666599</v>
      </c>
      <c r="B229" s="1">
        <f ca="1">IFERROR(__xludf.UNSUPPORTED("""COMPUTED_VALUE"""),66.59)</f>
        <v>66.59</v>
      </c>
      <c r="C229" s="2">
        <f t="shared" ca="1" si="0"/>
        <v>1.7573349633251922E-2</v>
      </c>
    </row>
    <row r="230" spans="1:3">
      <c r="A230" s="3">
        <f ca="1">IFERROR(__xludf.UNSUPPORTED("""COMPUTED_VALUE"""),43795.6666666666)</f>
        <v>43795.666666666599</v>
      </c>
      <c r="B230" s="1">
        <f ca="1">IFERROR(__xludf.UNSUPPORTED("""COMPUTED_VALUE"""),66.07)</f>
        <v>66.069999999999993</v>
      </c>
      <c r="C230" s="2">
        <f t="shared" ca="1" si="0"/>
        <v>-7.8089803273766363E-3</v>
      </c>
    </row>
    <row r="231" spans="1:3">
      <c r="A231" s="3">
        <f ca="1">IFERROR(__xludf.UNSUPPORTED("""COMPUTED_VALUE"""),43796.6666666666)</f>
        <v>43796.666666666599</v>
      </c>
      <c r="B231" s="1">
        <f ca="1">IFERROR(__xludf.UNSUPPORTED("""COMPUTED_VALUE"""),66.96)</f>
        <v>66.959999999999994</v>
      </c>
      <c r="C231" s="2">
        <f t="shared" ca="1" si="0"/>
        <v>1.3470561525654619E-2</v>
      </c>
    </row>
    <row r="232" spans="1:3">
      <c r="A232" s="3">
        <f ca="1">IFERROR(__xludf.UNSUPPORTED("""COMPUTED_VALUE"""),43798.5416666666)</f>
        <v>43798.541666666599</v>
      </c>
      <c r="B232" s="1">
        <f ca="1">IFERROR(__xludf.UNSUPPORTED("""COMPUTED_VALUE"""),66.81)</f>
        <v>66.81</v>
      </c>
      <c r="C232" s="2">
        <f t="shared" ca="1" si="0"/>
        <v>-2.2401433691755001E-3</v>
      </c>
    </row>
    <row r="233" spans="1:3">
      <c r="A233" s="3">
        <f ca="1">IFERROR(__xludf.UNSUPPORTED("""COMPUTED_VALUE"""),43801.6666666666)</f>
        <v>43801.666666666599</v>
      </c>
      <c r="B233" s="1">
        <f ca="1">IFERROR(__xludf.UNSUPPORTED("""COMPUTED_VALUE"""),66.04)</f>
        <v>66.040000000000006</v>
      </c>
      <c r="C233" s="2">
        <f t="shared" ca="1" si="0"/>
        <v>-1.1525220775332974E-2</v>
      </c>
    </row>
    <row r="234" spans="1:3">
      <c r="A234" s="3">
        <f ca="1">IFERROR(__xludf.UNSUPPORTED("""COMPUTED_VALUE"""),43802.6666666666)</f>
        <v>43802.666666666599</v>
      </c>
      <c r="B234" s="1">
        <f ca="1">IFERROR(__xludf.UNSUPPORTED("""COMPUTED_VALUE"""),64.86)</f>
        <v>64.86</v>
      </c>
      <c r="C234" s="2">
        <f t="shared" ca="1" si="0"/>
        <v>-1.7867958812840805E-2</v>
      </c>
    </row>
    <row r="235" spans="1:3">
      <c r="A235" s="3">
        <f ca="1">IFERROR(__xludf.UNSUPPORTED("""COMPUTED_VALUE"""),43803.6666666666)</f>
        <v>43803.666666666599</v>
      </c>
      <c r="B235" s="1">
        <f ca="1">IFERROR(__xludf.UNSUPPORTED("""COMPUTED_VALUE"""),65.44)</f>
        <v>65.44</v>
      </c>
      <c r="C235" s="2">
        <f t="shared" ca="1" si="0"/>
        <v>8.9423373419672877E-3</v>
      </c>
    </row>
    <row r="236" spans="1:3">
      <c r="A236" s="3">
        <f ca="1">IFERROR(__xludf.UNSUPPORTED("""COMPUTED_VALUE"""),43804.6666666666)</f>
        <v>43804.666666666599</v>
      </c>
      <c r="B236" s="1">
        <f ca="1">IFERROR(__xludf.UNSUPPORTED("""COMPUTED_VALUE"""),66.4)</f>
        <v>66.400000000000006</v>
      </c>
      <c r="C236" s="2">
        <f t="shared" ca="1" si="0"/>
        <v>1.466992665036687E-2</v>
      </c>
    </row>
    <row r="237" spans="1:3">
      <c r="A237" s="3">
        <f ca="1">IFERROR(__xludf.UNSUPPORTED("""COMPUTED_VALUE"""),43805.6666666666)</f>
        <v>43805.666666666599</v>
      </c>
      <c r="B237" s="1">
        <f ca="1">IFERROR(__xludf.UNSUPPORTED("""COMPUTED_VALUE"""),67.68)</f>
        <v>67.680000000000007</v>
      </c>
      <c r="C237" s="2">
        <f t="shared" ca="1" si="0"/>
        <v>1.9277108433734955E-2</v>
      </c>
    </row>
    <row r="238" spans="1:3">
      <c r="A238" s="3">
        <f ca="1">IFERROR(__xludf.UNSUPPORTED("""COMPUTED_VALUE"""),43808.6666666666)</f>
        <v>43808.666666666599</v>
      </c>
      <c r="B238" s="1">
        <f ca="1">IFERROR(__xludf.UNSUPPORTED("""COMPUTED_VALUE"""),66.73)</f>
        <v>66.73</v>
      </c>
      <c r="C238" s="2">
        <f t="shared" ca="1" si="0"/>
        <v>-1.4036643026004769E-2</v>
      </c>
    </row>
    <row r="239" spans="1:3">
      <c r="A239" s="3">
        <f ca="1">IFERROR(__xludf.UNSUPPORTED("""COMPUTED_VALUE"""),43809.6666666666)</f>
        <v>43809.666666666599</v>
      </c>
      <c r="B239" s="1">
        <f ca="1">IFERROR(__xludf.UNSUPPORTED("""COMPUTED_VALUE"""),67.12)</f>
        <v>67.12</v>
      </c>
      <c r="C239" s="2">
        <f t="shared" ca="1" si="0"/>
        <v>5.8444477746141246E-3</v>
      </c>
    </row>
    <row r="240" spans="1:3">
      <c r="A240" s="3">
        <f ca="1">IFERROR(__xludf.UNSUPPORTED("""COMPUTED_VALUE"""),43810.6666666666)</f>
        <v>43810.666666666599</v>
      </c>
      <c r="B240" s="1">
        <f ca="1">IFERROR(__xludf.UNSUPPORTED("""COMPUTED_VALUE"""),67.69)</f>
        <v>67.69</v>
      </c>
      <c r="C240" s="2">
        <f t="shared" ca="1" si="0"/>
        <v>8.4922526817639028E-3</v>
      </c>
    </row>
    <row r="241" spans="1:3">
      <c r="A241" s="3">
        <f ca="1">IFERROR(__xludf.UNSUPPORTED("""COMPUTED_VALUE"""),43811.6666666666)</f>
        <v>43811.666666666599</v>
      </c>
      <c r="B241" s="1">
        <f ca="1">IFERROR(__xludf.UNSUPPORTED("""COMPUTED_VALUE"""),67.86)</f>
        <v>67.86</v>
      </c>
      <c r="C241" s="2">
        <f t="shared" ca="1" si="0"/>
        <v>2.5114492539518645E-3</v>
      </c>
    </row>
    <row r="242" spans="1:3">
      <c r="A242" s="3">
        <f ca="1">IFERROR(__xludf.UNSUPPORTED("""COMPUTED_VALUE"""),43812.6666666666)</f>
        <v>43812.666666666599</v>
      </c>
      <c r="B242" s="1">
        <f ca="1">IFERROR(__xludf.UNSUPPORTED("""COMPUTED_VALUE"""),68.79)</f>
        <v>68.790000000000006</v>
      </c>
      <c r="C242" s="2">
        <f t="shared" ca="1" si="0"/>
        <v>1.3704686118479322E-2</v>
      </c>
    </row>
    <row r="243" spans="1:3">
      <c r="A243" s="3">
        <f ca="1">IFERROR(__xludf.UNSUPPORTED("""COMPUTED_VALUE"""),43815.6666666666)</f>
        <v>43815.666666666599</v>
      </c>
      <c r="B243" s="1">
        <f ca="1">IFERROR(__xludf.UNSUPPORTED("""COMPUTED_VALUE"""),69.97)</f>
        <v>69.97</v>
      </c>
      <c r="C243" s="2">
        <f t="shared" ca="1" si="0"/>
        <v>1.7153656054658999E-2</v>
      </c>
    </row>
    <row r="244" spans="1:3">
      <c r="A244" s="3">
        <f ca="1">IFERROR(__xludf.UNSUPPORTED("""COMPUTED_VALUE"""),43816.6666666666)</f>
        <v>43816.666666666599</v>
      </c>
      <c r="B244" s="1">
        <f ca="1">IFERROR(__xludf.UNSUPPORTED("""COMPUTED_VALUE"""),70.1)</f>
        <v>70.099999999999994</v>
      </c>
      <c r="C244" s="2">
        <f t="shared" ca="1" si="0"/>
        <v>1.8579391167642626E-3</v>
      </c>
    </row>
    <row r="245" spans="1:3">
      <c r="A245" s="3">
        <f ca="1">IFERROR(__xludf.UNSUPPORTED("""COMPUTED_VALUE"""),43817.6666666666)</f>
        <v>43817.666666666599</v>
      </c>
      <c r="B245" s="1">
        <f ca="1">IFERROR(__xludf.UNSUPPORTED("""COMPUTED_VALUE"""),69.94)</f>
        <v>69.94</v>
      </c>
      <c r="C245" s="2">
        <f t="shared" ca="1" si="0"/>
        <v>-2.2824536376604364E-3</v>
      </c>
    </row>
    <row r="246" spans="1:3">
      <c r="A246" s="3">
        <f ca="1">IFERROR(__xludf.UNSUPPORTED("""COMPUTED_VALUE"""),43818.6666666666)</f>
        <v>43818.666666666599</v>
      </c>
      <c r="B246" s="1">
        <f ca="1">IFERROR(__xludf.UNSUPPORTED("""COMPUTED_VALUE"""),70.01)</f>
        <v>70.010000000000005</v>
      </c>
      <c r="C246" s="2">
        <f t="shared" ca="1" si="0"/>
        <v>1.0008578781814039E-3</v>
      </c>
    </row>
    <row r="247" spans="1:3">
      <c r="A247" s="3">
        <f ca="1">IFERROR(__xludf.UNSUPPORTED("""COMPUTED_VALUE"""),43819.6666666666)</f>
        <v>43819.666666666599</v>
      </c>
      <c r="B247" s="1">
        <f ca="1">IFERROR(__xludf.UNSUPPORTED("""COMPUTED_VALUE"""),69.86)</f>
        <v>69.86</v>
      </c>
      <c r="C247" s="2">
        <f t="shared" ca="1" si="0"/>
        <v>-2.1425510641337763E-3</v>
      </c>
    </row>
    <row r="248" spans="1:3">
      <c r="A248" s="3">
        <f ca="1">IFERROR(__xludf.UNSUPPORTED("""COMPUTED_VALUE"""),43822.6666666666)</f>
        <v>43822.666666666599</v>
      </c>
      <c r="B248" s="1">
        <f ca="1">IFERROR(__xludf.UNSUPPORTED("""COMPUTED_VALUE"""),71)</f>
        <v>71</v>
      </c>
      <c r="C248" s="2">
        <f t="shared" ca="1" si="0"/>
        <v>1.6318350987689672E-2</v>
      </c>
    </row>
    <row r="249" spans="1:3">
      <c r="A249" s="3">
        <f ca="1">IFERROR(__xludf.UNSUPPORTED("""COMPUTED_VALUE"""),43823.5416666666)</f>
        <v>43823.541666666599</v>
      </c>
      <c r="B249" s="1">
        <f ca="1">IFERROR(__xludf.UNSUPPORTED("""COMPUTED_VALUE"""),71.07)</f>
        <v>71.069999999999993</v>
      </c>
      <c r="C249" s="2">
        <f t="shared" ca="1" si="0"/>
        <v>9.8591549295765036E-4</v>
      </c>
    </row>
    <row r="250" spans="1:3">
      <c r="A250" s="3">
        <f ca="1">IFERROR(__xludf.UNSUPPORTED("""COMPUTED_VALUE"""),43825.6666666666)</f>
        <v>43825.666666666599</v>
      </c>
      <c r="B250" s="1">
        <f ca="1">IFERROR(__xludf.UNSUPPORTED("""COMPUTED_VALUE"""),72.48)</f>
        <v>72.48</v>
      </c>
      <c r="C250" s="2">
        <f t="shared" ca="1" si="0"/>
        <v>1.9839594765724087E-2</v>
      </c>
    </row>
    <row r="251" spans="1:3">
      <c r="A251" s="3">
        <f ca="1">IFERROR(__xludf.UNSUPPORTED("""COMPUTED_VALUE"""),43826.6666666666)</f>
        <v>43826.666666666599</v>
      </c>
      <c r="B251" s="1">
        <f ca="1">IFERROR(__xludf.UNSUPPORTED("""COMPUTED_VALUE"""),72.45)</f>
        <v>72.45</v>
      </c>
      <c r="C251" s="2">
        <f t="shared" ca="1" si="0"/>
        <v>-4.1390728476822759E-4</v>
      </c>
    </row>
    <row r="252" spans="1:3">
      <c r="A252" s="3">
        <f ca="1">IFERROR(__xludf.UNSUPPORTED("""COMPUTED_VALUE"""),43829.6666666666)</f>
        <v>43829.666666666599</v>
      </c>
      <c r="B252" s="1">
        <f ca="1">IFERROR(__xludf.UNSUPPORTED("""COMPUTED_VALUE"""),72.88)</f>
        <v>72.88</v>
      </c>
      <c r="C252" s="2">
        <f t="shared" ca="1" si="0"/>
        <v>5.9351276742580072E-3</v>
      </c>
    </row>
    <row r="253" spans="1:3">
      <c r="A253" s="3">
        <f ca="1">IFERROR(__xludf.UNSUPPORTED("""COMPUTED_VALUE"""),43830.6666666666)</f>
        <v>43830.666666666599</v>
      </c>
      <c r="B253" s="1">
        <f ca="1">IFERROR(__xludf.UNSUPPORTED("""COMPUTED_VALUE"""),73.41)</f>
        <v>73.41</v>
      </c>
      <c r="C253" s="2">
        <f t="shared" ca="1" si="0"/>
        <v>7.2722283205269092E-3</v>
      </c>
    </row>
    <row r="254" spans="1:3">
      <c r="A254" s="3">
        <f ca="1">IFERROR(__xludf.UNSUPPORTED("""COMPUTED_VALUE"""),43832.6666666666)</f>
        <v>43832.666666666599</v>
      </c>
      <c r="B254" s="1">
        <f ca="1">IFERROR(__xludf.UNSUPPORTED("""COMPUTED_VALUE"""),75.09)</f>
        <v>75.09</v>
      </c>
      <c r="C254" s="2">
        <f t="shared" ca="1" si="0"/>
        <v>2.2885165508786363E-2</v>
      </c>
    </row>
    <row r="255" spans="1:3">
      <c r="A255" s="3">
        <f ca="1">IFERROR(__xludf.UNSUPPORTED("""COMPUTED_VALUE"""),43833.6666666666)</f>
        <v>43833.666666666599</v>
      </c>
      <c r="B255" s="1">
        <f ca="1">IFERROR(__xludf.UNSUPPORTED("""COMPUTED_VALUE"""),74.36)</f>
        <v>74.36</v>
      </c>
      <c r="C255" s="2">
        <f t="shared" ca="1" si="0"/>
        <v>-9.7216673325343454E-3</v>
      </c>
    </row>
    <row r="256" spans="1:3">
      <c r="A256" s="3">
        <f ca="1">IFERROR(__xludf.UNSUPPORTED("""COMPUTED_VALUE"""),43836.6666666666)</f>
        <v>43836.666666666599</v>
      </c>
      <c r="B256" s="1">
        <f ca="1">IFERROR(__xludf.UNSUPPORTED("""COMPUTED_VALUE"""),74.95)</f>
        <v>74.95</v>
      </c>
      <c r="C256" s="2">
        <f t="shared" ca="1" si="0"/>
        <v>7.9343733189887501E-3</v>
      </c>
    </row>
    <row r="257" spans="1:3">
      <c r="A257" s="3">
        <f ca="1">IFERROR(__xludf.UNSUPPORTED("""COMPUTED_VALUE"""),43837.6666666666)</f>
        <v>43837.666666666599</v>
      </c>
      <c r="B257" s="1">
        <f ca="1">IFERROR(__xludf.UNSUPPORTED("""COMPUTED_VALUE"""),74.6)</f>
        <v>74.599999999999994</v>
      </c>
      <c r="C257" s="2">
        <f t="shared" ca="1" si="0"/>
        <v>-4.6697798532356043E-3</v>
      </c>
    </row>
    <row r="258" spans="1:3">
      <c r="A258" s="3">
        <f ca="1">IFERROR(__xludf.UNSUPPORTED("""COMPUTED_VALUE"""),43838.6666666666)</f>
        <v>43838.666666666599</v>
      </c>
      <c r="B258" s="1">
        <f ca="1">IFERROR(__xludf.UNSUPPORTED("""COMPUTED_VALUE"""),75.8)</f>
        <v>75.8</v>
      </c>
      <c r="C258" s="2">
        <f t="shared" ref="C258:C512" ca="1" si="1">(B258-B257)/B257</f>
        <v>1.6085790884718537E-2</v>
      </c>
    </row>
    <row r="259" spans="1:3">
      <c r="A259" s="3">
        <f ca="1">IFERROR(__xludf.UNSUPPORTED("""COMPUTED_VALUE"""),43839.6666666666)</f>
        <v>43839.666666666599</v>
      </c>
      <c r="B259" s="1">
        <f ca="1">IFERROR(__xludf.UNSUPPORTED("""COMPUTED_VALUE"""),77.41)</f>
        <v>77.41</v>
      </c>
      <c r="C259" s="2">
        <f t="shared" ca="1" si="1"/>
        <v>2.124010554089709E-2</v>
      </c>
    </row>
    <row r="260" spans="1:3">
      <c r="A260" s="3">
        <f ca="1">IFERROR(__xludf.UNSUPPORTED("""COMPUTED_VALUE"""),43840.6666666666)</f>
        <v>43840.666666666599</v>
      </c>
      <c r="B260" s="1">
        <f ca="1">IFERROR(__xludf.UNSUPPORTED("""COMPUTED_VALUE"""),77.58)</f>
        <v>77.58</v>
      </c>
      <c r="C260" s="2">
        <f t="shared" ca="1" si="1"/>
        <v>2.1960986952590327E-3</v>
      </c>
    </row>
    <row r="261" spans="1:3">
      <c r="A261" s="3">
        <f ca="1">IFERROR(__xludf.UNSUPPORTED("""COMPUTED_VALUE"""),43843.6666666666)</f>
        <v>43843.666666666599</v>
      </c>
      <c r="B261" s="1">
        <f ca="1">IFERROR(__xludf.UNSUPPORTED("""COMPUTED_VALUE"""),79.24)</f>
        <v>79.239999999999995</v>
      </c>
      <c r="C261" s="2">
        <f t="shared" ca="1" si="1"/>
        <v>2.1397267336942468E-2</v>
      </c>
    </row>
    <row r="262" spans="1:3">
      <c r="A262" s="3">
        <f ca="1">IFERROR(__xludf.UNSUPPORTED("""COMPUTED_VALUE"""),43844.6666666666)</f>
        <v>43844.666666666599</v>
      </c>
      <c r="B262" s="1">
        <f ca="1">IFERROR(__xludf.UNSUPPORTED("""COMPUTED_VALUE"""),78.17)</f>
        <v>78.17</v>
      </c>
      <c r="C262" s="2">
        <f t="shared" ca="1" si="1"/>
        <v>-1.3503281171125609E-2</v>
      </c>
    </row>
    <row r="263" spans="1:3">
      <c r="A263" s="3">
        <f ca="1">IFERROR(__xludf.UNSUPPORTED("""COMPUTED_VALUE"""),43845.6666666666)</f>
        <v>43845.666666666599</v>
      </c>
      <c r="B263" s="1">
        <f ca="1">IFERROR(__xludf.UNSUPPORTED("""COMPUTED_VALUE"""),77.83)</f>
        <v>77.83</v>
      </c>
      <c r="C263" s="2">
        <f t="shared" ca="1" si="1"/>
        <v>-4.3494946910579944E-3</v>
      </c>
    </row>
    <row r="264" spans="1:3">
      <c r="A264" s="3">
        <f ca="1">IFERROR(__xludf.UNSUPPORTED("""COMPUTED_VALUE"""),43846.6666666666)</f>
        <v>43846.666666666599</v>
      </c>
      <c r="B264" s="1">
        <f ca="1">IFERROR(__xludf.UNSUPPORTED("""COMPUTED_VALUE"""),78.81)</f>
        <v>78.81</v>
      </c>
      <c r="C264" s="2">
        <f t="shared" ca="1" si="1"/>
        <v>1.2591545676474419E-2</v>
      </c>
    </row>
    <row r="265" spans="1:3">
      <c r="A265" s="3">
        <f ca="1">IFERROR(__xludf.UNSUPPORTED("""COMPUTED_VALUE"""),43847.6666666666)</f>
        <v>43847.666666666599</v>
      </c>
      <c r="B265" s="1">
        <f ca="1">IFERROR(__xludf.UNSUPPORTED("""COMPUTED_VALUE"""),79.68)</f>
        <v>79.680000000000007</v>
      </c>
      <c r="C265" s="2">
        <f t="shared" ca="1" si="1"/>
        <v>1.1039208222306871E-2</v>
      </c>
    </row>
    <row r="266" spans="1:3">
      <c r="A266" s="3">
        <f ca="1">IFERROR(__xludf.UNSUPPORTED("""COMPUTED_VALUE"""),43851.6666666666)</f>
        <v>43851.666666666599</v>
      </c>
      <c r="B266" s="1">
        <f ca="1">IFERROR(__xludf.UNSUPPORTED("""COMPUTED_VALUE"""),79.14)</f>
        <v>79.14</v>
      </c>
      <c r="C266" s="2">
        <f t="shared" ca="1" si="1"/>
        <v>-6.777108433735018E-3</v>
      </c>
    </row>
    <row r="267" spans="1:3">
      <c r="A267" s="3">
        <f ca="1">IFERROR(__xludf.UNSUPPORTED("""COMPUTED_VALUE"""),43852.6666666666)</f>
        <v>43852.666666666599</v>
      </c>
      <c r="B267" s="1">
        <f ca="1">IFERROR(__xludf.UNSUPPORTED("""COMPUTED_VALUE"""),79.43)</f>
        <v>79.430000000000007</v>
      </c>
      <c r="C267" s="2">
        <f t="shared" ca="1" si="1"/>
        <v>3.6643922163255779E-3</v>
      </c>
    </row>
    <row r="268" spans="1:3">
      <c r="A268" s="3">
        <f ca="1">IFERROR(__xludf.UNSUPPORTED("""COMPUTED_VALUE"""),43853.6666666666)</f>
        <v>43853.666666666599</v>
      </c>
      <c r="B268" s="1">
        <f ca="1">IFERROR(__xludf.UNSUPPORTED("""COMPUTED_VALUE"""),79.81)</f>
        <v>79.81</v>
      </c>
      <c r="C268" s="2">
        <f t="shared" ca="1" si="1"/>
        <v>4.7840866171471163E-3</v>
      </c>
    </row>
    <row r="269" spans="1:3">
      <c r="A269" s="3">
        <f ca="1">IFERROR(__xludf.UNSUPPORTED("""COMPUTED_VALUE"""),43854.6666666666)</f>
        <v>43854.666666666599</v>
      </c>
      <c r="B269" s="1">
        <f ca="1">IFERROR(__xludf.UNSUPPORTED("""COMPUTED_VALUE"""),79.58)</f>
        <v>79.58</v>
      </c>
      <c r="C269" s="2">
        <f t="shared" ca="1" si="1"/>
        <v>-2.8818443804035079E-3</v>
      </c>
    </row>
    <row r="270" spans="1:3">
      <c r="A270" s="3">
        <f ca="1">IFERROR(__xludf.UNSUPPORTED("""COMPUTED_VALUE"""),43857.6666666666)</f>
        <v>43857.666666666599</v>
      </c>
      <c r="B270" s="1">
        <f ca="1">IFERROR(__xludf.UNSUPPORTED("""COMPUTED_VALUE"""),77.24)</f>
        <v>77.239999999999995</v>
      </c>
      <c r="C270" s="2">
        <f t="shared" ca="1" si="1"/>
        <v>-2.9404372958029699E-2</v>
      </c>
    </row>
    <row r="271" spans="1:3">
      <c r="A271" s="3">
        <f ca="1">IFERROR(__xludf.UNSUPPORTED("""COMPUTED_VALUE"""),43858.6666666666)</f>
        <v>43858.666666666599</v>
      </c>
      <c r="B271" s="1">
        <f ca="1">IFERROR(__xludf.UNSUPPORTED("""COMPUTED_VALUE"""),79.42)</f>
        <v>79.42</v>
      </c>
      <c r="C271" s="2">
        <f t="shared" ca="1" si="1"/>
        <v>2.8223718280683673E-2</v>
      </c>
    </row>
    <row r="272" spans="1:3">
      <c r="A272" s="3">
        <f ca="1">IFERROR(__xludf.UNSUPPORTED("""COMPUTED_VALUE"""),43859.6666666666)</f>
        <v>43859.666666666599</v>
      </c>
      <c r="B272" s="1">
        <f ca="1">IFERROR(__xludf.UNSUPPORTED("""COMPUTED_VALUE"""),81.08)</f>
        <v>81.08</v>
      </c>
      <c r="C272" s="2">
        <f t="shared" ca="1" si="1"/>
        <v>2.0901536136993158E-2</v>
      </c>
    </row>
    <row r="273" spans="1:3">
      <c r="A273" s="3">
        <f ca="1">IFERROR(__xludf.UNSUPPORTED("""COMPUTED_VALUE"""),43860.6666666666)</f>
        <v>43860.666666666599</v>
      </c>
      <c r="B273" s="1">
        <f ca="1">IFERROR(__xludf.UNSUPPORTED("""COMPUTED_VALUE"""),80.97)</f>
        <v>80.97</v>
      </c>
      <c r="C273" s="2">
        <f t="shared" ca="1" si="1"/>
        <v>-1.356684755796737E-3</v>
      </c>
    </row>
    <row r="274" spans="1:3">
      <c r="A274" s="3">
        <f ca="1">IFERROR(__xludf.UNSUPPORTED("""COMPUTED_VALUE"""),43861.6666666666)</f>
        <v>43861.666666666599</v>
      </c>
      <c r="B274" s="1">
        <f ca="1">IFERROR(__xludf.UNSUPPORTED("""COMPUTED_VALUE"""),77.38)</f>
        <v>77.38</v>
      </c>
      <c r="C274" s="2">
        <f t="shared" ca="1" si="1"/>
        <v>-4.4337408916882842E-2</v>
      </c>
    </row>
    <row r="275" spans="1:3">
      <c r="A275" s="3">
        <f ca="1">IFERROR(__xludf.UNSUPPORTED("""COMPUTED_VALUE"""),43864.6666666666)</f>
        <v>43864.666666666599</v>
      </c>
      <c r="B275" s="1">
        <f ca="1">IFERROR(__xludf.UNSUPPORTED("""COMPUTED_VALUE"""),77.17)</f>
        <v>77.17</v>
      </c>
      <c r="C275" s="2">
        <f t="shared" ca="1" si="1"/>
        <v>-2.7138795554406017E-3</v>
      </c>
    </row>
    <row r="276" spans="1:3">
      <c r="A276" s="3">
        <f ca="1">IFERROR(__xludf.UNSUPPORTED("""COMPUTED_VALUE"""),43865.6666666666)</f>
        <v>43865.666666666599</v>
      </c>
      <c r="B276" s="1">
        <f ca="1">IFERROR(__xludf.UNSUPPORTED("""COMPUTED_VALUE"""),79.71)</f>
        <v>79.709999999999994</v>
      </c>
      <c r="C276" s="2">
        <f t="shared" ca="1" si="1"/>
        <v>3.2914344952701721E-2</v>
      </c>
    </row>
    <row r="277" spans="1:3">
      <c r="A277" s="3">
        <f ca="1">IFERROR(__xludf.UNSUPPORTED("""COMPUTED_VALUE"""),43866.6666666666)</f>
        <v>43866.666666666599</v>
      </c>
      <c r="B277" s="1">
        <f ca="1">IFERROR(__xludf.UNSUPPORTED("""COMPUTED_VALUE"""),80.36)</f>
        <v>80.36</v>
      </c>
      <c r="C277" s="2">
        <f t="shared" ca="1" si="1"/>
        <v>8.1545602810187655E-3</v>
      </c>
    </row>
    <row r="278" spans="1:3">
      <c r="A278" s="3">
        <f ca="1">IFERROR(__xludf.UNSUPPORTED("""COMPUTED_VALUE"""),43867.6666666666)</f>
        <v>43867.666666666599</v>
      </c>
      <c r="B278" s="1">
        <f ca="1">IFERROR(__xludf.UNSUPPORTED("""COMPUTED_VALUE"""),81.3)</f>
        <v>81.3</v>
      </c>
      <c r="C278" s="2">
        <f t="shared" ca="1" si="1"/>
        <v>1.1697361871577871E-2</v>
      </c>
    </row>
    <row r="279" spans="1:3">
      <c r="A279" s="3">
        <f ca="1">IFERROR(__xludf.UNSUPPORTED("""COMPUTED_VALUE"""),43868.6666666666)</f>
        <v>43868.666666666599</v>
      </c>
      <c r="B279" s="1">
        <f ca="1">IFERROR(__xludf.UNSUPPORTED("""COMPUTED_VALUE"""),80.01)</f>
        <v>80.010000000000005</v>
      </c>
      <c r="C279" s="2">
        <f t="shared" ca="1" si="1"/>
        <v>-1.5867158671586619E-2</v>
      </c>
    </row>
    <row r="280" spans="1:3">
      <c r="A280" s="3">
        <f ca="1">IFERROR(__xludf.UNSUPPORTED("""COMPUTED_VALUE"""),43871.6666666666)</f>
        <v>43871.666666666599</v>
      </c>
      <c r="B280" s="1">
        <f ca="1">IFERROR(__xludf.UNSUPPORTED("""COMPUTED_VALUE"""),80.39)</f>
        <v>80.39</v>
      </c>
      <c r="C280" s="2">
        <f t="shared" ca="1" si="1"/>
        <v>4.7494063242094165E-3</v>
      </c>
    </row>
    <row r="281" spans="1:3">
      <c r="A281" s="3">
        <f ca="1">IFERROR(__xludf.UNSUPPORTED("""COMPUTED_VALUE"""),43872.6666666666)</f>
        <v>43872.666666666599</v>
      </c>
      <c r="B281" s="1">
        <f ca="1">IFERROR(__xludf.UNSUPPORTED("""COMPUTED_VALUE"""),79.9)</f>
        <v>79.900000000000006</v>
      </c>
      <c r="C281" s="2">
        <f t="shared" ca="1" si="1"/>
        <v>-6.0952854832689992E-3</v>
      </c>
    </row>
    <row r="282" spans="1:3">
      <c r="A282" s="3">
        <f ca="1">IFERROR(__xludf.UNSUPPORTED("""COMPUTED_VALUE"""),43873.6666666666)</f>
        <v>43873.666666666599</v>
      </c>
      <c r="B282" s="1">
        <f ca="1">IFERROR(__xludf.UNSUPPORTED("""COMPUTED_VALUE"""),81.8)</f>
        <v>81.8</v>
      </c>
      <c r="C282" s="2">
        <f t="shared" ca="1" si="1"/>
        <v>2.3779724655819668E-2</v>
      </c>
    </row>
    <row r="283" spans="1:3">
      <c r="A283" s="3">
        <f ca="1">IFERROR(__xludf.UNSUPPORTED("""COMPUTED_VALUE"""),43874.6666666666)</f>
        <v>43874.666666666599</v>
      </c>
      <c r="B283" s="1">
        <f ca="1">IFERROR(__xludf.UNSUPPORTED("""COMPUTED_VALUE"""),81.22)</f>
        <v>81.22</v>
      </c>
      <c r="C283" s="2">
        <f t="shared" ca="1" si="1"/>
        <v>-7.0904645476772407E-3</v>
      </c>
    </row>
    <row r="284" spans="1:3">
      <c r="A284" s="3">
        <f ca="1">IFERROR(__xludf.UNSUPPORTED("""COMPUTED_VALUE"""),43875.6666666666)</f>
        <v>43875.666666666599</v>
      </c>
      <c r="B284" s="1">
        <f ca="1">IFERROR(__xludf.UNSUPPORTED("""COMPUTED_VALUE"""),81.24)</f>
        <v>81.239999999999995</v>
      </c>
      <c r="C284" s="2">
        <f t="shared" ca="1" si="1"/>
        <v>2.4624476729864591E-4</v>
      </c>
    </row>
    <row r="285" spans="1:3">
      <c r="A285" s="3">
        <f ca="1">IFERROR(__xludf.UNSUPPORTED("""COMPUTED_VALUE"""),43879.6666666666)</f>
        <v>43879.666666666599</v>
      </c>
      <c r="B285" s="1">
        <f ca="1">IFERROR(__xludf.UNSUPPORTED("""COMPUTED_VALUE"""),79.75)</f>
        <v>79.75</v>
      </c>
      <c r="C285" s="2">
        <f t="shared" ca="1" si="1"/>
        <v>-1.8340718857705503E-2</v>
      </c>
    </row>
    <row r="286" spans="1:3">
      <c r="A286" s="3">
        <f ca="1">IFERROR(__xludf.UNSUPPORTED("""COMPUTED_VALUE"""),43880.6666666666)</f>
        <v>43880.666666666599</v>
      </c>
      <c r="B286" s="1">
        <f ca="1">IFERROR(__xludf.UNSUPPORTED("""COMPUTED_VALUE"""),80.91)</f>
        <v>80.91</v>
      </c>
      <c r="C286" s="2">
        <f t="shared" ca="1" si="1"/>
        <v>1.4545454545454502E-2</v>
      </c>
    </row>
    <row r="287" spans="1:3">
      <c r="A287" s="3">
        <f ca="1">IFERROR(__xludf.UNSUPPORTED("""COMPUTED_VALUE"""),43881.6666666666)</f>
        <v>43881.666666666599</v>
      </c>
      <c r="B287" s="1">
        <f ca="1">IFERROR(__xludf.UNSUPPORTED("""COMPUTED_VALUE"""),80.08)</f>
        <v>80.08</v>
      </c>
      <c r="C287" s="2">
        <f t="shared" ca="1" si="1"/>
        <v>-1.0258311704362852E-2</v>
      </c>
    </row>
    <row r="288" spans="1:3">
      <c r="A288" s="3">
        <f ca="1">IFERROR(__xludf.UNSUPPORTED("""COMPUTED_VALUE"""),43882.6666666666)</f>
        <v>43882.666666666599</v>
      </c>
      <c r="B288" s="1">
        <f ca="1">IFERROR(__xludf.UNSUPPORTED("""COMPUTED_VALUE"""),78.26)</f>
        <v>78.260000000000005</v>
      </c>
      <c r="C288" s="2">
        <f t="shared" ca="1" si="1"/>
        <v>-2.2727272727272641E-2</v>
      </c>
    </row>
    <row r="289" spans="1:3">
      <c r="A289" s="3">
        <f ca="1">IFERROR(__xludf.UNSUPPORTED("""COMPUTED_VALUE"""),43885.6666666666)</f>
        <v>43885.666666666599</v>
      </c>
      <c r="B289" s="1">
        <f ca="1">IFERROR(__xludf.UNSUPPORTED("""COMPUTED_VALUE"""),74.55)</f>
        <v>74.55</v>
      </c>
      <c r="C289" s="2">
        <f t="shared" ca="1" si="1"/>
        <v>-4.7406082289803315E-2</v>
      </c>
    </row>
    <row r="290" spans="1:3">
      <c r="A290" s="3">
        <f ca="1">IFERROR(__xludf.UNSUPPORTED("""COMPUTED_VALUE"""),43886.6666666666)</f>
        <v>43886.666666666599</v>
      </c>
      <c r="B290" s="1">
        <f ca="1">IFERROR(__xludf.UNSUPPORTED("""COMPUTED_VALUE"""),72.02)</f>
        <v>72.02</v>
      </c>
      <c r="C290" s="2">
        <f t="shared" ca="1" si="1"/>
        <v>-3.3936955063715642E-2</v>
      </c>
    </row>
    <row r="291" spans="1:3">
      <c r="A291" s="3">
        <f ca="1">IFERROR(__xludf.UNSUPPORTED("""COMPUTED_VALUE"""),43887.6666666666)</f>
        <v>43887.666666666599</v>
      </c>
      <c r="B291" s="1">
        <f ca="1">IFERROR(__xludf.UNSUPPORTED("""COMPUTED_VALUE"""),73.16)</f>
        <v>73.16</v>
      </c>
      <c r="C291" s="2">
        <f t="shared" ca="1" si="1"/>
        <v>1.5828936406553744E-2</v>
      </c>
    </row>
    <row r="292" spans="1:3">
      <c r="A292" s="3">
        <f ca="1">IFERROR(__xludf.UNSUPPORTED("""COMPUTED_VALUE"""),43888.6666666666)</f>
        <v>43888.666666666599</v>
      </c>
      <c r="B292" s="1">
        <f ca="1">IFERROR(__xludf.UNSUPPORTED("""COMPUTED_VALUE"""),68.38)</f>
        <v>68.38</v>
      </c>
      <c r="C292" s="2">
        <f t="shared" ca="1" si="1"/>
        <v>-6.5336249316566453E-2</v>
      </c>
    </row>
    <row r="293" spans="1:3">
      <c r="A293" s="3">
        <f ca="1">IFERROR(__xludf.UNSUPPORTED("""COMPUTED_VALUE"""),43889.6666666666)</f>
        <v>43889.666666666599</v>
      </c>
      <c r="B293" s="1">
        <f ca="1">IFERROR(__xludf.UNSUPPORTED("""COMPUTED_VALUE"""),68.34)</f>
        <v>68.34</v>
      </c>
      <c r="C293" s="2">
        <f t="shared" ca="1" si="1"/>
        <v>-5.849663644339287E-4</v>
      </c>
    </row>
    <row r="294" spans="1:3">
      <c r="A294" s="3">
        <f ca="1">IFERROR(__xludf.UNSUPPORTED("""COMPUTED_VALUE"""),43892.6666666666)</f>
        <v>43892.666666666599</v>
      </c>
      <c r="B294" s="1">
        <f ca="1">IFERROR(__xludf.UNSUPPORTED("""COMPUTED_VALUE"""),74.7)</f>
        <v>74.7</v>
      </c>
      <c r="C294" s="2">
        <f t="shared" ca="1" si="1"/>
        <v>9.3064091308165051E-2</v>
      </c>
    </row>
    <row r="295" spans="1:3">
      <c r="A295" s="3">
        <f ca="1">IFERROR(__xludf.UNSUPPORTED("""COMPUTED_VALUE"""),43893.6666666666)</f>
        <v>43893.666666666599</v>
      </c>
      <c r="B295" s="1">
        <f ca="1">IFERROR(__xludf.UNSUPPORTED("""COMPUTED_VALUE"""),72.33)</f>
        <v>72.33</v>
      </c>
      <c r="C295" s="2">
        <f t="shared" ca="1" si="1"/>
        <v>-3.1726907630522147E-2</v>
      </c>
    </row>
    <row r="296" spans="1:3">
      <c r="A296" s="3">
        <f ca="1">IFERROR(__xludf.UNSUPPORTED("""COMPUTED_VALUE"""),43894.6666666666)</f>
        <v>43894.666666666599</v>
      </c>
      <c r="B296" s="1">
        <f ca="1">IFERROR(__xludf.UNSUPPORTED("""COMPUTED_VALUE"""),75.69)</f>
        <v>75.69</v>
      </c>
      <c r="C296" s="2">
        <f t="shared" ca="1" si="1"/>
        <v>4.6453753629199498E-2</v>
      </c>
    </row>
    <row r="297" spans="1:3">
      <c r="A297" s="3">
        <f ca="1">IFERROR(__xludf.UNSUPPORTED("""COMPUTED_VALUE"""),43895.6666666666)</f>
        <v>43895.666666666599</v>
      </c>
      <c r="B297" s="1">
        <f ca="1">IFERROR(__xludf.UNSUPPORTED("""COMPUTED_VALUE"""),73.23)</f>
        <v>73.23</v>
      </c>
      <c r="C297" s="2">
        <f t="shared" ca="1" si="1"/>
        <v>-3.2500990883868326E-2</v>
      </c>
    </row>
    <row r="298" spans="1:3">
      <c r="A298" s="3">
        <f ca="1">IFERROR(__xludf.UNSUPPORTED("""COMPUTED_VALUE"""),43896.6666666666)</f>
        <v>43896.666666666599</v>
      </c>
      <c r="B298" s="1">
        <f ca="1">IFERROR(__xludf.UNSUPPORTED("""COMPUTED_VALUE"""),72.26)</f>
        <v>72.260000000000005</v>
      </c>
      <c r="C298" s="2">
        <f t="shared" ca="1" si="1"/>
        <v>-1.3245937457326216E-2</v>
      </c>
    </row>
    <row r="299" spans="1:3">
      <c r="A299" s="3">
        <f ca="1">IFERROR(__xludf.UNSUPPORTED("""COMPUTED_VALUE"""),43899.6666666666)</f>
        <v>43899.666666666599</v>
      </c>
      <c r="B299" s="1">
        <f ca="1">IFERROR(__xludf.UNSUPPORTED("""COMPUTED_VALUE"""),66.54)</f>
        <v>66.540000000000006</v>
      </c>
      <c r="C299" s="2">
        <f t="shared" ca="1" si="1"/>
        <v>-7.9158593966233023E-2</v>
      </c>
    </row>
    <row r="300" spans="1:3">
      <c r="A300" s="3">
        <f ca="1">IFERROR(__xludf.UNSUPPORTED("""COMPUTED_VALUE"""),43900.6666666666)</f>
        <v>43900.666666666599</v>
      </c>
      <c r="B300" s="1">
        <f ca="1">IFERROR(__xludf.UNSUPPORTED("""COMPUTED_VALUE"""),71.33)</f>
        <v>71.33</v>
      </c>
      <c r="C300" s="2">
        <f t="shared" ca="1" si="1"/>
        <v>7.1986774872257159E-2</v>
      </c>
    </row>
    <row r="301" spans="1:3">
      <c r="A301" s="3">
        <f ca="1">IFERROR(__xludf.UNSUPPORTED("""COMPUTED_VALUE"""),43901.6666666666)</f>
        <v>43901.666666666599</v>
      </c>
      <c r="B301" s="1">
        <f ca="1">IFERROR(__xludf.UNSUPPORTED("""COMPUTED_VALUE"""),68.86)</f>
        <v>68.86</v>
      </c>
      <c r="C301" s="2">
        <f t="shared" ca="1" si="1"/>
        <v>-3.46277863451563E-2</v>
      </c>
    </row>
    <row r="302" spans="1:3">
      <c r="A302" s="3">
        <f ca="1">IFERROR(__xludf.UNSUPPORTED("""COMPUTED_VALUE"""),43902.6666666666)</f>
        <v>43902.666666666599</v>
      </c>
      <c r="B302" s="1">
        <f ca="1">IFERROR(__xludf.UNSUPPORTED("""COMPUTED_VALUE"""),62.06)</f>
        <v>62.06</v>
      </c>
      <c r="C302" s="2">
        <f t="shared" ca="1" si="1"/>
        <v>-9.8751089166424583E-2</v>
      </c>
    </row>
    <row r="303" spans="1:3">
      <c r="A303" s="3">
        <f ca="1">IFERROR(__xludf.UNSUPPORTED("""COMPUTED_VALUE"""),43903.6666666666)</f>
        <v>43903.666666666599</v>
      </c>
      <c r="B303" s="1">
        <f ca="1">IFERROR(__xludf.UNSUPPORTED("""COMPUTED_VALUE"""),69.49)</f>
        <v>69.489999999999995</v>
      </c>
      <c r="C303" s="2">
        <f t="shared" ca="1" si="1"/>
        <v>0.11972284885594574</v>
      </c>
    </row>
    <row r="304" spans="1:3">
      <c r="A304" s="3">
        <f ca="1">IFERROR(__xludf.UNSUPPORTED("""COMPUTED_VALUE"""),43906.6666666666)</f>
        <v>43906.666666666599</v>
      </c>
      <c r="B304" s="1">
        <f ca="1">IFERROR(__xludf.UNSUPPORTED("""COMPUTED_VALUE"""),60.55)</f>
        <v>60.55</v>
      </c>
      <c r="C304" s="2">
        <f t="shared" ca="1" si="1"/>
        <v>-0.12865160454741686</v>
      </c>
    </row>
    <row r="305" spans="1:3">
      <c r="A305" s="3">
        <f ca="1">IFERROR(__xludf.UNSUPPORTED("""COMPUTED_VALUE"""),43907.6666666666)</f>
        <v>43907.666666666599</v>
      </c>
      <c r="B305" s="1">
        <f ca="1">IFERROR(__xludf.UNSUPPORTED("""COMPUTED_VALUE"""),63.22)</f>
        <v>63.22</v>
      </c>
      <c r="C305" s="2">
        <f t="shared" ca="1" si="1"/>
        <v>4.4095788604459153E-2</v>
      </c>
    </row>
    <row r="306" spans="1:3">
      <c r="A306" s="3">
        <f ca="1">IFERROR(__xludf.UNSUPPORTED("""COMPUTED_VALUE"""),43908.6666666666)</f>
        <v>43908.666666666599</v>
      </c>
      <c r="B306" s="1">
        <f ca="1">IFERROR(__xludf.UNSUPPORTED("""COMPUTED_VALUE"""),61.67)</f>
        <v>61.67</v>
      </c>
      <c r="C306" s="2">
        <f t="shared" ca="1" si="1"/>
        <v>-2.4517557734893978E-2</v>
      </c>
    </row>
    <row r="307" spans="1:3">
      <c r="A307" s="3">
        <f ca="1">IFERROR(__xludf.UNSUPPORTED("""COMPUTED_VALUE"""),43909.6666666666)</f>
        <v>43909.666666666599</v>
      </c>
      <c r="B307" s="1">
        <f ca="1">IFERROR(__xludf.UNSUPPORTED("""COMPUTED_VALUE"""),61.2)</f>
        <v>61.2</v>
      </c>
      <c r="C307" s="2">
        <f t="shared" ca="1" si="1"/>
        <v>-7.6212096643424494E-3</v>
      </c>
    </row>
    <row r="308" spans="1:3">
      <c r="A308" s="3">
        <f ca="1">IFERROR(__xludf.UNSUPPORTED("""COMPUTED_VALUE"""),43910.6666666666)</f>
        <v>43910.666666666599</v>
      </c>
      <c r="B308" s="1">
        <f ca="1">IFERROR(__xludf.UNSUPPORTED("""COMPUTED_VALUE"""),57.31)</f>
        <v>57.31</v>
      </c>
      <c r="C308" s="2">
        <f t="shared" ca="1" si="1"/>
        <v>-6.3562091503267984E-2</v>
      </c>
    </row>
    <row r="309" spans="1:3">
      <c r="A309" s="3">
        <f ca="1">IFERROR(__xludf.UNSUPPORTED("""COMPUTED_VALUE"""),43913.6666666666)</f>
        <v>43913.666666666599</v>
      </c>
      <c r="B309" s="1">
        <f ca="1">IFERROR(__xludf.UNSUPPORTED("""COMPUTED_VALUE"""),56.09)</f>
        <v>56.09</v>
      </c>
      <c r="C309" s="2">
        <f t="shared" ca="1" si="1"/>
        <v>-2.1287733379863876E-2</v>
      </c>
    </row>
    <row r="310" spans="1:3">
      <c r="A310" s="3">
        <f ca="1">IFERROR(__xludf.UNSUPPORTED("""COMPUTED_VALUE"""),43914.6666666666)</f>
        <v>43914.666666666599</v>
      </c>
      <c r="B310" s="1">
        <f ca="1">IFERROR(__xludf.UNSUPPORTED("""COMPUTED_VALUE"""),61.72)</f>
        <v>61.72</v>
      </c>
      <c r="C310" s="2">
        <f t="shared" ca="1" si="1"/>
        <v>0.10037439828846488</v>
      </c>
    </row>
    <row r="311" spans="1:3">
      <c r="A311" s="3">
        <f ca="1">IFERROR(__xludf.UNSUPPORTED("""COMPUTED_VALUE"""),43915.6666666666)</f>
        <v>43915.666666666599</v>
      </c>
      <c r="B311" s="1">
        <f ca="1">IFERROR(__xludf.UNSUPPORTED("""COMPUTED_VALUE"""),61.38)</f>
        <v>61.38</v>
      </c>
      <c r="C311" s="2">
        <f t="shared" ca="1" si="1"/>
        <v>-5.5087491898897657E-3</v>
      </c>
    </row>
    <row r="312" spans="1:3">
      <c r="A312" s="3">
        <f ca="1">IFERROR(__xludf.UNSUPPORTED("""COMPUTED_VALUE"""),43916.6666666666)</f>
        <v>43916.666666666599</v>
      </c>
      <c r="B312" s="1">
        <f ca="1">IFERROR(__xludf.UNSUPPORTED("""COMPUTED_VALUE"""),64.61)</f>
        <v>64.61</v>
      </c>
      <c r="C312" s="2">
        <f t="shared" ca="1" si="1"/>
        <v>5.2623004235907406E-2</v>
      </c>
    </row>
    <row r="313" spans="1:3">
      <c r="A313" s="3">
        <f ca="1">IFERROR(__xludf.UNSUPPORTED("""COMPUTED_VALUE"""),43917.6666666666)</f>
        <v>43917.666666666599</v>
      </c>
      <c r="B313" s="1">
        <f ca="1">IFERROR(__xludf.UNSUPPORTED("""COMPUTED_VALUE"""),61.94)</f>
        <v>61.94</v>
      </c>
      <c r="C313" s="2">
        <f t="shared" ca="1" si="1"/>
        <v>-4.1324872310787832E-2</v>
      </c>
    </row>
    <row r="314" spans="1:3">
      <c r="A314" s="3">
        <f ca="1">IFERROR(__xludf.UNSUPPORTED("""COMPUTED_VALUE"""),43920.6666666666)</f>
        <v>43920.666666666599</v>
      </c>
      <c r="B314" s="1">
        <f ca="1">IFERROR(__xludf.UNSUPPORTED("""COMPUTED_VALUE"""),63.7)</f>
        <v>63.7</v>
      </c>
      <c r="C314" s="2">
        <f t="shared" ca="1" si="1"/>
        <v>2.8414594769131499E-2</v>
      </c>
    </row>
    <row r="315" spans="1:3">
      <c r="A315" s="3">
        <f ca="1">IFERROR(__xludf.UNSUPPORTED("""COMPUTED_VALUE"""),43921.6666666666)</f>
        <v>43921.666666666599</v>
      </c>
      <c r="B315" s="1">
        <f ca="1">IFERROR(__xludf.UNSUPPORTED("""COMPUTED_VALUE"""),63.57)</f>
        <v>63.57</v>
      </c>
      <c r="C315" s="2">
        <f t="shared" ca="1" si="1"/>
        <v>-2.0408163265306523E-3</v>
      </c>
    </row>
    <row r="316" spans="1:3">
      <c r="A316" s="3">
        <f ca="1">IFERROR(__xludf.UNSUPPORTED("""COMPUTED_VALUE"""),43922.6666666666)</f>
        <v>43922.666666666599</v>
      </c>
      <c r="B316" s="1">
        <f ca="1">IFERROR(__xludf.UNSUPPORTED("""COMPUTED_VALUE"""),60.23)</f>
        <v>60.23</v>
      </c>
      <c r="C316" s="2">
        <f t="shared" ca="1" si="1"/>
        <v>-5.2540506528236643E-2</v>
      </c>
    </row>
    <row r="317" spans="1:3">
      <c r="A317" s="3">
        <f ca="1">IFERROR(__xludf.UNSUPPORTED("""COMPUTED_VALUE"""),43923.6666666666)</f>
        <v>43923.666666666599</v>
      </c>
      <c r="B317" s="1">
        <f ca="1">IFERROR(__xludf.UNSUPPORTED("""COMPUTED_VALUE"""),61.23)</f>
        <v>61.23</v>
      </c>
      <c r="C317" s="2">
        <f t="shared" ca="1" si="1"/>
        <v>1.6603021749958494E-2</v>
      </c>
    </row>
    <row r="318" spans="1:3">
      <c r="A318" s="3">
        <f ca="1">IFERROR(__xludf.UNSUPPORTED("""COMPUTED_VALUE"""),43924.6666666666)</f>
        <v>43924.666666666599</v>
      </c>
      <c r="B318" s="1">
        <f ca="1">IFERROR(__xludf.UNSUPPORTED("""COMPUTED_VALUE"""),60.35)</f>
        <v>60.35</v>
      </c>
      <c r="C318" s="2">
        <f t="shared" ca="1" si="1"/>
        <v>-1.4372039849746783E-2</v>
      </c>
    </row>
    <row r="319" spans="1:3">
      <c r="A319" s="3">
        <f ca="1">IFERROR(__xludf.UNSUPPORTED("""COMPUTED_VALUE"""),43927.6666666666)</f>
        <v>43927.666666666599</v>
      </c>
      <c r="B319" s="1">
        <f ca="1">IFERROR(__xludf.UNSUPPORTED("""COMPUTED_VALUE"""),65.62)</f>
        <v>65.62</v>
      </c>
      <c r="C319" s="2">
        <f t="shared" ca="1" si="1"/>
        <v>8.7323943661971881E-2</v>
      </c>
    </row>
    <row r="320" spans="1:3">
      <c r="A320" s="3">
        <f ca="1">IFERROR(__xludf.UNSUPPORTED("""COMPUTED_VALUE"""),43928.6666666666)</f>
        <v>43928.666666666599</v>
      </c>
      <c r="B320" s="1">
        <f ca="1">IFERROR(__xludf.UNSUPPORTED("""COMPUTED_VALUE"""),64.86)</f>
        <v>64.86</v>
      </c>
      <c r="C320" s="2">
        <f t="shared" ca="1" si="1"/>
        <v>-1.1581834806461522E-2</v>
      </c>
    </row>
    <row r="321" spans="1:3">
      <c r="A321" s="3">
        <f ca="1">IFERROR(__xludf.UNSUPPORTED("""COMPUTED_VALUE"""),43929.6666666666)</f>
        <v>43929.666666666599</v>
      </c>
      <c r="B321" s="1">
        <f ca="1">IFERROR(__xludf.UNSUPPORTED("""COMPUTED_VALUE"""),66.52)</f>
        <v>66.52</v>
      </c>
      <c r="C321" s="2">
        <f t="shared" ca="1" si="1"/>
        <v>2.5593586185630537E-2</v>
      </c>
    </row>
    <row r="322" spans="1:3">
      <c r="A322" s="3">
        <f ca="1">IFERROR(__xludf.UNSUPPORTED("""COMPUTED_VALUE"""),43930.6666666666)</f>
        <v>43930.666666666599</v>
      </c>
      <c r="B322" s="1">
        <f ca="1">IFERROR(__xludf.UNSUPPORTED("""COMPUTED_VALUE"""),67)</f>
        <v>67</v>
      </c>
      <c r="C322" s="2">
        <f t="shared" ca="1" si="1"/>
        <v>7.2158749248346964E-3</v>
      </c>
    </row>
    <row r="323" spans="1:3">
      <c r="A323" s="3">
        <f ca="1">IFERROR(__xludf.UNSUPPORTED("""COMPUTED_VALUE"""),43934.6666666666)</f>
        <v>43934.666666666599</v>
      </c>
      <c r="B323" s="1">
        <f ca="1">IFERROR(__xludf.UNSUPPORTED("""COMPUTED_VALUE"""),68.31)</f>
        <v>68.31</v>
      </c>
      <c r="C323" s="2">
        <f t="shared" ca="1" si="1"/>
        <v>1.9552238805970183E-2</v>
      </c>
    </row>
    <row r="324" spans="1:3">
      <c r="A324" s="3">
        <f ca="1">IFERROR(__xludf.UNSUPPORTED("""COMPUTED_VALUE"""),43935.6666666666)</f>
        <v>43935.666666666599</v>
      </c>
      <c r="B324" s="1">
        <f ca="1">IFERROR(__xludf.UNSUPPORTED("""COMPUTED_VALUE"""),71.76)</f>
        <v>71.760000000000005</v>
      </c>
      <c r="C324" s="2">
        <f t="shared" ca="1" si="1"/>
        <v>5.0505050505050546E-2</v>
      </c>
    </row>
    <row r="325" spans="1:3">
      <c r="A325" s="3">
        <f ca="1">IFERROR(__xludf.UNSUPPORTED("""COMPUTED_VALUE"""),43936.6666666666)</f>
        <v>43936.666666666599</v>
      </c>
      <c r="B325" s="1">
        <f ca="1">IFERROR(__xludf.UNSUPPORTED("""COMPUTED_VALUE"""),71.11)</f>
        <v>71.11</v>
      </c>
      <c r="C325" s="2">
        <f t="shared" ca="1" si="1"/>
        <v>-9.057971014492832E-3</v>
      </c>
    </row>
    <row r="326" spans="1:3">
      <c r="A326" s="3">
        <f ca="1">IFERROR(__xludf.UNSUPPORTED("""COMPUTED_VALUE"""),43937.6666666666)</f>
        <v>43937.666666666599</v>
      </c>
      <c r="B326" s="1">
        <f ca="1">IFERROR(__xludf.UNSUPPORTED("""COMPUTED_VALUE"""),71.67)</f>
        <v>71.67</v>
      </c>
      <c r="C326" s="2">
        <f t="shared" ca="1" si="1"/>
        <v>7.8751230487976703E-3</v>
      </c>
    </row>
    <row r="327" spans="1:3">
      <c r="A327" s="3">
        <f ca="1">IFERROR(__xludf.UNSUPPORTED("""COMPUTED_VALUE"""),43938.6666666666)</f>
        <v>43938.666666666599</v>
      </c>
      <c r="B327" s="1">
        <f ca="1">IFERROR(__xludf.UNSUPPORTED("""COMPUTED_VALUE"""),70.7)</f>
        <v>70.7</v>
      </c>
      <c r="C327" s="2">
        <f t="shared" ca="1" si="1"/>
        <v>-1.3534254220733902E-2</v>
      </c>
    </row>
    <row r="328" spans="1:3">
      <c r="A328" s="3">
        <f ca="1">IFERROR(__xludf.UNSUPPORTED("""COMPUTED_VALUE"""),43941.6666666666)</f>
        <v>43941.666666666599</v>
      </c>
      <c r="B328" s="1">
        <f ca="1">IFERROR(__xludf.UNSUPPORTED("""COMPUTED_VALUE"""),69.23)</f>
        <v>69.23</v>
      </c>
      <c r="C328" s="2">
        <f t="shared" ca="1" si="1"/>
        <v>-2.0792079207920776E-2</v>
      </c>
    </row>
    <row r="329" spans="1:3">
      <c r="A329" s="3">
        <f ca="1">IFERROR(__xludf.UNSUPPORTED("""COMPUTED_VALUE"""),43942.6666666666)</f>
        <v>43942.666666666599</v>
      </c>
      <c r="B329" s="1">
        <f ca="1">IFERROR(__xludf.UNSUPPORTED("""COMPUTED_VALUE"""),67.09)</f>
        <v>67.09</v>
      </c>
      <c r="C329" s="2">
        <f t="shared" ca="1" si="1"/>
        <v>-3.091145457171747E-2</v>
      </c>
    </row>
    <row r="330" spans="1:3">
      <c r="A330" s="3">
        <f ca="1">IFERROR(__xludf.UNSUPPORTED("""COMPUTED_VALUE"""),43943.6666666666)</f>
        <v>43943.666666666599</v>
      </c>
      <c r="B330" s="1">
        <f ca="1">IFERROR(__xludf.UNSUPPORTED("""COMPUTED_VALUE"""),69.03)</f>
        <v>69.03</v>
      </c>
      <c r="C330" s="2">
        <f t="shared" ca="1" si="1"/>
        <v>2.8916380980772063E-2</v>
      </c>
    </row>
    <row r="331" spans="1:3">
      <c r="A331" s="3">
        <f ca="1">IFERROR(__xludf.UNSUPPORTED("""COMPUTED_VALUE"""),43944.6666666666)</f>
        <v>43944.666666666599</v>
      </c>
      <c r="B331" s="1">
        <f ca="1">IFERROR(__xludf.UNSUPPORTED("""COMPUTED_VALUE"""),68.76)</f>
        <v>68.760000000000005</v>
      </c>
      <c r="C331" s="2">
        <f t="shared" ca="1" si="1"/>
        <v>-3.9113428943936841E-3</v>
      </c>
    </row>
    <row r="332" spans="1:3">
      <c r="A332" s="3">
        <f ca="1">IFERROR(__xludf.UNSUPPORTED("""COMPUTED_VALUE"""),43945.6666666666)</f>
        <v>43945.666666666599</v>
      </c>
      <c r="B332" s="1">
        <f ca="1">IFERROR(__xludf.UNSUPPORTED("""COMPUTED_VALUE"""),70.74)</f>
        <v>70.739999999999995</v>
      </c>
      <c r="C332" s="2">
        <f t="shared" ca="1" si="1"/>
        <v>2.8795811518324457E-2</v>
      </c>
    </row>
    <row r="333" spans="1:3">
      <c r="A333" s="3">
        <f ca="1">IFERROR(__xludf.UNSUPPORTED("""COMPUTED_VALUE"""),43948.6666666666)</f>
        <v>43948.666666666599</v>
      </c>
      <c r="B333" s="1">
        <f ca="1">IFERROR(__xludf.UNSUPPORTED("""COMPUTED_VALUE"""),70.79)</f>
        <v>70.790000000000006</v>
      </c>
      <c r="C333" s="2">
        <f t="shared" ca="1" si="1"/>
        <v>7.0681368391308137E-4</v>
      </c>
    </row>
    <row r="334" spans="1:3">
      <c r="A334" s="3">
        <f ca="1">IFERROR(__xludf.UNSUPPORTED("""COMPUTED_VALUE"""),43949.6666666666)</f>
        <v>43949.666666666599</v>
      </c>
      <c r="B334" s="1">
        <f ca="1">IFERROR(__xludf.UNSUPPORTED("""COMPUTED_VALUE"""),69.65)</f>
        <v>69.650000000000006</v>
      </c>
      <c r="C334" s="2">
        <f t="shared" ca="1" si="1"/>
        <v>-1.6103969487215715E-2</v>
      </c>
    </row>
    <row r="335" spans="1:3">
      <c r="A335" s="3">
        <f ca="1">IFERROR(__xludf.UNSUPPORTED("""COMPUTED_VALUE"""),43950.6666666666)</f>
        <v>43950.666666666599</v>
      </c>
      <c r="B335" s="1">
        <f ca="1">IFERROR(__xludf.UNSUPPORTED("""COMPUTED_VALUE"""),71.93)</f>
        <v>71.930000000000007</v>
      </c>
      <c r="C335" s="2">
        <f t="shared" ca="1" si="1"/>
        <v>3.2735104091888026E-2</v>
      </c>
    </row>
    <row r="336" spans="1:3">
      <c r="A336" s="3">
        <f ca="1">IFERROR(__xludf.UNSUPPORTED("""COMPUTED_VALUE"""),43951.6666666666)</f>
        <v>43951.666666666599</v>
      </c>
      <c r="B336" s="1">
        <f ca="1">IFERROR(__xludf.UNSUPPORTED("""COMPUTED_VALUE"""),73.45)</f>
        <v>73.45</v>
      </c>
      <c r="C336" s="2">
        <f t="shared" ca="1" si="1"/>
        <v>2.1131655776449269E-2</v>
      </c>
    </row>
    <row r="337" spans="1:3">
      <c r="A337" s="3">
        <f ca="1">IFERROR(__xludf.UNSUPPORTED("""COMPUTED_VALUE"""),43952.6666666666)</f>
        <v>43952.666666666599</v>
      </c>
      <c r="B337" s="1">
        <f ca="1">IFERROR(__xludf.UNSUPPORTED("""COMPUTED_VALUE"""),72.27)</f>
        <v>72.27</v>
      </c>
      <c r="C337" s="2">
        <f t="shared" ca="1" si="1"/>
        <v>-1.6065350578625008E-2</v>
      </c>
    </row>
    <row r="338" spans="1:3">
      <c r="A338" s="3">
        <f ca="1">IFERROR(__xludf.UNSUPPORTED("""COMPUTED_VALUE"""),43955.6666666666)</f>
        <v>43955.666666666599</v>
      </c>
      <c r="B338" s="1">
        <f ca="1">IFERROR(__xludf.UNSUPPORTED("""COMPUTED_VALUE"""),73.29)</f>
        <v>73.290000000000006</v>
      </c>
      <c r="C338" s="2">
        <f t="shared" ca="1" si="1"/>
        <v>1.4113740141137544E-2</v>
      </c>
    </row>
    <row r="339" spans="1:3">
      <c r="A339" s="3">
        <f ca="1">IFERROR(__xludf.UNSUPPORTED("""COMPUTED_VALUE"""),43956.6666666666)</f>
        <v>43956.666666666599</v>
      </c>
      <c r="B339" s="1">
        <f ca="1">IFERROR(__xludf.UNSUPPORTED("""COMPUTED_VALUE"""),74.39)</f>
        <v>74.39</v>
      </c>
      <c r="C339" s="2">
        <f t="shared" ca="1" si="1"/>
        <v>1.500886887706364E-2</v>
      </c>
    </row>
    <row r="340" spans="1:3">
      <c r="A340" s="3">
        <f ca="1">IFERROR(__xludf.UNSUPPORTED("""COMPUTED_VALUE"""),43957.6666666666)</f>
        <v>43957.666666666599</v>
      </c>
      <c r="B340" s="1">
        <f ca="1">IFERROR(__xludf.UNSUPPORTED("""COMPUTED_VALUE"""),75.16)</f>
        <v>75.16</v>
      </c>
      <c r="C340" s="2">
        <f t="shared" ca="1" si="1"/>
        <v>1.0350853609356043E-2</v>
      </c>
    </row>
    <row r="341" spans="1:3">
      <c r="A341" s="3">
        <f ca="1">IFERROR(__xludf.UNSUPPORTED("""COMPUTED_VALUE"""),43958.6666666666)</f>
        <v>43958.666666666599</v>
      </c>
      <c r="B341" s="1">
        <f ca="1">IFERROR(__xludf.UNSUPPORTED("""COMPUTED_VALUE"""),75.94)</f>
        <v>75.94</v>
      </c>
      <c r="C341" s="2">
        <f t="shared" ca="1" si="1"/>
        <v>1.0377860564129872E-2</v>
      </c>
    </row>
    <row r="342" spans="1:3">
      <c r="A342" s="3">
        <f ca="1">IFERROR(__xludf.UNSUPPORTED("""COMPUTED_VALUE"""),43959.6666666666)</f>
        <v>43959.666666666599</v>
      </c>
      <c r="B342" s="1">
        <f ca="1">IFERROR(__xludf.UNSUPPORTED("""COMPUTED_VALUE"""),77.53)</f>
        <v>77.53</v>
      </c>
      <c r="C342" s="2">
        <f t="shared" ca="1" si="1"/>
        <v>2.0937582301817269E-2</v>
      </c>
    </row>
    <row r="343" spans="1:3">
      <c r="A343" s="3">
        <f ca="1">IFERROR(__xludf.UNSUPPORTED("""COMPUTED_VALUE"""),43962.6666666666)</f>
        <v>43962.666666666599</v>
      </c>
      <c r="B343" s="1">
        <f ca="1">IFERROR(__xludf.UNSUPPORTED("""COMPUTED_VALUE"""),78.75)</f>
        <v>78.75</v>
      </c>
      <c r="C343" s="2">
        <f t="shared" ca="1" si="1"/>
        <v>1.5735844189346045E-2</v>
      </c>
    </row>
    <row r="344" spans="1:3">
      <c r="A344" s="3">
        <f ca="1">IFERROR(__xludf.UNSUPPORTED("""COMPUTED_VALUE"""),43963.6666666666)</f>
        <v>43963.666666666599</v>
      </c>
      <c r="B344" s="1">
        <f ca="1">IFERROR(__xludf.UNSUPPORTED("""COMPUTED_VALUE"""),77.85)</f>
        <v>77.849999999999994</v>
      </c>
      <c r="C344" s="2">
        <f t="shared" ca="1" si="1"/>
        <v>-1.1428571428571501E-2</v>
      </c>
    </row>
    <row r="345" spans="1:3">
      <c r="A345" s="3">
        <f ca="1">IFERROR(__xludf.UNSUPPORTED("""COMPUTED_VALUE"""),43964.6666666666)</f>
        <v>43964.666666666599</v>
      </c>
      <c r="B345" s="1">
        <f ca="1">IFERROR(__xludf.UNSUPPORTED("""COMPUTED_VALUE"""),76.91)</f>
        <v>76.91</v>
      </c>
      <c r="C345" s="2">
        <f t="shared" ca="1" si="1"/>
        <v>-1.2074502247912624E-2</v>
      </c>
    </row>
    <row r="346" spans="1:3">
      <c r="A346" s="3">
        <f ca="1">IFERROR(__xludf.UNSUPPORTED("""COMPUTED_VALUE"""),43965.6666666666)</f>
        <v>43965.666666666599</v>
      </c>
      <c r="B346" s="1">
        <f ca="1">IFERROR(__xludf.UNSUPPORTED("""COMPUTED_VALUE"""),77.39)</f>
        <v>77.39</v>
      </c>
      <c r="C346" s="2">
        <f t="shared" ca="1" si="1"/>
        <v>6.2410609803667146E-3</v>
      </c>
    </row>
    <row r="347" spans="1:3">
      <c r="A347" s="3">
        <f ca="1">IFERROR(__xludf.UNSUPPORTED("""COMPUTED_VALUE"""),43966.6666666666)</f>
        <v>43966.666666666599</v>
      </c>
      <c r="B347" s="1">
        <f ca="1">IFERROR(__xludf.UNSUPPORTED("""COMPUTED_VALUE"""),76.93)</f>
        <v>76.930000000000007</v>
      </c>
      <c r="C347" s="2">
        <f t="shared" ca="1" si="1"/>
        <v>-5.9439204031527812E-3</v>
      </c>
    </row>
    <row r="348" spans="1:3">
      <c r="A348" s="3">
        <f ca="1">IFERROR(__xludf.UNSUPPORTED("""COMPUTED_VALUE"""),43969.6666666666)</f>
        <v>43969.666666666599</v>
      </c>
      <c r="B348" s="1">
        <f ca="1">IFERROR(__xludf.UNSUPPORTED("""COMPUTED_VALUE"""),78.74)</f>
        <v>78.739999999999995</v>
      </c>
      <c r="C348" s="2">
        <f t="shared" ca="1" si="1"/>
        <v>2.3527882490575691E-2</v>
      </c>
    </row>
    <row r="349" spans="1:3">
      <c r="A349" s="3">
        <f ca="1">IFERROR(__xludf.UNSUPPORTED("""COMPUTED_VALUE"""),43970.6666666666)</f>
        <v>43970.666666666599</v>
      </c>
      <c r="B349" s="1">
        <f ca="1">IFERROR(__xludf.UNSUPPORTED("""COMPUTED_VALUE"""),78.29)</f>
        <v>78.290000000000006</v>
      </c>
      <c r="C349" s="2">
        <f t="shared" ca="1" si="1"/>
        <v>-5.7150114300227161E-3</v>
      </c>
    </row>
    <row r="350" spans="1:3">
      <c r="A350" s="3">
        <f ca="1">IFERROR(__xludf.UNSUPPORTED("""COMPUTED_VALUE"""),43971.6666666666)</f>
        <v>43971.666666666599</v>
      </c>
      <c r="B350" s="1">
        <f ca="1">IFERROR(__xludf.UNSUPPORTED("""COMPUTED_VALUE"""),79.81)</f>
        <v>79.81</v>
      </c>
      <c r="C350" s="2">
        <f t="shared" ca="1" si="1"/>
        <v>1.9414995529441766E-2</v>
      </c>
    </row>
    <row r="351" spans="1:3">
      <c r="A351" s="3">
        <f ca="1">IFERROR(__xludf.UNSUPPORTED("""COMPUTED_VALUE"""),43972.6666666666)</f>
        <v>43972.666666666599</v>
      </c>
      <c r="B351" s="1">
        <f ca="1">IFERROR(__xludf.UNSUPPORTED("""COMPUTED_VALUE"""),79.21)</f>
        <v>79.209999999999994</v>
      </c>
      <c r="C351" s="2">
        <f t="shared" ca="1" si="1"/>
        <v>-7.5178549054004326E-3</v>
      </c>
    </row>
    <row r="352" spans="1:3">
      <c r="A352" s="3">
        <f ca="1">IFERROR(__xludf.UNSUPPORTED("""COMPUTED_VALUE"""),43973.6666666666)</f>
        <v>43973.666666666599</v>
      </c>
      <c r="B352" s="1">
        <f ca="1">IFERROR(__xludf.UNSUPPORTED("""COMPUTED_VALUE"""),79.72)</f>
        <v>79.72</v>
      </c>
      <c r="C352" s="2">
        <f t="shared" ca="1" si="1"/>
        <v>6.4385809872491498E-3</v>
      </c>
    </row>
    <row r="353" spans="1:3">
      <c r="A353" s="3">
        <f ca="1">IFERROR(__xludf.UNSUPPORTED("""COMPUTED_VALUE"""),43977.6666666666)</f>
        <v>43977.666666666599</v>
      </c>
      <c r="B353" s="1">
        <f ca="1">IFERROR(__xludf.UNSUPPORTED("""COMPUTED_VALUE"""),79.18)</f>
        <v>79.180000000000007</v>
      </c>
      <c r="C353" s="2">
        <f t="shared" ca="1" si="1"/>
        <v>-6.7737079779226295E-3</v>
      </c>
    </row>
    <row r="354" spans="1:3">
      <c r="A354" s="3">
        <f ca="1">IFERROR(__xludf.UNSUPPORTED("""COMPUTED_VALUE"""),43978.6666666666)</f>
        <v>43978.666666666599</v>
      </c>
      <c r="B354" s="1">
        <f ca="1">IFERROR(__xludf.UNSUPPORTED("""COMPUTED_VALUE"""),79.53)</f>
        <v>79.53</v>
      </c>
      <c r="C354" s="2">
        <f t="shared" ca="1" si="1"/>
        <v>4.4203081586258438E-3</v>
      </c>
    </row>
    <row r="355" spans="1:3">
      <c r="A355" s="3">
        <f ca="1">IFERROR(__xludf.UNSUPPORTED("""COMPUTED_VALUE"""),43979.6666666666)</f>
        <v>43979.666666666599</v>
      </c>
      <c r="B355" s="1">
        <f ca="1">IFERROR(__xludf.UNSUPPORTED("""COMPUTED_VALUE"""),79.56)</f>
        <v>79.56</v>
      </c>
      <c r="C355" s="2">
        <f t="shared" ca="1" si="1"/>
        <v>3.7721614485101393E-4</v>
      </c>
    </row>
    <row r="356" spans="1:3">
      <c r="A356" s="3">
        <f ca="1">IFERROR(__xludf.UNSUPPORTED("""COMPUTED_VALUE"""),43980.6666666666)</f>
        <v>43980.666666666599</v>
      </c>
      <c r="B356" s="1">
        <f ca="1">IFERROR(__xludf.UNSUPPORTED("""COMPUTED_VALUE"""),79.49)</f>
        <v>79.489999999999995</v>
      </c>
      <c r="C356" s="2">
        <f t="shared" ca="1" si="1"/>
        <v>-8.7983911513332561E-4</v>
      </c>
    </row>
    <row r="357" spans="1:3">
      <c r="A357" s="3">
        <f ca="1">IFERROR(__xludf.UNSUPPORTED("""COMPUTED_VALUE"""),43983.6666666666)</f>
        <v>43983.666666666599</v>
      </c>
      <c r="B357" s="1">
        <f ca="1">IFERROR(__xludf.UNSUPPORTED("""COMPUTED_VALUE"""),80.46)</f>
        <v>80.459999999999994</v>
      </c>
      <c r="C357" s="2">
        <f t="shared" ca="1" si="1"/>
        <v>1.2202792804126292E-2</v>
      </c>
    </row>
    <row r="358" spans="1:3">
      <c r="A358" s="3">
        <f ca="1">IFERROR(__xludf.UNSUPPORTED("""COMPUTED_VALUE"""),43984.6666666666)</f>
        <v>43984.666666666599</v>
      </c>
      <c r="B358" s="1">
        <f ca="1">IFERROR(__xludf.UNSUPPORTED("""COMPUTED_VALUE"""),80.83)</f>
        <v>80.83</v>
      </c>
      <c r="C358" s="2">
        <f t="shared" ca="1" si="1"/>
        <v>4.5985582898335148E-3</v>
      </c>
    </row>
    <row r="359" spans="1:3">
      <c r="A359" s="3">
        <f ca="1">IFERROR(__xludf.UNSUPPORTED("""COMPUTED_VALUE"""),43985.6666666666)</f>
        <v>43985.666666666599</v>
      </c>
      <c r="B359" s="1">
        <f ca="1">IFERROR(__xludf.UNSUPPORTED("""COMPUTED_VALUE"""),81.28)</f>
        <v>81.28</v>
      </c>
      <c r="C359" s="2">
        <f t="shared" ca="1" si="1"/>
        <v>5.5672398861809089E-3</v>
      </c>
    </row>
    <row r="360" spans="1:3">
      <c r="A360" s="3">
        <f ca="1">IFERROR(__xludf.UNSUPPORTED("""COMPUTED_VALUE"""),43986.6666666666)</f>
        <v>43986.666666666599</v>
      </c>
      <c r="B360" s="1">
        <f ca="1">IFERROR(__xludf.UNSUPPORTED("""COMPUTED_VALUE"""),80.58)</f>
        <v>80.58</v>
      </c>
      <c r="C360" s="2">
        <f t="shared" ca="1" si="1"/>
        <v>-8.6122047244094838E-3</v>
      </c>
    </row>
    <row r="361" spans="1:3">
      <c r="A361" s="3">
        <f ca="1">IFERROR(__xludf.UNSUPPORTED("""COMPUTED_VALUE"""),43987.6666666666)</f>
        <v>43987.666666666599</v>
      </c>
      <c r="B361" s="1">
        <f ca="1">IFERROR(__xludf.UNSUPPORTED("""COMPUTED_VALUE"""),82.88)</f>
        <v>82.88</v>
      </c>
      <c r="C361" s="2">
        <f t="shared" ca="1" si="1"/>
        <v>2.8543062794738113E-2</v>
      </c>
    </row>
    <row r="362" spans="1:3">
      <c r="A362" s="3">
        <f ca="1">IFERROR(__xludf.UNSUPPORTED("""COMPUTED_VALUE"""),43990.6666666666)</f>
        <v>43990.666666666599</v>
      </c>
      <c r="B362" s="1">
        <f ca="1">IFERROR(__xludf.UNSUPPORTED("""COMPUTED_VALUE"""),83.37)</f>
        <v>83.37</v>
      </c>
      <c r="C362" s="2">
        <f t="shared" ca="1" si="1"/>
        <v>5.9121621621622726E-3</v>
      </c>
    </row>
    <row r="363" spans="1:3">
      <c r="A363" s="3">
        <f ca="1">IFERROR(__xludf.UNSUPPORTED("""COMPUTED_VALUE"""),43991.6666666666)</f>
        <v>43991.666666666599</v>
      </c>
      <c r="B363" s="1">
        <f ca="1">IFERROR(__xludf.UNSUPPORTED("""COMPUTED_VALUE"""),86)</f>
        <v>86</v>
      </c>
      <c r="C363" s="2">
        <f t="shared" ca="1" si="1"/>
        <v>3.1546119707328721E-2</v>
      </c>
    </row>
    <row r="364" spans="1:3">
      <c r="A364" s="3">
        <f ca="1">IFERROR(__xludf.UNSUPPORTED("""COMPUTED_VALUE"""),43992.6666666666)</f>
        <v>43992.666666666599</v>
      </c>
      <c r="B364" s="1">
        <f ca="1">IFERROR(__xludf.UNSUPPORTED("""COMPUTED_VALUE"""),88.21)</f>
        <v>88.21</v>
      </c>
      <c r="C364" s="2">
        <f t="shared" ca="1" si="1"/>
        <v>2.5697674418604578E-2</v>
      </c>
    </row>
    <row r="365" spans="1:3">
      <c r="A365" s="3">
        <f ca="1">IFERROR(__xludf.UNSUPPORTED("""COMPUTED_VALUE"""),43993.6666666666)</f>
        <v>43993.666666666599</v>
      </c>
      <c r="B365" s="1">
        <f ca="1">IFERROR(__xludf.UNSUPPORTED("""COMPUTED_VALUE"""),83.98)</f>
        <v>83.98</v>
      </c>
      <c r="C365" s="2">
        <f t="shared" ca="1" si="1"/>
        <v>-4.7953746740732231E-2</v>
      </c>
    </row>
    <row r="366" spans="1:3">
      <c r="A366" s="3">
        <f ca="1">IFERROR(__xludf.UNSUPPORTED("""COMPUTED_VALUE"""),43994.6666666666)</f>
        <v>43994.666666666599</v>
      </c>
      <c r="B366" s="1">
        <f ca="1">IFERROR(__xludf.UNSUPPORTED("""COMPUTED_VALUE"""),84.7)</f>
        <v>84.7</v>
      </c>
      <c r="C366" s="2">
        <f t="shared" ca="1" si="1"/>
        <v>8.573469873779457E-3</v>
      </c>
    </row>
    <row r="367" spans="1:3">
      <c r="A367" s="3">
        <f ca="1">IFERROR(__xludf.UNSUPPORTED("""COMPUTED_VALUE"""),43997.6666666666)</f>
        <v>43997.666666666599</v>
      </c>
      <c r="B367" s="1">
        <f ca="1">IFERROR(__xludf.UNSUPPORTED("""COMPUTED_VALUE"""),85.75)</f>
        <v>85.75</v>
      </c>
      <c r="C367" s="2">
        <f t="shared" ca="1" si="1"/>
        <v>1.2396694214875999E-2</v>
      </c>
    </row>
    <row r="368" spans="1:3">
      <c r="A368" s="3">
        <f ca="1">IFERROR(__xludf.UNSUPPORTED("""COMPUTED_VALUE"""),43998.6666666666)</f>
        <v>43998.666666666599</v>
      </c>
      <c r="B368" s="1">
        <f ca="1">IFERROR(__xludf.UNSUPPORTED("""COMPUTED_VALUE"""),88.02)</f>
        <v>88.02</v>
      </c>
      <c r="C368" s="2">
        <f t="shared" ca="1" si="1"/>
        <v>2.6472303206997037E-2</v>
      </c>
    </row>
    <row r="369" spans="1:3">
      <c r="A369" s="3">
        <f ca="1">IFERROR(__xludf.UNSUPPORTED("""COMPUTED_VALUE"""),43999.6666666666)</f>
        <v>43999.666666666599</v>
      </c>
      <c r="B369" s="1">
        <f ca="1">IFERROR(__xludf.UNSUPPORTED("""COMPUTED_VALUE"""),87.9)</f>
        <v>87.9</v>
      </c>
      <c r="C369" s="2">
        <f t="shared" ca="1" si="1"/>
        <v>-1.3633265167006402E-3</v>
      </c>
    </row>
    <row r="370" spans="1:3">
      <c r="A370" s="3">
        <f ca="1">IFERROR(__xludf.UNSUPPORTED("""COMPUTED_VALUE"""),44000.6666666666)</f>
        <v>44000.666666666599</v>
      </c>
      <c r="B370" s="1">
        <f ca="1">IFERROR(__xludf.UNSUPPORTED("""COMPUTED_VALUE"""),87.93)</f>
        <v>87.93</v>
      </c>
      <c r="C370" s="2">
        <f t="shared" ca="1" si="1"/>
        <v>3.4129692832765796E-4</v>
      </c>
    </row>
    <row r="371" spans="1:3">
      <c r="A371" s="3">
        <f ca="1">IFERROR(__xludf.UNSUPPORTED("""COMPUTED_VALUE"""),44001.6666666666)</f>
        <v>44001.666666666599</v>
      </c>
      <c r="B371" s="1">
        <f ca="1">IFERROR(__xludf.UNSUPPORTED("""COMPUTED_VALUE"""),87.43)</f>
        <v>87.43</v>
      </c>
      <c r="C371" s="2">
        <f t="shared" ca="1" si="1"/>
        <v>-5.6863414079381322E-3</v>
      </c>
    </row>
    <row r="372" spans="1:3">
      <c r="A372" s="3">
        <f ca="1">IFERROR(__xludf.UNSUPPORTED("""COMPUTED_VALUE"""),44004.6666666666)</f>
        <v>44004.666666666599</v>
      </c>
      <c r="B372" s="1">
        <f ca="1">IFERROR(__xludf.UNSUPPORTED("""COMPUTED_VALUE"""),89.72)</f>
        <v>89.72</v>
      </c>
      <c r="C372" s="2">
        <f t="shared" ca="1" si="1"/>
        <v>2.6192382477410407E-2</v>
      </c>
    </row>
    <row r="373" spans="1:3">
      <c r="A373" s="3">
        <f ca="1">IFERROR(__xludf.UNSUPPORTED("""COMPUTED_VALUE"""),44005.6666666666)</f>
        <v>44005.666666666599</v>
      </c>
      <c r="B373" s="1">
        <f ca="1">IFERROR(__xludf.UNSUPPORTED("""COMPUTED_VALUE"""),91.63)</f>
        <v>91.63</v>
      </c>
      <c r="C373" s="2">
        <f t="shared" ca="1" si="1"/>
        <v>2.1288452964779277E-2</v>
      </c>
    </row>
    <row r="374" spans="1:3">
      <c r="A374" s="3">
        <f ca="1">IFERROR(__xludf.UNSUPPORTED("""COMPUTED_VALUE"""),44006.6666666666)</f>
        <v>44006.666666666599</v>
      </c>
      <c r="B374" s="1">
        <f ca="1">IFERROR(__xludf.UNSUPPORTED("""COMPUTED_VALUE"""),90.02)</f>
        <v>90.02</v>
      </c>
      <c r="C374" s="2">
        <f t="shared" ca="1" si="1"/>
        <v>-1.7570664629488152E-2</v>
      </c>
    </row>
    <row r="375" spans="1:3">
      <c r="A375" s="3">
        <f ca="1">IFERROR(__xludf.UNSUPPORTED("""COMPUTED_VALUE"""),44007.6666666666)</f>
        <v>44007.666666666599</v>
      </c>
      <c r="B375" s="1">
        <f ca="1">IFERROR(__xludf.UNSUPPORTED("""COMPUTED_VALUE"""),91.21)</f>
        <v>91.21</v>
      </c>
      <c r="C375" s="2">
        <f t="shared" ca="1" si="1"/>
        <v>1.3219284603421437E-2</v>
      </c>
    </row>
    <row r="376" spans="1:3">
      <c r="A376" s="3">
        <f ca="1">IFERROR(__xludf.UNSUPPORTED("""COMPUTED_VALUE"""),44008.6666666666)</f>
        <v>44008.666666666599</v>
      </c>
      <c r="B376" s="1">
        <f ca="1">IFERROR(__xludf.UNSUPPORTED("""COMPUTED_VALUE"""),88.41)</f>
        <v>88.41</v>
      </c>
      <c r="C376" s="2">
        <f t="shared" ca="1" si="1"/>
        <v>-3.0698388334612404E-2</v>
      </c>
    </row>
    <row r="377" spans="1:3">
      <c r="A377" s="3">
        <f ca="1">IFERROR(__xludf.UNSUPPORTED("""COMPUTED_VALUE"""),44011.6666666666)</f>
        <v>44011.666666666599</v>
      </c>
      <c r="B377" s="1">
        <f ca="1">IFERROR(__xludf.UNSUPPORTED("""COMPUTED_VALUE"""),90.45)</f>
        <v>90.45</v>
      </c>
      <c r="C377" s="2">
        <f t="shared" ca="1" si="1"/>
        <v>2.3074312860536211E-2</v>
      </c>
    </row>
    <row r="378" spans="1:3">
      <c r="A378" s="3">
        <f ca="1">IFERROR(__xludf.UNSUPPORTED("""COMPUTED_VALUE"""),44012.6666666666)</f>
        <v>44012.666666666599</v>
      </c>
      <c r="B378" s="1">
        <f ca="1">IFERROR(__xludf.UNSUPPORTED("""COMPUTED_VALUE"""),91.2)</f>
        <v>91.2</v>
      </c>
      <c r="C378" s="2">
        <f t="shared" ca="1" si="1"/>
        <v>8.291873963515755E-3</v>
      </c>
    </row>
    <row r="379" spans="1:3">
      <c r="A379" s="3">
        <f ca="1">IFERROR(__xludf.UNSUPPORTED("""COMPUTED_VALUE"""),44013.6666666666)</f>
        <v>44013.666666666599</v>
      </c>
      <c r="B379" s="1">
        <f ca="1">IFERROR(__xludf.UNSUPPORTED("""COMPUTED_VALUE"""),91.03)</f>
        <v>91.03</v>
      </c>
      <c r="C379" s="2">
        <f t="shared" ca="1" si="1"/>
        <v>-1.8640350877193168E-3</v>
      </c>
    </row>
    <row r="380" spans="1:3">
      <c r="A380" s="3">
        <f ca="1">IFERROR(__xludf.UNSUPPORTED("""COMPUTED_VALUE"""),44014.6666666666)</f>
        <v>44014.666666666599</v>
      </c>
      <c r="B380" s="1">
        <f ca="1">IFERROR(__xludf.UNSUPPORTED("""COMPUTED_VALUE"""),91.03)</f>
        <v>91.03</v>
      </c>
      <c r="C380" s="2">
        <f t="shared" ca="1" si="1"/>
        <v>0</v>
      </c>
    </row>
    <row r="381" spans="1:3">
      <c r="A381" s="3">
        <f ca="1">IFERROR(__xludf.UNSUPPORTED("""COMPUTED_VALUE"""),44018.6666666666)</f>
        <v>44018.666666666599</v>
      </c>
      <c r="B381" s="1">
        <f ca="1">IFERROR(__xludf.UNSUPPORTED("""COMPUTED_VALUE"""),93.46)</f>
        <v>93.46</v>
      </c>
      <c r="C381" s="2">
        <f t="shared" ca="1" si="1"/>
        <v>2.669449631989446E-2</v>
      </c>
    </row>
    <row r="382" spans="1:3">
      <c r="A382" s="3">
        <f ca="1">IFERROR(__xludf.UNSUPPORTED("""COMPUTED_VALUE"""),44019.6666666666)</f>
        <v>44019.666666666599</v>
      </c>
      <c r="B382" s="1">
        <f ca="1">IFERROR(__xludf.UNSUPPORTED("""COMPUTED_VALUE"""),93.17)</f>
        <v>93.17</v>
      </c>
      <c r="C382" s="2">
        <f t="shared" ca="1" si="1"/>
        <v>-3.1029317355017339E-3</v>
      </c>
    </row>
    <row r="383" spans="1:3">
      <c r="A383" s="3">
        <f ca="1">IFERROR(__xludf.UNSUPPORTED("""COMPUTED_VALUE"""),44020.6666666666)</f>
        <v>44020.666666666599</v>
      </c>
      <c r="B383" s="1">
        <f ca="1">IFERROR(__xludf.UNSUPPORTED("""COMPUTED_VALUE"""),95.34)</f>
        <v>95.34</v>
      </c>
      <c r="C383" s="2">
        <f t="shared" ca="1" si="1"/>
        <v>2.329075882794893E-2</v>
      </c>
    </row>
    <row r="384" spans="1:3">
      <c r="A384" s="3">
        <f ca="1">IFERROR(__xludf.UNSUPPORTED("""COMPUTED_VALUE"""),44021.6666666666)</f>
        <v>44021.666666666599</v>
      </c>
      <c r="B384" s="1">
        <f ca="1">IFERROR(__xludf.UNSUPPORTED("""COMPUTED_VALUE"""),95.68)</f>
        <v>95.68</v>
      </c>
      <c r="C384" s="2">
        <f t="shared" ca="1" si="1"/>
        <v>3.5661841829243068E-3</v>
      </c>
    </row>
    <row r="385" spans="1:3">
      <c r="A385" s="3">
        <f ca="1">IFERROR(__xludf.UNSUPPORTED("""COMPUTED_VALUE"""),44022.6666666666)</f>
        <v>44022.666666666599</v>
      </c>
      <c r="B385" s="1">
        <f ca="1">IFERROR(__xludf.UNSUPPORTED("""COMPUTED_VALUE"""),95.92)</f>
        <v>95.92</v>
      </c>
      <c r="C385" s="2">
        <f t="shared" ca="1" si="1"/>
        <v>2.5083612040133242E-3</v>
      </c>
    </row>
    <row r="386" spans="1:3">
      <c r="A386" s="3">
        <f ca="1">IFERROR(__xludf.UNSUPPORTED("""COMPUTED_VALUE"""),44025.6666666666)</f>
        <v>44025.666666666599</v>
      </c>
      <c r="B386" s="1">
        <f ca="1">IFERROR(__xludf.UNSUPPORTED("""COMPUTED_VALUE"""),95.48)</f>
        <v>95.48</v>
      </c>
      <c r="C386" s="2">
        <f t="shared" ca="1" si="1"/>
        <v>-4.5871559633027283E-3</v>
      </c>
    </row>
    <row r="387" spans="1:3">
      <c r="A387" s="3">
        <f ca="1">IFERROR(__xludf.UNSUPPORTED("""COMPUTED_VALUE"""),44026.6666666666)</f>
        <v>44026.666666666599</v>
      </c>
      <c r="B387" s="1">
        <f ca="1">IFERROR(__xludf.UNSUPPORTED("""COMPUTED_VALUE"""),97.06)</f>
        <v>97.06</v>
      </c>
      <c r="C387" s="2">
        <f t="shared" ca="1" si="1"/>
        <v>1.6547968160871368E-2</v>
      </c>
    </row>
    <row r="388" spans="1:3">
      <c r="A388" s="3">
        <f ca="1">IFERROR(__xludf.UNSUPPORTED("""COMPUTED_VALUE"""),44027.6666666666)</f>
        <v>44027.666666666599</v>
      </c>
      <c r="B388" s="1">
        <f ca="1">IFERROR(__xludf.UNSUPPORTED("""COMPUTED_VALUE"""),97.73)</f>
        <v>97.73</v>
      </c>
      <c r="C388" s="2">
        <f t="shared" ca="1" si="1"/>
        <v>6.9029466309499452E-3</v>
      </c>
    </row>
    <row r="389" spans="1:3">
      <c r="A389" s="3">
        <f ca="1">IFERROR(__xludf.UNSUPPORTED("""COMPUTED_VALUE"""),44028.6666666666)</f>
        <v>44028.666666666599</v>
      </c>
      <c r="B389" s="1">
        <f ca="1">IFERROR(__xludf.UNSUPPORTED("""COMPUTED_VALUE"""),96.52)</f>
        <v>96.52</v>
      </c>
      <c r="C389" s="2">
        <f t="shared" ca="1" si="1"/>
        <v>-1.2381049831167583E-2</v>
      </c>
    </row>
    <row r="390" spans="1:3">
      <c r="A390" s="3">
        <f ca="1">IFERROR(__xludf.UNSUPPORTED("""COMPUTED_VALUE"""),44029.6666666666)</f>
        <v>44029.666666666599</v>
      </c>
      <c r="B390" s="1">
        <f ca="1">IFERROR(__xludf.UNSUPPORTED("""COMPUTED_VALUE"""),96.33)</f>
        <v>96.33</v>
      </c>
      <c r="C390" s="2">
        <f t="shared" ca="1" si="1"/>
        <v>-1.9685039370078506E-3</v>
      </c>
    </row>
    <row r="391" spans="1:3">
      <c r="A391" s="3">
        <f ca="1">IFERROR(__xludf.UNSUPPORTED("""COMPUTED_VALUE"""),44032.6666666666)</f>
        <v>44032.666666666599</v>
      </c>
      <c r="B391" s="1">
        <f ca="1">IFERROR(__xludf.UNSUPPORTED("""COMPUTED_VALUE"""),98.36)</f>
        <v>98.36</v>
      </c>
      <c r="C391" s="2">
        <f t="shared" ca="1" si="1"/>
        <v>2.1073393543029183E-2</v>
      </c>
    </row>
    <row r="392" spans="1:3">
      <c r="A392" s="3">
        <f ca="1">IFERROR(__xludf.UNSUPPORTED("""COMPUTED_VALUE"""),44033.6666666666)</f>
        <v>44033.666666666599</v>
      </c>
      <c r="B392" s="1">
        <f ca="1">IFERROR(__xludf.UNSUPPORTED("""COMPUTED_VALUE"""),97)</f>
        <v>97</v>
      </c>
      <c r="C392" s="2">
        <f t="shared" ca="1" si="1"/>
        <v>-1.3826758845058962E-2</v>
      </c>
    </row>
    <row r="393" spans="1:3">
      <c r="A393" s="3">
        <f ca="1">IFERROR(__xludf.UNSUPPORTED("""COMPUTED_VALUE"""),44034.6666666666)</f>
        <v>44034.666666666599</v>
      </c>
      <c r="B393" s="1">
        <f ca="1">IFERROR(__xludf.UNSUPPORTED("""COMPUTED_VALUE"""),97.27)</f>
        <v>97.27</v>
      </c>
      <c r="C393" s="2">
        <f t="shared" ca="1" si="1"/>
        <v>2.7835051546391343E-3</v>
      </c>
    </row>
    <row r="394" spans="1:3">
      <c r="A394" s="3">
        <f ca="1">IFERROR(__xludf.UNSUPPORTED("""COMPUTED_VALUE"""),44035.6666666666)</f>
        <v>44035.666666666599</v>
      </c>
      <c r="B394" s="1">
        <f ca="1">IFERROR(__xludf.UNSUPPORTED("""COMPUTED_VALUE"""),92.85)</f>
        <v>92.85</v>
      </c>
      <c r="C394" s="2">
        <f t="shared" ca="1" si="1"/>
        <v>-4.5440526369898239E-2</v>
      </c>
    </row>
    <row r="395" spans="1:3">
      <c r="A395" s="3">
        <f ca="1">IFERROR(__xludf.UNSUPPORTED("""COMPUTED_VALUE"""),44036.6666666666)</f>
        <v>44036.666666666599</v>
      </c>
      <c r="B395" s="1">
        <f ca="1">IFERROR(__xludf.UNSUPPORTED("""COMPUTED_VALUE"""),92.62)</f>
        <v>92.62</v>
      </c>
      <c r="C395" s="2">
        <f t="shared" ca="1" si="1"/>
        <v>-2.4771136241248225E-3</v>
      </c>
    </row>
    <row r="396" spans="1:3">
      <c r="A396" s="3">
        <f ca="1">IFERROR(__xludf.UNSUPPORTED("""COMPUTED_VALUE"""),44039.6666666666)</f>
        <v>44039.666666666599</v>
      </c>
      <c r="B396" s="1">
        <f ca="1">IFERROR(__xludf.UNSUPPORTED("""COMPUTED_VALUE"""),94.81)</f>
        <v>94.81</v>
      </c>
      <c r="C396" s="2">
        <f t="shared" ca="1" si="1"/>
        <v>2.364500107968039E-2</v>
      </c>
    </row>
    <row r="397" spans="1:3">
      <c r="A397" s="3">
        <f ca="1">IFERROR(__xludf.UNSUPPORTED("""COMPUTED_VALUE"""),44040.6666666666)</f>
        <v>44040.666666666599</v>
      </c>
      <c r="B397" s="1">
        <f ca="1">IFERROR(__xludf.UNSUPPORTED("""COMPUTED_VALUE"""),93.25)</f>
        <v>93.25</v>
      </c>
      <c r="C397" s="2">
        <f t="shared" ca="1" si="1"/>
        <v>-1.6453960552684339E-2</v>
      </c>
    </row>
    <row r="398" spans="1:3">
      <c r="A398" s="3">
        <f ca="1">IFERROR(__xludf.UNSUPPORTED("""COMPUTED_VALUE"""),44041.6666666666)</f>
        <v>44041.666666666599</v>
      </c>
      <c r="B398" s="1">
        <f ca="1">IFERROR(__xludf.UNSUPPORTED("""COMPUTED_VALUE"""),95.04)</f>
        <v>95.04</v>
      </c>
      <c r="C398" s="2">
        <f t="shared" ca="1" si="1"/>
        <v>1.9195710455764143E-2</v>
      </c>
    </row>
    <row r="399" spans="1:3">
      <c r="A399" s="3">
        <f ca="1">IFERROR(__xludf.UNSUPPORTED("""COMPUTED_VALUE"""),44042.6666666666)</f>
        <v>44042.666666666599</v>
      </c>
      <c r="B399" s="1">
        <f ca="1">IFERROR(__xludf.UNSUPPORTED("""COMPUTED_VALUE"""),96.19)</f>
        <v>96.19</v>
      </c>
      <c r="C399" s="2">
        <f t="shared" ca="1" si="1"/>
        <v>1.210016835016826E-2</v>
      </c>
    </row>
    <row r="400" spans="1:3">
      <c r="A400" s="3">
        <f ca="1">IFERROR(__xludf.UNSUPPORTED("""COMPUTED_VALUE"""),44043.6666666666)</f>
        <v>44043.666666666599</v>
      </c>
      <c r="B400" s="1">
        <f ca="1">IFERROR(__xludf.UNSUPPORTED("""COMPUTED_VALUE"""),106.26)</f>
        <v>106.26</v>
      </c>
      <c r="C400" s="2">
        <f t="shared" ca="1" si="1"/>
        <v>0.10468863707246083</v>
      </c>
    </row>
    <row r="401" spans="1:3">
      <c r="A401" s="3">
        <f ca="1">IFERROR(__xludf.UNSUPPORTED("""COMPUTED_VALUE"""),44046.6666666666)</f>
        <v>44046.666666666599</v>
      </c>
      <c r="B401" s="1">
        <f ca="1">IFERROR(__xludf.UNSUPPORTED("""COMPUTED_VALUE"""),108.94)</f>
        <v>108.94</v>
      </c>
      <c r="C401" s="2">
        <f t="shared" ca="1" si="1"/>
        <v>2.5221155655938195E-2</v>
      </c>
    </row>
    <row r="402" spans="1:3">
      <c r="A402" s="3">
        <f ca="1">IFERROR(__xludf.UNSUPPORTED("""COMPUTED_VALUE"""),44047.6666666666)</f>
        <v>44047.666666666599</v>
      </c>
      <c r="B402" s="1">
        <f ca="1">IFERROR(__xludf.UNSUPPORTED("""COMPUTED_VALUE"""),109.67)</f>
        <v>109.67</v>
      </c>
      <c r="C402" s="2">
        <f t="shared" ca="1" si="1"/>
        <v>6.7009362952084083E-3</v>
      </c>
    </row>
    <row r="403" spans="1:3">
      <c r="A403" s="3">
        <f ca="1">IFERROR(__xludf.UNSUPPORTED("""COMPUTED_VALUE"""),44048.6666666666)</f>
        <v>44048.666666666599</v>
      </c>
      <c r="B403" s="1">
        <f ca="1">IFERROR(__xludf.UNSUPPORTED("""COMPUTED_VALUE"""),110.06)</f>
        <v>110.06</v>
      </c>
      <c r="C403" s="2">
        <f t="shared" ca="1" si="1"/>
        <v>3.5561229141971421E-3</v>
      </c>
    </row>
    <row r="404" spans="1:3">
      <c r="A404" s="3">
        <f ca="1">IFERROR(__xludf.UNSUPPORTED("""COMPUTED_VALUE"""),44049.6666666666)</f>
        <v>44049.666666666599</v>
      </c>
      <c r="B404" s="1">
        <f ca="1">IFERROR(__xludf.UNSUPPORTED("""COMPUTED_VALUE"""),113.9)</f>
        <v>113.9</v>
      </c>
      <c r="C404" s="2">
        <f t="shared" ca="1" si="1"/>
        <v>3.4890059967290596E-2</v>
      </c>
    </row>
    <row r="405" spans="1:3">
      <c r="A405" s="3">
        <f ca="1">IFERROR(__xludf.UNSUPPORTED("""COMPUTED_VALUE"""),44050.6666666666)</f>
        <v>44050.666666666599</v>
      </c>
      <c r="B405" s="1">
        <f ca="1">IFERROR(__xludf.UNSUPPORTED("""COMPUTED_VALUE"""),111.11)</f>
        <v>111.11</v>
      </c>
      <c r="C405" s="2">
        <f t="shared" ca="1" si="1"/>
        <v>-2.4495171202809536E-2</v>
      </c>
    </row>
    <row r="406" spans="1:3">
      <c r="A406" s="3">
        <f ca="1">IFERROR(__xludf.UNSUPPORTED("""COMPUTED_VALUE"""),44053.6666666666)</f>
        <v>44053.666666666599</v>
      </c>
      <c r="B406" s="1">
        <f ca="1">IFERROR(__xludf.UNSUPPORTED("""COMPUTED_VALUE"""),112.73)</f>
        <v>112.73</v>
      </c>
      <c r="C406" s="2">
        <f t="shared" ca="1" si="1"/>
        <v>1.4580145801458055E-2</v>
      </c>
    </row>
    <row r="407" spans="1:3">
      <c r="A407" s="3">
        <f ca="1">IFERROR(__xludf.UNSUPPORTED("""COMPUTED_VALUE"""),44054.6666666666)</f>
        <v>44054.666666666599</v>
      </c>
      <c r="B407" s="1">
        <f ca="1">IFERROR(__xludf.UNSUPPORTED("""COMPUTED_VALUE"""),109.38)</f>
        <v>109.38</v>
      </c>
      <c r="C407" s="2">
        <f t="shared" ca="1" si="1"/>
        <v>-2.9717022975250675E-2</v>
      </c>
    </row>
    <row r="408" spans="1:3">
      <c r="A408" s="3">
        <f ca="1">IFERROR(__xludf.UNSUPPORTED("""COMPUTED_VALUE"""),44055.6666666666)</f>
        <v>44055.666666666599</v>
      </c>
      <c r="B408" s="1">
        <f ca="1">IFERROR(__xludf.UNSUPPORTED("""COMPUTED_VALUE"""),113.01)</f>
        <v>113.01</v>
      </c>
      <c r="C408" s="2">
        <f t="shared" ca="1" si="1"/>
        <v>3.3187054306088953E-2</v>
      </c>
    </row>
    <row r="409" spans="1:3">
      <c r="A409" s="3">
        <f ca="1">IFERROR(__xludf.UNSUPPORTED("""COMPUTED_VALUE"""),44056.6666666666)</f>
        <v>44056.666666666599</v>
      </c>
      <c r="B409" s="1">
        <f ca="1">IFERROR(__xludf.UNSUPPORTED("""COMPUTED_VALUE"""),115.01)</f>
        <v>115.01</v>
      </c>
      <c r="C409" s="2">
        <f t="shared" ca="1" si="1"/>
        <v>1.7697548889478807E-2</v>
      </c>
    </row>
    <row r="410" spans="1:3">
      <c r="A410" s="3">
        <f ca="1">IFERROR(__xludf.UNSUPPORTED("""COMPUTED_VALUE"""),44057.6666666666)</f>
        <v>44057.666666666599</v>
      </c>
      <c r="B410" s="1">
        <f ca="1">IFERROR(__xludf.UNSUPPORTED("""COMPUTED_VALUE"""),114.91)</f>
        <v>114.91</v>
      </c>
      <c r="C410" s="2">
        <f t="shared" ca="1" si="1"/>
        <v>-8.6948960959923934E-4</v>
      </c>
    </row>
    <row r="411" spans="1:3">
      <c r="A411" s="3">
        <f ca="1">IFERROR(__xludf.UNSUPPORTED("""COMPUTED_VALUE"""),44060.6666666666)</f>
        <v>44060.666666666599</v>
      </c>
      <c r="B411" s="1">
        <f ca="1">IFERROR(__xludf.UNSUPPORTED("""COMPUTED_VALUE"""),114.61)</f>
        <v>114.61</v>
      </c>
      <c r="C411" s="2">
        <f t="shared" ca="1" si="1"/>
        <v>-2.6107388390914383E-3</v>
      </c>
    </row>
    <row r="412" spans="1:3">
      <c r="A412" s="3">
        <f ca="1">IFERROR(__xludf.UNSUPPORTED("""COMPUTED_VALUE"""),44061.6666666666)</f>
        <v>44061.666666666599</v>
      </c>
      <c r="B412" s="1">
        <f ca="1">IFERROR(__xludf.UNSUPPORTED("""COMPUTED_VALUE"""),115.56)</f>
        <v>115.56</v>
      </c>
      <c r="C412" s="2">
        <f t="shared" ca="1" si="1"/>
        <v>8.2889800191955579E-3</v>
      </c>
    </row>
    <row r="413" spans="1:3">
      <c r="A413" s="3">
        <f ca="1">IFERROR(__xludf.UNSUPPORTED("""COMPUTED_VALUE"""),44062.6666666666)</f>
        <v>44062.666666666599</v>
      </c>
      <c r="B413" s="1">
        <f ca="1">IFERROR(__xludf.UNSUPPORTED("""COMPUTED_VALUE"""),115.71)</f>
        <v>115.71</v>
      </c>
      <c r="C413" s="2">
        <f t="shared" ca="1" si="1"/>
        <v>1.2980269989615045E-3</v>
      </c>
    </row>
    <row r="414" spans="1:3">
      <c r="A414" s="3">
        <f ca="1">IFERROR(__xludf.UNSUPPORTED("""COMPUTED_VALUE"""),44063.6666666666)</f>
        <v>44063.666666666599</v>
      </c>
      <c r="B414" s="1">
        <f ca="1">IFERROR(__xludf.UNSUPPORTED("""COMPUTED_VALUE"""),118.28)</f>
        <v>118.28</v>
      </c>
      <c r="C414" s="2">
        <f t="shared" ca="1" si="1"/>
        <v>2.2210699161697413E-2</v>
      </c>
    </row>
    <row r="415" spans="1:3">
      <c r="A415" s="3">
        <f ca="1">IFERROR(__xludf.UNSUPPORTED("""COMPUTED_VALUE"""),44064.6666666666)</f>
        <v>44064.666666666599</v>
      </c>
      <c r="B415" s="1">
        <f ca="1">IFERROR(__xludf.UNSUPPORTED("""COMPUTED_VALUE"""),124.37)</f>
        <v>124.37</v>
      </c>
      <c r="C415" s="2">
        <f t="shared" ca="1" si="1"/>
        <v>5.1487994589110617E-2</v>
      </c>
    </row>
    <row r="416" spans="1:3">
      <c r="A416" s="3">
        <f ca="1">IFERROR(__xludf.UNSUPPORTED("""COMPUTED_VALUE"""),44067.6666666666)</f>
        <v>44067.666666666599</v>
      </c>
      <c r="B416" s="1">
        <f ca="1">IFERROR(__xludf.UNSUPPORTED("""COMPUTED_VALUE"""),125.86)</f>
        <v>125.86</v>
      </c>
      <c r="C416" s="2">
        <f t="shared" ca="1" si="1"/>
        <v>1.1980381120849037E-2</v>
      </c>
    </row>
    <row r="417" spans="1:3">
      <c r="A417" s="3">
        <f ca="1">IFERROR(__xludf.UNSUPPORTED("""COMPUTED_VALUE"""),44068.6666666666)</f>
        <v>44068.666666666599</v>
      </c>
      <c r="B417" s="1">
        <f ca="1">IFERROR(__xludf.UNSUPPORTED("""COMPUTED_VALUE"""),124.83)</f>
        <v>124.83</v>
      </c>
      <c r="C417" s="2">
        <f t="shared" ca="1" si="1"/>
        <v>-8.1836961703480142E-3</v>
      </c>
    </row>
    <row r="418" spans="1:3">
      <c r="A418" s="3">
        <f ca="1">IFERROR(__xludf.UNSUPPORTED("""COMPUTED_VALUE"""),44069.6666666666)</f>
        <v>44069.666666666599</v>
      </c>
      <c r="B418" s="1">
        <f ca="1">IFERROR(__xludf.UNSUPPORTED("""COMPUTED_VALUE"""),126.52)</f>
        <v>126.52</v>
      </c>
      <c r="C418" s="2">
        <f t="shared" ca="1" si="1"/>
        <v>1.3538412240647262E-2</v>
      </c>
    </row>
    <row r="419" spans="1:3">
      <c r="A419" s="3">
        <f ca="1">IFERROR(__xludf.UNSUPPORTED("""COMPUTED_VALUE"""),44070.6666666666)</f>
        <v>44070.666666666599</v>
      </c>
      <c r="B419" s="1">
        <f ca="1">IFERROR(__xludf.UNSUPPORTED("""COMPUTED_VALUE"""),125.01)</f>
        <v>125.01</v>
      </c>
      <c r="C419" s="2">
        <f t="shared" ca="1" si="1"/>
        <v>-1.1934871957002774E-2</v>
      </c>
    </row>
    <row r="420" spans="1:3">
      <c r="A420" s="3">
        <f ca="1">IFERROR(__xludf.UNSUPPORTED("""COMPUTED_VALUE"""),44071.6666666666)</f>
        <v>44071.666666666599</v>
      </c>
      <c r="B420" s="1">
        <f ca="1">IFERROR(__xludf.UNSUPPORTED("""COMPUTED_VALUE"""),124.81)</f>
        <v>124.81</v>
      </c>
      <c r="C420" s="2">
        <f t="shared" ca="1" si="1"/>
        <v>-1.5998720102392036E-3</v>
      </c>
    </row>
    <row r="421" spans="1:3">
      <c r="A421" s="3">
        <f ca="1">IFERROR(__xludf.UNSUPPORTED("""COMPUTED_VALUE"""),44074.6666666666)</f>
        <v>44074.666666666599</v>
      </c>
      <c r="B421" s="1">
        <f ca="1">IFERROR(__xludf.UNSUPPORTED("""COMPUTED_VALUE"""),129.04)</f>
        <v>129.04</v>
      </c>
      <c r="C421" s="2">
        <f t="shared" ca="1" si="1"/>
        <v>3.3891515102956411E-2</v>
      </c>
    </row>
    <row r="422" spans="1:3">
      <c r="A422" s="3">
        <f ca="1">IFERROR(__xludf.UNSUPPORTED("""COMPUTED_VALUE"""),44075.6666666666)</f>
        <v>44075.666666666599</v>
      </c>
      <c r="B422" s="1">
        <f ca="1">IFERROR(__xludf.UNSUPPORTED("""COMPUTED_VALUE"""),134.18)</f>
        <v>134.18</v>
      </c>
      <c r="C422" s="2">
        <f t="shared" ca="1" si="1"/>
        <v>3.9832610043397512E-2</v>
      </c>
    </row>
    <row r="423" spans="1:3">
      <c r="A423" s="3">
        <f ca="1">IFERROR(__xludf.UNSUPPORTED("""COMPUTED_VALUE"""),44076.6666666666)</f>
        <v>44076.666666666599</v>
      </c>
      <c r="B423" s="1">
        <f ca="1">IFERROR(__xludf.UNSUPPORTED("""COMPUTED_VALUE"""),131.4)</f>
        <v>131.4</v>
      </c>
      <c r="C423" s="2">
        <f t="shared" ca="1" si="1"/>
        <v>-2.0718437919213004E-2</v>
      </c>
    </row>
    <row r="424" spans="1:3">
      <c r="A424" s="3">
        <f ca="1">IFERROR(__xludf.UNSUPPORTED("""COMPUTED_VALUE"""),44077.6666666666)</f>
        <v>44077.666666666599</v>
      </c>
      <c r="B424" s="1">
        <f ca="1">IFERROR(__xludf.UNSUPPORTED("""COMPUTED_VALUE"""),120.88)</f>
        <v>120.88</v>
      </c>
      <c r="C424" s="2">
        <f t="shared" ca="1" si="1"/>
        <v>-8.0060882800608899E-2</v>
      </c>
    </row>
    <row r="425" spans="1:3">
      <c r="A425" s="3">
        <f ca="1">IFERROR(__xludf.UNSUPPORTED("""COMPUTED_VALUE"""),44078.6666666666)</f>
        <v>44078.666666666599</v>
      </c>
      <c r="B425" s="1">
        <f ca="1">IFERROR(__xludf.UNSUPPORTED("""COMPUTED_VALUE"""),120.96)</f>
        <v>120.96</v>
      </c>
      <c r="C425" s="2">
        <f t="shared" ca="1" si="1"/>
        <v>6.6181336863003223E-4</v>
      </c>
    </row>
    <row r="426" spans="1:3">
      <c r="A426" s="3">
        <f ca="1">IFERROR(__xludf.UNSUPPORTED("""COMPUTED_VALUE"""),44082.6666666666)</f>
        <v>44082.666666666599</v>
      </c>
      <c r="B426" s="1">
        <f ca="1">IFERROR(__xludf.UNSUPPORTED("""COMPUTED_VALUE"""),112.82)</f>
        <v>112.82</v>
      </c>
      <c r="C426" s="2">
        <f t="shared" ca="1" si="1"/>
        <v>-6.7294973544973546E-2</v>
      </c>
    </row>
    <row r="427" spans="1:3">
      <c r="A427" s="3">
        <f ca="1">IFERROR(__xludf.UNSUPPORTED("""COMPUTED_VALUE"""),44083.6666666666)</f>
        <v>44083.666666666599</v>
      </c>
      <c r="B427" s="1">
        <f ca="1">IFERROR(__xludf.UNSUPPORTED("""COMPUTED_VALUE"""),117.32)</f>
        <v>117.32</v>
      </c>
      <c r="C427" s="2">
        <f t="shared" ca="1" si="1"/>
        <v>3.9886544938840633E-2</v>
      </c>
    </row>
    <row r="428" spans="1:3">
      <c r="A428" s="3">
        <f ca="1">IFERROR(__xludf.UNSUPPORTED("""COMPUTED_VALUE"""),44084.6666666666)</f>
        <v>44084.666666666599</v>
      </c>
      <c r="B428" s="1">
        <f ca="1">IFERROR(__xludf.UNSUPPORTED("""COMPUTED_VALUE"""),113.49)</f>
        <v>113.49</v>
      </c>
      <c r="C428" s="2">
        <f t="shared" ca="1" si="1"/>
        <v>-3.2645755199454472E-2</v>
      </c>
    </row>
    <row r="429" spans="1:3">
      <c r="A429" s="3">
        <f ca="1">IFERROR(__xludf.UNSUPPORTED("""COMPUTED_VALUE"""),44085.6666666666)</f>
        <v>44085.666666666599</v>
      </c>
      <c r="B429" s="1">
        <f ca="1">IFERROR(__xludf.UNSUPPORTED("""COMPUTED_VALUE"""),112)</f>
        <v>112</v>
      </c>
      <c r="C429" s="2">
        <f t="shared" ca="1" si="1"/>
        <v>-1.3128910036126486E-2</v>
      </c>
    </row>
    <row r="430" spans="1:3">
      <c r="A430" s="3">
        <f ca="1">IFERROR(__xludf.UNSUPPORTED("""COMPUTED_VALUE"""),44088.6666666666)</f>
        <v>44088.666666666599</v>
      </c>
      <c r="B430" s="1">
        <f ca="1">IFERROR(__xludf.UNSUPPORTED("""COMPUTED_VALUE"""),115.36)</f>
        <v>115.36</v>
      </c>
      <c r="C430" s="2">
        <f t="shared" ca="1" si="1"/>
        <v>2.9999999999999995E-2</v>
      </c>
    </row>
    <row r="431" spans="1:3">
      <c r="A431" s="3">
        <f ca="1">IFERROR(__xludf.UNSUPPORTED("""COMPUTED_VALUE"""),44089.6666666666)</f>
        <v>44089.666666666599</v>
      </c>
      <c r="B431" s="1">
        <f ca="1">IFERROR(__xludf.UNSUPPORTED("""COMPUTED_VALUE"""),115.54)</f>
        <v>115.54</v>
      </c>
      <c r="C431" s="2">
        <f t="shared" ca="1" si="1"/>
        <v>1.5603328710125418E-3</v>
      </c>
    </row>
    <row r="432" spans="1:3">
      <c r="A432" s="3">
        <f ca="1">IFERROR(__xludf.UNSUPPORTED("""COMPUTED_VALUE"""),44090.6666666666)</f>
        <v>44090.666666666599</v>
      </c>
      <c r="B432" s="1">
        <f ca="1">IFERROR(__xludf.UNSUPPORTED("""COMPUTED_VALUE"""),112.13)</f>
        <v>112.13</v>
      </c>
      <c r="C432" s="2">
        <f t="shared" ca="1" si="1"/>
        <v>-2.9513588367664968E-2</v>
      </c>
    </row>
    <row r="433" spans="1:3">
      <c r="A433" s="3">
        <f ca="1">IFERROR(__xludf.UNSUPPORTED("""COMPUTED_VALUE"""),44091.6666666666)</f>
        <v>44091.666666666599</v>
      </c>
      <c r="B433" s="1">
        <f ca="1">IFERROR(__xludf.UNSUPPORTED("""COMPUTED_VALUE"""),110.34)</f>
        <v>110.34</v>
      </c>
      <c r="C433" s="2">
        <f t="shared" ca="1" si="1"/>
        <v>-1.5963613662712851E-2</v>
      </c>
    </row>
    <row r="434" spans="1:3">
      <c r="A434" s="3">
        <f ca="1">IFERROR(__xludf.UNSUPPORTED("""COMPUTED_VALUE"""),44092.6666666666)</f>
        <v>44092.666666666599</v>
      </c>
      <c r="B434" s="1">
        <f ca="1">IFERROR(__xludf.UNSUPPORTED("""COMPUTED_VALUE"""),106.84)</f>
        <v>106.84</v>
      </c>
      <c r="C434" s="2">
        <f t="shared" ca="1" si="1"/>
        <v>-3.1720137756026827E-2</v>
      </c>
    </row>
    <row r="435" spans="1:3">
      <c r="A435" s="3">
        <f ca="1">IFERROR(__xludf.UNSUPPORTED("""COMPUTED_VALUE"""),44095.6666666666)</f>
        <v>44095.666666666599</v>
      </c>
      <c r="B435" s="1">
        <f ca="1">IFERROR(__xludf.UNSUPPORTED("""COMPUTED_VALUE"""),110.08)</f>
        <v>110.08</v>
      </c>
      <c r="C435" s="2">
        <f t="shared" ca="1" si="1"/>
        <v>3.0325720703856186E-2</v>
      </c>
    </row>
    <row r="436" spans="1:3">
      <c r="A436" s="3">
        <f ca="1">IFERROR(__xludf.UNSUPPORTED("""COMPUTED_VALUE"""),44096.6666666666)</f>
        <v>44096.666666666599</v>
      </c>
      <c r="B436" s="1">
        <f ca="1">IFERROR(__xludf.UNSUPPORTED("""COMPUTED_VALUE"""),111.81)</f>
        <v>111.81</v>
      </c>
      <c r="C436" s="2">
        <f t="shared" ca="1" si="1"/>
        <v>1.5715843023255849E-2</v>
      </c>
    </row>
    <row r="437" spans="1:3">
      <c r="A437" s="3">
        <f ca="1">IFERROR(__xludf.UNSUPPORTED("""COMPUTED_VALUE"""),44097.6666666666)</f>
        <v>44097.666666666599</v>
      </c>
      <c r="B437" s="1">
        <f ca="1">IFERROR(__xludf.UNSUPPORTED("""COMPUTED_VALUE"""),107.12)</f>
        <v>107.12</v>
      </c>
      <c r="C437" s="2">
        <f t="shared" ca="1" si="1"/>
        <v>-4.1946158662015898E-2</v>
      </c>
    </row>
    <row r="438" spans="1:3">
      <c r="A438" s="3">
        <f ca="1">IFERROR(__xludf.UNSUPPORTED("""COMPUTED_VALUE"""),44098.6666666666)</f>
        <v>44098.666666666599</v>
      </c>
      <c r="B438" s="1">
        <f ca="1">IFERROR(__xludf.UNSUPPORTED("""COMPUTED_VALUE"""),108.22)</f>
        <v>108.22</v>
      </c>
      <c r="C438" s="2">
        <f t="shared" ca="1" si="1"/>
        <v>1.0268857356235943E-2</v>
      </c>
    </row>
    <row r="439" spans="1:3">
      <c r="A439" s="3">
        <f ca="1">IFERROR(__xludf.UNSUPPORTED("""COMPUTED_VALUE"""),44099.6666666666)</f>
        <v>44099.666666666599</v>
      </c>
      <c r="B439" s="1">
        <f ca="1">IFERROR(__xludf.UNSUPPORTED("""COMPUTED_VALUE"""),112.28)</f>
        <v>112.28</v>
      </c>
      <c r="C439" s="2">
        <f t="shared" ca="1" si="1"/>
        <v>3.7516170763260047E-2</v>
      </c>
    </row>
    <row r="440" spans="1:3">
      <c r="A440" s="3">
        <f ca="1">IFERROR(__xludf.UNSUPPORTED("""COMPUTED_VALUE"""),44102.6666666666)</f>
        <v>44102.666666666599</v>
      </c>
      <c r="B440" s="1">
        <f ca="1">IFERROR(__xludf.UNSUPPORTED("""COMPUTED_VALUE"""),114.96)</f>
        <v>114.96</v>
      </c>
      <c r="C440" s="2">
        <f t="shared" ca="1" si="1"/>
        <v>2.3868899180619813E-2</v>
      </c>
    </row>
    <row r="441" spans="1:3">
      <c r="A441" s="3">
        <f ca="1">IFERROR(__xludf.UNSUPPORTED("""COMPUTED_VALUE"""),44103.6666666666)</f>
        <v>44103.666666666599</v>
      </c>
      <c r="B441" s="1">
        <f ca="1">IFERROR(__xludf.UNSUPPORTED("""COMPUTED_VALUE"""),114.09)</f>
        <v>114.09</v>
      </c>
      <c r="C441" s="2">
        <f t="shared" ca="1" si="1"/>
        <v>-7.5678496868475153E-3</v>
      </c>
    </row>
    <row r="442" spans="1:3">
      <c r="A442" s="3">
        <f ca="1">IFERROR(__xludf.UNSUPPORTED("""COMPUTED_VALUE"""),44104.6666666666)</f>
        <v>44104.666666666599</v>
      </c>
      <c r="B442" s="1">
        <f ca="1">IFERROR(__xludf.UNSUPPORTED("""COMPUTED_VALUE"""),115.81)</f>
        <v>115.81</v>
      </c>
      <c r="C442" s="2">
        <f t="shared" ca="1" si="1"/>
        <v>1.5075817337189927E-2</v>
      </c>
    </row>
    <row r="443" spans="1:3">
      <c r="A443" s="3">
        <f ca="1">IFERROR(__xludf.UNSUPPORTED("""COMPUTED_VALUE"""),44105.6666666666)</f>
        <v>44105.666666666599</v>
      </c>
      <c r="B443" s="1">
        <f ca="1">IFERROR(__xludf.UNSUPPORTED("""COMPUTED_VALUE"""),116.79)</f>
        <v>116.79</v>
      </c>
      <c r="C443" s="2">
        <f t="shared" ca="1" si="1"/>
        <v>8.4621362576634482E-3</v>
      </c>
    </row>
    <row r="444" spans="1:3">
      <c r="A444" s="3">
        <f ca="1">IFERROR(__xludf.UNSUPPORTED("""COMPUTED_VALUE"""),44106.6666666666)</f>
        <v>44106.666666666599</v>
      </c>
      <c r="B444" s="1">
        <f ca="1">IFERROR(__xludf.UNSUPPORTED("""COMPUTED_VALUE"""),113.02)</f>
        <v>113.02</v>
      </c>
      <c r="C444" s="2">
        <f t="shared" ca="1" si="1"/>
        <v>-3.2280160972686101E-2</v>
      </c>
    </row>
    <row r="445" spans="1:3">
      <c r="A445" s="3">
        <f ca="1">IFERROR(__xludf.UNSUPPORTED("""COMPUTED_VALUE"""),44109.6666666666)</f>
        <v>44109.666666666599</v>
      </c>
      <c r="B445" s="1">
        <f ca="1">IFERROR(__xludf.UNSUPPORTED("""COMPUTED_VALUE"""),116.5)</f>
        <v>116.5</v>
      </c>
      <c r="C445" s="2">
        <f t="shared" ca="1" si="1"/>
        <v>3.0791010440630012E-2</v>
      </c>
    </row>
    <row r="446" spans="1:3">
      <c r="A446" s="3">
        <f ca="1">IFERROR(__xludf.UNSUPPORTED("""COMPUTED_VALUE"""),44110.6666666666)</f>
        <v>44110.666666666599</v>
      </c>
      <c r="B446" s="1">
        <f ca="1">IFERROR(__xludf.UNSUPPORTED("""COMPUTED_VALUE"""),113.16)</f>
        <v>113.16</v>
      </c>
      <c r="C446" s="2">
        <f t="shared" ca="1" si="1"/>
        <v>-2.8669527896995738E-2</v>
      </c>
    </row>
    <row r="447" spans="1:3">
      <c r="A447" s="3">
        <f ca="1">IFERROR(__xludf.UNSUPPORTED("""COMPUTED_VALUE"""),44111.6666666666)</f>
        <v>44111.666666666599</v>
      </c>
      <c r="B447" s="1">
        <f ca="1">IFERROR(__xludf.UNSUPPORTED("""COMPUTED_VALUE"""),115.08)</f>
        <v>115.08</v>
      </c>
      <c r="C447" s="2">
        <f t="shared" ca="1" si="1"/>
        <v>1.6967126193001076E-2</v>
      </c>
    </row>
    <row r="448" spans="1:3">
      <c r="A448" s="3">
        <f ca="1">IFERROR(__xludf.UNSUPPORTED("""COMPUTED_VALUE"""),44112.6666666666)</f>
        <v>44112.666666666599</v>
      </c>
      <c r="B448" s="1">
        <f ca="1">IFERROR(__xludf.UNSUPPORTED("""COMPUTED_VALUE"""),114.97)</f>
        <v>114.97</v>
      </c>
      <c r="C448" s="2">
        <f t="shared" ca="1" si="1"/>
        <v>-9.558567952728487E-4</v>
      </c>
    </row>
    <row r="449" spans="1:3">
      <c r="A449" s="3">
        <f ca="1">IFERROR(__xludf.UNSUPPORTED("""COMPUTED_VALUE"""),44113.6666666666)</f>
        <v>44113.666666666599</v>
      </c>
      <c r="B449" s="1">
        <f ca="1">IFERROR(__xludf.UNSUPPORTED("""COMPUTED_VALUE"""),116.97)</f>
        <v>116.97</v>
      </c>
      <c r="C449" s="2">
        <f t="shared" ca="1" si="1"/>
        <v>1.7395842393667912E-2</v>
      </c>
    </row>
    <row r="450" spans="1:3">
      <c r="A450" s="3">
        <f ca="1">IFERROR(__xludf.UNSUPPORTED("""COMPUTED_VALUE"""),44116.6666666666)</f>
        <v>44116.666666666599</v>
      </c>
      <c r="B450" s="1">
        <f ca="1">IFERROR(__xludf.UNSUPPORTED("""COMPUTED_VALUE"""),124.4)</f>
        <v>124.4</v>
      </c>
      <c r="C450" s="2">
        <f t="shared" ca="1" si="1"/>
        <v>6.3520560827562689E-2</v>
      </c>
    </row>
    <row r="451" spans="1:3">
      <c r="A451" s="3">
        <f ca="1">IFERROR(__xludf.UNSUPPORTED("""COMPUTED_VALUE"""),44117.6666666666)</f>
        <v>44117.666666666599</v>
      </c>
      <c r="B451" s="1">
        <f ca="1">IFERROR(__xludf.UNSUPPORTED("""COMPUTED_VALUE"""),121.1)</f>
        <v>121.1</v>
      </c>
      <c r="C451" s="2">
        <f t="shared" ca="1" si="1"/>
        <v>-2.65273311897107E-2</v>
      </c>
    </row>
    <row r="452" spans="1:3">
      <c r="A452" s="3">
        <f ca="1">IFERROR(__xludf.UNSUPPORTED("""COMPUTED_VALUE"""),44118.6666666666)</f>
        <v>44118.666666666599</v>
      </c>
      <c r="B452" s="1">
        <f ca="1">IFERROR(__xludf.UNSUPPORTED("""COMPUTED_VALUE"""),121.19)</f>
        <v>121.19</v>
      </c>
      <c r="C452" s="2">
        <f t="shared" ca="1" si="1"/>
        <v>7.431874483897887E-4</v>
      </c>
    </row>
    <row r="453" spans="1:3">
      <c r="A453" s="3">
        <f ca="1">IFERROR(__xludf.UNSUPPORTED("""COMPUTED_VALUE"""),44119.6666666666)</f>
        <v>44119.666666666599</v>
      </c>
      <c r="B453" s="1">
        <f ca="1">IFERROR(__xludf.UNSUPPORTED("""COMPUTED_VALUE"""),120.71)</f>
        <v>120.71</v>
      </c>
      <c r="C453" s="2">
        <f t="shared" ca="1" si="1"/>
        <v>-3.9607228319168573E-3</v>
      </c>
    </row>
    <row r="454" spans="1:3">
      <c r="A454" s="3">
        <f ca="1">IFERROR(__xludf.UNSUPPORTED("""COMPUTED_VALUE"""),44120.6666666666)</f>
        <v>44120.666666666599</v>
      </c>
      <c r="B454" s="1">
        <f ca="1">IFERROR(__xludf.UNSUPPORTED("""COMPUTED_VALUE"""),119.02)</f>
        <v>119.02</v>
      </c>
      <c r="C454" s="2">
        <f t="shared" ca="1" si="1"/>
        <v>-1.4000497059067168E-2</v>
      </c>
    </row>
    <row r="455" spans="1:3">
      <c r="A455" s="3">
        <f ca="1">IFERROR(__xludf.UNSUPPORTED("""COMPUTED_VALUE"""),44123.6666666666)</f>
        <v>44123.666666666599</v>
      </c>
      <c r="B455" s="1">
        <f ca="1">IFERROR(__xludf.UNSUPPORTED("""COMPUTED_VALUE"""),115.98)</f>
        <v>115.98</v>
      </c>
      <c r="C455" s="2">
        <f t="shared" ca="1" si="1"/>
        <v>-2.5541925726768545E-2</v>
      </c>
    </row>
    <row r="456" spans="1:3">
      <c r="A456" s="3">
        <f ca="1">IFERROR(__xludf.UNSUPPORTED("""COMPUTED_VALUE"""),44124.6666666666)</f>
        <v>44124.666666666599</v>
      </c>
      <c r="B456" s="1">
        <f ca="1">IFERROR(__xludf.UNSUPPORTED("""COMPUTED_VALUE"""),117.51)</f>
        <v>117.51</v>
      </c>
      <c r="C456" s="2">
        <f t="shared" ca="1" si="1"/>
        <v>1.3191929643041913E-2</v>
      </c>
    </row>
    <row r="457" spans="1:3">
      <c r="A457" s="3">
        <f ca="1">IFERROR(__xludf.UNSUPPORTED("""COMPUTED_VALUE"""),44125.6666666666)</f>
        <v>44125.666666666599</v>
      </c>
      <c r="B457" s="1">
        <f ca="1">IFERROR(__xludf.UNSUPPORTED("""COMPUTED_VALUE"""),116.87)</f>
        <v>116.87</v>
      </c>
      <c r="C457" s="2">
        <f t="shared" ca="1" si="1"/>
        <v>-5.4463449919155867E-3</v>
      </c>
    </row>
    <row r="458" spans="1:3">
      <c r="A458" s="3">
        <f ca="1">IFERROR(__xludf.UNSUPPORTED("""COMPUTED_VALUE"""),44126.6666666666)</f>
        <v>44126.666666666599</v>
      </c>
      <c r="B458" s="1">
        <f ca="1">IFERROR(__xludf.UNSUPPORTED("""COMPUTED_VALUE"""),115.75)</f>
        <v>115.75</v>
      </c>
      <c r="C458" s="2">
        <f t="shared" ca="1" si="1"/>
        <v>-9.5832976811842611E-3</v>
      </c>
    </row>
    <row r="459" spans="1:3">
      <c r="A459" s="3">
        <f ca="1">IFERROR(__xludf.UNSUPPORTED("""COMPUTED_VALUE"""),44127.6666666666)</f>
        <v>44127.666666666599</v>
      </c>
      <c r="B459" s="1">
        <f ca="1">IFERROR(__xludf.UNSUPPORTED("""COMPUTED_VALUE"""),115.04)</f>
        <v>115.04</v>
      </c>
      <c r="C459" s="2">
        <f t="shared" ca="1" si="1"/>
        <v>-6.1339092872569655E-3</v>
      </c>
    </row>
    <row r="460" spans="1:3">
      <c r="A460" s="3">
        <f ca="1">IFERROR(__xludf.UNSUPPORTED("""COMPUTED_VALUE"""),44130.6666666666)</f>
        <v>44130.666666666599</v>
      </c>
      <c r="B460" s="1">
        <f ca="1">IFERROR(__xludf.UNSUPPORTED("""COMPUTED_VALUE"""),115.05)</f>
        <v>115.05</v>
      </c>
      <c r="C460" s="2">
        <f t="shared" ca="1" si="1"/>
        <v>8.6926286508961264E-5</v>
      </c>
    </row>
    <row r="461" spans="1:3">
      <c r="A461" s="3">
        <f ca="1">IFERROR(__xludf.UNSUPPORTED("""COMPUTED_VALUE"""),44131.6666666666)</f>
        <v>44131.666666666599</v>
      </c>
      <c r="B461" s="1">
        <f ca="1">IFERROR(__xludf.UNSUPPORTED("""COMPUTED_VALUE"""),116.6)</f>
        <v>116.6</v>
      </c>
      <c r="C461" s="2">
        <f t="shared" ca="1" si="1"/>
        <v>1.3472403302911754E-2</v>
      </c>
    </row>
    <row r="462" spans="1:3">
      <c r="A462" s="3">
        <f ca="1">IFERROR(__xludf.UNSUPPORTED("""COMPUTED_VALUE"""),44132.6666666666)</f>
        <v>44132.666666666599</v>
      </c>
      <c r="B462" s="1">
        <f ca="1">IFERROR(__xludf.UNSUPPORTED("""COMPUTED_VALUE"""),111.2)</f>
        <v>111.2</v>
      </c>
      <c r="C462" s="2">
        <f t="shared" ca="1" si="1"/>
        <v>-4.6312178387650012E-2</v>
      </c>
    </row>
    <row r="463" spans="1:3">
      <c r="A463" s="3">
        <f ca="1">IFERROR(__xludf.UNSUPPORTED("""COMPUTED_VALUE"""),44133.6666666666)</f>
        <v>44133.666666666599</v>
      </c>
      <c r="B463" s="1">
        <f ca="1">IFERROR(__xludf.UNSUPPORTED("""COMPUTED_VALUE"""),115.32)</f>
        <v>115.32</v>
      </c>
      <c r="C463" s="2">
        <f t="shared" ca="1" si="1"/>
        <v>3.7050359712230127E-2</v>
      </c>
    </row>
    <row r="464" spans="1:3">
      <c r="A464" s="3">
        <f ca="1">IFERROR(__xludf.UNSUPPORTED("""COMPUTED_VALUE"""),44134.6666666666)</f>
        <v>44134.666666666599</v>
      </c>
      <c r="B464" s="1">
        <f ca="1">IFERROR(__xludf.UNSUPPORTED("""COMPUTED_VALUE"""),108.86)</f>
        <v>108.86</v>
      </c>
      <c r="C464" s="2">
        <f t="shared" ca="1" si="1"/>
        <v>-5.601803676725628E-2</v>
      </c>
    </row>
    <row r="465" spans="1:3">
      <c r="A465" s="3">
        <f ca="1">IFERROR(__xludf.UNSUPPORTED("""COMPUTED_VALUE"""),44137.6666666666)</f>
        <v>44137.666666666599</v>
      </c>
      <c r="B465" s="1">
        <f ca="1">IFERROR(__xludf.UNSUPPORTED("""COMPUTED_VALUE"""),108.77)</f>
        <v>108.77</v>
      </c>
      <c r="C465" s="2">
        <f t="shared" ca="1" si="1"/>
        <v>-8.2674995406947836E-4</v>
      </c>
    </row>
    <row r="466" spans="1:3">
      <c r="A466" s="3">
        <f ca="1">IFERROR(__xludf.UNSUPPORTED("""COMPUTED_VALUE"""),44138.6666666666)</f>
        <v>44138.666666666599</v>
      </c>
      <c r="B466" s="1">
        <f ca="1">IFERROR(__xludf.UNSUPPORTED("""COMPUTED_VALUE"""),110.44)</f>
        <v>110.44</v>
      </c>
      <c r="C466" s="2">
        <f t="shared" ca="1" si="1"/>
        <v>1.5353498207226273E-2</v>
      </c>
    </row>
    <row r="467" spans="1:3">
      <c r="A467" s="3">
        <f ca="1">IFERROR(__xludf.UNSUPPORTED("""COMPUTED_VALUE"""),44139.6666666666)</f>
        <v>44139.666666666599</v>
      </c>
      <c r="B467" s="1">
        <f ca="1">IFERROR(__xludf.UNSUPPORTED("""COMPUTED_VALUE"""),114.95)</f>
        <v>114.95</v>
      </c>
      <c r="C467" s="2">
        <f t="shared" ca="1" si="1"/>
        <v>4.083665338645423E-2</v>
      </c>
    </row>
    <row r="468" spans="1:3">
      <c r="A468" s="3">
        <f ca="1">IFERROR(__xludf.UNSUPPORTED("""COMPUTED_VALUE"""),44140.6666666666)</f>
        <v>44140.666666666599</v>
      </c>
      <c r="B468" s="1">
        <f ca="1">IFERROR(__xludf.UNSUPPORTED("""COMPUTED_VALUE"""),119.03)</f>
        <v>119.03</v>
      </c>
      <c r="C468" s="2">
        <f t="shared" ca="1" si="1"/>
        <v>3.5493692909960836E-2</v>
      </c>
    </row>
    <row r="469" spans="1:3">
      <c r="A469" s="3">
        <f ca="1">IFERROR(__xludf.UNSUPPORTED("""COMPUTED_VALUE"""),44141.6666666666)</f>
        <v>44141.666666666599</v>
      </c>
      <c r="B469" s="1">
        <f ca="1">IFERROR(__xludf.UNSUPPORTED("""COMPUTED_VALUE"""),118.69)</f>
        <v>118.69</v>
      </c>
      <c r="C469" s="2">
        <f t="shared" ca="1" si="1"/>
        <v>-2.8564227505671128E-3</v>
      </c>
    </row>
    <row r="470" spans="1:3">
      <c r="A470" s="3">
        <f ca="1">IFERROR(__xludf.UNSUPPORTED("""COMPUTED_VALUE"""),44144.6666666666)</f>
        <v>44144.666666666599</v>
      </c>
      <c r="B470" s="1">
        <f ca="1">IFERROR(__xludf.UNSUPPORTED("""COMPUTED_VALUE"""),116.32)</f>
        <v>116.32</v>
      </c>
      <c r="C470" s="2">
        <f t="shared" ca="1" si="1"/>
        <v>-1.996798382340555E-2</v>
      </c>
    </row>
    <row r="471" spans="1:3">
      <c r="A471" s="3">
        <f ca="1">IFERROR(__xludf.UNSUPPORTED("""COMPUTED_VALUE"""),44145.6666666666)</f>
        <v>44145.666666666599</v>
      </c>
      <c r="B471" s="1">
        <f ca="1">IFERROR(__xludf.UNSUPPORTED("""COMPUTED_VALUE"""),115.97)</f>
        <v>115.97</v>
      </c>
      <c r="C471" s="2">
        <f t="shared" ca="1" si="1"/>
        <v>-3.0089408528197587E-3</v>
      </c>
    </row>
    <row r="472" spans="1:3">
      <c r="A472" s="3">
        <f ca="1">IFERROR(__xludf.UNSUPPORTED("""COMPUTED_VALUE"""),44146.6666666666)</f>
        <v>44146.666666666599</v>
      </c>
      <c r="B472" s="1">
        <f ca="1">IFERROR(__xludf.UNSUPPORTED("""COMPUTED_VALUE"""),119.49)</f>
        <v>119.49</v>
      </c>
      <c r="C472" s="2">
        <f t="shared" ca="1" si="1"/>
        <v>3.0352677416573218E-2</v>
      </c>
    </row>
    <row r="473" spans="1:3">
      <c r="A473" s="3">
        <f ca="1">IFERROR(__xludf.UNSUPPORTED("""COMPUTED_VALUE"""),44147.6666666666)</f>
        <v>44147.666666666599</v>
      </c>
      <c r="B473" s="1">
        <f ca="1">IFERROR(__xludf.UNSUPPORTED("""COMPUTED_VALUE"""),119.21)</f>
        <v>119.21</v>
      </c>
      <c r="C473" s="2">
        <f t="shared" ca="1" si="1"/>
        <v>-2.3432923257176428E-3</v>
      </c>
    </row>
    <row r="474" spans="1:3">
      <c r="A474" s="3">
        <f ca="1">IFERROR(__xludf.UNSUPPORTED("""COMPUTED_VALUE"""),44148.6666666666)</f>
        <v>44148.666666666599</v>
      </c>
      <c r="B474" s="1">
        <f ca="1">IFERROR(__xludf.UNSUPPORTED("""COMPUTED_VALUE"""),119.26)</f>
        <v>119.26</v>
      </c>
      <c r="C474" s="2">
        <f t="shared" ca="1" si="1"/>
        <v>4.1942790034402627E-4</v>
      </c>
    </row>
    <row r="475" spans="1:3">
      <c r="A475" s="3">
        <f ca="1">IFERROR(__xludf.UNSUPPORTED("""COMPUTED_VALUE"""),44151.6666666666)</f>
        <v>44151.666666666599</v>
      </c>
      <c r="B475" s="1">
        <f ca="1">IFERROR(__xludf.UNSUPPORTED("""COMPUTED_VALUE"""),120.3)</f>
        <v>120.3</v>
      </c>
      <c r="C475" s="2">
        <f t="shared" ca="1" si="1"/>
        <v>8.7204427301693106E-3</v>
      </c>
    </row>
    <row r="476" spans="1:3">
      <c r="A476" s="3">
        <f ca="1">IFERROR(__xludf.UNSUPPORTED("""COMPUTED_VALUE"""),44152.6666666666)</f>
        <v>44152.666666666599</v>
      </c>
      <c r="B476" s="1">
        <f ca="1">IFERROR(__xludf.UNSUPPORTED("""COMPUTED_VALUE"""),119.39)</f>
        <v>119.39</v>
      </c>
      <c r="C476" s="2">
        <f t="shared" ca="1" si="1"/>
        <v>-7.5644222776392071E-3</v>
      </c>
    </row>
    <row r="477" spans="1:3">
      <c r="A477" s="3">
        <f ca="1">IFERROR(__xludf.UNSUPPORTED("""COMPUTED_VALUE"""),44153.6666666666)</f>
        <v>44153.666666666599</v>
      </c>
      <c r="B477" s="1">
        <f ca="1">IFERROR(__xludf.UNSUPPORTED("""COMPUTED_VALUE"""),118.03)</f>
        <v>118.03</v>
      </c>
      <c r="C477" s="2">
        <f t="shared" ca="1" si="1"/>
        <v>-1.1391238797219193E-2</v>
      </c>
    </row>
    <row r="478" spans="1:3">
      <c r="A478" s="3">
        <f ca="1">IFERROR(__xludf.UNSUPPORTED("""COMPUTED_VALUE"""),44154.6666666666)</f>
        <v>44154.666666666599</v>
      </c>
      <c r="B478" s="1">
        <f ca="1">IFERROR(__xludf.UNSUPPORTED("""COMPUTED_VALUE"""),118.64)</f>
        <v>118.64</v>
      </c>
      <c r="C478" s="2">
        <f t="shared" ca="1" si="1"/>
        <v>5.1681775819706803E-3</v>
      </c>
    </row>
    <row r="479" spans="1:3">
      <c r="A479" s="3">
        <f ca="1">IFERROR(__xludf.UNSUPPORTED("""COMPUTED_VALUE"""),44155.6666666666)</f>
        <v>44155.666666666599</v>
      </c>
      <c r="B479" s="1">
        <f ca="1">IFERROR(__xludf.UNSUPPORTED("""COMPUTED_VALUE"""),117.34)</f>
        <v>117.34</v>
      </c>
      <c r="C479" s="2">
        <f t="shared" ca="1" si="1"/>
        <v>-1.0957518543492896E-2</v>
      </c>
    </row>
    <row r="480" spans="1:3">
      <c r="A480" s="3">
        <f ca="1">IFERROR(__xludf.UNSUPPORTED("""COMPUTED_VALUE"""),44158.6666666666)</f>
        <v>44158.666666666599</v>
      </c>
      <c r="B480" s="1">
        <f ca="1">IFERROR(__xludf.UNSUPPORTED("""COMPUTED_VALUE"""),113.85)</f>
        <v>113.85</v>
      </c>
      <c r="C480" s="2">
        <f t="shared" ca="1" si="1"/>
        <v>-2.9742628259758045E-2</v>
      </c>
    </row>
    <row r="481" spans="1:3">
      <c r="A481" s="3">
        <f ca="1">IFERROR(__xludf.UNSUPPORTED("""COMPUTED_VALUE"""),44159.6666666666)</f>
        <v>44159.666666666599</v>
      </c>
      <c r="B481" s="1">
        <f ca="1">IFERROR(__xludf.UNSUPPORTED("""COMPUTED_VALUE"""),115.17)</f>
        <v>115.17</v>
      </c>
      <c r="C481" s="2">
        <f t="shared" ca="1" si="1"/>
        <v>1.1594202898550791E-2</v>
      </c>
    </row>
    <row r="482" spans="1:3">
      <c r="A482" s="3">
        <f ca="1">IFERROR(__xludf.UNSUPPORTED("""COMPUTED_VALUE"""),44160.6666666666)</f>
        <v>44160.666666666599</v>
      </c>
      <c r="B482" s="1">
        <f ca="1">IFERROR(__xludf.UNSUPPORTED("""COMPUTED_VALUE"""),116.03)</f>
        <v>116.03</v>
      </c>
      <c r="C482" s="2">
        <f t="shared" ca="1" si="1"/>
        <v>7.4672223669358289E-3</v>
      </c>
    </row>
    <row r="483" spans="1:3">
      <c r="A483" s="3">
        <f ca="1">IFERROR(__xludf.UNSUPPORTED("""COMPUTED_VALUE"""),44162.5416666666)</f>
        <v>44162.541666666599</v>
      </c>
      <c r="B483" s="1">
        <f ca="1">IFERROR(__xludf.UNSUPPORTED("""COMPUTED_VALUE"""),116.59)</f>
        <v>116.59</v>
      </c>
      <c r="C483" s="2">
        <f t="shared" ca="1" si="1"/>
        <v>4.8263380160303562E-3</v>
      </c>
    </row>
    <row r="484" spans="1:3">
      <c r="A484" s="3">
        <f ca="1">IFERROR(__xludf.UNSUPPORTED("""COMPUTED_VALUE"""),44165.6666666666)</f>
        <v>44165.666666666599</v>
      </c>
      <c r="B484" s="1">
        <f ca="1">IFERROR(__xludf.UNSUPPORTED("""COMPUTED_VALUE"""),119.05)</f>
        <v>119.05</v>
      </c>
      <c r="C484" s="2">
        <f t="shared" ca="1" si="1"/>
        <v>2.1099579723818453E-2</v>
      </c>
    </row>
    <row r="485" spans="1:3">
      <c r="A485" s="3">
        <f ca="1">IFERROR(__xludf.UNSUPPORTED("""COMPUTED_VALUE"""),44166.6666666666)</f>
        <v>44166.666666666599</v>
      </c>
      <c r="B485" s="1">
        <f ca="1">IFERROR(__xludf.UNSUPPORTED("""COMPUTED_VALUE"""),122.72)</f>
        <v>122.72</v>
      </c>
      <c r="C485" s="2">
        <f t="shared" ca="1" si="1"/>
        <v>3.0827383452330968E-2</v>
      </c>
    </row>
    <row r="486" spans="1:3">
      <c r="A486" s="3">
        <f ca="1">IFERROR(__xludf.UNSUPPORTED("""COMPUTED_VALUE"""),44167.6666666666)</f>
        <v>44167.666666666599</v>
      </c>
      <c r="B486" s="1">
        <f ca="1">IFERROR(__xludf.UNSUPPORTED("""COMPUTED_VALUE"""),123.08)</f>
        <v>123.08</v>
      </c>
      <c r="C486" s="2">
        <f t="shared" ca="1" si="1"/>
        <v>2.9335071707953016E-3</v>
      </c>
    </row>
    <row r="487" spans="1:3">
      <c r="A487" s="3">
        <f ca="1">IFERROR(__xludf.UNSUPPORTED("""COMPUTED_VALUE"""),44168.6666666666)</f>
        <v>44168.666666666599</v>
      </c>
      <c r="B487" s="1">
        <f ca="1">IFERROR(__xludf.UNSUPPORTED("""COMPUTED_VALUE"""),122.94)</f>
        <v>122.94</v>
      </c>
      <c r="C487" s="2">
        <f t="shared" ca="1" si="1"/>
        <v>-1.1374715632109244E-3</v>
      </c>
    </row>
    <row r="488" spans="1:3">
      <c r="A488" s="3">
        <f ca="1">IFERROR(__xludf.UNSUPPORTED("""COMPUTED_VALUE"""),44169.6666666666)</f>
        <v>44169.666666666599</v>
      </c>
      <c r="B488" s="1">
        <f ca="1">IFERROR(__xludf.UNSUPPORTED("""COMPUTED_VALUE"""),122.25)</f>
        <v>122.25</v>
      </c>
      <c r="C488" s="2">
        <f t="shared" ca="1" si="1"/>
        <v>-5.6124938994631347E-3</v>
      </c>
    </row>
    <row r="489" spans="1:3">
      <c r="A489" s="3">
        <f ca="1">IFERROR(__xludf.UNSUPPORTED("""COMPUTED_VALUE"""),44172.6666666666)</f>
        <v>44172.666666666599</v>
      </c>
      <c r="B489" s="1">
        <f ca="1">IFERROR(__xludf.UNSUPPORTED("""COMPUTED_VALUE"""),123.75)</f>
        <v>123.75</v>
      </c>
      <c r="C489" s="2">
        <f t="shared" ca="1" si="1"/>
        <v>1.2269938650306749E-2</v>
      </c>
    </row>
    <row r="490" spans="1:3">
      <c r="A490" s="3">
        <f ca="1">IFERROR(__xludf.UNSUPPORTED("""COMPUTED_VALUE"""),44173.6666666666)</f>
        <v>44173.666666666599</v>
      </c>
      <c r="B490" s="1">
        <f ca="1">IFERROR(__xludf.UNSUPPORTED("""COMPUTED_VALUE"""),124.38)</f>
        <v>124.38</v>
      </c>
      <c r="C490" s="2">
        <f t="shared" ca="1" si="1"/>
        <v>5.090909090909054E-3</v>
      </c>
    </row>
    <row r="491" spans="1:3">
      <c r="A491" s="3">
        <f ca="1">IFERROR(__xludf.UNSUPPORTED("""COMPUTED_VALUE"""),44174.6666666666)</f>
        <v>44174.666666666599</v>
      </c>
      <c r="B491" s="1">
        <f ca="1">IFERROR(__xludf.UNSUPPORTED("""COMPUTED_VALUE"""),121.78)</f>
        <v>121.78</v>
      </c>
      <c r="C491" s="2">
        <f t="shared" ca="1" si="1"/>
        <v>-2.0903682264029541E-2</v>
      </c>
    </row>
    <row r="492" spans="1:3">
      <c r="A492" s="3">
        <f ca="1">IFERROR(__xludf.UNSUPPORTED("""COMPUTED_VALUE"""),44175.6666666666)</f>
        <v>44175.666666666599</v>
      </c>
      <c r="B492" s="1">
        <f ca="1">IFERROR(__xludf.UNSUPPORTED("""COMPUTED_VALUE"""),123.24)</f>
        <v>123.24</v>
      </c>
      <c r="C492" s="2">
        <f t="shared" ca="1" si="1"/>
        <v>1.1988832320578039E-2</v>
      </c>
    </row>
    <row r="493" spans="1:3">
      <c r="A493" s="3">
        <f ca="1">IFERROR(__xludf.UNSUPPORTED("""COMPUTED_VALUE"""),44176.6666666666)</f>
        <v>44176.666666666599</v>
      </c>
      <c r="B493" s="1">
        <f ca="1">IFERROR(__xludf.UNSUPPORTED("""COMPUTED_VALUE"""),122.41)</f>
        <v>122.41</v>
      </c>
      <c r="C493" s="2">
        <f t="shared" ca="1" si="1"/>
        <v>-6.7348263550795059E-3</v>
      </c>
    </row>
    <row r="494" spans="1:3">
      <c r="A494" s="3">
        <f ca="1">IFERROR(__xludf.UNSUPPORTED("""COMPUTED_VALUE"""),44179.6666666666)</f>
        <v>44179.666666666599</v>
      </c>
      <c r="B494" s="1">
        <f ca="1">IFERROR(__xludf.UNSUPPORTED("""COMPUTED_VALUE"""),121.78)</f>
        <v>121.78</v>
      </c>
      <c r="C494" s="2">
        <f t="shared" ca="1" si="1"/>
        <v>-5.1466383465402785E-3</v>
      </c>
    </row>
    <row r="495" spans="1:3">
      <c r="A495" s="3">
        <f ca="1">IFERROR(__xludf.UNSUPPORTED("""COMPUTED_VALUE"""),44180.6666666666)</f>
        <v>44180.666666666599</v>
      </c>
      <c r="B495" s="1">
        <f ca="1">IFERROR(__xludf.UNSUPPORTED("""COMPUTED_VALUE"""),127.88)</f>
        <v>127.88</v>
      </c>
      <c r="C495" s="2">
        <f t="shared" ca="1" si="1"/>
        <v>5.0090326818853621E-2</v>
      </c>
    </row>
    <row r="496" spans="1:3">
      <c r="A496" s="3">
        <f ca="1">IFERROR(__xludf.UNSUPPORTED("""COMPUTED_VALUE"""),44181.6666666666)</f>
        <v>44181.666666666599</v>
      </c>
      <c r="B496" s="1">
        <f ca="1">IFERROR(__xludf.UNSUPPORTED("""COMPUTED_VALUE"""),127.81)</f>
        <v>127.81</v>
      </c>
      <c r="C496" s="2">
        <f t="shared" ca="1" si="1"/>
        <v>-5.4738817641533611E-4</v>
      </c>
    </row>
    <row r="497" spans="1:3">
      <c r="A497" s="3">
        <f ca="1">IFERROR(__xludf.UNSUPPORTED("""COMPUTED_VALUE"""),44182.6666666666)</f>
        <v>44182.666666666599</v>
      </c>
      <c r="B497" s="1">
        <f ca="1">IFERROR(__xludf.UNSUPPORTED("""COMPUTED_VALUE"""),128.7)</f>
        <v>128.69999999999999</v>
      </c>
      <c r="C497" s="2">
        <f t="shared" ca="1" si="1"/>
        <v>6.9634613879977023E-3</v>
      </c>
    </row>
    <row r="498" spans="1:3">
      <c r="A498" s="3">
        <f ca="1">IFERROR(__xludf.UNSUPPORTED("""COMPUTED_VALUE"""),44183.6666666666)</f>
        <v>44183.666666666599</v>
      </c>
      <c r="B498" s="1">
        <f ca="1">IFERROR(__xludf.UNSUPPORTED("""COMPUTED_VALUE"""),126.66)</f>
        <v>126.66</v>
      </c>
      <c r="C498" s="2">
        <f t="shared" ca="1" si="1"/>
        <v>-1.585081585081579E-2</v>
      </c>
    </row>
    <row r="499" spans="1:3">
      <c r="A499" s="3">
        <f ca="1">IFERROR(__xludf.UNSUPPORTED("""COMPUTED_VALUE"""),44186.6666666666)</f>
        <v>44186.666666666599</v>
      </c>
      <c r="B499" s="1">
        <f ca="1">IFERROR(__xludf.UNSUPPORTED("""COMPUTED_VALUE"""),128.23)</f>
        <v>128.22999999999999</v>
      </c>
      <c r="C499" s="2">
        <f t="shared" ca="1" si="1"/>
        <v>1.2395389231012105E-2</v>
      </c>
    </row>
    <row r="500" spans="1:3">
      <c r="A500" s="3">
        <f ca="1">IFERROR(__xludf.UNSUPPORTED("""COMPUTED_VALUE"""),44187.6666666666)</f>
        <v>44187.666666666599</v>
      </c>
      <c r="B500" s="1">
        <f ca="1">IFERROR(__xludf.UNSUPPORTED("""COMPUTED_VALUE"""),131.88)</f>
        <v>131.88</v>
      </c>
      <c r="C500" s="2">
        <f t="shared" ca="1" si="1"/>
        <v>2.8464477891289138E-2</v>
      </c>
    </row>
    <row r="501" spans="1:3">
      <c r="A501" s="3">
        <f ca="1">IFERROR(__xludf.UNSUPPORTED("""COMPUTED_VALUE"""),44188.6666666666)</f>
        <v>44188.666666666599</v>
      </c>
      <c r="B501" s="1">
        <f ca="1">IFERROR(__xludf.UNSUPPORTED("""COMPUTED_VALUE"""),130.96)</f>
        <v>130.96</v>
      </c>
      <c r="C501" s="2">
        <f t="shared" ca="1" si="1"/>
        <v>-6.9760388231724863E-3</v>
      </c>
    </row>
    <row r="502" spans="1:3">
      <c r="A502" s="3">
        <f ca="1">IFERROR(__xludf.UNSUPPORTED("""COMPUTED_VALUE"""),44189.5416666666)</f>
        <v>44189.541666666599</v>
      </c>
      <c r="B502" s="1">
        <f ca="1">IFERROR(__xludf.UNSUPPORTED("""COMPUTED_VALUE"""),131.97)</f>
        <v>131.97</v>
      </c>
      <c r="C502" s="2">
        <f t="shared" ca="1" si="1"/>
        <v>7.7122785583383542E-3</v>
      </c>
    </row>
    <row r="503" spans="1:3">
      <c r="A503" s="3">
        <f ca="1">IFERROR(__xludf.UNSUPPORTED("""COMPUTED_VALUE"""),44193.6666666666)</f>
        <v>44193.666666666599</v>
      </c>
      <c r="B503" s="1">
        <f ca="1">IFERROR(__xludf.UNSUPPORTED("""COMPUTED_VALUE"""),136.69)</f>
        <v>136.69</v>
      </c>
      <c r="C503" s="2">
        <f t="shared" ca="1" si="1"/>
        <v>3.5765704326740914E-2</v>
      </c>
    </row>
    <row r="504" spans="1:3">
      <c r="A504" s="3">
        <f ca="1">IFERROR(__xludf.UNSUPPORTED("""COMPUTED_VALUE"""),44194.6666666666)</f>
        <v>44194.666666666599</v>
      </c>
      <c r="B504" s="1">
        <f ca="1">IFERROR(__xludf.UNSUPPORTED("""COMPUTED_VALUE"""),134.87)</f>
        <v>134.87</v>
      </c>
      <c r="C504" s="2">
        <f t="shared" ca="1" si="1"/>
        <v>-1.3314799912210061E-2</v>
      </c>
    </row>
    <row r="505" spans="1:3">
      <c r="A505" s="3">
        <f ca="1">IFERROR(__xludf.UNSUPPORTED("""COMPUTED_VALUE"""),44195.6666666666)</f>
        <v>44195.666666666599</v>
      </c>
      <c r="B505" s="1">
        <f ca="1">IFERROR(__xludf.UNSUPPORTED("""COMPUTED_VALUE"""),133.72)</f>
        <v>133.72</v>
      </c>
      <c r="C505" s="2">
        <f t="shared" ca="1" si="1"/>
        <v>-8.5267294431675359E-3</v>
      </c>
    </row>
    <row r="506" spans="1:3">
      <c r="A506" s="3">
        <f ca="1">IFERROR(__xludf.UNSUPPORTED("""COMPUTED_VALUE"""),44196.6666666666)</f>
        <v>44196.666666666599</v>
      </c>
      <c r="B506" s="1">
        <f ca="1">IFERROR(__xludf.UNSUPPORTED("""COMPUTED_VALUE"""),132.69)</f>
        <v>132.69</v>
      </c>
      <c r="C506" s="2">
        <f t="shared" ca="1" si="1"/>
        <v>-7.7026622793897786E-3</v>
      </c>
    </row>
    <row r="507" spans="1:3">
      <c r="A507" s="3">
        <f ca="1">IFERROR(__xludf.UNSUPPORTED("""COMPUTED_VALUE"""),44200.6666666666)</f>
        <v>44200.666666666599</v>
      </c>
      <c r="B507" s="1">
        <f ca="1">IFERROR(__xludf.UNSUPPORTED("""COMPUTED_VALUE"""),129.41)</f>
        <v>129.41</v>
      </c>
      <c r="C507" s="2">
        <f t="shared" ca="1" si="1"/>
        <v>-2.4719270480066328E-2</v>
      </c>
    </row>
    <row r="508" spans="1:3">
      <c r="A508" s="3">
        <f ca="1">IFERROR(__xludf.UNSUPPORTED("""COMPUTED_VALUE"""),44201.6666666666)</f>
        <v>44201.666666666599</v>
      </c>
      <c r="B508" s="1">
        <f ca="1">IFERROR(__xludf.UNSUPPORTED("""COMPUTED_VALUE"""),131.01)</f>
        <v>131.01</v>
      </c>
      <c r="C508" s="2">
        <f t="shared" ca="1" si="1"/>
        <v>1.2363804960976697E-2</v>
      </c>
    </row>
    <row r="509" spans="1:3">
      <c r="A509" s="3">
        <f ca="1">IFERROR(__xludf.UNSUPPORTED("""COMPUTED_VALUE"""),44202.6666666666)</f>
        <v>44202.666666666599</v>
      </c>
      <c r="B509" s="1">
        <f ca="1">IFERROR(__xludf.UNSUPPORTED("""COMPUTED_VALUE"""),126.6)</f>
        <v>126.6</v>
      </c>
      <c r="C509" s="2">
        <f t="shared" ca="1" si="1"/>
        <v>-3.3661552553240187E-2</v>
      </c>
    </row>
    <row r="510" spans="1:3">
      <c r="A510" s="3">
        <f ca="1">IFERROR(__xludf.UNSUPPORTED("""COMPUTED_VALUE"""),44203.6666666666)</f>
        <v>44203.666666666599</v>
      </c>
      <c r="B510" s="1">
        <f ca="1">IFERROR(__xludf.UNSUPPORTED("""COMPUTED_VALUE"""),130.92)</f>
        <v>130.91999999999999</v>
      </c>
      <c r="C510" s="2">
        <f t="shared" ca="1" si="1"/>
        <v>3.4123222748815116E-2</v>
      </c>
    </row>
    <row r="511" spans="1:3">
      <c r="A511" s="3">
        <f ca="1">IFERROR(__xludf.UNSUPPORTED("""COMPUTED_VALUE"""),44204.6666666666)</f>
        <v>44204.666666666599</v>
      </c>
      <c r="B511" s="1">
        <f ca="1">IFERROR(__xludf.UNSUPPORTED("""COMPUTED_VALUE"""),132.05)</f>
        <v>132.05000000000001</v>
      </c>
      <c r="C511" s="2">
        <f t="shared" ca="1" si="1"/>
        <v>8.6312251756799872E-3</v>
      </c>
    </row>
    <row r="512" spans="1:3">
      <c r="A512" s="3">
        <f ca="1">IFERROR(__xludf.UNSUPPORTED("""COMPUTED_VALUE"""),44207.6666666666)</f>
        <v>44207.666666666599</v>
      </c>
      <c r="B512" s="1">
        <f ca="1">IFERROR(__xludf.UNSUPPORTED("""COMPUTED_VALUE"""),128.98)</f>
        <v>128.97999999999999</v>
      </c>
      <c r="C512" s="2">
        <f t="shared" ca="1" si="1"/>
        <v>-2.324876940552837E-2</v>
      </c>
    </row>
    <row r="513" spans="1:3">
      <c r="A513" s="3">
        <f ca="1">IFERROR(__xludf.UNSUPPORTED("""COMPUTED_VALUE"""),44208.6666666666)</f>
        <v>44208.666666666599</v>
      </c>
      <c r="B513" s="1">
        <f ca="1">IFERROR(__xludf.UNSUPPORTED("""COMPUTED_VALUE"""),128.8)</f>
        <v>128.80000000000001</v>
      </c>
      <c r="C513" s="2">
        <f t="shared" ref="C513:C767" ca="1" si="2">(B513-B512)/B512</f>
        <v>-1.3955652039074151E-3</v>
      </c>
    </row>
    <row r="514" spans="1:3">
      <c r="A514" s="3">
        <f ca="1">IFERROR(__xludf.UNSUPPORTED("""COMPUTED_VALUE"""),44209.6666666666)</f>
        <v>44209.666666666599</v>
      </c>
      <c r="B514" s="1">
        <f ca="1">IFERROR(__xludf.UNSUPPORTED("""COMPUTED_VALUE"""),130.89)</f>
        <v>130.88999999999999</v>
      </c>
      <c r="C514" s="2">
        <f t="shared" ca="1" si="2"/>
        <v>1.6226708074533965E-2</v>
      </c>
    </row>
    <row r="515" spans="1:3">
      <c r="A515" s="3">
        <f ca="1">IFERROR(__xludf.UNSUPPORTED("""COMPUTED_VALUE"""),44210.6666666666)</f>
        <v>44210.666666666599</v>
      </c>
      <c r="B515" s="1">
        <f ca="1">IFERROR(__xludf.UNSUPPORTED("""COMPUTED_VALUE"""),128.91)</f>
        <v>128.91</v>
      </c>
      <c r="C515" s="2">
        <f t="shared" ca="1" si="2"/>
        <v>-1.5127206050882344E-2</v>
      </c>
    </row>
    <row r="516" spans="1:3">
      <c r="A516" s="3">
        <f ca="1">IFERROR(__xludf.UNSUPPORTED("""COMPUTED_VALUE"""),44211.6666666666)</f>
        <v>44211.666666666599</v>
      </c>
      <c r="B516" s="1">
        <f ca="1">IFERROR(__xludf.UNSUPPORTED("""COMPUTED_VALUE"""),127.14)</f>
        <v>127.14</v>
      </c>
      <c r="C516" s="2">
        <f t="shared" ca="1" si="2"/>
        <v>-1.3730509657900831E-2</v>
      </c>
    </row>
    <row r="517" spans="1:3">
      <c r="A517" s="3">
        <f ca="1">IFERROR(__xludf.UNSUPPORTED("""COMPUTED_VALUE"""),44215.6666666666)</f>
        <v>44215.666666666599</v>
      </c>
      <c r="B517" s="1">
        <f ca="1">IFERROR(__xludf.UNSUPPORTED("""COMPUTED_VALUE"""),127.83)</f>
        <v>127.83</v>
      </c>
      <c r="C517" s="2">
        <f t="shared" ca="1" si="2"/>
        <v>5.4270882491741206E-3</v>
      </c>
    </row>
    <row r="518" spans="1:3">
      <c r="A518" s="3">
        <f ca="1">IFERROR(__xludf.UNSUPPORTED("""COMPUTED_VALUE"""),44216.6666666666)</f>
        <v>44216.666666666599</v>
      </c>
      <c r="B518" s="1">
        <f ca="1">IFERROR(__xludf.UNSUPPORTED("""COMPUTED_VALUE"""),132.03)</f>
        <v>132.03</v>
      </c>
      <c r="C518" s="2">
        <f t="shared" ca="1" si="2"/>
        <v>3.2856137057028889E-2</v>
      </c>
    </row>
    <row r="519" spans="1:3">
      <c r="A519" s="3">
        <f ca="1">IFERROR(__xludf.UNSUPPORTED("""COMPUTED_VALUE"""),44217.6666666666)</f>
        <v>44217.666666666599</v>
      </c>
      <c r="B519" s="1">
        <f ca="1">IFERROR(__xludf.UNSUPPORTED("""COMPUTED_VALUE"""),136.87)</f>
        <v>136.87</v>
      </c>
      <c r="C519" s="2">
        <f t="shared" ca="1" si="2"/>
        <v>3.6658335226842413E-2</v>
      </c>
    </row>
    <row r="520" spans="1:3">
      <c r="A520" s="3">
        <f ca="1">IFERROR(__xludf.UNSUPPORTED("""COMPUTED_VALUE"""),44218.6666666666)</f>
        <v>44218.666666666599</v>
      </c>
      <c r="B520" s="1">
        <f ca="1">IFERROR(__xludf.UNSUPPORTED("""COMPUTED_VALUE"""),139.07)</f>
        <v>139.07</v>
      </c>
      <c r="C520" s="2">
        <f t="shared" ca="1" si="2"/>
        <v>1.6073646525900407E-2</v>
      </c>
    </row>
    <row r="521" spans="1:3">
      <c r="A521" s="3">
        <f ca="1">IFERROR(__xludf.UNSUPPORTED("""COMPUTED_VALUE"""),44221.6666666666)</f>
        <v>44221.666666666599</v>
      </c>
      <c r="B521" s="1">
        <f ca="1">IFERROR(__xludf.UNSUPPORTED("""COMPUTED_VALUE"""),142.92)</f>
        <v>142.91999999999999</v>
      </c>
      <c r="C521" s="2">
        <f t="shared" ca="1" si="2"/>
        <v>2.7683900194146793E-2</v>
      </c>
    </row>
    <row r="522" spans="1:3">
      <c r="A522" s="3">
        <f ca="1">IFERROR(__xludf.UNSUPPORTED("""COMPUTED_VALUE"""),44222.6666666666)</f>
        <v>44222.666666666599</v>
      </c>
      <c r="B522" s="1">
        <f ca="1">IFERROR(__xludf.UNSUPPORTED("""COMPUTED_VALUE"""),143.16)</f>
        <v>143.16</v>
      </c>
      <c r="C522" s="2">
        <f t="shared" ca="1" si="2"/>
        <v>1.6792611251050175E-3</v>
      </c>
    </row>
    <row r="523" spans="1:3">
      <c r="A523" s="3">
        <f ca="1">IFERROR(__xludf.UNSUPPORTED("""COMPUTED_VALUE"""),44223.6666666666)</f>
        <v>44223.666666666599</v>
      </c>
      <c r="B523" s="1">
        <f ca="1">IFERROR(__xludf.UNSUPPORTED("""COMPUTED_VALUE"""),142.06)</f>
        <v>142.06</v>
      </c>
      <c r="C523" s="2">
        <f t="shared" ca="1" si="2"/>
        <v>-7.6837105336685831E-3</v>
      </c>
    </row>
    <row r="524" spans="1:3">
      <c r="A524" s="3">
        <f ca="1">IFERROR(__xludf.UNSUPPORTED("""COMPUTED_VALUE"""),44224.6666666666)</f>
        <v>44224.666666666599</v>
      </c>
      <c r="B524" s="1">
        <f ca="1">IFERROR(__xludf.UNSUPPORTED("""COMPUTED_VALUE"""),137.09)</f>
        <v>137.09</v>
      </c>
      <c r="C524" s="2">
        <f t="shared" ca="1" si="2"/>
        <v>-3.4985217513726588E-2</v>
      </c>
    </row>
    <row r="525" spans="1:3">
      <c r="A525" s="3">
        <f ca="1">IFERROR(__xludf.UNSUPPORTED("""COMPUTED_VALUE"""),44225.6666666666)</f>
        <v>44225.666666666599</v>
      </c>
      <c r="B525" s="1">
        <f ca="1">IFERROR(__xludf.UNSUPPORTED("""COMPUTED_VALUE"""),131.96)</f>
        <v>131.96</v>
      </c>
      <c r="C525" s="2">
        <f t="shared" ca="1" si="2"/>
        <v>-3.7420672550878949E-2</v>
      </c>
    </row>
    <row r="526" spans="1:3">
      <c r="A526" s="3">
        <f ca="1">IFERROR(__xludf.UNSUPPORTED("""COMPUTED_VALUE"""),44228.6666666666)</f>
        <v>44228.666666666599</v>
      </c>
      <c r="B526" s="1">
        <f ca="1">IFERROR(__xludf.UNSUPPORTED("""COMPUTED_VALUE"""),134.14)</f>
        <v>134.13999999999999</v>
      </c>
      <c r="C526" s="2">
        <f t="shared" ca="1" si="2"/>
        <v>1.6520157623522116E-2</v>
      </c>
    </row>
    <row r="527" spans="1:3">
      <c r="A527" s="3">
        <f ca="1">IFERROR(__xludf.UNSUPPORTED("""COMPUTED_VALUE"""),44229.6666666666)</f>
        <v>44229.666666666599</v>
      </c>
      <c r="B527" s="1">
        <f ca="1">IFERROR(__xludf.UNSUPPORTED("""COMPUTED_VALUE"""),134.99)</f>
        <v>134.99</v>
      </c>
      <c r="C527" s="2">
        <f t="shared" ca="1" si="2"/>
        <v>6.3366631877144987E-3</v>
      </c>
    </row>
    <row r="528" spans="1:3">
      <c r="A528" s="3">
        <f ca="1">IFERROR(__xludf.UNSUPPORTED("""COMPUTED_VALUE"""),44230.6666666666)</f>
        <v>44230.666666666599</v>
      </c>
      <c r="B528" s="1">
        <f ca="1">IFERROR(__xludf.UNSUPPORTED("""COMPUTED_VALUE"""),133.94)</f>
        <v>133.94</v>
      </c>
      <c r="C528" s="2">
        <f t="shared" ca="1" si="2"/>
        <v>-7.7783539521446869E-3</v>
      </c>
    </row>
    <row r="529" spans="1:3">
      <c r="A529" s="3">
        <f ca="1">IFERROR(__xludf.UNSUPPORTED("""COMPUTED_VALUE"""),44231.6666666666)</f>
        <v>44231.666666666599</v>
      </c>
      <c r="B529" s="1">
        <f ca="1">IFERROR(__xludf.UNSUPPORTED("""COMPUTED_VALUE"""),137.39)</f>
        <v>137.38999999999999</v>
      </c>
      <c r="C529" s="2">
        <f t="shared" ca="1" si="2"/>
        <v>2.5757802000895839E-2</v>
      </c>
    </row>
    <row r="530" spans="1:3">
      <c r="A530" s="3">
        <f ca="1">IFERROR(__xludf.UNSUPPORTED("""COMPUTED_VALUE"""),44232.6666666666)</f>
        <v>44232.666666666599</v>
      </c>
      <c r="B530" s="1">
        <f ca="1">IFERROR(__xludf.UNSUPPORTED("""COMPUTED_VALUE"""),136.76)</f>
        <v>136.76</v>
      </c>
      <c r="C530" s="2">
        <f t="shared" ca="1" si="2"/>
        <v>-4.5854865710750091E-3</v>
      </c>
    </row>
    <row r="531" spans="1:3">
      <c r="A531" s="3">
        <f ca="1">IFERROR(__xludf.UNSUPPORTED("""COMPUTED_VALUE"""),44235.6666666666)</f>
        <v>44235.666666666599</v>
      </c>
      <c r="B531" s="1">
        <f ca="1">IFERROR(__xludf.UNSUPPORTED("""COMPUTED_VALUE"""),136.91)</f>
        <v>136.91</v>
      </c>
      <c r="C531" s="2">
        <f t="shared" ca="1" si="2"/>
        <v>1.0968119333138761E-3</v>
      </c>
    </row>
    <row r="532" spans="1:3">
      <c r="A532" s="3">
        <f ca="1">IFERROR(__xludf.UNSUPPORTED("""COMPUTED_VALUE"""),44236.6666666666)</f>
        <v>44236.666666666599</v>
      </c>
      <c r="B532" s="1">
        <f ca="1">IFERROR(__xludf.UNSUPPORTED("""COMPUTED_VALUE"""),136.01)</f>
        <v>136.01</v>
      </c>
      <c r="C532" s="2">
        <f t="shared" ca="1" si="2"/>
        <v>-6.5736615294719573E-3</v>
      </c>
    </row>
    <row r="533" spans="1:3">
      <c r="A533" s="3">
        <f ca="1">IFERROR(__xludf.UNSUPPORTED("""COMPUTED_VALUE"""),44237.6666666666)</f>
        <v>44237.666666666599</v>
      </c>
      <c r="B533" s="1">
        <f ca="1">IFERROR(__xludf.UNSUPPORTED("""COMPUTED_VALUE"""),135.39)</f>
        <v>135.38999999999999</v>
      </c>
      <c r="C533" s="2">
        <f t="shared" ca="1" si="2"/>
        <v>-4.558488346445148E-3</v>
      </c>
    </row>
    <row r="534" spans="1:3">
      <c r="A534" s="3">
        <f ca="1">IFERROR(__xludf.UNSUPPORTED("""COMPUTED_VALUE"""),44238.6666666666)</f>
        <v>44238.666666666599</v>
      </c>
      <c r="B534" s="1">
        <f ca="1">IFERROR(__xludf.UNSUPPORTED("""COMPUTED_VALUE"""),135.13)</f>
        <v>135.13</v>
      </c>
      <c r="C534" s="2">
        <f t="shared" ca="1" si="2"/>
        <v>-1.9203781667773907E-3</v>
      </c>
    </row>
    <row r="535" spans="1:3">
      <c r="A535" s="3">
        <f ca="1">IFERROR(__xludf.UNSUPPORTED("""COMPUTED_VALUE"""),44239.6666666666)</f>
        <v>44239.666666666599</v>
      </c>
      <c r="B535" s="1">
        <f ca="1">IFERROR(__xludf.UNSUPPORTED("""COMPUTED_VALUE"""),135.37)</f>
        <v>135.37</v>
      </c>
      <c r="C535" s="2">
        <f t="shared" ca="1" si="2"/>
        <v>1.7760674905647087E-3</v>
      </c>
    </row>
    <row r="536" spans="1:3">
      <c r="A536" s="3">
        <f ca="1">IFERROR(__xludf.UNSUPPORTED("""COMPUTED_VALUE"""),44243.6666666666)</f>
        <v>44243.666666666599</v>
      </c>
      <c r="B536" s="1">
        <f ca="1">IFERROR(__xludf.UNSUPPORTED("""COMPUTED_VALUE"""),133.19)</f>
        <v>133.19</v>
      </c>
      <c r="C536" s="2">
        <f t="shared" ca="1" si="2"/>
        <v>-1.6104011228484944E-2</v>
      </c>
    </row>
    <row r="537" spans="1:3">
      <c r="A537" s="3">
        <f ca="1">IFERROR(__xludf.UNSUPPORTED("""COMPUTED_VALUE"""),44244.6666666666)</f>
        <v>44244.666666666599</v>
      </c>
      <c r="B537" s="1">
        <f ca="1">IFERROR(__xludf.UNSUPPORTED("""COMPUTED_VALUE"""),130.84)</f>
        <v>130.84</v>
      </c>
      <c r="C537" s="2">
        <f t="shared" ca="1" si="2"/>
        <v>-1.7643967264809629E-2</v>
      </c>
    </row>
    <row r="538" spans="1:3">
      <c r="A538" s="3">
        <f ca="1">IFERROR(__xludf.UNSUPPORTED("""COMPUTED_VALUE"""),44245.6666666666)</f>
        <v>44245.666666666599</v>
      </c>
      <c r="B538" s="1">
        <f ca="1">IFERROR(__xludf.UNSUPPORTED("""COMPUTED_VALUE"""),129.71)</f>
        <v>129.71</v>
      </c>
      <c r="C538" s="2">
        <f t="shared" ca="1" si="2"/>
        <v>-8.6365025985936667E-3</v>
      </c>
    </row>
    <row r="539" spans="1:3">
      <c r="A539" s="3">
        <f ca="1">IFERROR(__xludf.UNSUPPORTED("""COMPUTED_VALUE"""),44246.6666666666)</f>
        <v>44246.666666666599</v>
      </c>
      <c r="B539" s="1">
        <f ca="1">IFERROR(__xludf.UNSUPPORTED("""COMPUTED_VALUE"""),129.87)</f>
        <v>129.87</v>
      </c>
      <c r="C539" s="2">
        <f t="shared" ca="1" si="2"/>
        <v>1.2335209313082767E-3</v>
      </c>
    </row>
    <row r="540" spans="1:3">
      <c r="A540" s="3">
        <f ca="1">IFERROR(__xludf.UNSUPPORTED("""COMPUTED_VALUE"""),44249.6666666666)</f>
        <v>44249.666666666599</v>
      </c>
      <c r="B540" s="1">
        <f ca="1">IFERROR(__xludf.UNSUPPORTED("""COMPUTED_VALUE"""),126)</f>
        <v>126</v>
      </c>
      <c r="C540" s="2">
        <f t="shared" ca="1" si="2"/>
        <v>-2.9799029799029833E-2</v>
      </c>
    </row>
    <row r="541" spans="1:3">
      <c r="A541" s="3">
        <f ca="1">IFERROR(__xludf.UNSUPPORTED("""COMPUTED_VALUE"""),44250.6666666666)</f>
        <v>44250.666666666599</v>
      </c>
      <c r="B541" s="1">
        <f ca="1">IFERROR(__xludf.UNSUPPORTED("""COMPUTED_VALUE"""),125.86)</f>
        <v>125.86</v>
      </c>
      <c r="C541" s="2">
        <f t="shared" ca="1" si="2"/>
        <v>-1.1111111111111157E-3</v>
      </c>
    </row>
    <row r="542" spans="1:3">
      <c r="A542" s="3">
        <f ca="1">IFERROR(__xludf.UNSUPPORTED("""COMPUTED_VALUE"""),44251.6666666666)</f>
        <v>44251.666666666599</v>
      </c>
      <c r="B542" s="1">
        <f ca="1">IFERROR(__xludf.UNSUPPORTED("""COMPUTED_VALUE"""),125.35)</f>
        <v>125.35</v>
      </c>
      <c r="C542" s="2">
        <f t="shared" ca="1" si="2"/>
        <v>-4.052121404735461E-3</v>
      </c>
    </row>
    <row r="543" spans="1:3">
      <c r="A543" s="3">
        <f ca="1">IFERROR(__xludf.UNSUPPORTED("""COMPUTED_VALUE"""),44252.6666666666)</f>
        <v>44252.666666666599</v>
      </c>
      <c r="B543" s="1">
        <f ca="1">IFERROR(__xludf.UNSUPPORTED("""COMPUTED_VALUE"""),120.99)</f>
        <v>120.99</v>
      </c>
      <c r="C543" s="2">
        <f t="shared" ca="1" si="2"/>
        <v>-3.4782608695652174E-2</v>
      </c>
    </row>
    <row r="544" spans="1:3">
      <c r="A544" s="3">
        <f ca="1">IFERROR(__xludf.UNSUPPORTED("""COMPUTED_VALUE"""),44253.6666666666)</f>
        <v>44253.666666666599</v>
      </c>
      <c r="B544" s="1">
        <f ca="1">IFERROR(__xludf.UNSUPPORTED("""COMPUTED_VALUE"""),121.26)</f>
        <v>121.26</v>
      </c>
      <c r="C544" s="2">
        <f t="shared" ca="1" si="2"/>
        <v>2.231589387552775E-3</v>
      </c>
    </row>
    <row r="545" spans="1:3">
      <c r="A545" s="3">
        <f ca="1">IFERROR(__xludf.UNSUPPORTED("""COMPUTED_VALUE"""),44256.6666666666)</f>
        <v>44256.666666666599</v>
      </c>
      <c r="B545" s="1">
        <f ca="1">IFERROR(__xludf.UNSUPPORTED("""COMPUTED_VALUE"""),127.79)</f>
        <v>127.79</v>
      </c>
      <c r="C545" s="2">
        <f t="shared" ca="1" si="2"/>
        <v>5.3851228764637972E-2</v>
      </c>
    </row>
    <row r="546" spans="1:3">
      <c r="A546" s="3">
        <f ca="1">IFERROR(__xludf.UNSUPPORTED("""COMPUTED_VALUE"""),44257.6666666666)</f>
        <v>44257.666666666599</v>
      </c>
      <c r="B546" s="1">
        <f ca="1">IFERROR(__xludf.UNSUPPORTED("""COMPUTED_VALUE"""),125.12)</f>
        <v>125.12</v>
      </c>
      <c r="C546" s="2">
        <f t="shared" ca="1" si="2"/>
        <v>-2.0893653650520396E-2</v>
      </c>
    </row>
    <row r="547" spans="1:3">
      <c r="A547" s="3">
        <f ca="1">IFERROR(__xludf.UNSUPPORTED("""COMPUTED_VALUE"""),44258.6666666666)</f>
        <v>44258.666666666599</v>
      </c>
      <c r="B547" s="1">
        <f ca="1">IFERROR(__xludf.UNSUPPORTED("""COMPUTED_VALUE"""),122.06)</f>
        <v>122.06</v>
      </c>
      <c r="C547" s="2">
        <f t="shared" ca="1" si="2"/>
        <v>-2.4456521739130453E-2</v>
      </c>
    </row>
    <row r="548" spans="1:3">
      <c r="A548" s="3">
        <f ca="1">IFERROR(__xludf.UNSUPPORTED("""COMPUTED_VALUE"""),44259.6666666666)</f>
        <v>44259.666666666599</v>
      </c>
      <c r="B548" s="1">
        <f ca="1">IFERROR(__xludf.UNSUPPORTED("""COMPUTED_VALUE"""),120.13)</f>
        <v>120.13</v>
      </c>
      <c r="C548" s="2">
        <f t="shared" ca="1" si="2"/>
        <v>-1.5811895788956306E-2</v>
      </c>
    </row>
    <row r="549" spans="1:3">
      <c r="A549" s="3">
        <f ca="1">IFERROR(__xludf.UNSUPPORTED("""COMPUTED_VALUE"""),44260.6666666666)</f>
        <v>44260.666666666599</v>
      </c>
      <c r="B549" s="1">
        <f ca="1">IFERROR(__xludf.UNSUPPORTED("""COMPUTED_VALUE"""),121.42)</f>
        <v>121.42</v>
      </c>
      <c r="C549" s="2">
        <f t="shared" ca="1" si="2"/>
        <v>1.0738366769333275E-2</v>
      </c>
    </row>
    <row r="550" spans="1:3">
      <c r="A550" s="3">
        <f ca="1">IFERROR(__xludf.UNSUPPORTED("""COMPUTED_VALUE"""),44263.6666666666)</f>
        <v>44263.666666666599</v>
      </c>
      <c r="B550" s="1">
        <f ca="1">IFERROR(__xludf.UNSUPPORTED("""COMPUTED_VALUE"""),116.36)</f>
        <v>116.36</v>
      </c>
      <c r="C550" s="2">
        <f t="shared" ca="1" si="2"/>
        <v>-4.1673529896227988E-2</v>
      </c>
    </row>
    <row r="551" spans="1:3">
      <c r="A551" s="3">
        <f ca="1">IFERROR(__xludf.UNSUPPORTED("""COMPUTED_VALUE"""),44264.6666666666)</f>
        <v>44264.666666666599</v>
      </c>
      <c r="B551" s="1">
        <f ca="1">IFERROR(__xludf.UNSUPPORTED("""COMPUTED_VALUE"""),121.09)</f>
        <v>121.09</v>
      </c>
      <c r="C551" s="2">
        <f t="shared" ca="1" si="2"/>
        <v>4.0649707803368892E-2</v>
      </c>
    </row>
    <row r="552" spans="1:3">
      <c r="A552" s="3">
        <f ca="1">IFERROR(__xludf.UNSUPPORTED("""COMPUTED_VALUE"""),44265.6666666666)</f>
        <v>44265.666666666599</v>
      </c>
      <c r="B552" s="1">
        <f ca="1">IFERROR(__xludf.UNSUPPORTED("""COMPUTED_VALUE"""),119.98)</f>
        <v>119.98</v>
      </c>
      <c r="C552" s="2">
        <f t="shared" ca="1" si="2"/>
        <v>-9.1667354860021418E-3</v>
      </c>
    </row>
    <row r="553" spans="1:3">
      <c r="A553" s="3">
        <f ca="1">IFERROR(__xludf.UNSUPPORTED("""COMPUTED_VALUE"""),44266.6666666666)</f>
        <v>44266.666666666599</v>
      </c>
      <c r="B553" s="1">
        <f ca="1">IFERROR(__xludf.UNSUPPORTED("""COMPUTED_VALUE"""),121.96)</f>
        <v>121.96</v>
      </c>
      <c r="C553" s="2">
        <f t="shared" ca="1" si="2"/>
        <v>1.6502750458409651E-2</v>
      </c>
    </row>
    <row r="554" spans="1:3">
      <c r="A554" s="3">
        <f ca="1">IFERROR(__xludf.UNSUPPORTED("""COMPUTED_VALUE"""),44267.6666666666)</f>
        <v>44267.666666666599</v>
      </c>
      <c r="B554" s="1">
        <f ca="1">IFERROR(__xludf.UNSUPPORTED("""COMPUTED_VALUE"""),121.03)</f>
        <v>121.03</v>
      </c>
      <c r="C554" s="2">
        <f t="shared" ca="1" si="2"/>
        <v>-7.6254509675302779E-3</v>
      </c>
    </row>
    <row r="555" spans="1:3">
      <c r="A555" s="3">
        <f ca="1">IFERROR(__xludf.UNSUPPORTED("""COMPUTED_VALUE"""),44270.6666666666)</f>
        <v>44270.666666666599</v>
      </c>
      <c r="B555" s="1">
        <f ca="1">IFERROR(__xludf.UNSUPPORTED("""COMPUTED_VALUE"""),123.99)</f>
        <v>123.99</v>
      </c>
      <c r="C555" s="2">
        <f t="shared" ca="1" si="2"/>
        <v>2.4456746261257489E-2</v>
      </c>
    </row>
    <row r="556" spans="1:3">
      <c r="A556" s="3">
        <f ca="1">IFERROR(__xludf.UNSUPPORTED("""COMPUTED_VALUE"""),44271.6666666666)</f>
        <v>44271.666666666599</v>
      </c>
      <c r="B556" s="1">
        <f ca="1">IFERROR(__xludf.UNSUPPORTED("""COMPUTED_VALUE"""),125.57)</f>
        <v>125.57</v>
      </c>
      <c r="C556" s="2">
        <f t="shared" ca="1" si="2"/>
        <v>1.2742963142188873E-2</v>
      </c>
    </row>
    <row r="557" spans="1:3">
      <c r="A557" s="3">
        <f ca="1">IFERROR(__xludf.UNSUPPORTED("""COMPUTED_VALUE"""),44272.6666666666)</f>
        <v>44272.666666666599</v>
      </c>
      <c r="B557" s="1">
        <f ca="1">IFERROR(__xludf.UNSUPPORTED("""COMPUTED_VALUE"""),124.76)</f>
        <v>124.76</v>
      </c>
      <c r="C557" s="2">
        <f t="shared" ca="1" si="2"/>
        <v>-6.450585330891042E-3</v>
      </c>
    </row>
    <row r="558" spans="1:3">
      <c r="A558" s="3">
        <f ca="1">IFERROR(__xludf.UNSUPPORTED("""COMPUTED_VALUE"""),44273.6666666666)</f>
        <v>44273.666666666599</v>
      </c>
      <c r="B558" s="1">
        <f ca="1">IFERROR(__xludf.UNSUPPORTED("""COMPUTED_VALUE"""),120.53)</f>
        <v>120.53</v>
      </c>
      <c r="C558" s="2">
        <f t="shared" ca="1" si="2"/>
        <v>-3.3905097787752518E-2</v>
      </c>
    </row>
    <row r="559" spans="1:3">
      <c r="A559" s="3">
        <f ca="1">IFERROR(__xludf.UNSUPPORTED("""COMPUTED_VALUE"""),44274.6666666666)</f>
        <v>44274.666666666599</v>
      </c>
      <c r="B559" s="1">
        <f ca="1">IFERROR(__xludf.UNSUPPORTED("""COMPUTED_VALUE"""),119.99)</f>
        <v>119.99</v>
      </c>
      <c r="C559" s="2">
        <f t="shared" ca="1" si="2"/>
        <v>-4.4802123952543457E-3</v>
      </c>
    </row>
    <row r="560" spans="1:3">
      <c r="A560" s="3">
        <f ca="1">IFERROR(__xludf.UNSUPPORTED("""COMPUTED_VALUE"""),44277.6666666666)</f>
        <v>44277.666666666599</v>
      </c>
      <c r="B560" s="1">
        <f ca="1">IFERROR(__xludf.UNSUPPORTED("""COMPUTED_VALUE"""),123.39)</f>
        <v>123.39</v>
      </c>
      <c r="C560" s="2">
        <f t="shared" ca="1" si="2"/>
        <v>2.8335694641220151E-2</v>
      </c>
    </row>
    <row r="561" spans="1:3">
      <c r="A561" s="3">
        <f ca="1">IFERROR(__xludf.UNSUPPORTED("""COMPUTED_VALUE"""),44278.6666666666)</f>
        <v>44278.666666666599</v>
      </c>
      <c r="B561" s="1">
        <f ca="1">IFERROR(__xludf.UNSUPPORTED("""COMPUTED_VALUE"""),122.54)</f>
        <v>122.54</v>
      </c>
      <c r="C561" s="2">
        <f t="shared" ca="1" si="2"/>
        <v>-6.8887268011994032E-3</v>
      </c>
    </row>
    <row r="562" spans="1:3">
      <c r="A562" s="3">
        <f ca="1">IFERROR(__xludf.UNSUPPORTED("""COMPUTED_VALUE"""),44279.6666666666)</f>
        <v>44279.666666666599</v>
      </c>
      <c r="B562" s="1">
        <f ca="1">IFERROR(__xludf.UNSUPPORTED("""COMPUTED_VALUE"""),120.09)</f>
        <v>120.09</v>
      </c>
      <c r="C562" s="2">
        <f t="shared" ca="1" si="2"/>
        <v>-1.9993471519503859E-2</v>
      </c>
    </row>
    <row r="563" spans="1:3">
      <c r="A563" s="3">
        <f ca="1">IFERROR(__xludf.UNSUPPORTED("""COMPUTED_VALUE"""),44280.6666666666)</f>
        <v>44280.666666666599</v>
      </c>
      <c r="B563" s="1">
        <f ca="1">IFERROR(__xludf.UNSUPPORTED("""COMPUTED_VALUE"""),120.59)</f>
        <v>120.59</v>
      </c>
      <c r="C563" s="2">
        <f t="shared" ca="1" si="2"/>
        <v>4.1635440086601715E-3</v>
      </c>
    </row>
    <row r="564" spans="1:3">
      <c r="A564" s="3">
        <f ca="1">IFERROR(__xludf.UNSUPPORTED("""COMPUTED_VALUE"""),44281.6666666666)</f>
        <v>44281.666666666599</v>
      </c>
      <c r="B564" s="1">
        <f ca="1">IFERROR(__xludf.UNSUPPORTED("""COMPUTED_VALUE"""),121.21)</f>
        <v>121.21</v>
      </c>
      <c r="C564" s="2">
        <f t="shared" ca="1" si="2"/>
        <v>5.1413881748071178E-3</v>
      </c>
    </row>
    <row r="565" spans="1:3">
      <c r="A565" s="3">
        <f ca="1">IFERROR(__xludf.UNSUPPORTED("""COMPUTED_VALUE"""),44284.6666666666)</f>
        <v>44284.666666666599</v>
      </c>
      <c r="B565" s="1">
        <f ca="1">IFERROR(__xludf.UNSUPPORTED("""COMPUTED_VALUE"""),121.39)</f>
        <v>121.39</v>
      </c>
      <c r="C565" s="2">
        <f t="shared" ca="1" si="2"/>
        <v>1.4850259879548456E-3</v>
      </c>
    </row>
    <row r="566" spans="1:3">
      <c r="A566" s="3">
        <f ca="1">IFERROR(__xludf.UNSUPPORTED("""COMPUTED_VALUE"""),44285.6666666666)</f>
        <v>44285.666666666599</v>
      </c>
      <c r="B566" s="1">
        <f ca="1">IFERROR(__xludf.UNSUPPORTED("""COMPUTED_VALUE"""),119.9)</f>
        <v>119.9</v>
      </c>
      <c r="C566" s="2">
        <f t="shared" ca="1" si="2"/>
        <v>-1.2274487190048561E-2</v>
      </c>
    </row>
    <row r="567" spans="1:3">
      <c r="A567" s="3">
        <f ca="1">IFERROR(__xludf.UNSUPPORTED("""COMPUTED_VALUE"""),44286.6666666666)</f>
        <v>44286.666666666599</v>
      </c>
      <c r="B567" s="1">
        <f ca="1">IFERROR(__xludf.UNSUPPORTED("""COMPUTED_VALUE"""),122.15)</f>
        <v>122.15</v>
      </c>
      <c r="C567" s="2">
        <f t="shared" ca="1" si="2"/>
        <v>1.8765638031693076E-2</v>
      </c>
    </row>
    <row r="568" spans="1:3">
      <c r="A568" s="3">
        <f ca="1">IFERROR(__xludf.UNSUPPORTED("""COMPUTED_VALUE"""),44287.6666666666)</f>
        <v>44287.666666666599</v>
      </c>
      <c r="B568" s="1">
        <f ca="1">IFERROR(__xludf.UNSUPPORTED("""COMPUTED_VALUE"""),123)</f>
        <v>123</v>
      </c>
      <c r="C568" s="2">
        <f t="shared" ca="1" si="2"/>
        <v>6.9586573884567685E-3</v>
      </c>
    </row>
    <row r="569" spans="1:3">
      <c r="A569" s="3">
        <f ca="1">IFERROR(__xludf.UNSUPPORTED("""COMPUTED_VALUE"""),44291.6666666666)</f>
        <v>44291.666666666599</v>
      </c>
      <c r="B569" s="1">
        <f ca="1">IFERROR(__xludf.UNSUPPORTED("""COMPUTED_VALUE"""),125.9)</f>
        <v>125.9</v>
      </c>
      <c r="C569" s="2">
        <f t="shared" ca="1" si="2"/>
        <v>2.357723577235777E-2</v>
      </c>
    </row>
    <row r="570" spans="1:3">
      <c r="A570" s="3">
        <f ca="1">IFERROR(__xludf.UNSUPPORTED("""COMPUTED_VALUE"""),44292.6666666666)</f>
        <v>44292.666666666599</v>
      </c>
      <c r="B570" s="1">
        <f ca="1">IFERROR(__xludf.UNSUPPORTED("""COMPUTED_VALUE"""),126.21)</f>
        <v>126.21</v>
      </c>
      <c r="C570" s="2">
        <f t="shared" ca="1" si="2"/>
        <v>2.4622716441619385E-3</v>
      </c>
    </row>
    <row r="571" spans="1:3">
      <c r="A571" s="3">
        <f ca="1">IFERROR(__xludf.UNSUPPORTED("""COMPUTED_VALUE"""),44293.6666666666)</f>
        <v>44293.666666666599</v>
      </c>
      <c r="B571" s="1">
        <f ca="1">IFERROR(__xludf.UNSUPPORTED("""COMPUTED_VALUE"""),127.9)</f>
        <v>127.9</v>
      </c>
      <c r="C571" s="2">
        <f t="shared" ca="1" si="2"/>
        <v>1.3390381110847097E-2</v>
      </c>
    </row>
    <row r="572" spans="1:3">
      <c r="A572" s="3">
        <f ca="1">IFERROR(__xludf.UNSUPPORTED("""COMPUTED_VALUE"""),44294.6666666666)</f>
        <v>44294.666666666599</v>
      </c>
      <c r="B572" s="1">
        <f ca="1">IFERROR(__xludf.UNSUPPORTED("""COMPUTED_VALUE"""),130.36)</f>
        <v>130.36000000000001</v>
      </c>
      <c r="C572" s="2">
        <f t="shared" ca="1" si="2"/>
        <v>1.9233776387803034E-2</v>
      </c>
    </row>
    <row r="573" spans="1:3">
      <c r="A573" s="3">
        <f ca="1">IFERROR(__xludf.UNSUPPORTED("""COMPUTED_VALUE"""),44295.6666666666)</f>
        <v>44295.666666666599</v>
      </c>
      <c r="B573" s="1">
        <f ca="1">IFERROR(__xludf.UNSUPPORTED("""COMPUTED_VALUE"""),133)</f>
        <v>133</v>
      </c>
      <c r="C573" s="2">
        <f t="shared" ca="1" si="2"/>
        <v>2.0251610923596088E-2</v>
      </c>
    </row>
    <row r="574" spans="1:3">
      <c r="A574" s="3">
        <f ca="1">IFERROR(__xludf.UNSUPPORTED("""COMPUTED_VALUE"""),44298.6666666666)</f>
        <v>44298.666666666599</v>
      </c>
      <c r="B574" s="1">
        <f ca="1">IFERROR(__xludf.UNSUPPORTED("""COMPUTED_VALUE"""),131.24)</f>
        <v>131.24</v>
      </c>
      <c r="C574" s="2">
        <f t="shared" ca="1" si="2"/>
        <v>-1.3233082706766848E-2</v>
      </c>
    </row>
    <row r="575" spans="1:3">
      <c r="A575" s="3">
        <f ca="1">IFERROR(__xludf.UNSUPPORTED("""COMPUTED_VALUE"""),44299.6666666666)</f>
        <v>44299.666666666599</v>
      </c>
      <c r="B575" s="1">
        <f ca="1">IFERROR(__xludf.UNSUPPORTED("""COMPUTED_VALUE"""),134.43)</f>
        <v>134.43</v>
      </c>
      <c r="C575" s="2">
        <f t="shared" ca="1" si="2"/>
        <v>2.4306613837244723E-2</v>
      </c>
    </row>
    <row r="576" spans="1:3">
      <c r="A576" s="3">
        <f ca="1">IFERROR(__xludf.UNSUPPORTED("""COMPUTED_VALUE"""),44300.6666666666)</f>
        <v>44300.666666666599</v>
      </c>
      <c r="B576" s="1">
        <f ca="1">IFERROR(__xludf.UNSUPPORTED("""COMPUTED_VALUE"""),132.03)</f>
        <v>132.03</v>
      </c>
      <c r="C576" s="2">
        <f t="shared" ca="1" si="2"/>
        <v>-1.7853157777281897E-2</v>
      </c>
    </row>
    <row r="577" spans="1:3">
      <c r="A577" s="3">
        <f ca="1">IFERROR(__xludf.UNSUPPORTED("""COMPUTED_VALUE"""),44301.6666666666)</f>
        <v>44301.666666666599</v>
      </c>
      <c r="B577" s="1">
        <f ca="1">IFERROR(__xludf.UNSUPPORTED("""COMPUTED_VALUE"""),134.5)</f>
        <v>134.5</v>
      </c>
      <c r="C577" s="2">
        <f t="shared" ca="1" si="2"/>
        <v>1.8707869423615835E-2</v>
      </c>
    </row>
    <row r="578" spans="1:3">
      <c r="A578" s="3">
        <f ca="1">IFERROR(__xludf.UNSUPPORTED("""COMPUTED_VALUE"""),44302.6666666666)</f>
        <v>44302.666666666599</v>
      </c>
      <c r="B578" s="1">
        <f ca="1">IFERROR(__xludf.UNSUPPORTED("""COMPUTED_VALUE"""),134.16)</f>
        <v>134.16</v>
      </c>
      <c r="C578" s="2">
        <f t="shared" ca="1" si="2"/>
        <v>-2.5278810408922185E-3</v>
      </c>
    </row>
    <row r="579" spans="1:3">
      <c r="A579" s="3">
        <f ca="1">IFERROR(__xludf.UNSUPPORTED("""COMPUTED_VALUE"""),44305.6666666666)</f>
        <v>44305.666666666599</v>
      </c>
      <c r="B579" s="1">
        <f ca="1">IFERROR(__xludf.UNSUPPORTED("""COMPUTED_VALUE"""),134.84)</f>
        <v>134.84</v>
      </c>
      <c r="C579" s="2">
        <f t="shared" ca="1" si="2"/>
        <v>5.0685748360167473E-3</v>
      </c>
    </row>
    <row r="580" spans="1:3">
      <c r="A580" s="3">
        <f ca="1">IFERROR(__xludf.UNSUPPORTED("""COMPUTED_VALUE"""),44306.6666666666)</f>
        <v>44306.666666666599</v>
      </c>
      <c r="B580" s="1">
        <f ca="1">IFERROR(__xludf.UNSUPPORTED("""COMPUTED_VALUE"""),133.11)</f>
        <v>133.11000000000001</v>
      </c>
      <c r="C580" s="2">
        <f t="shared" ca="1" si="2"/>
        <v>-1.2830020765351452E-2</v>
      </c>
    </row>
    <row r="581" spans="1:3">
      <c r="A581" s="3">
        <f ca="1">IFERROR(__xludf.UNSUPPORTED("""COMPUTED_VALUE"""),44307.6666666666)</f>
        <v>44307.666666666599</v>
      </c>
      <c r="B581" s="1">
        <f ca="1">IFERROR(__xludf.UNSUPPORTED("""COMPUTED_VALUE"""),133.5)</f>
        <v>133.5</v>
      </c>
      <c r="C581" s="2">
        <f t="shared" ca="1" si="2"/>
        <v>2.9299075952218942E-3</v>
      </c>
    </row>
    <row r="582" spans="1:3">
      <c r="A582" s="3">
        <f ca="1">IFERROR(__xludf.UNSUPPORTED("""COMPUTED_VALUE"""),44308.6666666666)</f>
        <v>44308.666666666599</v>
      </c>
      <c r="B582" s="1">
        <f ca="1">IFERROR(__xludf.UNSUPPORTED("""COMPUTED_VALUE"""),131.94)</f>
        <v>131.94</v>
      </c>
      <c r="C582" s="2">
        <f t="shared" ca="1" si="2"/>
        <v>-1.1685393258426983E-2</v>
      </c>
    </row>
    <row r="583" spans="1:3">
      <c r="A583" s="3">
        <f ca="1">IFERROR(__xludf.UNSUPPORTED("""COMPUTED_VALUE"""),44309.6666666666)</f>
        <v>44309.666666666599</v>
      </c>
      <c r="B583" s="1">
        <f ca="1">IFERROR(__xludf.UNSUPPORTED("""COMPUTED_VALUE"""),134.32)</f>
        <v>134.32</v>
      </c>
      <c r="C583" s="2">
        <f t="shared" ca="1" si="2"/>
        <v>1.8038502349552794E-2</v>
      </c>
    </row>
    <row r="584" spans="1:3">
      <c r="A584" s="3">
        <f ca="1">IFERROR(__xludf.UNSUPPORTED("""COMPUTED_VALUE"""),44312.6666666666)</f>
        <v>44312.666666666599</v>
      </c>
      <c r="B584" s="1">
        <f ca="1">IFERROR(__xludf.UNSUPPORTED("""COMPUTED_VALUE"""),134.72)</f>
        <v>134.72</v>
      </c>
      <c r="C584" s="2">
        <f t="shared" ca="1" si="2"/>
        <v>2.9779630732579341E-3</v>
      </c>
    </row>
    <row r="585" spans="1:3">
      <c r="A585" s="3">
        <f ca="1">IFERROR(__xludf.UNSUPPORTED("""COMPUTED_VALUE"""),44313.6666666666)</f>
        <v>44313.666666666599</v>
      </c>
      <c r="B585" s="1">
        <f ca="1">IFERROR(__xludf.UNSUPPORTED("""COMPUTED_VALUE"""),134.39)</f>
        <v>134.38999999999999</v>
      </c>
      <c r="C585" s="2">
        <f t="shared" ca="1" si="2"/>
        <v>-2.4495249406176699E-3</v>
      </c>
    </row>
    <row r="586" spans="1:3">
      <c r="A586" s="3">
        <f ca="1">IFERROR(__xludf.UNSUPPORTED("""COMPUTED_VALUE"""),44314.6666666666)</f>
        <v>44314.666666666599</v>
      </c>
      <c r="B586" s="1">
        <f ca="1">IFERROR(__xludf.UNSUPPORTED("""COMPUTED_VALUE"""),133.58)</f>
        <v>133.58000000000001</v>
      </c>
      <c r="C586" s="2">
        <f t="shared" ca="1" si="2"/>
        <v>-6.0272341692088243E-3</v>
      </c>
    </row>
    <row r="587" spans="1:3">
      <c r="A587" s="3">
        <f ca="1">IFERROR(__xludf.UNSUPPORTED("""COMPUTED_VALUE"""),44315.6666666666)</f>
        <v>44315.666666666599</v>
      </c>
      <c r="B587" s="1">
        <f ca="1">IFERROR(__xludf.UNSUPPORTED("""COMPUTED_VALUE"""),133.48)</f>
        <v>133.47999999999999</v>
      </c>
      <c r="C587" s="2">
        <f t="shared" ca="1" si="2"/>
        <v>-7.4861506213522026E-4</v>
      </c>
    </row>
    <row r="588" spans="1:3">
      <c r="A588" s="3">
        <f ca="1">IFERROR(__xludf.UNSUPPORTED("""COMPUTED_VALUE"""),44316.6666666666)</f>
        <v>44316.666666666599</v>
      </c>
      <c r="B588" s="1">
        <f ca="1">IFERROR(__xludf.UNSUPPORTED("""COMPUTED_VALUE"""),131.46)</f>
        <v>131.46</v>
      </c>
      <c r="C588" s="2">
        <f t="shared" ca="1" si="2"/>
        <v>-1.5133353311357371E-2</v>
      </c>
    </row>
    <row r="589" spans="1:3">
      <c r="A589" s="3">
        <f ca="1">IFERROR(__xludf.UNSUPPORTED("""COMPUTED_VALUE"""),44319.6666666666)</f>
        <v>44319.666666666599</v>
      </c>
      <c r="B589" s="1">
        <f ca="1">IFERROR(__xludf.UNSUPPORTED("""COMPUTED_VALUE"""),132.54)</f>
        <v>132.54</v>
      </c>
      <c r="C589" s="2">
        <f t="shared" ca="1" si="2"/>
        <v>8.2154267457780622E-3</v>
      </c>
    </row>
    <row r="590" spans="1:3">
      <c r="A590" s="3">
        <f ca="1">IFERROR(__xludf.UNSUPPORTED("""COMPUTED_VALUE"""),44320.6666666666)</f>
        <v>44320.666666666599</v>
      </c>
      <c r="B590" s="1">
        <f ca="1">IFERROR(__xludf.UNSUPPORTED("""COMPUTED_VALUE"""),127.85)</f>
        <v>127.85</v>
      </c>
      <c r="C590" s="2">
        <f t="shared" ca="1" si="2"/>
        <v>-3.5385543986720974E-2</v>
      </c>
    </row>
    <row r="591" spans="1:3">
      <c r="A591" s="3">
        <f ca="1">IFERROR(__xludf.UNSUPPORTED("""COMPUTED_VALUE"""),44321.6666666666)</f>
        <v>44321.666666666599</v>
      </c>
      <c r="B591" s="1">
        <f ca="1">IFERROR(__xludf.UNSUPPORTED("""COMPUTED_VALUE"""),128.1)</f>
        <v>128.1</v>
      </c>
      <c r="C591" s="2">
        <f t="shared" ca="1" si="2"/>
        <v>1.9554165037152915E-3</v>
      </c>
    </row>
    <row r="592" spans="1:3">
      <c r="A592" s="3">
        <f ca="1">IFERROR(__xludf.UNSUPPORTED("""COMPUTED_VALUE"""),44322.6666666666)</f>
        <v>44322.666666666599</v>
      </c>
      <c r="B592" s="1">
        <f ca="1">IFERROR(__xludf.UNSUPPORTED("""COMPUTED_VALUE"""),129.74)</f>
        <v>129.74</v>
      </c>
      <c r="C592" s="2">
        <f t="shared" ca="1" si="2"/>
        <v>1.2802498048399804E-2</v>
      </c>
    </row>
    <row r="593" spans="1:3">
      <c r="A593" s="3">
        <f ca="1">IFERROR(__xludf.UNSUPPORTED("""COMPUTED_VALUE"""),44323.6666666666)</f>
        <v>44323.666666666599</v>
      </c>
      <c r="B593" s="1">
        <f ca="1">IFERROR(__xludf.UNSUPPORTED("""COMPUTED_VALUE"""),130.21)</f>
        <v>130.21</v>
      </c>
      <c r="C593" s="2">
        <f t="shared" ca="1" si="2"/>
        <v>3.6226298751348761E-3</v>
      </c>
    </row>
    <row r="594" spans="1:3">
      <c r="A594" s="3">
        <f ca="1">IFERROR(__xludf.UNSUPPORTED("""COMPUTED_VALUE"""),44326.6666666666)</f>
        <v>44326.666666666599</v>
      </c>
      <c r="B594" s="1">
        <f ca="1">IFERROR(__xludf.UNSUPPORTED("""COMPUTED_VALUE"""),126.85)</f>
        <v>126.85</v>
      </c>
      <c r="C594" s="2">
        <f t="shared" ca="1" si="2"/>
        <v>-2.5804469702787908E-2</v>
      </c>
    </row>
    <row r="595" spans="1:3">
      <c r="A595" s="3">
        <f ca="1">IFERROR(__xludf.UNSUPPORTED("""COMPUTED_VALUE"""),44327.6666666666)</f>
        <v>44327.666666666599</v>
      </c>
      <c r="B595" s="1">
        <f ca="1">IFERROR(__xludf.UNSUPPORTED("""COMPUTED_VALUE"""),125.91)</f>
        <v>125.91</v>
      </c>
      <c r="C595" s="2">
        <f t="shared" ca="1" si="2"/>
        <v>-7.4103271580606839E-3</v>
      </c>
    </row>
    <row r="596" spans="1:3">
      <c r="A596" s="3">
        <f ca="1">IFERROR(__xludf.UNSUPPORTED("""COMPUTED_VALUE"""),44328.6666666666)</f>
        <v>44328.666666666599</v>
      </c>
      <c r="B596" s="1">
        <f ca="1">IFERROR(__xludf.UNSUPPORTED("""COMPUTED_VALUE"""),122.77)</f>
        <v>122.77</v>
      </c>
      <c r="C596" s="2">
        <f t="shared" ca="1" si="2"/>
        <v>-2.4938448097847673E-2</v>
      </c>
    </row>
    <row r="597" spans="1:3">
      <c r="A597" s="3">
        <f ca="1">IFERROR(__xludf.UNSUPPORTED("""COMPUTED_VALUE"""),44329.6666666666)</f>
        <v>44329.666666666599</v>
      </c>
      <c r="B597" s="1">
        <f ca="1">IFERROR(__xludf.UNSUPPORTED("""COMPUTED_VALUE"""),124.97)</f>
        <v>124.97</v>
      </c>
      <c r="C597" s="2">
        <f t="shared" ca="1" si="2"/>
        <v>1.791968722000491E-2</v>
      </c>
    </row>
    <row r="598" spans="1:3">
      <c r="A598" s="3">
        <f ca="1">IFERROR(__xludf.UNSUPPORTED("""COMPUTED_VALUE"""),44330.6666666666)</f>
        <v>44330.666666666599</v>
      </c>
      <c r="B598" s="1">
        <f ca="1">IFERROR(__xludf.UNSUPPORTED("""COMPUTED_VALUE"""),127.45)</f>
        <v>127.45</v>
      </c>
      <c r="C598" s="2">
        <f t="shared" ca="1" si="2"/>
        <v>1.9844762743058367E-2</v>
      </c>
    </row>
    <row r="599" spans="1:3">
      <c r="A599" s="3">
        <f ca="1">IFERROR(__xludf.UNSUPPORTED("""COMPUTED_VALUE"""),44333.6666666666)</f>
        <v>44333.666666666599</v>
      </c>
      <c r="B599" s="1">
        <f ca="1">IFERROR(__xludf.UNSUPPORTED("""COMPUTED_VALUE"""),126.27)</f>
        <v>126.27</v>
      </c>
      <c r="C599" s="2">
        <f t="shared" ca="1" si="2"/>
        <v>-9.258532757944346E-3</v>
      </c>
    </row>
    <row r="600" spans="1:3">
      <c r="A600" s="3">
        <f ca="1">IFERROR(__xludf.UNSUPPORTED("""COMPUTED_VALUE"""),44334.6666666666)</f>
        <v>44334.666666666599</v>
      </c>
      <c r="B600" s="1">
        <f ca="1">IFERROR(__xludf.UNSUPPORTED("""COMPUTED_VALUE"""),124.85)</f>
        <v>124.85</v>
      </c>
      <c r="C600" s="2">
        <f t="shared" ca="1" si="2"/>
        <v>-1.1245743248594295E-2</v>
      </c>
    </row>
    <row r="601" spans="1:3">
      <c r="A601" s="3">
        <f ca="1">IFERROR(__xludf.UNSUPPORTED("""COMPUTED_VALUE"""),44335.6666666666)</f>
        <v>44335.666666666599</v>
      </c>
      <c r="B601" s="1">
        <f ca="1">IFERROR(__xludf.UNSUPPORTED("""COMPUTED_VALUE"""),124.69)</f>
        <v>124.69</v>
      </c>
      <c r="C601" s="2">
        <f t="shared" ca="1" si="2"/>
        <v>-1.2815378454144701E-3</v>
      </c>
    </row>
    <row r="602" spans="1:3">
      <c r="A602" s="3">
        <f ca="1">IFERROR(__xludf.UNSUPPORTED("""COMPUTED_VALUE"""),44336.6666666666)</f>
        <v>44336.666666666599</v>
      </c>
      <c r="B602" s="1">
        <f ca="1">IFERROR(__xludf.UNSUPPORTED("""COMPUTED_VALUE"""),127.31)</f>
        <v>127.31</v>
      </c>
      <c r="C602" s="2">
        <f t="shared" ca="1" si="2"/>
        <v>2.1012110032881583E-2</v>
      </c>
    </row>
    <row r="603" spans="1:3">
      <c r="A603" s="3">
        <f ca="1">IFERROR(__xludf.UNSUPPORTED("""COMPUTED_VALUE"""),44337.6666666666)</f>
        <v>44337.666666666599</v>
      </c>
      <c r="B603" s="1">
        <f ca="1">IFERROR(__xludf.UNSUPPORTED("""COMPUTED_VALUE"""),125.43)</f>
        <v>125.43</v>
      </c>
      <c r="C603" s="2">
        <f t="shared" ca="1" si="2"/>
        <v>-1.4767103919566376E-2</v>
      </c>
    </row>
    <row r="604" spans="1:3">
      <c r="A604" s="3">
        <f ca="1">IFERROR(__xludf.UNSUPPORTED("""COMPUTED_VALUE"""),44340.6666666666)</f>
        <v>44340.666666666599</v>
      </c>
      <c r="B604" s="1">
        <f ca="1">IFERROR(__xludf.UNSUPPORTED("""COMPUTED_VALUE"""),127.1)</f>
        <v>127.1</v>
      </c>
      <c r="C604" s="2">
        <f t="shared" ca="1" si="2"/>
        <v>1.3314199154907018E-2</v>
      </c>
    </row>
    <row r="605" spans="1:3">
      <c r="A605" s="3">
        <f ca="1">IFERROR(__xludf.UNSUPPORTED("""COMPUTED_VALUE"""),44341.6666666666)</f>
        <v>44341.666666666599</v>
      </c>
      <c r="B605" s="1">
        <f ca="1">IFERROR(__xludf.UNSUPPORTED("""COMPUTED_VALUE"""),126.9)</f>
        <v>126.9</v>
      </c>
      <c r="C605" s="2">
        <f t="shared" ca="1" si="2"/>
        <v>-1.5735641227379122E-3</v>
      </c>
    </row>
    <row r="606" spans="1:3">
      <c r="A606" s="3">
        <f ca="1">IFERROR(__xludf.UNSUPPORTED("""COMPUTED_VALUE"""),44342.6666666666)</f>
        <v>44342.666666666599</v>
      </c>
      <c r="B606" s="1">
        <f ca="1">IFERROR(__xludf.UNSUPPORTED("""COMPUTED_VALUE"""),126.85)</f>
        <v>126.85</v>
      </c>
      <c r="C606" s="2">
        <f t="shared" ca="1" si="2"/>
        <v>-3.9401103230899423E-4</v>
      </c>
    </row>
    <row r="607" spans="1:3">
      <c r="A607" s="3">
        <f ca="1">IFERROR(__xludf.UNSUPPORTED("""COMPUTED_VALUE"""),44343.6666666666)</f>
        <v>44343.666666666599</v>
      </c>
      <c r="B607" s="1">
        <f ca="1">IFERROR(__xludf.UNSUPPORTED("""COMPUTED_VALUE"""),125.28)</f>
        <v>125.28</v>
      </c>
      <c r="C607" s="2">
        <f t="shared" ca="1" si="2"/>
        <v>-1.2376823019314098E-2</v>
      </c>
    </row>
    <row r="608" spans="1:3">
      <c r="A608" s="3">
        <f ca="1">IFERROR(__xludf.UNSUPPORTED("""COMPUTED_VALUE"""),44344.6666666666)</f>
        <v>44344.666666666599</v>
      </c>
      <c r="B608" s="1">
        <f ca="1">IFERROR(__xludf.UNSUPPORTED("""COMPUTED_VALUE"""),124.61)</f>
        <v>124.61</v>
      </c>
      <c r="C608" s="2">
        <f t="shared" ca="1" si="2"/>
        <v>-5.3480204342273444E-3</v>
      </c>
    </row>
    <row r="609" spans="1:3">
      <c r="A609" s="3">
        <f ca="1">IFERROR(__xludf.UNSUPPORTED("""COMPUTED_VALUE"""),44348.6666666666)</f>
        <v>44348.666666666599</v>
      </c>
      <c r="B609" s="1">
        <f ca="1">IFERROR(__xludf.UNSUPPORTED("""COMPUTED_VALUE"""),124.28)</f>
        <v>124.28</v>
      </c>
      <c r="C609" s="2">
        <f t="shared" ca="1" si="2"/>
        <v>-2.6482625792472376E-3</v>
      </c>
    </row>
    <row r="610" spans="1:3">
      <c r="A610" s="3">
        <f ca="1">IFERROR(__xludf.UNSUPPORTED("""COMPUTED_VALUE"""),44349.6666666666)</f>
        <v>44349.666666666599</v>
      </c>
      <c r="B610" s="1">
        <f ca="1">IFERROR(__xludf.UNSUPPORTED("""COMPUTED_VALUE"""),125.06)</f>
        <v>125.06</v>
      </c>
      <c r="C610" s="2">
        <f t="shared" ca="1" si="2"/>
        <v>6.2761506276150722E-3</v>
      </c>
    </row>
    <row r="611" spans="1:3">
      <c r="A611" s="3">
        <f ca="1">IFERROR(__xludf.UNSUPPORTED("""COMPUTED_VALUE"""),44350.6666666666)</f>
        <v>44350.666666666599</v>
      </c>
      <c r="B611" s="1">
        <f ca="1">IFERROR(__xludf.UNSUPPORTED("""COMPUTED_VALUE"""),123.54)</f>
        <v>123.54</v>
      </c>
      <c r="C611" s="2">
        <f t="shared" ca="1" si="2"/>
        <v>-1.2154166000319815E-2</v>
      </c>
    </row>
    <row r="612" spans="1:3">
      <c r="A612" s="3">
        <f ca="1">IFERROR(__xludf.UNSUPPORTED("""COMPUTED_VALUE"""),44351.6666666666)</f>
        <v>44351.666666666599</v>
      </c>
      <c r="B612" s="1">
        <f ca="1">IFERROR(__xludf.UNSUPPORTED("""COMPUTED_VALUE"""),125.89)</f>
        <v>125.89</v>
      </c>
      <c r="C612" s="2">
        <f t="shared" ca="1" si="2"/>
        <v>1.9022179051319362E-2</v>
      </c>
    </row>
    <row r="613" spans="1:3">
      <c r="A613" s="3">
        <f ca="1">IFERROR(__xludf.UNSUPPORTED("""COMPUTED_VALUE"""),44354.6666666666)</f>
        <v>44354.666666666599</v>
      </c>
      <c r="B613" s="1">
        <f ca="1">IFERROR(__xludf.UNSUPPORTED("""COMPUTED_VALUE"""),125.9)</f>
        <v>125.9</v>
      </c>
      <c r="C613" s="2">
        <f t="shared" ca="1" si="2"/>
        <v>7.94344268806507E-5</v>
      </c>
    </row>
    <row r="614" spans="1:3">
      <c r="A614" s="3">
        <f ca="1">IFERROR(__xludf.UNSUPPORTED("""COMPUTED_VALUE"""),44355.6666666666)</f>
        <v>44355.666666666599</v>
      </c>
      <c r="B614" s="1">
        <f ca="1">IFERROR(__xludf.UNSUPPORTED("""COMPUTED_VALUE"""),126.74)</f>
        <v>126.74</v>
      </c>
      <c r="C614" s="2">
        <f t="shared" ca="1" si="2"/>
        <v>6.6719618745034884E-3</v>
      </c>
    </row>
    <row r="615" spans="1:3">
      <c r="A615" s="3">
        <f ca="1">IFERROR(__xludf.UNSUPPORTED("""COMPUTED_VALUE"""),44356.6666666666)</f>
        <v>44356.666666666599</v>
      </c>
      <c r="B615" s="1">
        <f ca="1">IFERROR(__xludf.UNSUPPORTED("""COMPUTED_VALUE"""),127.13)</f>
        <v>127.13</v>
      </c>
      <c r="C615" s="2">
        <f t="shared" ca="1" si="2"/>
        <v>3.0771658513492235E-3</v>
      </c>
    </row>
    <row r="616" spans="1:3">
      <c r="A616" s="3">
        <f ca="1">IFERROR(__xludf.UNSUPPORTED("""COMPUTED_VALUE"""),44357.6666666666)</f>
        <v>44357.666666666599</v>
      </c>
      <c r="B616" s="1">
        <f ca="1">IFERROR(__xludf.UNSUPPORTED("""COMPUTED_VALUE"""),126.11)</f>
        <v>126.11</v>
      </c>
      <c r="C616" s="2">
        <f t="shared" ca="1" si="2"/>
        <v>-8.0232832533626685E-3</v>
      </c>
    </row>
    <row r="617" spans="1:3">
      <c r="A617" s="3">
        <f ca="1">IFERROR(__xludf.UNSUPPORTED("""COMPUTED_VALUE"""),44358.6666666666)</f>
        <v>44358.666666666599</v>
      </c>
      <c r="B617" s="1">
        <f ca="1">IFERROR(__xludf.UNSUPPORTED("""COMPUTED_VALUE"""),127.35)</f>
        <v>127.35</v>
      </c>
      <c r="C617" s="2">
        <f t="shared" ca="1" si="2"/>
        <v>9.8326857505352059E-3</v>
      </c>
    </row>
    <row r="618" spans="1:3">
      <c r="A618" s="3">
        <f ca="1">IFERROR(__xludf.UNSUPPORTED("""COMPUTED_VALUE"""),44361.6666666666)</f>
        <v>44361.666666666599</v>
      </c>
      <c r="B618" s="1">
        <f ca="1">IFERROR(__xludf.UNSUPPORTED("""COMPUTED_VALUE"""),130.48)</f>
        <v>130.47999999999999</v>
      </c>
      <c r="C618" s="2">
        <f t="shared" ca="1" si="2"/>
        <v>2.4577934825284614E-2</v>
      </c>
    </row>
    <row r="619" spans="1:3">
      <c r="A619" s="3">
        <f ca="1">IFERROR(__xludf.UNSUPPORTED("""COMPUTED_VALUE"""),44362.6666666666)</f>
        <v>44362.666666666599</v>
      </c>
      <c r="B619" s="1">
        <f ca="1">IFERROR(__xludf.UNSUPPORTED("""COMPUTED_VALUE"""),129.64)</f>
        <v>129.63999999999999</v>
      </c>
      <c r="C619" s="2">
        <f t="shared" ca="1" si="2"/>
        <v>-6.4377682403433745E-3</v>
      </c>
    </row>
    <row r="620" spans="1:3">
      <c r="A620" s="3">
        <f ca="1">IFERROR(__xludf.UNSUPPORTED("""COMPUTED_VALUE"""),44363.6666666666)</f>
        <v>44363.666666666599</v>
      </c>
      <c r="B620" s="1">
        <f ca="1">IFERROR(__xludf.UNSUPPORTED("""COMPUTED_VALUE"""),130.15)</f>
        <v>130.15</v>
      </c>
      <c r="C620" s="2">
        <f t="shared" ca="1" si="2"/>
        <v>3.9339709966061355E-3</v>
      </c>
    </row>
    <row r="621" spans="1:3">
      <c r="A621" s="3">
        <f ca="1">IFERROR(__xludf.UNSUPPORTED("""COMPUTED_VALUE"""),44364.6666666666)</f>
        <v>44364.666666666599</v>
      </c>
      <c r="B621" s="1">
        <f ca="1">IFERROR(__xludf.UNSUPPORTED("""COMPUTED_VALUE"""),131.79)</f>
        <v>131.79</v>
      </c>
      <c r="C621" s="2">
        <f t="shared" ca="1" si="2"/>
        <v>1.2600845178639925E-2</v>
      </c>
    </row>
    <row r="622" spans="1:3">
      <c r="A622" s="3">
        <f ca="1">IFERROR(__xludf.UNSUPPORTED("""COMPUTED_VALUE"""),44365.6666666666)</f>
        <v>44365.666666666599</v>
      </c>
      <c r="B622" s="1">
        <f ca="1">IFERROR(__xludf.UNSUPPORTED("""COMPUTED_VALUE"""),130.46)</f>
        <v>130.46</v>
      </c>
      <c r="C622" s="2">
        <f t="shared" ca="1" si="2"/>
        <v>-1.0091812732377147E-2</v>
      </c>
    </row>
    <row r="623" spans="1:3">
      <c r="A623" s="3">
        <f ca="1">IFERROR(__xludf.UNSUPPORTED("""COMPUTED_VALUE"""),44368.6666666666)</f>
        <v>44368.666666666599</v>
      </c>
      <c r="B623" s="1">
        <f ca="1">IFERROR(__xludf.UNSUPPORTED("""COMPUTED_VALUE"""),132.3)</f>
        <v>132.30000000000001</v>
      </c>
      <c r="C623" s="2">
        <f t="shared" ca="1" si="2"/>
        <v>1.4103939904951734E-2</v>
      </c>
    </row>
    <row r="624" spans="1:3">
      <c r="A624" s="3">
        <f ca="1">IFERROR(__xludf.UNSUPPORTED("""COMPUTED_VALUE"""),44369.6666666666)</f>
        <v>44369.666666666599</v>
      </c>
      <c r="B624" s="1">
        <f ca="1">IFERROR(__xludf.UNSUPPORTED("""COMPUTED_VALUE"""),133.98)</f>
        <v>133.97999999999999</v>
      </c>
      <c r="C624" s="2">
        <f t="shared" ca="1" si="2"/>
        <v>1.2698412698412534E-2</v>
      </c>
    </row>
    <row r="625" spans="1:3">
      <c r="A625" s="3">
        <f ca="1">IFERROR(__xludf.UNSUPPORTED("""COMPUTED_VALUE"""),44370.6666666666)</f>
        <v>44370.666666666599</v>
      </c>
      <c r="B625" s="1">
        <f ca="1">IFERROR(__xludf.UNSUPPORTED("""COMPUTED_VALUE"""),133.7)</f>
        <v>133.69999999999999</v>
      </c>
      <c r="C625" s="2">
        <f t="shared" ca="1" si="2"/>
        <v>-2.0898641588296845E-3</v>
      </c>
    </row>
    <row r="626" spans="1:3">
      <c r="A626" s="3">
        <f ca="1">IFERROR(__xludf.UNSUPPORTED("""COMPUTED_VALUE"""),44371.6666666666)</f>
        <v>44371.666666666599</v>
      </c>
      <c r="B626" s="1">
        <f ca="1">IFERROR(__xludf.UNSUPPORTED("""COMPUTED_VALUE"""),133.41)</f>
        <v>133.41</v>
      </c>
      <c r="C626" s="2">
        <f t="shared" ca="1" si="2"/>
        <v>-2.1690351533282877E-3</v>
      </c>
    </row>
    <row r="627" spans="1:3">
      <c r="A627" s="3">
        <f ca="1">IFERROR(__xludf.UNSUPPORTED("""COMPUTED_VALUE"""),44372.6666666666)</f>
        <v>44372.666666666599</v>
      </c>
      <c r="B627" s="1">
        <f ca="1">IFERROR(__xludf.UNSUPPORTED("""COMPUTED_VALUE"""),133.11)</f>
        <v>133.11000000000001</v>
      </c>
      <c r="C627" s="2">
        <f t="shared" ca="1" si="2"/>
        <v>-2.2487069934786219E-3</v>
      </c>
    </row>
    <row r="628" spans="1:3">
      <c r="A628" s="3">
        <f ca="1">IFERROR(__xludf.UNSUPPORTED("""COMPUTED_VALUE"""),44375.6666666666)</f>
        <v>44375.666666666599</v>
      </c>
      <c r="B628" s="1">
        <f ca="1">IFERROR(__xludf.UNSUPPORTED("""COMPUTED_VALUE"""),134.78)</f>
        <v>134.78</v>
      </c>
      <c r="C628" s="2">
        <f t="shared" ca="1" si="2"/>
        <v>1.2546014574412045E-2</v>
      </c>
    </row>
    <row r="629" spans="1:3">
      <c r="A629" s="3">
        <f ca="1">IFERROR(__xludf.UNSUPPORTED("""COMPUTED_VALUE"""),44376.6666666666)</f>
        <v>44376.666666666599</v>
      </c>
      <c r="B629" s="1">
        <f ca="1">IFERROR(__xludf.UNSUPPORTED("""COMPUTED_VALUE"""),136.33)</f>
        <v>136.33000000000001</v>
      </c>
      <c r="C629" s="2">
        <f t="shared" ca="1" si="2"/>
        <v>1.1500222584953342E-2</v>
      </c>
    </row>
    <row r="630" spans="1:3">
      <c r="A630" s="3">
        <f ca="1">IFERROR(__xludf.UNSUPPORTED("""COMPUTED_VALUE"""),44377.6666666666)</f>
        <v>44377.666666666599</v>
      </c>
      <c r="B630" s="1">
        <f ca="1">IFERROR(__xludf.UNSUPPORTED("""COMPUTED_VALUE"""),136.96)</f>
        <v>136.96</v>
      </c>
      <c r="C630" s="2">
        <f t="shared" ca="1" si="2"/>
        <v>4.6211398811706553E-3</v>
      </c>
    </row>
    <row r="631" spans="1:3">
      <c r="A631" s="3">
        <f ca="1">IFERROR(__xludf.UNSUPPORTED("""COMPUTED_VALUE"""),44378.6666666666)</f>
        <v>44378.666666666599</v>
      </c>
      <c r="B631" s="1">
        <f ca="1">IFERROR(__xludf.UNSUPPORTED("""COMPUTED_VALUE"""),137.27)</f>
        <v>137.27000000000001</v>
      </c>
      <c r="C631" s="2">
        <f t="shared" ca="1" si="2"/>
        <v>2.2634345794392686E-3</v>
      </c>
    </row>
    <row r="632" spans="1:3">
      <c r="A632" s="3">
        <f ca="1">IFERROR(__xludf.UNSUPPORTED("""COMPUTED_VALUE"""),44379.6666666666)</f>
        <v>44379.666666666599</v>
      </c>
      <c r="B632" s="1">
        <f ca="1">IFERROR(__xludf.UNSUPPORTED("""COMPUTED_VALUE"""),139.96)</f>
        <v>139.96</v>
      </c>
      <c r="C632" s="2">
        <f t="shared" ca="1" si="2"/>
        <v>1.95964158228309E-2</v>
      </c>
    </row>
    <row r="633" spans="1:3">
      <c r="A633" s="3">
        <f ca="1">IFERROR(__xludf.UNSUPPORTED("""COMPUTED_VALUE"""),44383.6666666666)</f>
        <v>44383.666666666599</v>
      </c>
      <c r="B633" s="1">
        <f ca="1">IFERROR(__xludf.UNSUPPORTED("""COMPUTED_VALUE"""),142.02)</f>
        <v>142.02000000000001</v>
      </c>
      <c r="C633" s="2">
        <f t="shared" ca="1" si="2"/>
        <v>1.4718490997427851E-2</v>
      </c>
    </row>
    <row r="634" spans="1:3">
      <c r="A634" s="3">
        <f ca="1">IFERROR(__xludf.UNSUPPORTED("""COMPUTED_VALUE"""),44384.6666666666)</f>
        <v>44384.666666666599</v>
      </c>
      <c r="B634" s="1">
        <f ca="1">IFERROR(__xludf.UNSUPPORTED("""COMPUTED_VALUE"""),144.57)</f>
        <v>144.57</v>
      </c>
      <c r="C634" s="2">
        <f t="shared" ca="1" si="2"/>
        <v>1.7955217574989316E-2</v>
      </c>
    </row>
    <row r="635" spans="1:3">
      <c r="A635" s="3">
        <f ca="1">IFERROR(__xludf.UNSUPPORTED("""COMPUTED_VALUE"""),44385.6666666666)</f>
        <v>44385.666666666599</v>
      </c>
      <c r="B635" s="1">
        <f ca="1">IFERROR(__xludf.UNSUPPORTED("""COMPUTED_VALUE"""),143.24)</f>
        <v>143.24</v>
      </c>
      <c r="C635" s="2">
        <f t="shared" ca="1" si="2"/>
        <v>-9.1996956491663846E-3</v>
      </c>
    </row>
    <row r="636" spans="1:3">
      <c r="A636" s="3">
        <f ca="1">IFERROR(__xludf.UNSUPPORTED("""COMPUTED_VALUE"""),44386.6666666666)</f>
        <v>44386.666666666599</v>
      </c>
      <c r="B636" s="1">
        <f ca="1">IFERROR(__xludf.UNSUPPORTED("""COMPUTED_VALUE"""),145.11)</f>
        <v>145.11000000000001</v>
      </c>
      <c r="C636" s="2">
        <f t="shared" ca="1" si="2"/>
        <v>1.3055012566322287E-2</v>
      </c>
    </row>
    <row r="637" spans="1:3">
      <c r="A637" s="3">
        <f ca="1">IFERROR(__xludf.UNSUPPORTED("""COMPUTED_VALUE"""),44389.6666666666)</f>
        <v>44389.666666666599</v>
      </c>
      <c r="B637" s="1">
        <f ca="1">IFERROR(__xludf.UNSUPPORTED("""COMPUTED_VALUE"""),144.5)</f>
        <v>144.5</v>
      </c>
      <c r="C637" s="2">
        <f t="shared" ca="1" si="2"/>
        <v>-4.2037075322170327E-3</v>
      </c>
    </row>
    <row r="638" spans="1:3">
      <c r="A638" s="3">
        <f ca="1">IFERROR(__xludf.UNSUPPORTED("""COMPUTED_VALUE"""),44390.6666666666)</f>
        <v>44390.666666666599</v>
      </c>
      <c r="B638" s="1">
        <f ca="1">IFERROR(__xludf.UNSUPPORTED("""COMPUTED_VALUE"""),145.64)</f>
        <v>145.63999999999999</v>
      </c>
      <c r="C638" s="2">
        <f t="shared" ca="1" si="2"/>
        <v>7.8892733564012892E-3</v>
      </c>
    </row>
    <row r="639" spans="1:3">
      <c r="A639" s="3">
        <f ca="1">IFERROR(__xludf.UNSUPPORTED("""COMPUTED_VALUE"""),44391.6666666666)</f>
        <v>44391.666666666599</v>
      </c>
      <c r="B639" s="1">
        <f ca="1">IFERROR(__xludf.UNSUPPORTED("""COMPUTED_VALUE"""),149.15)</f>
        <v>149.15</v>
      </c>
      <c r="C639" s="2">
        <f t="shared" ca="1" si="2"/>
        <v>2.4100521834660941E-2</v>
      </c>
    </row>
    <row r="640" spans="1:3">
      <c r="A640" s="3">
        <f ca="1">IFERROR(__xludf.UNSUPPORTED("""COMPUTED_VALUE"""),44392.6666666666)</f>
        <v>44392.666666666599</v>
      </c>
      <c r="B640" s="1">
        <f ca="1">IFERROR(__xludf.UNSUPPORTED("""COMPUTED_VALUE"""),148.48)</f>
        <v>148.47999999999999</v>
      </c>
      <c r="C640" s="2">
        <f t="shared" ca="1" si="2"/>
        <v>-4.4921220248073475E-3</v>
      </c>
    </row>
    <row r="641" spans="1:3">
      <c r="A641" s="3">
        <f ca="1">IFERROR(__xludf.UNSUPPORTED("""COMPUTED_VALUE"""),44393.6666666666)</f>
        <v>44393.666666666599</v>
      </c>
      <c r="B641" s="1">
        <f ca="1">IFERROR(__xludf.UNSUPPORTED("""COMPUTED_VALUE"""),146.39)</f>
        <v>146.38999999999999</v>
      </c>
      <c r="C641" s="2">
        <f t="shared" ca="1" si="2"/>
        <v>-1.4075969827586231E-2</v>
      </c>
    </row>
    <row r="642" spans="1:3">
      <c r="A642" s="3">
        <f ca="1">IFERROR(__xludf.UNSUPPORTED("""COMPUTED_VALUE"""),44396.6666666666)</f>
        <v>44396.666666666599</v>
      </c>
      <c r="B642" s="1">
        <f ca="1">IFERROR(__xludf.UNSUPPORTED("""COMPUTED_VALUE"""),142.45)</f>
        <v>142.44999999999999</v>
      </c>
      <c r="C642" s="2">
        <f t="shared" ca="1" si="2"/>
        <v>-2.69144067217706E-2</v>
      </c>
    </row>
    <row r="643" spans="1:3">
      <c r="A643" s="3">
        <f ca="1">IFERROR(__xludf.UNSUPPORTED("""COMPUTED_VALUE"""),44397.6666666666)</f>
        <v>44397.666666666599</v>
      </c>
      <c r="B643" s="1">
        <f ca="1">IFERROR(__xludf.UNSUPPORTED("""COMPUTED_VALUE"""),146.15)</f>
        <v>146.15</v>
      </c>
      <c r="C643" s="2">
        <f t="shared" ca="1" si="2"/>
        <v>2.5974025974026097E-2</v>
      </c>
    </row>
    <row r="644" spans="1:3">
      <c r="A644" s="3">
        <f ca="1">IFERROR(__xludf.UNSUPPORTED("""COMPUTED_VALUE"""),44398.6666666666)</f>
        <v>44398.666666666599</v>
      </c>
      <c r="B644" s="1">
        <f ca="1">IFERROR(__xludf.UNSUPPORTED("""COMPUTED_VALUE"""),145.4)</f>
        <v>145.4</v>
      </c>
      <c r="C644" s="2">
        <f t="shared" ca="1" si="2"/>
        <v>-5.1317139924734858E-3</v>
      </c>
    </row>
    <row r="645" spans="1:3">
      <c r="A645" s="3">
        <f ca="1">IFERROR(__xludf.UNSUPPORTED("""COMPUTED_VALUE"""),44399.6666666666)</f>
        <v>44399.666666666599</v>
      </c>
      <c r="B645" s="1">
        <f ca="1">IFERROR(__xludf.UNSUPPORTED("""COMPUTED_VALUE"""),146.8)</f>
        <v>146.80000000000001</v>
      </c>
      <c r="C645" s="2">
        <f t="shared" ca="1" si="2"/>
        <v>9.6286107290234225E-3</v>
      </c>
    </row>
    <row r="646" spans="1:3">
      <c r="A646" s="3">
        <f ca="1">IFERROR(__xludf.UNSUPPORTED("""COMPUTED_VALUE"""),44400.6666666666)</f>
        <v>44400.666666666599</v>
      </c>
      <c r="B646" s="1">
        <f ca="1">IFERROR(__xludf.UNSUPPORTED("""COMPUTED_VALUE"""),148.56)</f>
        <v>148.56</v>
      </c>
      <c r="C646" s="2">
        <f t="shared" ca="1" si="2"/>
        <v>1.198910081743863E-2</v>
      </c>
    </row>
    <row r="647" spans="1:3">
      <c r="A647" s="3">
        <f ca="1">IFERROR(__xludf.UNSUPPORTED("""COMPUTED_VALUE"""),44403.6666666666)</f>
        <v>44403.666666666599</v>
      </c>
      <c r="B647" s="1">
        <f ca="1">IFERROR(__xludf.UNSUPPORTED("""COMPUTED_VALUE"""),148.99)</f>
        <v>148.99</v>
      </c>
      <c r="C647" s="2">
        <f t="shared" ca="1" si="2"/>
        <v>2.8944534194938532E-3</v>
      </c>
    </row>
    <row r="648" spans="1:3">
      <c r="A648" s="3">
        <f ca="1">IFERROR(__xludf.UNSUPPORTED("""COMPUTED_VALUE"""),44404.6666666666)</f>
        <v>44404.666666666599</v>
      </c>
      <c r="B648" s="1">
        <f ca="1">IFERROR(__xludf.UNSUPPORTED("""COMPUTED_VALUE"""),146.77)</f>
        <v>146.77000000000001</v>
      </c>
      <c r="C648" s="2">
        <f t="shared" ca="1" si="2"/>
        <v>-1.4900328881132954E-2</v>
      </c>
    </row>
    <row r="649" spans="1:3">
      <c r="A649" s="3">
        <f ca="1">IFERROR(__xludf.UNSUPPORTED("""COMPUTED_VALUE"""),44405.6666666666)</f>
        <v>44405.666666666599</v>
      </c>
      <c r="B649" s="1">
        <f ca="1">IFERROR(__xludf.UNSUPPORTED("""COMPUTED_VALUE"""),144.98)</f>
        <v>144.97999999999999</v>
      </c>
      <c r="C649" s="2">
        <f t="shared" ca="1" si="2"/>
        <v>-1.2195952851400288E-2</v>
      </c>
    </row>
    <row r="650" spans="1:3">
      <c r="A650" s="3">
        <f ca="1">IFERROR(__xludf.UNSUPPORTED("""COMPUTED_VALUE"""),44406.6666666666)</f>
        <v>44406.666666666599</v>
      </c>
      <c r="B650" s="1">
        <f ca="1">IFERROR(__xludf.UNSUPPORTED("""COMPUTED_VALUE"""),145.64)</f>
        <v>145.63999999999999</v>
      </c>
      <c r="C650" s="2">
        <f t="shared" ca="1" si="2"/>
        <v>4.5523520485583986E-3</v>
      </c>
    </row>
    <row r="651" spans="1:3">
      <c r="A651" s="3">
        <f ca="1">IFERROR(__xludf.UNSUPPORTED("""COMPUTED_VALUE"""),44407.6666666666)</f>
        <v>44407.666666666599</v>
      </c>
      <c r="B651" s="1">
        <f ca="1">IFERROR(__xludf.UNSUPPORTED("""COMPUTED_VALUE"""),145.86)</f>
        <v>145.86000000000001</v>
      </c>
      <c r="C651" s="2">
        <f t="shared" ca="1" si="2"/>
        <v>1.5105740181270758E-3</v>
      </c>
    </row>
    <row r="652" spans="1:3">
      <c r="A652" s="3">
        <f ca="1">IFERROR(__xludf.UNSUPPORTED("""COMPUTED_VALUE"""),44410.6666666666)</f>
        <v>44410.666666666599</v>
      </c>
      <c r="B652" s="1">
        <f ca="1">IFERROR(__xludf.UNSUPPORTED("""COMPUTED_VALUE"""),145.52)</f>
        <v>145.52000000000001</v>
      </c>
      <c r="C652" s="2">
        <f t="shared" ca="1" si="2"/>
        <v>-2.331002331002354E-3</v>
      </c>
    </row>
    <row r="653" spans="1:3">
      <c r="A653" s="3">
        <f ca="1">IFERROR(__xludf.UNSUPPORTED("""COMPUTED_VALUE"""),44411.6666666666)</f>
        <v>44411.666666666599</v>
      </c>
      <c r="B653" s="1">
        <f ca="1">IFERROR(__xludf.UNSUPPORTED("""COMPUTED_VALUE"""),147.36)</f>
        <v>147.36000000000001</v>
      </c>
      <c r="C653" s="2">
        <f t="shared" ca="1" si="2"/>
        <v>1.264431006047281E-2</v>
      </c>
    </row>
    <row r="654" spans="1:3">
      <c r="A654" s="3">
        <f ca="1">IFERROR(__xludf.UNSUPPORTED("""COMPUTED_VALUE"""),44412.6666666666)</f>
        <v>44412.666666666599</v>
      </c>
      <c r="B654" s="1">
        <f ca="1">IFERROR(__xludf.UNSUPPORTED("""COMPUTED_VALUE"""),146.95)</f>
        <v>146.94999999999999</v>
      </c>
      <c r="C654" s="2">
        <f t="shared" ca="1" si="2"/>
        <v>-2.7823018458199306E-3</v>
      </c>
    </row>
    <row r="655" spans="1:3">
      <c r="A655" s="3">
        <f ca="1">IFERROR(__xludf.UNSUPPORTED("""COMPUTED_VALUE"""),44413.6666666666)</f>
        <v>44413.666666666599</v>
      </c>
      <c r="B655" s="1">
        <f ca="1">IFERROR(__xludf.UNSUPPORTED("""COMPUTED_VALUE"""),147.06)</f>
        <v>147.06</v>
      </c>
      <c r="C655" s="2">
        <f t="shared" ca="1" si="2"/>
        <v>7.4855392990822486E-4</v>
      </c>
    </row>
    <row r="656" spans="1:3">
      <c r="A656" s="3">
        <f ca="1">IFERROR(__xludf.UNSUPPORTED("""COMPUTED_VALUE"""),44414.6666666666)</f>
        <v>44414.666666666599</v>
      </c>
      <c r="B656" s="1">
        <f ca="1">IFERROR(__xludf.UNSUPPORTED("""COMPUTED_VALUE"""),146.14)</f>
        <v>146.13999999999999</v>
      </c>
      <c r="C656" s="2">
        <f t="shared" ca="1" si="2"/>
        <v>-6.2559499524004886E-3</v>
      </c>
    </row>
    <row r="657" spans="1:3">
      <c r="A657" s="3">
        <f ca="1">IFERROR(__xludf.UNSUPPORTED("""COMPUTED_VALUE"""),44417.6666666666)</f>
        <v>44417.666666666599</v>
      </c>
      <c r="B657" s="1">
        <f ca="1">IFERROR(__xludf.UNSUPPORTED("""COMPUTED_VALUE"""),146.09)</f>
        <v>146.09</v>
      </c>
      <c r="C657" s="2">
        <f t="shared" ca="1" si="2"/>
        <v>-3.4213767620078656E-4</v>
      </c>
    </row>
    <row r="658" spans="1:3">
      <c r="A658" s="3">
        <f ca="1">IFERROR(__xludf.UNSUPPORTED("""COMPUTED_VALUE"""),44418.6666666666)</f>
        <v>44418.666666666599</v>
      </c>
      <c r="B658" s="1">
        <f ca="1">IFERROR(__xludf.UNSUPPORTED("""COMPUTED_VALUE"""),145.6)</f>
        <v>145.6</v>
      </c>
      <c r="C658" s="2">
        <f t="shared" ca="1" si="2"/>
        <v>-3.3540967896502779E-3</v>
      </c>
    </row>
    <row r="659" spans="1:3">
      <c r="A659" s="3">
        <f ca="1">IFERROR(__xludf.UNSUPPORTED("""COMPUTED_VALUE"""),44419.6666666666)</f>
        <v>44419.666666666599</v>
      </c>
      <c r="B659" s="1">
        <f ca="1">IFERROR(__xludf.UNSUPPORTED("""COMPUTED_VALUE"""),145.86)</f>
        <v>145.86000000000001</v>
      </c>
      <c r="C659" s="2">
        <f t="shared" ca="1" si="2"/>
        <v>1.7857142857144186E-3</v>
      </c>
    </row>
    <row r="660" spans="1:3">
      <c r="A660" s="3">
        <f ca="1">IFERROR(__xludf.UNSUPPORTED("""COMPUTED_VALUE"""),44420.6666666666)</f>
        <v>44420.666666666599</v>
      </c>
      <c r="B660" s="1">
        <f ca="1">IFERROR(__xludf.UNSUPPORTED("""COMPUTED_VALUE"""),148.89)</f>
        <v>148.88999999999999</v>
      </c>
      <c r="C660" s="2">
        <f t="shared" ca="1" si="2"/>
        <v>2.0773344302755879E-2</v>
      </c>
    </row>
    <row r="661" spans="1:3">
      <c r="A661" s="3">
        <f ca="1">IFERROR(__xludf.UNSUPPORTED("""COMPUTED_VALUE"""),44421.6666666666)</f>
        <v>44421.666666666599</v>
      </c>
      <c r="B661" s="1">
        <f ca="1">IFERROR(__xludf.UNSUPPORTED("""COMPUTED_VALUE"""),149.1)</f>
        <v>149.1</v>
      </c>
      <c r="C661" s="2">
        <f t="shared" ca="1" si="2"/>
        <v>1.4104372355430719E-3</v>
      </c>
    </row>
    <row r="662" spans="1:3">
      <c r="A662" s="3">
        <f ca="1">IFERROR(__xludf.UNSUPPORTED("""COMPUTED_VALUE"""),44424.6666666666)</f>
        <v>44424.666666666599</v>
      </c>
      <c r="B662" s="1">
        <f ca="1">IFERROR(__xludf.UNSUPPORTED("""COMPUTED_VALUE"""),151.12)</f>
        <v>151.12</v>
      </c>
      <c r="C662" s="2">
        <f t="shared" ca="1" si="2"/>
        <v>1.3547954393024884E-2</v>
      </c>
    </row>
    <row r="663" spans="1:3">
      <c r="A663" s="3">
        <f ca="1">IFERROR(__xludf.UNSUPPORTED("""COMPUTED_VALUE"""),44425.6666666666)</f>
        <v>44425.666666666599</v>
      </c>
      <c r="B663" s="1">
        <f ca="1">IFERROR(__xludf.UNSUPPORTED("""COMPUTED_VALUE"""),150.19)</f>
        <v>150.19</v>
      </c>
      <c r="C663" s="2">
        <f t="shared" ca="1" si="2"/>
        <v>-6.1540497617787642E-3</v>
      </c>
    </row>
    <row r="664" spans="1:3">
      <c r="A664" s="3">
        <f ca="1">IFERROR(__xludf.UNSUPPORTED("""COMPUTED_VALUE"""),44426.6666666666)</f>
        <v>44426.666666666599</v>
      </c>
      <c r="B664" s="1">
        <f ca="1">IFERROR(__xludf.UNSUPPORTED("""COMPUTED_VALUE"""),146.36)</f>
        <v>146.36000000000001</v>
      </c>
      <c r="C664" s="2">
        <f t="shared" ca="1" si="2"/>
        <v>-2.5501032026100167E-2</v>
      </c>
    </row>
    <row r="665" spans="1:3">
      <c r="A665" s="3">
        <f ca="1">IFERROR(__xludf.UNSUPPORTED("""COMPUTED_VALUE"""),44427.6666666666)</f>
        <v>44427.666666666599</v>
      </c>
      <c r="B665" s="1">
        <f ca="1">IFERROR(__xludf.UNSUPPORTED("""COMPUTED_VALUE"""),146.7)</f>
        <v>146.69999999999999</v>
      </c>
      <c r="C665" s="2">
        <f t="shared" ca="1" si="2"/>
        <v>2.323039081716145E-3</v>
      </c>
    </row>
    <row r="666" spans="1:3">
      <c r="A666" s="3">
        <f ca="1">IFERROR(__xludf.UNSUPPORTED("""COMPUTED_VALUE"""),44428.6666666666)</f>
        <v>44428.666666666599</v>
      </c>
      <c r="B666" s="1">
        <f ca="1">IFERROR(__xludf.UNSUPPORTED("""COMPUTED_VALUE"""),148.19)</f>
        <v>148.19</v>
      </c>
      <c r="C666" s="2">
        <f t="shared" ca="1" si="2"/>
        <v>1.0156782549420649E-2</v>
      </c>
    </row>
    <row r="667" spans="1:3">
      <c r="A667" s="3">
        <f ca="1">IFERROR(__xludf.UNSUPPORTED("""COMPUTED_VALUE"""),44431.6666666666)</f>
        <v>44431.666666666599</v>
      </c>
      <c r="B667" s="1">
        <f ca="1">IFERROR(__xludf.UNSUPPORTED("""COMPUTED_VALUE"""),149.71)</f>
        <v>149.71</v>
      </c>
      <c r="C667" s="2">
        <f t="shared" ca="1" si="2"/>
        <v>1.0257102368580946E-2</v>
      </c>
    </row>
    <row r="668" spans="1:3">
      <c r="A668" s="3">
        <f ca="1">IFERROR(__xludf.UNSUPPORTED("""COMPUTED_VALUE"""),44432.6666666666)</f>
        <v>44432.666666666599</v>
      </c>
      <c r="B668" s="1">
        <f ca="1">IFERROR(__xludf.UNSUPPORTED("""COMPUTED_VALUE"""),149.62)</f>
        <v>149.62</v>
      </c>
      <c r="C668" s="2">
        <f t="shared" ca="1" si="2"/>
        <v>-6.0116224701091045E-4</v>
      </c>
    </row>
    <row r="669" spans="1:3">
      <c r="A669" s="3">
        <f ca="1">IFERROR(__xludf.UNSUPPORTED("""COMPUTED_VALUE"""),44433.6666666666)</f>
        <v>44433.666666666599</v>
      </c>
      <c r="B669" s="1">
        <f ca="1">IFERROR(__xludf.UNSUPPORTED("""COMPUTED_VALUE"""),148.36)</f>
        <v>148.36000000000001</v>
      </c>
      <c r="C669" s="2">
        <f t="shared" ca="1" si="2"/>
        <v>-8.42133404625044E-3</v>
      </c>
    </row>
    <row r="670" spans="1:3">
      <c r="A670" s="3">
        <f ca="1">IFERROR(__xludf.UNSUPPORTED("""COMPUTED_VALUE"""),44434.6666666666)</f>
        <v>44434.666666666599</v>
      </c>
      <c r="B670" s="1">
        <f ca="1">IFERROR(__xludf.UNSUPPORTED("""COMPUTED_VALUE"""),147.54)</f>
        <v>147.54</v>
      </c>
      <c r="C670" s="2">
        <f t="shared" ca="1" si="2"/>
        <v>-5.5270962523592719E-3</v>
      </c>
    </row>
    <row r="671" spans="1:3">
      <c r="A671" s="3">
        <f ca="1">IFERROR(__xludf.UNSUPPORTED("""COMPUTED_VALUE"""),44435.6666666666)</f>
        <v>44435.666666666599</v>
      </c>
      <c r="B671" s="1">
        <f ca="1">IFERROR(__xludf.UNSUPPORTED("""COMPUTED_VALUE"""),148.6)</f>
        <v>148.6</v>
      </c>
      <c r="C671" s="2">
        <f t="shared" ca="1" si="2"/>
        <v>7.1844923410600671E-3</v>
      </c>
    </row>
    <row r="672" spans="1:3">
      <c r="A672" s="3">
        <f ca="1">IFERROR(__xludf.UNSUPPORTED("""COMPUTED_VALUE"""),44438.6666666666)</f>
        <v>44438.666666666599</v>
      </c>
      <c r="B672" s="1">
        <f ca="1">IFERROR(__xludf.UNSUPPORTED("""COMPUTED_VALUE"""),153.12)</f>
        <v>153.12</v>
      </c>
      <c r="C672" s="2">
        <f t="shared" ca="1" si="2"/>
        <v>3.041722745625848E-2</v>
      </c>
    </row>
    <row r="673" spans="1:3">
      <c r="A673" s="3">
        <f ca="1">IFERROR(__xludf.UNSUPPORTED("""COMPUTED_VALUE"""),44439.6666666666)</f>
        <v>44439.666666666599</v>
      </c>
      <c r="B673" s="1">
        <f ca="1">IFERROR(__xludf.UNSUPPORTED("""COMPUTED_VALUE"""),151.83)</f>
        <v>151.83000000000001</v>
      </c>
      <c r="C673" s="2">
        <f t="shared" ca="1" si="2"/>
        <v>-8.4247648902820802E-3</v>
      </c>
    </row>
    <row r="674" spans="1:3">
      <c r="A674" s="3">
        <f ca="1">IFERROR(__xludf.UNSUPPORTED("""COMPUTED_VALUE"""),44440.6666666666)</f>
        <v>44440.666666666599</v>
      </c>
      <c r="B674" s="1">
        <f ca="1">IFERROR(__xludf.UNSUPPORTED("""COMPUTED_VALUE"""),152.51)</f>
        <v>152.51</v>
      </c>
      <c r="C674" s="2">
        <f t="shared" ca="1" si="2"/>
        <v>4.4786932753736308E-3</v>
      </c>
    </row>
    <row r="675" spans="1:3">
      <c r="A675" s="3">
        <f ca="1">IFERROR(__xludf.UNSUPPORTED("""COMPUTED_VALUE"""),44441.6666666666)</f>
        <v>44441.666666666599</v>
      </c>
      <c r="B675" s="1">
        <f ca="1">IFERROR(__xludf.UNSUPPORTED("""COMPUTED_VALUE"""),153.65)</f>
        <v>153.65</v>
      </c>
      <c r="C675" s="2">
        <f t="shared" ca="1" si="2"/>
        <v>7.4749196773983007E-3</v>
      </c>
    </row>
    <row r="676" spans="1:3">
      <c r="A676" s="3">
        <f ca="1">IFERROR(__xludf.UNSUPPORTED("""COMPUTED_VALUE"""),44442.6666666666)</f>
        <v>44442.666666666599</v>
      </c>
      <c r="B676" s="1">
        <f ca="1">IFERROR(__xludf.UNSUPPORTED("""COMPUTED_VALUE"""),154.3)</f>
        <v>154.30000000000001</v>
      </c>
      <c r="C676" s="2">
        <f t="shared" ca="1" si="2"/>
        <v>4.2303937520338803E-3</v>
      </c>
    </row>
    <row r="677" spans="1:3">
      <c r="A677" s="3">
        <f ca="1">IFERROR(__xludf.UNSUPPORTED("""COMPUTED_VALUE"""),44446.6666666666)</f>
        <v>44446.666666666599</v>
      </c>
      <c r="B677" s="1">
        <f ca="1">IFERROR(__xludf.UNSUPPORTED("""COMPUTED_VALUE"""),156.69)</f>
        <v>156.69</v>
      </c>
      <c r="C677" s="2">
        <f t="shared" ca="1" si="2"/>
        <v>1.5489306545690125E-2</v>
      </c>
    </row>
    <row r="678" spans="1:3">
      <c r="A678" s="3">
        <f ca="1">IFERROR(__xludf.UNSUPPORTED("""COMPUTED_VALUE"""),44447.6666666666)</f>
        <v>44447.666666666599</v>
      </c>
      <c r="B678" s="1">
        <f ca="1">IFERROR(__xludf.UNSUPPORTED("""COMPUTED_VALUE"""),155.11)</f>
        <v>155.11000000000001</v>
      </c>
      <c r="C678" s="2">
        <f t="shared" ca="1" si="2"/>
        <v>-1.0083604569532096E-2</v>
      </c>
    </row>
    <row r="679" spans="1:3">
      <c r="A679" s="3">
        <f ca="1">IFERROR(__xludf.UNSUPPORTED("""COMPUTED_VALUE"""),44448.6666666666)</f>
        <v>44448.666666666599</v>
      </c>
      <c r="B679" s="1">
        <f ca="1">IFERROR(__xludf.UNSUPPORTED("""COMPUTED_VALUE"""),154.07)</f>
        <v>154.07</v>
      </c>
      <c r="C679" s="2">
        <f t="shared" ca="1" si="2"/>
        <v>-6.7049190896784246E-3</v>
      </c>
    </row>
    <row r="680" spans="1:3">
      <c r="A680" s="3">
        <f ca="1">IFERROR(__xludf.UNSUPPORTED("""COMPUTED_VALUE"""),44449.6666666666)</f>
        <v>44449.666666666599</v>
      </c>
      <c r="B680" s="1">
        <f ca="1">IFERROR(__xludf.UNSUPPORTED("""COMPUTED_VALUE"""),148.97)</f>
        <v>148.97</v>
      </c>
      <c r="C680" s="2">
        <f t="shared" ca="1" si="2"/>
        <v>-3.3101836827416076E-2</v>
      </c>
    </row>
    <row r="681" spans="1:3">
      <c r="A681" s="3">
        <f ca="1">IFERROR(__xludf.UNSUPPORTED("""COMPUTED_VALUE"""),44452.6666666666)</f>
        <v>44452.666666666599</v>
      </c>
      <c r="B681" s="1">
        <f ca="1">IFERROR(__xludf.UNSUPPORTED("""COMPUTED_VALUE"""),149.55)</f>
        <v>149.55000000000001</v>
      </c>
      <c r="C681" s="2">
        <f t="shared" ca="1" si="2"/>
        <v>3.8934013559777975E-3</v>
      </c>
    </row>
    <row r="682" spans="1:3">
      <c r="A682" s="3">
        <f ca="1">IFERROR(__xludf.UNSUPPORTED("""COMPUTED_VALUE"""),44453.6666666666)</f>
        <v>44453.666666666599</v>
      </c>
      <c r="B682" s="1">
        <f ca="1">IFERROR(__xludf.UNSUPPORTED("""COMPUTED_VALUE"""),148.12)</f>
        <v>148.12</v>
      </c>
      <c r="C682" s="2">
        <f t="shared" ca="1" si="2"/>
        <v>-9.5620193915079022E-3</v>
      </c>
    </row>
    <row r="683" spans="1:3">
      <c r="A683" s="3">
        <f ca="1">IFERROR(__xludf.UNSUPPORTED("""COMPUTED_VALUE"""),44454.6666666666)</f>
        <v>44454.666666666599</v>
      </c>
      <c r="B683" s="1">
        <f ca="1">IFERROR(__xludf.UNSUPPORTED("""COMPUTED_VALUE"""),149.03)</f>
        <v>149.03</v>
      </c>
      <c r="C683" s="2">
        <f t="shared" ca="1" si="2"/>
        <v>6.1436672967863665E-3</v>
      </c>
    </row>
    <row r="684" spans="1:3">
      <c r="A684" s="3">
        <f ca="1">IFERROR(__xludf.UNSUPPORTED("""COMPUTED_VALUE"""),44455.6666666666)</f>
        <v>44455.666666666599</v>
      </c>
      <c r="B684" s="1">
        <f ca="1">IFERROR(__xludf.UNSUPPORTED("""COMPUTED_VALUE"""),148.79)</f>
        <v>148.79</v>
      </c>
      <c r="C684" s="2">
        <f t="shared" ca="1" si="2"/>
        <v>-1.6104140106019532E-3</v>
      </c>
    </row>
    <row r="685" spans="1:3">
      <c r="A685" s="3">
        <f ca="1">IFERROR(__xludf.UNSUPPORTED("""COMPUTED_VALUE"""),44456.6666666666)</f>
        <v>44456.666666666599</v>
      </c>
      <c r="B685" s="1">
        <f ca="1">IFERROR(__xludf.UNSUPPORTED("""COMPUTED_VALUE"""),146.06)</f>
        <v>146.06</v>
      </c>
      <c r="C685" s="2">
        <f t="shared" ca="1" si="2"/>
        <v>-1.8348007258552256E-2</v>
      </c>
    </row>
    <row r="686" spans="1:3">
      <c r="A686" s="3">
        <f ca="1">IFERROR(__xludf.UNSUPPORTED("""COMPUTED_VALUE"""),44459.6666666666)</f>
        <v>44459.666666666599</v>
      </c>
      <c r="B686" s="1">
        <f ca="1">IFERROR(__xludf.UNSUPPORTED("""COMPUTED_VALUE"""),142.94)</f>
        <v>142.94</v>
      </c>
      <c r="C686" s="2">
        <f t="shared" ca="1" si="2"/>
        <v>-2.1361084485827773E-2</v>
      </c>
    </row>
    <row r="687" spans="1:3">
      <c r="A687" s="3">
        <f ca="1">IFERROR(__xludf.UNSUPPORTED("""COMPUTED_VALUE"""),44460.6666666666)</f>
        <v>44460.666666666599</v>
      </c>
      <c r="B687" s="1">
        <f ca="1">IFERROR(__xludf.UNSUPPORTED("""COMPUTED_VALUE"""),143.43)</f>
        <v>143.43</v>
      </c>
      <c r="C687" s="2">
        <f t="shared" ca="1" si="2"/>
        <v>3.4280117531832175E-3</v>
      </c>
    </row>
    <row r="688" spans="1:3">
      <c r="A688" s="3">
        <f ca="1">IFERROR(__xludf.UNSUPPORTED("""COMPUTED_VALUE"""),44461.6666666666)</f>
        <v>44461.666666666599</v>
      </c>
      <c r="B688" s="1">
        <f ca="1">IFERROR(__xludf.UNSUPPORTED("""COMPUTED_VALUE"""),145.85)</f>
        <v>145.85</v>
      </c>
      <c r="C688" s="2">
        <f t="shared" ca="1" si="2"/>
        <v>1.6872341908945043E-2</v>
      </c>
    </row>
    <row r="689" spans="1:3">
      <c r="A689" s="3">
        <f ca="1">IFERROR(__xludf.UNSUPPORTED("""COMPUTED_VALUE"""),44462.6666666666)</f>
        <v>44462.666666666599</v>
      </c>
      <c r="B689" s="1">
        <f ca="1">IFERROR(__xludf.UNSUPPORTED("""COMPUTED_VALUE"""),146.83)</f>
        <v>146.83000000000001</v>
      </c>
      <c r="C689" s="2">
        <f t="shared" ca="1" si="2"/>
        <v>6.7192320877615241E-3</v>
      </c>
    </row>
    <row r="690" spans="1:3">
      <c r="A690" s="3">
        <f ca="1">IFERROR(__xludf.UNSUPPORTED("""COMPUTED_VALUE"""),44463.6666666666)</f>
        <v>44463.666666666599</v>
      </c>
      <c r="B690" s="1">
        <f ca="1">IFERROR(__xludf.UNSUPPORTED("""COMPUTED_VALUE"""),146.92)</f>
        <v>146.91999999999999</v>
      </c>
      <c r="C690" s="2">
        <f t="shared" ca="1" si="2"/>
        <v>6.1295375604423466E-4</v>
      </c>
    </row>
    <row r="691" spans="1:3">
      <c r="A691" s="3">
        <f ca="1">IFERROR(__xludf.UNSUPPORTED("""COMPUTED_VALUE"""),44466.6666666666)</f>
        <v>44466.666666666599</v>
      </c>
      <c r="B691" s="1">
        <f ca="1">IFERROR(__xludf.UNSUPPORTED("""COMPUTED_VALUE"""),145.37)</f>
        <v>145.37</v>
      </c>
      <c r="C691" s="2">
        <f t="shared" ca="1" si="2"/>
        <v>-1.0549959161448292E-2</v>
      </c>
    </row>
    <row r="692" spans="1:3">
      <c r="A692" s="3">
        <f ca="1">IFERROR(__xludf.UNSUPPORTED("""COMPUTED_VALUE"""),44467.6666666666)</f>
        <v>44467.666666666599</v>
      </c>
      <c r="B692" s="1">
        <f ca="1">IFERROR(__xludf.UNSUPPORTED("""COMPUTED_VALUE"""),141.91)</f>
        <v>141.91</v>
      </c>
      <c r="C692" s="2">
        <f t="shared" ca="1" si="2"/>
        <v>-2.3801334525693114E-2</v>
      </c>
    </row>
    <row r="693" spans="1:3">
      <c r="A693" s="3">
        <f ca="1">IFERROR(__xludf.UNSUPPORTED("""COMPUTED_VALUE"""),44468.6666666666)</f>
        <v>44468.666666666599</v>
      </c>
      <c r="B693" s="1">
        <f ca="1">IFERROR(__xludf.UNSUPPORTED("""COMPUTED_VALUE"""),142.83)</f>
        <v>142.83000000000001</v>
      </c>
      <c r="C693" s="2">
        <f t="shared" ca="1" si="2"/>
        <v>6.48298217179914E-3</v>
      </c>
    </row>
    <row r="694" spans="1:3">
      <c r="A694" s="3">
        <f ca="1">IFERROR(__xludf.UNSUPPORTED("""COMPUTED_VALUE"""),44469.6666666666)</f>
        <v>44469.666666666599</v>
      </c>
      <c r="B694" s="1">
        <f ca="1">IFERROR(__xludf.UNSUPPORTED("""COMPUTED_VALUE"""),141.5)</f>
        <v>141.5</v>
      </c>
      <c r="C694" s="2">
        <f t="shared" ca="1" si="2"/>
        <v>-9.311769236154956E-3</v>
      </c>
    </row>
    <row r="695" spans="1:3">
      <c r="A695" s="3">
        <f ca="1">IFERROR(__xludf.UNSUPPORTED("""COMPUTED_VALUE"""),44470.6666666666)</f>
        <v>44470.666666666599</v>
      </c>
      <c r="B695" s="1">
        <f ca="1">IFERROR(__xludf.UNSUPPORTED("""COMPUTED_VALUE"""),142.65)</f>
        <v>142.65</v>
      </c>
      <c r="C695" s="2">
        <f t="shared" ca="1" si="2"/>
        <v>8.1272084805654107E-3</v>
      </c>
    </row>
    <row r="696" spans="1:3">
      <c r="A696" s="3">
        <f ca="1">IFERROR(__xludf.UNSUPPORTED("""COMPUTED_VALUE"""),44473.6666666666)</f>
        <v>44473.666666666599</v>
      </c>
      <c r="B696" s="1">
        <f ca="1">IFERROR(__xludf.UNSUPPORTED("""COMPUTED_VALUE"""),139.14)</f>
        <v>139.13999999999999</v>
      </c>
      <c r="C696" s="2">
        <f t="shared" ca="1" si="2"/>
        <v>-2.4605678233438621E-2</v>
      </c>
    </row>
    <row r="697" spans="1:3">
      <c r="A697" s="3">
        <f ca="1">IFERROR(__xludf.UNSUPPORTED("""COMPUTED_VALUE"""),44474.6666666666)</f>
        <v>44474.666666666599</v>
      </c>
      <c r="B697" s="1">
        <f ca="1">IFERROR(__xludf.UNSUPPORTED("""COMPUTED_VALUE"""),141.11)</f>
        <v>141.11000000000001</v>
      </c>
      <c r="C697" s="2">
        <f t="shared" ca="1" si="2"/>
        <v>1.4158401609889518E-2</v>
      </c>
    </row>
    <row r="698" spans="1:3">
      <c r="A698" s="3">
        <f ca="1">IFERROR(__xludf.UNSUPPORTED("""COMPUTED_VALUE"""),44475.6666666666)</f>
        <v>44475.666666666599</v>
      </c>
      <c r="B698" s="1">
        <f ca="1">IFERROR(__xludf.UNSUPPORTED("""COMPUTED_VALUE"""),142)</f>
        <v>142</v>
      </c>
      <c r="C698" s="2">
        <f t="shared" ca="1" si="2"/>
        <v>6.3071362766634982E-3</v>
      </c>
    </row>
    <row r="699" spans="1:3">
      <c r="A699" s="3">
        <f ca="1">IFERROR(__xludf.UNSUPPORTED("""COMPUTED_VALUE"""),44476.6666666666)</f>
        <v>44476.666666666599</v>
      </c>
      <c r="B699" s="1">
        <f ca="1">IFERROR(__xludf.UNSUPPORTED("""COMPUTED_VALUE"""),143.29)</f>
        <v>143.29</v>
      </c>
      <c r="C699" s="2">
        <f t="shared" ca="1" si="2"/>
        <v>9.084507042253465E-3</v>
      </c>
    </row>
    <row r="700" spans="1:3">
      <c r="A700" s="3">
        <f ca="1">IFERROR(__xludf.UNSUPPORTED("""COMPUTED_VALUE"""),44477.6666666666)</f>
        <v>44477.666666666599</v>
      </c>
      <c r="B700" s="1">
        <f ca="1">IFERROR(__xludf.UNSUPPORTED("""COMPUTED_VALUE"""),142.9)</f>
        <v>142.9</v>
      </c>
      <c r="C700" s="2">
        <f t="shared" ca="1" si="2"/>
        <v>-2.7217530881428319E-3</v>
      </c>
    </row>
    <row r="701" spans="1:3">
      <c r="A701" s="3">
        <f ca="1">IFERROR(__xludf.UNSUPPORTED("""COMPUTED_VALUE"""),44480.6666666666)</f>
        <v>44480.666666666599</v>
      </c>
      <c r="B701" s="1">
        <f ca="1">IFERROR(__xludf.UNSUPPORTED("""COMPUTED_VALUE"""),142.81)</f>
        <v>142.81</v>
      </c>
      <c r="C701" s="2">
        <f t="shared" ca="1" si="2"/>
        <v>-6.2981105668301893E-4</v>
      </c>
    </row>
    <row r="702" spans="1:3">
      <c r="A702" s="3">
        <f ca="1">IFERROR(__xludf.UNSUPPORTED("""COMPUTED_VALUE"""),44481.6666666666)</f>
        <v>44481.666666666599</v>
      </c>
      <c r="B702" s="1">
        <f ca="1">IFERROR(__xludf.UNSUPPORTED("""COMPUTED_VALUE"""),141.51)</f>
        <v>141.51</v>
      </c>
      <c r="C702" s="2">
        <f t="shared" ca="1" si="2"/>
        <v>-9.1030039913172142E-3</v>
      </c>
    </row>
    <row r="703" spans="1:3">
      <c r="A703" s="3">
        <f ca="1">IFERROR(__xludf.UNSUPPORTED("""COMPUTED_VALUE"""),44482.6666666666)</f>
        <v>44482.666666666599</v>
      </c>
      <c r="B703" s="1">
        <f ca="1">IFERROR(__xludf.UNSUPPORTED("""COMPUTED_VALUE"""),140.91)</f>
        <v>140.91</v>
      </c>
      <c r="C703" s="2">
        <f t="shared" ca="1" si="2"/>
        <v>-4.2399830400677999E-3</v>
      </c>
    </row>
    <row r="704" spans="1:3">
      <c r="A704" s="3">
        <f ca="1">IFERROR(__xludf.UNSUPPORTED("""COMPUTED_VALUE"""),44483.6666666666)</f>
        <v>44483.666666666599</v>
      </c>
      <c r="B704" s="1">
        <f ca="1">IFERROR(__xludf.UNSUPPORTED("""COMPUTED_VALUE"""),143.76)</f>
        <v>143.76</v>
      </c>
      <c r="C704" s="2">
        <f t="shared" ca="1" si="2"/>
        <v>2.0225675963380842E-2</v>
      </c>
    </row>
    <row r="705" spans="1:3">
      <c r="A705" s="3">
        <f ca="1">IFERROR(__xludf.UNSUPPORTED("""COMPUTED_VALUE"""),44484.6666666666)</f>
        <v>44484.666666666599</v>
      </c>
      <c r="B705" s="1">
        <f ca="1">IFERROR(__xludf.UNSUPPORTED("""COMPUTED_VALUE"""),144.84)</f>
        <v>144.84</v>
      </c>
      <c r="C705" s="2">
        <f t="shared" ca="1" si="2"/>
        <v>7.5125208681136096E-3</v>
      </c>
    </row>
    <row r="706" spans="1:3">
      <c r="A706" s="3">
        <f ca="1">IFERROR(__xludf.UNSUPPORTED("""COMPUTED_VALUE"""),44487.6666666666)</f>
        <v>44487.666666666599</v>
      </c>
      <c r="B706" s="1">
        <f ca="1">IFERROR(__xludf.UNSUPPORTED("""COMPUTED_VALUE"""),146.55)</f>
        <v>146.55000000000001</v>
      </c>
      <c r="C706" s="2">
        <f t="shared" ca="1" si="2"/>
        <v>1.1806130903065506E-2</v>
      </c>
    </row>
    <row r="707" spans="1:3">
      <c r="A707" s="3">
        <f ca="1">IFERROR(__xludf.UNSUPPORTED("""COMPUTED_VALUE"""),44488.6666666666)</f>
        <v>44488.666666666599</v>
      </c>
      <c r="B707" s="1">
        <f ca="1">IFERROR(__xludf.UNSUPPORTED("""COMPUTED_VALUE"""),148.76)</f>
        <v>148.76</v>
      </c>
      <c r="C707" s="2">
        <f t="shared" ca="1" si="2"/>
        <v>1.5080177413851786E-2</v>
      </c>
    </row>
    <row r="708" spans="1:3">
      <c r="A708" s="3">
        <f ca="1">IFERROR(__xludf.UNSUPPORTED("""COMPUTED_VALUE"""),44489.6666666666)</f>
        <v>44489.666666666599</v>
      </c>
      <c r="B708" s="1">
        <f ca="1">IFERROR(__xludf.UNSUPPORTED("""COMPUTED_VALUE"""),149.26)</f>
        <v>149.26</v>
      </c>
      <c r="C708" s="2">
        <f t="shared" ca="1" si="2"/>
        <v>3.3611185802635119E-3</v>
      </c>
    </row>
    <row r="709" spans="1:3">
      <c r="A709" s="3">
        <f ca="1">IFERROR(__xludf.UNSUPPORTED("""COMPUTED_VALUE"""),44490.6666666666)</f>
        <v>44490.666666666599</v>
      </c>
      <c r="B709" s="1">
        <f ca="1">IFERROR(__xludf.UNSUPPORTED("""COMPUTED_VALUE"""),149.48)</f>
        <v>149.47999999999999</v>
      </c>
      <c r="C709" s="2">
        <f t="shared" ca="1" si="2"/>
        <v>1.4739380946000192E-3</v>
      </c>
    </row>
    <row r="710" spans="1:3">
      <c r="A710" s="3">
        <f ca="1">IFERROR(__xludf.UNSUPPORTED("""COMPUTED_VALUE"""),44491.6666666666)</f>
        <v>44491.666666666599</v>
      </c>
      <c r="B710" s="1">
        <f ca="1">IFERROR(__xludf.UNSUPPORTED("""COMPUTED_VALUE"""),148.69)</f>
        <v>148.69</v>
      </c>
      <c r="C710" s="2">
        <f t="shared" ca="1" si="2"/>
        <v>-5.2849879582552318E-3</v>
      </c>
    </row>
    <row r="711" spans="1:3">
      <c r="A711" s="3">
        <f ca="1">IFERROR(__xludf.UNSUPPORTED("""COMPUTED_VALUE"""),44494.6666666666)</f>
        <v>44494.666666666599</v>
      </c>
      <c r="B711" s="1">
        <f ca="1">IFERROR(__xludf.UNSUPPORTED("""COMPUTED_VALUE"""),148.64)</f>
        <v>148.63999999999999</v>
      </c>
      <c r="C711" s="2">
        <f t="shared" ca="1" si="2"/>
        <v>-3.3627009213808173E-4</v>
      </c>
    </row>
    <row r="712" spans="1:3">
      <c r="A712" s="3">
        <f ca="1">IFERROR(__xludf.UNSUPPORTED("""COMPUTED_VALUE"""),44495.6666666666)</f>
        <v>44495.666666666599</v>
      </c>
      <c r="B712" s="1">
        <f ca="1">IFERROR(__xludf.UNSUPPORTED("""COMPUTED_VALUE"""),149.32)</f>
        <v>149.32</v>
      </c>
      <c r="C712" s="2">
        <f t="shared" ca="1" si="2"/>
        <v>4.5748116254037061E-3</v>
      </c>
    </row>
    <row r="713" spans="1:3">
      <c r="A713" s="3">
        <f ca="1">IFERROR(__xludf.UNSUPPORTED("""COMPUTED_VALUE"""),44496.6666666666)</f>
        <v>44496.666666666599</v>
      </c>
      <c r="B713" s="1">
        <f ca="1">IFERROR(__xludf.UNSUPPORTED("""COMPUTED_VALUE"""),148.85)</f>
        <v>148.85</v>
      </c>
      <c r="C713" s="2">
        <f t="shared" ca="1" si="2"/>
        <v>-3.1476024645057518E-3</v>
      </c>
    </row>
    <row r="714" spans="1:3">
      <c r="A714" s="3">
        <f ca="1">IFERROR(__xludf.UNSUPPORTED("""COMPUTED_VALUE"""),44497.6666666666)</f>
        <v>44497.666666666599</v>
      </c>
      <c r="B714" s="1">
        <f ca="1">IFERROR(__xludf.UNSUPPORTED("""COMPUTED_VALUE"""),152.57)</f>
        <v>152.57</v>
      </c>
      <c r="C714" s="2">
        <f t="shared" ca="1" si="2"/>
        <v>2.4991602284178696E-2</v>
      </c>
    </row>
    <row r="715" spans="1:3">
      <c r="A715" s="3">
        <f ca="1">IFERROR(__xludf.UNSUPPORTED("""COMPUTED_VALUE"""),44498.6666666666)</f>
        <v>44498.666666666599</v>
      </c>
      <c r="B715" s="1">
        <f ca="1">IFERROR(__xludf.UNSUPPORTED("""COMPUTED_VALUE"""),149.8)</f>
        <v>149.80000000000001</v>
      </c>
      <c r="C715" s="2">
        <f t="shared" ca="1" si="2"/>
        <v>-1.8155600707871679E-2</v>
      </c>
    </row>
    <row r="716" spans="1:3">
      <c r="A716" s="3">
        <f ca="1">IFERROR(__xludf.UNSUPPORTED("""COMPUTED_VALUE"""),44501.6666666666)</f>
        <v>44501.666666666599</v>
      </c>
      <c r="B716" s="1">
        <f ca="1">IFERROR(__xludf.UNSUPPORTED("""COMPUTED_VALUE"""),148.96)</f>
        <v>148.96</v>
      </c>
      <c r="C716" s="2">
        <f t="shared" ca="1" si="2"/>
        <v>-5.6074766355140408E-3</v>
      </c>
    </row>
    <row r="717" spans="1:3">
      <c r="A717" s="3">
        <f ca="1">IFERROR(__xludf.UNSUPPORTED("""COMPUTED_VALUE"""),44502.6666666666)</f>
        <v>44502.666666666599</v>
      </c>
      <c r="B717" s="1">
        <f ca="1">IFERROR(__xludf.UNSUPPORTED("""COMPUTED_VALUE"""),150.02)</f>
        <v>150.02000000000001</v>
      </c>
      <c r="C717" s="2">
        <f t="shared" ca="1" si="2"/>
        <v>7.1160042964554387E-3</v>
      </c>
    </row>
    <row r="718" spans="1:3">
      <c r="A718" s="3">
        <f ca="1">IFERROR(__xludf.UNSUPPORTED("""COMPUTED_VALUE"""),44503.6666666666)</f>
        <v>44503.666666666599</v>
      </c>
      <c r="B718" s="1">
        <f ca="1">IFERROR(__xludf.UNSUPPORTED("""COMPUTED_VALUE"""),151.49)</f>
        <v>151.49</v>
      </c>
      <c r="C718" s="2">
        <f t="shared" ca="1" si="2"/>
        <v>9.7986935075323207E-3</v>
      </c>
    </row>
    <row r="719" spans="1:3">
      <c r="A719" s="3">
        <f ca="1">IFERROR(__xludf.UNSUPPORTED("""COMPUTED_VALUE"""),44504.6666666666)</f>
        <v>44504.666666666599</v>
      </c>
      <c r="B719" s="1">
        <f ca="1">IFERROR(__xludf.UNSUPPORTED("""COMPUTED_VALUE"""),150.96)</f>
        <v>150.96</v>
      </c>
      <c r="C719" s="2">
        <f t="shared" ca="1" si="2"/>
        <v>-3.4985807644068987E-3</v>
      </c>
    </row>
    <row r="720" spans="1:3">
      <c r="A720" s="3">
        <f ca="1">IFERROR(__xludf.UNSUPPORTED("""COMPUTED_VALUE"""),44505.6666666666)</f>
        <v>44505.666666666599</v>
      </c>
      <c r="B720" s="1">
        <f ca="1">IFERROR(__xludf.UNSUPPORTED("""COMPUTED_VALUE"""),151.28)</f>
        <v>151.28</v>
      </c>
      <c r="C720" s="2">
        <f t="shared" ca="1" si="2"/>
        <v>2.1197668256491332E-3</v>
      </c>
    </row>
    <row r="721" spans="1:3">
      <c r="A721" s="3">
        <f ca="1">IFERROR(__xludf.UNSUPPORTED("""COMPUTED_VALUE"""),44508.6666666666)</f>
        <v>44508.666666666599</v>
      </c>
      <c r="B721" s="1">
        <f ca="1">IFERROR(__xludf.UNSUPPORTED("""COMPUTED_VALUE"""),150.44)</f>
        <v>150.44</v>
      </c>
      <c r="C721" s="2">
        <f t="shared" ca="1" si="2"/>
        <v>-5.5526176626123965E-3</v>
      </c>
    </row>
    <row r="722" spans="1:3">
      <c r="A722" s="3">
        <f ca="1">IFERROR(__xludf.UNSUPPORTED("""COMPUTED_VALUE"""),44509.6666666666)</f>
        <v>44509.666666666599</v>
      </c>
      <c r="B722" s="1">
        <f ca="1">IFERROR(__xludf.UNSUPPORTED("""COMPUTED_VALUE"""),150.81)</f>
        <v>150.81</v>
      </c>
      <c r="C722" s="2">
        <f t="shared" ca="1" si="2"/>
        <v>2.4594522733315909E-3</v>
      </c>
    </row>
    <row r="723" spans="1:3">
      <c r="A723" s="3">
        <f ca="1">IFERROR(__xludf.UNSUPPORTED("""COMPUTED_VALUE"""),44510.6666666666)</f>
        <v>44510.666666666599</v>
      </c>
      <c r="B723" s="1">
        <f ca="1">IFERROR(__xludf.UNSUPPORTED("""COMPUTED_VALUE"""),147.92)</f>
        <v>147.91999999999999</v>
      </c>
      <c r="C723" s="2">
        <f t="shared" ca="1" si="2"/>
        <v>-1.9163185465154928E-2</v>
      </c>
    </row>
    <row r="724" spans="1:3">
      <c r="A724" s="3">
        <f ca="1">IFERROR(__xludf.UNSUPPORTED("""COMPUTED_VALUE"""),44511.6666666666)</f>
        <v>44511.666666666599</v>
      </c>
      <c r="B724" s="1">
        <f ca="1">IFERROR(__xludf.UNSUPPORTED("""COMPUTED_VALUE"""),147.87)</f>
        <v>147.87</v>
      </c>
      <c r="C724" s="2">
        <f t="shared" ca="1" si="2"/>
        <v>-3.3802055164942505E-4</v>
      </c>
    </row>
    <row r="725" spans="1:3">
      <c r="A725" s="3">
        <f ca="1">IFERROR(__xludf.UNSUPPORTED("""COMPUTED_VALUE"""),44512.6666666666)</f>
        <v>44512.666666666599</v>
      </c>
      <c r="B725" s="1">
        <f ca="1">IFERROR(__xludf.UNSUPPORTED("""COMPUTED_VALUE"""),149.99)</f>
        <v>149.99</v>
      </c>
      <c r="C725" s="2">
        <f t="shared" ca="1" si="2"/>
        <v>1.4336917562724044E-2</v>
      </c>
    </row>
    <row r="726" spans="1:3">
      <c r="A726" s="3">
        <f ca="1">IFERROR(__xludf.UNSUPPORTED("""COMPUTED_VALUE"""),44515.6666666666)</f>
        <v>44515.666666666599</v>
      </c>
      <c r="B726" s="1">
        <f ca="1">IFERROR(__xludf.UNSUPPORTED("""COMPUTED_VALUE"""),150)</f>
        <v>150</v>
      </c>
      <c r="C726" s="2">
        <f t="shared" ca="1" si="2"/>
        <v>6.6671111407366526E-5</v>
      </c>
    </row>
    <row r="727" spans="1:3">
      <c r="A727" s="3">
        <f ca="1">IFERROR(__xludf.UNSUPPORTED("""COMPUTED_VALUE"""),44516.6666666666)</f>
        <v>44516.666666666599</v>
      </c>
      <c r="B727" s="1">
        <f ca="1">IFERROR(__xludf.UNSUPPORTED("""COMPUTED_VALUE"""),151)</f>
        <v>151</v>
      </c>
      <c r="C727" s="2">
        <f t="shared" ca="1" si="2"/>
        <v>6.6666666666666671E-3</v>
      </c>
    </row>
    <row r="728" spans="1:3">
      <c r="A728" s="3">
        <f ca="1">IFERROR(__xludf.UNSUPPORTED("""COMPUTED_VALUE"""),44517.6666666666)</f>
        <v>44517.666666666599</v>
      </c>
      <c r="B728" s="1">
        <f ca="1">IFERROR(__xludf.UNSUPPORTED("""COMPUTED_VALUE"""),153.49)</f>
        <v>153.49</v>
      </c>
      <c r="C728" s="2">
        <f t="shared" ca="1" si="2"/>
        <v>1.6490066225165623E-2</v>
      </c>
    </row>
    <row r="729" spans="1:3">
      <c r="A729" s="3">
        <f ca="1">IFERROR(__xludf.UNSUPPORTED("""COMPUTED_VALUE"""),44518.6666666666)</f>
        <v>44518.666666666599</v>
      </c>
      <c r="B729" s="1">
        <f ca="1">IFERROR(__xludf.UNSUPPORTED("""COMPUTED_VALUE"""),157.87)</f>
        <v>157.87</v>
      </c>
      <c r="C729" s="2">
        <f t="shared" ca="1" si="2"/>
        <v>2.8536060981171382E-2</v>
      </c>
    </row>
    <row r="730" spans="1:3">
      <c r="A730" s="3">
        <f ca="1">IFERROR(__xludf.UNSUPPORTED("""COMPUTED_VALUE"""),44519.6666666666)</f>
        <v>44519.666666666599</v>
      </c>
      <c r="B730" s="1">
        <f ca="1">IFERROR(__xludf.UNSUPPORTED("""COMPUTED_VALUE"""),160.55)</f>
        <v>160.55000000000001</v>
      </c>
      <c r="C730" s="2">
        <f t="shared" ca="1" si="2"/>
        <v>1.6975992905555248E-2</v>
      </c>
    </row>
    <row r="731" spans="1:3">
      <c r="A731" s="3">
        <f ca="1">IFERROR(__xludf.UNSUPPORTED("""COMPUTED_VALUE"""),44522.6666666666)</f>
        <v>44522.666666666599</v>
      </c>
      <c r="B731" s="1">
        <f ca="1">IFERROR(__xludf.UNSUPPORTED("""COMPUTED_VALUE"""),161.02)</f>
        <v>161.02000000000001</v>
      </c>
      <c r="C731" s="2">
        <f t="shared" ca="1" si="2"/>
        <v>2.927436935534094E-3</v>
      </c>
    </row>
    <row r="732" spans="1:3">
      <c r="A732" s="3">
        <f ca="1">IFERROR(__xludf.UNSUPPORTED("""COMPUTED_VALUE"""),44523.6666666666)</f>
        <v>44523.666666666599</v>
      </c>
      <c r="B732" s="1">
        <f ca="1">IFERROR(__xludf.UNSUPPORTED("""COMPUTED_VALUE"""),161.41)</f>
        <v>161.41</v>
      </c>
      <c r="C732" s="2">
        <f t="shared" ca="1" si="2"/>
        <v>2.4220593715065602E-3</v>
      </c>
    </row>
    <row r="733" spans="1:3">
      <c r="A733" s="3">
        <f ca="1">IFERROR(__xludf.UNSUPPORTED("""COMPUTED_VALUE"""),44524.6666666666)</f>
        <v>44524.666666666599</v>
      </c>
      <c r="B733" s="1">
        <f ca="1">IFERROR(__xludf.UNSUPPORTED("""COMPUTED_VALUE"""),161.94)</f>
        <v>161.94</v>
      </c>
      <c r="C733" s="2">
        <f t="shared" ca="1" si="2"/>
        <v>3.2835635958119148E-3</v>
      </c>
    </row>
    <row r="734" spans="1:3">
      <c r="A734" s="3">
        <f ca="1">IFERROR(__xludf.UNSUPPORTED("""COMPUTED_VALUE"""),44526.5416666666)</f>
        <v>44526.541666666599</v>
      </c>
      <c r="B734" s="1">
        <f ca="1">IFERROR(__xludf.UNSUPPORTED("""COMPUTED_VALUE"""),156.81)</f>
        <v>156.81</v>
      </c>
      <c r="C734" s="2">
        <f t="shared" ca="1" si="2"/>
        <v>-3.1678399407187821E-2</v>
      </c>
    </row>
    <row r="735" spans="1:3">
      <c r="A735" s="3">
        <f ca="1">IFERROR(__xludf.UNSUPPORTED("""COMPUTED_VALUE"""),44529.6666666666)</f>
        <v>44529.666666666599</v>
      </c>
      <c r="B735" s="1">
        <f ca="1">IFERROR(__xludf.UNSUPPORTED("""COMPUTED_VALUE"""),160.24)</f>
        <v>160.24</v>
      </c>
      <c r="C735" s="2">
        <f t="shared" ca="1" si="2"/>
        <v>2.1873604999681186E-2</v>
      </c>
    </row>
    <row r="736" spans="1:3">
      <c r="A736" s="3">
        <f ca="1">IFERROR(__xludf.UNSUPPORTED("""COMPUTED_VALUE"""),44530.6666666666)</f>
        <v>44530.666666666599</v>
      </c>
      <c r="B736" s="1">
        <f ca="1">IFERROR(__xludf.UNSUPPORTED("""COMPUTED_VALUE"""),165.3)</f>
        <v>165.3</v>
      </c>
      <c r="C736" s="2">
        <f t="shared" ca="1" si="2"/>
        <v>3.15776335496755E-2</v>
      </c>
    </row>
    <row r="737" spans="1:3">
      <c r="A737" s="3">
        <f ca="1">IFERROR(__xludf.UNSUPPORTED("""COMPUTED_VALUE"""),44531.6666666666)</f>
        <v>44531.666666666599</v>
      </c>
      <c r="B737" s="1">
        <f ca="1">IFERROR(__xludf.UNSUPPORTED("""COMPUTED_VALUE"""),164.77)</f>
        <v>164.77</v>
      </c>
      <c r="C737" s="2">
        <f t="shared" ca="1" si="2"/>
        <v>-3.2062915910465888E-3</v>
      </c>
    </row>
    <row r="738" spans="1:3">
      <c r="A738" s="3">
        <f ca="1">IFERROR(__xludf.UNSUPPORTED("""COMPUTED_VALUE"""),44532.6666666666)</f>
        <v>44532.666666666599</v>
      </c>
      <c r="B738" s="1">
        <f ca="1">IFERROR(__xludf.UNSUPPORTED("""COMPUTED_VALUE"""),163.76)</f>
        <v>163.76</v>
      </c>
      <c r="C738" s="2">
        <f t="shared" ca="1" si="2"/>
        <v>-6.1297566304546903E-3</v>
      </c>
    </row>
    <row r="739" spans="1:3">
      <c r="A739" s="3">
        <f ca="1">IFERROR(__xludf.UNSUPPORTED("""COMPUTED_VALUE"""),44533.6666666666)</f>
        <v>44533.666666666599</v>
      </c>
      <c r="B739" s="1">
        <f ca="1">IFERROR(__xludf.UNSUPPORTED("""COMPUTED_VALUE"""),161.84)</f>
        <v>161.84</v>
      </c>
      <c r="C739" s="2">
        <f t="shared" ca="1" si="2"/>
        <v>-1.1724474841230995E-2</v>
      </c>
    </row>
    <row r="740" spans="1:3">
      <c r="A740" s="3">
        <f ca="1">IFERROR(__xludf.UNSUPPORTED("""COMPUTED_VALUE"""),44536.6666666666)</f>
        <v>44536.666666666599</v>
      </c>
      <c r="B740" s="1">
        <f ca="1">IFERROR(__xludf.UNSUPPORTED("""COMPUTED_VALUE"""),165.32)</f>
        <v>165.32</v>
      </c>
      <c r="C740" s="2">
        <f t="shared" ca="1" si="2"/>
        <v>2.1502718734552582E-2</v>
      </c>
    </row>
    <row r="741" spans="1:3">
      <c r="A741" s="3">
        <f ca="1">IFERROR(__xludf.UNSUPPORTED("""COMPUTED_VALUE"""),44537.6666666666)</f>
        <v>44537.666666666599</v>
      </c>
      <c r="B741" s="1">
        <f ca="1">IFERROR(__xludf.UNSUPPORTED("""COMPUTED_VALUE"""),171.18)</f>
        <v>171.18</v>
      </c>
      <c r="C741" s="2">
        <f t="shared" ca="1" si="2"/>
        <v>3.5446406968303978E-2</v>
      </c>
    </row>
    <row r="742" spans="1:3">
      <c r="A742" s="3">
        <f ca="1">IFERROR(__xludf.UNSUPPORTED("""COMPUTED_VALUE"""),44538.6666666666)</f>
        <v>44538.666666666599</v>
      </c>
      <c r="B742" s="1">
        <f ca="1">IFERROR(__xludf.UNSUPPORTED("""COMPUTED_VALUE"""),175.08)</f>
        <v>175.08</v>
      </c>
      <c r="C742" s="2">
        <f t="shared" ca="1" si="2"/>
        <v>2.2783035401331964E-2</v>
      </c>
    </row>
    <row r="743" spans="1:3">
      <c r="A743" s="3">
        <f ca="1">IFERROR(__xludf.UNSUPPORTED("""COMPUTED_VALUE"""),44539.6666666666)</f>
        <v>44539.666666666599</v>
      </c>
      <c r="B743" s="1">
        <f ca="1">IFERROR(__xludf.UNSUPPORTED("""COMPUTED_VALUE"""),174.56)</f>
        <v>174.56</v>
      </c>
      <c r="C743" s="2">
        <f t="shared" ca="1" si="2"/>
        <v>-2.9700708247658797E-3</v>
      </c>
    </row>
    <row r="744" spans="1:3">
      <c r="A744" s="3">
        <f ca="1">IFERROR(__xludf.UNSUPPORTED("""COMPUTED_VALUE"""),44540.6666666666)</f>
        <v>44540.666666666599</v>
      </c>
      <c r="B744" s="1">
        <f ca="1">IFERROR(__xludf.UNSUPPORTED("""COMPUTED_VALUE"""),179.45)</f>
        <v>179.45</v>
      </c>
      <c r="C744" s="2">
        <f t="shared" ca="1" si="2"/>
        <v>2.8013290559119993E-2</v>
      </c>
    </row>
    <row r="745" spans="1:3">
      <c r="A745" s="3">
        <f ca="1">IFERROR(__xludf.UNSUPPORTED("""COMPUTED_VALUE"""),44543.6666666666)</f>
        <v>44543.666666666599</v>
      </c>
      <c r="B745" s="1">
        <f ca="1">IFERROR(__xludf.UNSUPPORTED("""COMPUTED_VALUE"""),175.74)</f>
        <v>175.74</v>
      </c>
      <c r="C745" s="2">
        <f t="shared" ca="1" si="2"/>
        <v>-2.0674282529952522E-2</v>
      </c>
    </row>
    <row r="746" spans="1:3">
      <c r="A746" s="3">
        <f ca="1">IFERROR(__xludf.UNSUPPORTED("""COMPUTED_VALUE"""),44544.6666666666)</f>
        <v>44544.666666666599</v>
      </c>
      <c r="B746" s="1">
        <f ca="1">IFERROR(__xludf.UNSUPPORTED("""COMPUTED_VALUE"""),174.33)</f>
        <v>174.33</v>
      </c>
      <c r="C746" s="2">
        <f t="shared" ca="1" si="2"/>
        <v>-8.0232161147149005E-3</v>
      </c>
    </row>
    <row r="747" spans="1:3">
      <c r="A747" s="3">
        <f ca="1">IFERROR(__xludf.UNSUPPORTED("""COMPUTED_VALUE"""),44545.6666666666)</f>
        <v>44545.666666666599</v>
      </c>
      <c r="B747" s="1">
        <f ca="1">IFERROR(__xludf.UNSUPPORTED("""COMPUTED_VALUE"""),179.3)</f>
        <v>179.3</v>
      </c>
      <c r="C747" s="2">
        <f t="shared" ca="1" si="2"/>
        <v>2.8509149314518433E-2</v>
      </c>
    </row>
    <row r="748" spans="1:3">
      <c r="A748" s="3">
        <f ca="1">IFERROR(__xludf.UNSUPPORTED("""COMPUTED_VALUE"""),44546.6666666666)</f>
        <v>44546.666666666599</v>
      </c>
      <c r="B748" s="1">
        <f ca="1">IFERROR(__xludf.UNSUPPORTED("""COMPUTED_VALUE"""),172.26)</f>
        <v>172.26</v>
      </c>
      <c r="C748" s="2">
        <f t="shared" ca="1" si="2"/>
        <v>-3.9263803680981708E-2</v>
      </c>
    </row>
    <row r="749" spans="1:3">
      <c r="A749" s="3">
        <f ca="1">IFERROR(__xludf.UNSUPPORTED("""COMPUTED_VALUE"""),44547.6666666666)</f>
        <v>44547.666666666599</v>
      </c>
      <c r="B749" s="1">
        <f ca="1">IFERROR(__xludf.UNSUPPORTED("""COMPUTED_VALUE"""),171.14)</f>
        <v>171.14</v>
      </c>
      <c r="C749" s="2">
        <f t="shared" ca="1" si="2"/>
        <v>-6.5017996052479082E-3</v>
      </c>
    </row>
    <row r="750" spans="1:3">
      <c r="A750" s="3">
        <f ca="1">IFERROR(__xludf.UNSUPPORTED("""COMPUTED_VALUE"""),44550.6666666666)</f>
        <v>44550.666666666599</v>
      </c>
      <c r="B750" s="1">
        <f ca="1">IFERROR(__xludf.UNSUPPORTED("""COMPUTED_VALUE"""),169.75)</f>
        <v>169.75</v>
      </c>
      <c r="C750" s="2">
        <f t="shared" ca="1" si="2"/>
        <v>-8.1220053757157084E-3</v>
      </c>
    </row>
    <row r="751" spans="1:3">
      <c r="A751" s="3">
        <f ca="1">IFERROR(__xludf.UNSUPPORTED("""COMPUTED_VALUE"""),44551.6666666666)</f>
        <v>44551.666666666599</v>
      </c>
      <c r="B751" s="1">
        <f ca="1">IFERROR(__xludf.UNSUPPORTED("""COMPUTED_VALUE"""),172.99)</f>
        <v>172.99</v>
      </c>
      <c r="C751" s="2">
        <f t="shared" ca="1" si="2"/>
        <v>1.9086892488954399E-2</v>
      </c>
    </row>
    <row r="752" spans="1:3">
      <c r="A752" s="3">
        <f ca="1">IFERROR(__xludf.UNSUPPORTED("""COMPUTED_VALUE"""),44552.6666666666)</f>
        <v>44552.666666666599</v>
      </c>
      <c r="B752" s="1">
        <f ca="1">IFERROR(__xludf.UNSUPPORTED("""COMPUTED_VALUE"""),175.64)</f>
        <v>175.64</v>
      </c>
      <c r="C752" s="2">
        <f t="shared" ca="1" si="2"/>
        <v>1.5318804555176467E-2</v>
      </c>
    </row>
    <row r="753" spans="1:3">
      <c r="A753" s="3">
        <f ca="1">IFERROR(__xludf.UNSUPPORTED("""COMPUTED_VALUE"""),44553.6666666666)</f>
        <v>44553.666666666599</v>
      </c>
      <c r="B753" s="1">
        <f ca="1">IFERROR(__xludf.UNSUPPORTED("""COMPUTED_VALUE"""),176.28)</f>
        <v>176.28</v>
      </c>
      <c r="C753" s="2">
        <f t="shared" ca="1" si="2"/>
        <v>3.6438168982009496E-3</v>
      </c>
    </row>
    <row r="754" spans="1:3">
      <c r="A754" s="3">
        <f ca="1">IFERROR(__xludf.UNSUPPORTED("""COMPUTED_VALUE"""),44557.6666666666)</f>
        <v>44557.666666666599</v>
      </c>
      <c r="B754" s="1">
        <f ca="1">IFERROR(__xludf.UNSUPPORTED("""COMPUTED_VALUE"""),180.33)</f>
        <v>180.33</v>
      </c>
      <c r="C754" s="2">
        <f t="shared" ca="1" si="2"/>
        <v>2.2974812797821712E-2</v>
      </c>
    </row>
    <row r="755" spans="1:3">
      <c r="A755" s="3">
        <f ca="1">IFERROR(__xludf.UNSUPPORTED("""COMPUTED_VALUE"""),44558.6666666666)</f>
        <v>44558.666666666599</v>
      </c>
      <c r="B755" s="1">
        <f ca="1">IFERROR(__xludf.UNSUPPORTED("""COMPUTED_VALUE"""),179.29)</f>
        <v>179.29</v>
      </c>
      <c r="C755" s="2">
        <f t="shared" ca="1" si="2"/>
        <v>-5.7672045694006566E-3</v>
      </c>
    </row>
    <row r="756" spans="1:3">
      <c r="A756" s="3">
        <f ca="1">IFERROR(__xludf.UNSUPPORTED("""COMPUTED_VALUE"""),44559.6666666666)</f>
        <v>44559.666666666599</v>
      </c>
      <c r="B756" s="1">
        <f ca="1">IFERROR(__xludf.UNSUPPORTED("""COMPUTED_VALUE"""),179.38)</f>
        <v>179.38</v>
      </c>
      <c r="C756" s="2">
        <f t="shared" ca="1" si="2"/>
        <v>5.0198003234984336E-4</v>
      </c>
    </row>
    <row r="757" spans="1:3">
      <c r="A757" s="3">
        <f ca="1">IFERROR(__xludf.UNSUPPORTED("""COMPUTED_VALUE"""),44560.6666666666)</f>
        <v>44560.666666666599</v>
      </c>
      <c r="B757" s="1">
        <f ca="1">IFERROR(__xludf.UNSUPPORTED("""COMPUTED_VALUE"""),178.2)</f>
        <v>178.2</v>
      </c>
      <c r="C757" s="2">
        <f t="shared" ca="1" si="2"/>
        <v>-6.5782138476976632E-3</v>
      </c>
    </row>
    <row r="758" spans="1:3">
      <c r="A758" s="3">
        <f ca="1">IFERROR(__xludf.UNSUPPORTED("""COMPUTED_VALUE"""),44561.6666666666)</f>
        <v>44561.666666666599</v>
      </c>
      <c r="B758" s="1">
        <f ca="1">IFERROR(__xludf.UNSUPPORTED("""COMPUTED_VALUE"""),177.57)</f>
        <v>177.57</v>
      </c>
      <c r="C758" s="2">
        <f t="shared" ca="1" si="2"/>
        <v>-3.53535353535351E-3</v>
      </c>
    </row>
    <row r="759" spans="1:3">
      <c r="A759" s="3">
        <f ca="1">IFERROR(__xludf.UNSUPPORTED("""COMPUTED_VALUE"""),44564.6666666666)</f>
        <v>44564.666666666599</v>
      </c>
      <c r="B759" s="1">
        <f ca="1">IFERROR(__xludf.UNSUPPORTED("""COMPUTED_VALUE"""),182.01)</f>
        <v>182.01</v>
      </c>
      <c r="C759" s="2">
        <f t="shared" ca="1" si="2"/>
        <v>2.5004223686433506E-2</v>
      </c>
    </row>
    <row r="760" spans="1:3">
      <c r="A760" s="3">
        <f ca="1">IFERROR(__xludf.UNSUPPORTED("""COMPUTED_VALUE"""),44565.6666666666)</f>
        <v>44565.666666666599</v>
      </c>
      <c r="B760" s="1">
        <f ca="1">IFERROR(__xludf.UNSUPPORTED("""COMPUTED_VALUE"""),179.7)</f>
        <v>179.7</v>
      </c>
      <c r="C760" s="2">
        <f t="shared" ca="1" si="2"/>
        <v>-1.2691610351079624E-2</v>
      </c>
    </row>
    <row r="761" spans="1:3">
      <c r="A761" s="3">
        <f ca="1">IFERROR(__xludf.UNSUPPORTED("""COMPUTED_VALUE"""),44566.6666666666)</f>
        <v>44566.666666666599</v>
      </c>
      <c r="B761" s="1">
        <f ca="1">IFERROR(__xludf.UNSUPPORTED("""COMPUTED_VALUE"""),174.92)</f>
        <v>174.92</v>
      </c>
      <c r="C761" s="2">
        <f t="shared" ca="1" si="2"/>
        <v>-2.6599888703394553E-2</v>
      </c>
    </row>
    <row r="762" spans="1:3">
      <c r="A762" s="3">
        <f ca="1">IFERROR(__xludf.UNSUPPORTED("""COMPUTED_VALUE"""),44567.6666666666)</f>
        <v>44567.666666666599</v>
      </c>
      <c r="B762" s="1">
        <f ca="1">IFERROR(__xludf.UNSUPPORTED("""COMPUTED_VALUE"""),172)</f>
        <v>172</v>
      </c>
      <c r="C762" s="2">
        <f t="shared" ca="1" si="2"/>
        <v>-1.6693345529384791E-2</v>
      </c>
    </row>
    <row r="763" spans="1:3">
      <c r="A763" s="3">
        <f ca="1">IFERROR(__xludf.UNSUPPORTED("""COMPUTED_VALUE"""),44568.6666666666)</f>
        <v>44568.666666666599</v>
      </c>
      <c r="B763" s="1">
        <f ca="1">IFERROR(__xludf.UNSUPPORTED("""COMPUTED_VALUE"""),172.17)</f>
        <v>172.17</v>
      </c>
      <c r="C763" s="2">
        <f t="shared" ca="1" si="2"/>
        <v>9.8837209302318307E-4</v>
      </c>
    </row>
    <row r="764" spans="1:3">
      <c r="A764" s="3">
        <f ca="1">IFERROR(__xludf.UNSUPPORTED("""COMPUTED_VALUE"""),44571.6666666666)</f>
        <v>44571.666666666599</v>
      </c>
      <c r="B764" s="1">
        <f ca="1">IFERROR(__xludf.UNSUPPORTED("""COMPUTED_VALUE"""),172.19)</f>
        <v>172.19</v>
      </c>
      <c r="C764" s="2">
        <f t="shared" ca="1" si="2"/>
        <v>1.1616425625840875E-4</v>
      </c>
    </row>
    <row r="765" spans="1:3">
      <c r="A765" s="3">
        <f ca="1">IFERROR(__xludf.UNSUPPORTED("""COMPUTED_VALUE"""),44572.6666666666)</f>
        <v>44572.666666666599</v>
      </c>
      <c r="B765" s="1">
        <f ca="1">IFERROR(__xludf.UNSUPPORTED("""COMPUTED_VALUE"""),175.08)</f>
        <v>175.08</v>
      </c>
      <c r="C765" s="2">
        <f t="shared" ca="1" si="2"/>
        <v>1.6783785353388786E-2</v>
      </c>
    </row>
    <row r="766" spans="1:3">
      <c r="A766" s="3">
        <f ca="1">IFERROR(__xludf.UNSUPPORTED("""COMPUTED_VALUE"""),44573.6666666666)</f>
        <v>44573.666666666599</v>
      </c>
      <c r="B766" s="1">
        <f ca="1">IFERROR(__xludf.UNSUPPORTED("""COMPUTED_VALUE"""),175.53)</f>
        <v>175.53</v>
      </c>
      <c r="C766" s="2">
        <f t="shared" ca="1" si="2"/>
        <v>2.5702535983549725E-3</v>
      </c>
    </row>
    <row r="767" spans="1:3">
      <c r="A767" s="3">
        <f ca="1">IFERROR(__xludf.UNSUPPORTED("""COMPUTED_VALUE"""),44574.6666666666)</f>
        <v>44574.666666666599</v>
      </c>
      <c r="B767" s="1">
        <f ca="1">IFERROR(__xludf.UNSUPPORTED("""COMPUTED_VALUE"""),172.19)</f>
        <v>172.19</v>
      </c>
      <c r="C767" s="2">
        <f t="shared" ca="1" si="2"/>
        <v>-1.902808636700281E-2</v>
      </c>
    </row>
    <row r="768" spans="1:3">
      <c r="A768" s="3">
        <f ca="1">IFERROR(__xludf.UNSUPPORTED("""COMPUTED_VALUE"""),44575.6666666666)</f>
        <v>44575.666666666599</v>
      </c>
      <c r="B768" s="1">
        <f ca="1">IFERROR(__xludf.UNSUPPORTED("""COMPUTED_VALUE"""),173.07)</f>
        <v>173.07</v>
      </c>
      <c r="C768" s="2">
        <f t="shared" ref="C768:C1022" ca="1" si="3">(B768-B767)/B767</f>
        <v>5.1106336024159095E-3</v>
      </c>
    </row>
    <row r="769" spans="1:3">
      <c r="A769" s="3">
        <f ca="1">IFERROR(__xludf.UNSUPPORTED("""COMPUTED_VALUE"""),44579.6666666666)</f>
        <v>44579.666666666599</v>
      </c>
      <c r="B769" s="1">
        <f ca="1">IFERROR(__xludf.UNSUPPORTED("""COMPUTED_VALUE"""),169.8)</f>
        <v>169.8</v>
      </c>
      <c r="C769" s="2">
        <f t="shared" ca="1" si="3"/>
        <v>-1.8894089096897104E-2</v>
      </c>
    </row>
    <row r="770" spans="1:3">
      <c r="A770" s="3">
        <f ca="1">IFERROR(__xludf.UNSUPPORTED("""COMPUTED_VALUE"""),44580.6666666666)</f>
        <v>44580.666666666599</v>
      </c>
      <c r="B770" s="1">
        <f ca="1">IFERROR(__xludf.UNSUPPORTED("""COMPUTED_VALUE"""),166.23)</f>
        <v>166.23</v>
      </c>
      <c r="C770" s="2">
        <f t="shared" ca="1" si="3"/>
        <v>-2.1024734982332281E-2</v>
      </c>
    </row>
    <row r="771" spans="1:3">
      <c r="A771" s="3">
        <f ca="1">IFERROR(__xludf.UNSUPPORTED("""COMPUTED_VALUE"""),44581.6666666666)</f>
        <v>44581.666666666599</v>
      </c>
      <c r="B771" s="1">
        <f ca="1">IFERROR(__xludf.UNSUPPORTED("""COMPUTED_VALUE"""),164.51)</f>
        <v>164.51</v>
      </c>
      <c r="C771" s="2">
        <f t="shared" ca="1" si="3"/>
        <v>-1.0347109426697943E-2</v>
      </c>
    </row>
    <row r="772" spans="1:3">
      <c r="A772" s="3">
        <f ca="1">IFERROR(__xludf.UNSUPPORTED("""COMPUTED_VALUE"""),44582.6666666666)</f>
        <v>44582.666666666599</v>
      </c>
      <c r="B772" s="1">
        <f ca="1">IFERROR(__xludf.UNSUPPORTED("""COMPUTED_VALUE"""),162.41)</f>
        <v>162.41</v>
      </c>
      <c r="C772" s="2">
        <f t="shared" ca="1" si="3"/>
        <v>-1.2765181447936261E-2</v>
      </c>
    </row>
    <row r="773" spans="1:3">
      <c r="A773" s="3">
        <f ca="1">IFERROR(__xludf.UNSUPPORTED("""COMPUTED_VALUE"""),44585.6666666666)</f>
        <v>44585.666666666599</v>
      </c>
      <c r="B773" s="1">
        <f ca="1">IFERROR(__xludf.UNSUPPORTED("""COMPUTED_VALUE"""),161.62)</f>
        <v>161.62</v>
      </c>
      <c r="C773" s="2">
        <f t="shared" ca="1" si="3"/>
        <v>-4.8642324979988431E-3</v>
      </c>
    </row>
    <row r="774" spans="1:3">
      <c r="A774" s="3">
        <f ca="1">IFERROR(__xludf.UNSUPPORTED("""COMPUTED_VALUE"""),44586.6666666666)</f>
        <v>44586.666666666599</v>
      </c>
      <c r="B774" s="1">
        <f ca="1">IFERROR(__xludf.UNSUPPORTED("""COMPUTED_VALUE"""),159.78)</f>
        <v>159.78</v>
      </c>
      <c r="C774" s="2">
        <f t="shared" ca="1" si="3"/>
        <v>-1.138472961267172E-2</v>
      </c>
    </row>
    <row r="775" spans="1:3">
      <c r="A775" s="3">
        <f ca="1">IFERROR(__xludf.UNSUPPORTED("""COMPUTED_VALUE"""),44587.6666666666)</f>
        <v>44587.666666666599</v>
      </c>
      <c r="B775" s="1">
        <f ca="1">IFERROR(__xludf.UNSUPPORTED("""COMPUTED_VALUE"""),159.69)</f>
        <v>159.69</v>
      </c>
      <c r="C775" s="2">
        <f t="shared" ca="1" si="3"/>
        <v>-5.6327450244087753E-4</v>
      </c>
    </row>
    <row r="776" spans="1:3">
      <c r="A776" s="3">
        <f ca="1">IFERROR(__xludf.UNSUPPORTED("""COMPUTED_VALUE"""),44588.6666666666)</f>
        <v>44588.666666666599</v>
      </c>
      <c r="B776" s="1">
        <f ca="1">IFERROR(__xludf.UNSUPPORTED("""COMPUTED_VALUE"""),159.22)</f>
        <v>159.22</v>
      </c>
      <c r="C776" s="2">
        <f t="shared" ca="1" si="3"/>
        <v>-2.9432024547560828E-3</v>
      </c>
    </row>
    <row r="777" spans="1:3">
      <c r="A777" s="3">
        <f ca="1">IFERROR(__xludf.UNSUPPORTED("""COMPUTED_VALUE"""),44589.6666666666)</f>
        <v>44589.666666666599</v>
      </c>
      <c r="B777" s="1">
        <f ca="1">IFERROR(__xludf.UNSUPPORTED("""COMPUTED_VALUE"""),170.33)</f>
        <v>170.33</v>
      </c>
      <c r="C777" s="2">
        <f t="shared" ca="1" si="3"/>
        <v>6.9777666122346524E-2</v>
      </c>
    </row>
    <row r="778" spans="1:3">
      <c r="A778" s="3">
        <f ca="1">IFERROR(__xludf.UNSUPPORTED("""COMPUTED_VALUE"""),44592.6666666666)</f>
        <v>44592.666666666599</v>
      </c>
      <c r="B778" s="1">
        <f ca="1">IFERROR(__xludf.UNSUPPORTED("""COMPUTED_VALUE"""),174.78)</f>
        <v>174.78</v>
      </c>
      <c r="C778" s="2">
        <f t="shared" ca="1" si="3"/>
        <v>2.6125755885633702E-2</v>
      </c>
    </row>
    <row r="779" spans="1:3">
      <c r="A779" s="3">
        <f ca="1">IFERROR(__xludf.UNSUPPORTED("""COMPUTED_VALUE"""),44593.6666666666)</f>
        <v>44593.666666666599</v>
      </c>
      <c r="B779" s="1">
        <f ca="1">IFERROR(__xludf.UNSUPPORTED("""COMPUTED_VALUE"""),174.61)</f>
        <v>174.61</v>
      </c>
      <c r="C779" s="2">
        <f t="shared" ca="1" si="3"/>
        <v>-9.7265133310440262E-4</v>
      </c>
    </row>
    <row r="780" spans="1:3">
      <c r="A780" s="3">
        <f ca="1">IFERROR(__xludf.UNSUPPORTED("""COMPUTED_VALUE"""),44594.6666666666)</f>
        <v>44594.666666666599</v>
      </c>
      <c r="B780" s="1">
        <f ca="1">IFERROR(__xludf.UNSUPPORTED("""COMPUTED_VALUE"""),175.84)</f>
        <v>175.84</v>
      </c>
      <c r="C780" s="2">
        <f t="shared" ca="1" si="3"/>
        <v>7.0442700876237885E-3</v>
      </c>
    </row>
    <row r="781" spans="1:3">
      <c r="A781" s="3">
        <f ca="1">IFERROR(__xludf.UNSUPPORTED("""COMPUTED_VALUE"""),44595.6666666666)</f>
        <v>44595.666666666599</v>
      </c>
      <c r="B781" s="1">
        <f ca="1">IFERROR(__xludf.UNSUPPORTED("""COMPUTED_VALUE"""),172.9)</f>
        <v>172.9</v>
      </c>
      <c r="C781" s="2">
        <f t="shared" ca="1" si="3"/>
        <v>-1.6719745222929922E-2</v>
      </c>
    </row>
    <row r="782" spans="1:3">
      <c r="A782" s="3">
        <f ca="1">IFERROR(__xludf.UNSUPPORTED("""COMPUTED_VALUE"""),44596.6666666666)</f>
        <v>44596.666666666599</v>
      </c>
      <c r="B782" s="1">
        <f ca="1">IFERROR(__xludf.UNSUPPORTED("""COMPUTED_VALUE"""),172.39)</f>
        <v>172.39</v>
      </c>
      <c r="C782" s="2">
        <f t="shared" ca="1" si="3"/>
        <v>-2.9496818970504296E-3</v>
      </c>
    </row>
    <row r="783" spans="1:3">
      <c r="A783" s="3">
        <f ca="1">IFERROR(__xludf.UNSUPPORTED("""COMPUTED_VALUE"""),44599.6666666666)</f>
        <v>44599.666666666599</v>
      </c>
      <c r="B783" s="1">
        <f ca="1">IFERROR(__xludf.UNSUPPORTED("""COMPUTED_VALUE"""),171.66)</f>
        <v>171.66</v>
      </c>
      <c r="C783" s="2">
        <f t="shared" ca="1" si="3"/>
        <v>-4.2345843726433654E-3</v>
      </c>
    </row>
    <row r="784" spans="1:3">
      <c r="A784" s="3">
        <f ca="1">IFERROR(__xludf.UNSUPPORTED("""COMPUTED_VALUE"""),44600.6666666666)</f>
        <v>44600.666666666599</v>
      </c>
      <c r="B784" s="1">
        <f ca="1">IFERROR(__xludf.UNSUPPORTED("""COMPUTED_VALUE"""),174.83)</f>
        <v>174.83</v>
      </c>
      <c r="C784" s="2">
        <f t="shared" ca="1" si="3"/>
        <v>1.8466736572294164E-2</v>
      </c>
    </row>
    <row r="785" spans="1:3">
      <c r="A785" s="3">
        <f ca="1">IFERROR(__xludf.UNSUPPORTED("""COMPUTED_VALUE"""),44601.6666666666)</f>
        <v>44601.666666666599</v>
      </c>
      <c r="B785" s="1">
        <f ca="1">IFERROR(__xludf.UNSUPPORTED("""COMPUTED_VALUE"""),176.28)</f>
        <v>176.28</v>
      </c>
      <c r="C785" s="2">
        <f t="shared" ca="1" si="3"/>
        <v>8.2937710919177982E-3</v>
      </c>
    </row>
    <row r="786" spans="1:3">
      <c r="A786" s="3">
        <f ca="1">IFERROR(__xludf.UNSUPPORTED("""COMPUTED_VALUE"""),44602.6666666666)</f>
        <v>44602.666666666599</v>
      </c>
      <c r="B786" s="1">
        <f ca="1">IFERROR(__xludf.UNSUPPORTED("""COMPUTED_VALUE"""),172.12)</f>
        <v>172.12</v>
      </c>
      <c r="C786" s="2">
        <f t="shared" ca="1" si="3"/>
        <v>-2.3598820058997029E-2</v>
      </c>
    </row>
    <row r="787" spans="1:3">
      <c r="A787" s="3">
        <f ca="1">IFERROR(__xludf.UNSUPPORTED("""COMPUTED_VALUE"""),44603.6666666666)</f>
        <v>44603.666666666599</v>
      </c>
      <c r="B787" s="1">
        <f ca="1">IFERROR(__xludf.UNSUPPORTED("""COMPUTED_VALUE"""),168.64)</f>
        <v>168.64</v>
      </c>
      <c r="C787" s="2">
        <f t="shared" ca="1" si="3"/>
        <v>-2.0218452242621532E-2</v>
      </c>
    </row>
    <row r="788" spans="1:3">
      <c r="A788" s="3">
        <f ca="1">IFERROR(__xludf.UNSUPPORTED("""COMPUTED_VALUE"""),44606.6666666666)</f>
        <v>44606.666666666599</v>
      </c>
      <c r="B788" s="1">
        <f ca="1">IFERROR(__xludf.UNSUPPORTED("""COMPUTED_VALUE"""),168.88)</f>
        <v>168.88</v>
      </c>
      <c r="C788" s="2">
        <f t="shared" ca="1" si="3"/>
        <v>1.4231499051233936E-3</v>
      </c>
    </row>
    <row r="789" spans="1:3">
      <c r="A789" s="3">
        <f ca="1">IFERROR(__xludf.UNSUPPORTED("""COMPUTED_VALUE"""),44607.6666666666)</f>
        <v>44607.666666666599</v>
      </c>
      <c r="B789" s="1">
        <f ca="1">IFERROR(__xludf.UNSUPPORTED("""COMPUTED_VALUE"""),172.79)</f>
        <v>172.79</v>
      </c>
      <c r="C789" s="2">
        <f t="shared" ca="1" si="3"/>
        <v>2.3152534343912817E-2</v>
      </c>
    </row>
    <row r="790" spans="1:3">
      <c r="A790" s="3">
        <f ca="1">IFERROR(__xludf.UNSUPPORTED("""COMPUTED_VALUE"""),44608.6666666666)</f>
        <v>44608.666666666599</v>
      </c>
      <c r="B790" s="1">
        <f ca="1">IFERROR(__xludf.UNSUPPORTED("""COMPUTED_VALUE"""),172.55)</f>
        <v>172.55</v>
      </c>
      <c r="C790" s="2">
        <f t="shared" ca="1" si="3"/>
        <v>-1.3889692690548104E-3</v>
      </c>
    </row>
    <row r="791" spans="1:3">
      <c r="A791" s="3">
        <f ca="1">IFERROR(__xludf.UNSUPPORTED("""COMPUTED_VALUE"""),44609.6666666666)</f>
        <v>44609.666666666599</v>
      </c>
      <c r="B791" s="1">
        <f ca="1">IFERROR(__xludf.UNSUPPORTED("""COMPUTED_VALUE"""),168.88)</f>
        <v>168.88</v>
      </c>
      <c r="C791" s="2">
        <f t="shared" ca="1" si="3"/>
        <v>-2.1269197334106146E-2</v>
      </c>
    </row>
    <row r="792" spans="1:3">
      <c r="A792" s="3">
        <f ca="1">IFERROR(__xludf.UNSUPPORTED("""COMPUTED_VALUE"""),44610.6666666666)</f>
        <v>44610.666666666599</v>
      </c>
      <c r="B792" s="1">
        <f ca="1">IFERROR(__xludf.UNSUPPORTED("""COMPUTED_VALUE"""),167.3)</f>
        <v>167.3</v>
      </c>
      <c r="C792" s="2">
        <f t="shared" ca="1" si="3"/>
        <v>-9.3557555660823306E-3</v>
      </c>
    </row>
    <row r="793" spans="1:3">
      <c r="A793" s="3">
        <f ca="1">IFERROR(__xludf.UNSUPPORTED("""COMPUTED_VALUE"""),44614.6666666666)</f>
        <v>44614.666666666599</v>
      </c>
      <c r="B793" s="1">
        <f ca="1">IFERROR(__xludf.UNSUPPORTED("""COMPUTED_VALUE"""),164.32)</f>
        <v>164.32</v>
      </c>
      <c r="C793" s="2">
        <f t="shared" ca="1" si="3"/>
        <v>-1.7812313209802855E-2</v>
      </c>
    </row>
    <row r="794" spans="1:3">
      <c r="A794" s="3">
        <f ca="1">IFERROR(__xludf.UNSUPPORTED("""COMPUTED_VALUE"""),44615.6666666666)</f>
        <v>44615.666666666599</v>
      </c>
      <c r="B794" s="1">
        <f ca="1">IFERROR(__xludf.UNSUPPORTED("""COMPUTED_VALUE"""),160.07)</f>
        <v>160.07</v>
      </c>
      <c r="C794" s="2">
        <f t="shared" ca="1" si="3"/>
        <v>-2.5864167478091529E-2</v>
      </c>
    </row>
    <row r="795" spans="1:3">
      <c r="A795" s="3">
        <f ca="1">IFERROR(__xludf.UNSUPPORTED("""COMPUTED_VALUE"""),44616.6666666666)</f>
        <v>44616.666666666599</v>
      </c>
      <c r="B795" s="1">
        <f ca="1">IFERROR(__xludf.UNSUPPORTED("""COMPUTED_VALUE"""),162.74)</f>
        <v>162.74</v>
      </c>
      <c r="C795" s="2">
        <f t="shared" ca="1" si="3"/>
        <v>1.6680202411445091E-2</v>
      </c>
    </row>
    <row r="796" spans="1:3">
      <c r="A796" s="3">
        <f ca="1">IFERROR(__xludf.UNSUPPORTED("""COMPUTED_VALUE"""),44617.6666666666)</f>
        <v>44617.666666666599</v>
      </c>
      <c r="B796" s="1">
        <f ca="1">IFERROR(__xludf.UNSUPPORTED("""COMPUTED_VALUE"""),164.85)</f>
        <v>164.85</v>
      </c>
      <c r="C796" s="2">
        <f t="shared" ca="1" si="3"/>
        <v>1.2965466388103633E-2</v>
      </c>
    </row>
    <row r="797" spans="1:3">
      <c r="A797" s="3">
        <f ca="1">IFERROR(__xludf.UNSUPPORTED("""COMPUTED_VALUE"""),44620.6666666666)</f>
        <v>44620.666666666599</v>
      </c>
      <c r="B797" s="1">
        <f ca="1">IFERROR(__xludf.UNSUPPORTED("""COMPUTED_VALUE"""),165.12)</f>
        <v>165.12</v>
      </c>
      <c r="C797" s="2">
        <f t="shared" ca="1" si="3"/>
        <v>1.6378525932666682E-3</v>
      </c>
    </row>
    <row r="798" spans="1:3">
      <c r="A798" s="3">
        <f ca="1">IFERROR(__xludf.UNSUPPORTED("""COMPUTED_VALUE"""),44621.6666666666)</f>
        <v>44621.666666666599</v>
      </c>
      <c r="B798" s="1">
        <f ca="1">IFERROR(__xludf.UNSUPPORTED("""COMPUTED_VALUE"""),163.2)</f>
        <v>163.19999999999999</v>
      </c>
      <c r="C798" s="2">
        <f t="shared" ca="1" si="3"/>
        <v>-1.1627906976744281E-2</v>
      </c>
    </row>
    <row r="799" spans="1:3">
      <c r="A799" s="3">
        <f ca="1">IFERROR(__xludf.UNSUPPORTED("""COMPUTED_VALUE"""),44622.6666666666)</f>
        <v>44622.666666666599</v>
      </c>
      <c r="B799" s="1">
        <f ca="1">IFERROR(__xludf.UNSUPPORTED("""COMPUTED_VALUE"""),166.56)</f>
        <v>166.56</v>
      </c>
      <c r="C799" s="2">
        <f t="shared" ca="1" si="3"/>
        <v>2.0588235294117734E-2</v>
      </c>
    </row>
    <row r="800" spans="1:3">
      <c r="A800" s="3">
        <f ca="1">IFERROR(__xludf.UNSUPPORTED("""COMPUTED_VALUE"""),44623.6666666666)</f>
        <v>44623.666666666599</v>
      </c>
      <c r="B800" s="1">
        <f ca="1">IFERROR(__xludf.UNSUPPORTED("""COMPUTED_VALUE"""),166.23)</f>
        <v>166.23</v>
      </c>
      <c r="C800" s="2">
        <f t="shared" ca="1" si="3"/>
        <v>-1.9812680115274526E-3</v>
      </c>
    </row>
    <row r="801" spans="1:3">
      <c r="A801" s="3">
        <f ca="1">IFERROR(__xludf.UNSUPPORTED("""COMPUTED_VALUE"""),44624.6666666666)</f>
        <v>44624.666666666599</v>
      </c>
      <c r="B801" s="1">
        <f ca="1">IFERROR(__xludf.UNSUPPORTED("""COMPUTED_VALUE"""),163.17)</f>
        <v>163.16999999999999</v>
      </c>
      <c r="C801" s="2">
        <f t="shared" ca="1" si="3"/>
        <v>-1.8408229561451016E-2</v>
      </c>
    </row>
    <row r="802" spans="1:3">
      <c r="A802" s="3">
        <f ca="1">IFERROR(__xludf.UNSUPPORTED("""COMPUTED_VALUE"""),44627.6666666666)</f>
        <v>44627.666666666599</v>
      </c>
      <c r="B802" s="1">
        <f ca="1">IFERROR(__xludf.UNSUPPORTED("""COMPUTED_VALUE"""),159.3)</f>
        <v>159.30000000000001</v>
      </c>
      <c r="C802" s="2">
        <f t="shared" ca="1" si="3"/>
        <v>-2.3717595146166431E-2</v>
      </c>
    </row>
    <row r="803" spans="1:3">
      <c r="A803" s="3">
        <f ca="1">IFERROR(__xludf.UNSUPPORTED("""COMPUTED_VALUE"""),44628.6666666666)</f>
        <v>44628.666666666599</v>
      </c>
      <c r="B803" s="1">
        <f ca="1">IFERROR(__xludf.UNSUPPORTED("""COMPUTED_VALUE"""),157.44)</f>
        <v>157.44</v>
      </c>
      <c r="C803" s="2">
        <f t="shared" ca="1" si="3"/>
        <v>-1.1676082862523625E-2</v>
      </c>
    </row>
    <row r="804" spans="1:3">
      <c r="A804" s="3">
        <f ca="1">IFERROR(__xludf.UNSUPPORTED("""COMPUTED_VALUE"""),44629.6666666666)</f>
        <v>44629.666666666599</v>
      </c>
      <c r="B804" s="1">
        <f ca="1">IFERROR(__xludf.UNSUPPORTED("""COMPUTED_VALUE"""),162.95)</f>
        <v>162.94999999999999</v>
      </c>
      <c r="C804" s="2">
        <f t="shared" ca="1" si="3"/>
        <v>3.4997459349593439E-2</v>
      </c>
    </row>
    <row r="805" spans="1:3">
      <c r="A805" s="3">
        <f ca="1">IFERROR(__xludf.UNSUPPORTED("""COMPUTED_VALUE"""),44630.6666666666)</f>
        <v>44630.666666666599</v>
      </c>
      <c r="B805" s="1">
        <f ca="1">IFERROR(__xludf.UNSUPPORTED("""COMPUTED_VALUE"""),158.52)</f>
        <v>158.52000000000001</v>
      </c>
      <c r="C805" s="2">
        <f t="shared" ca="1" si="3"/>
        <v>-2.7186253451979003E-2</v>
      </c>
    </row>
    <row r="806" spans="1:3">
      <c r="A806" s="3">
        <f ca="1">IFERROR(__xludf.UNSUPPORTED("""COMPUTED_VALUE"""),44631.6666666666)</f>
        <v>44631.666666666599</v>
      </c>
      <c r="B806" s="1">
        <f ca="1">IFERROR(__xludf.UNSUPPORTED("""COMPUTED_VALUE"""),154.73)</f>
        <v>154.72999999999999</v>
      </c>
      <c r="C806" s="2">
        <f t="shared" ca="1" si="3"/>
        <v>-2.390865505929864E-2</v>
      </c>
    </row>
    <row r="807" spans="1:3">
      <c r="A807" s="3">
        <f ca="1">IFERROR(__xludf.UNSUPPORTED("""COMPUTED_VALUE"""),44634.6666666666)</f>
        <v>44634.666666666599</v>
      </c>
      <c r="B807" s="1">
        <f ca="1">IFERROR(__xludf.UNSUPPORTED("""COMPUTED_VALUE"""),150.62)</f>
        <v>150.62</v>
      </c>
      <c r="C807" s="2">
        <f t="shared" ca="1" si="3"/>
        <v>-2.6562399017643543E-2</v>
      </c>
    </row>
    <row r="808" spans="1:3">
      <c r="A808" s="3">
        <f ca="1">IFERROR(__xludf.UNSUPPORTED("""COMPUTED_VALUE"""),44635.6666666666)</f>
        <v>44635.666666666599</v>
      </c>
      <c r="B808" s="1">
        <f ca="1">IFERROR(__xludf.UNSUPPORTED("""COMPUTED_VALUE"""),155.09)</f>
        <v>155.09</v>
      </c>
      <c r="C808" s="2">
        <f t="shared" ca="1" si="3"/>
        <v>2.9677333687425301E-2</v>
      </c>
    </row>
    <row r="809" spans="1:3">
      <c r="A809" s="3">
        <f ca="1">IFERROR(__xludf.UNSUPPORTED("""COMPUTED_VALUE"""),44636.6666666666)</f>
        <v>44636.666666666599</v>
      </c>
      <c r="B809" s="1">
        <f ca="1">IFERROR(__xludf.UNSUPPORTED("""COMPUTED_VALUE"""),159.59)</f>
        <v>159.59</v>
      </c>
      <c r="C809" s="2">
        <f t="shared" ca="1" si="3"/>
        <v>2.9015410406860533E-2</v>
      </c>
    </row>
    <row r="810" spans="1:3">
      <c r="A810" s="3">
        <f ca="1">IFERROR(__xludf.UNSUPPORTED("""COMPUTED_VALUE"""),44637.6666666666)</f>
        <v>44637.666666666599</v>
      </c>
      <c r="B810" s="1">
        <f ca="1">IFERROR(__xludf.UNSUPPORTED("""COMPUTED_VALUE"""),160.62)</f>
        <v>160.62</v>
      </c>
      <c r="C810" s="2">
        <f t="shared" ca="1" si="3"/>
        <v>6.4540384735885777E-3</v>
      </c>
    </row>
    <row r="811" spans="1:3">
      <c r="A811" s="3">
        <f ca="1">IFERROR(__xludf.UNSUPPORTED("""COMPUTED_VALUE"""),44638.6666666666)</f>
        <v>44638.666666666599</v>
      </c>
      <c r="B811" s="1">
        <f ca="1">IFERROR(__xludf.UNSUPPORTED("""COMPUTED_VALUE"""),163.98)</f>
        <v>163.98</v>
      </c>
      <c r="C811" s="2">
        <f t="shared" ca="1" si="3"/>
        <v>2.0918939110944994E-2</v>
      </c>
    </row>
    <row r="812" spans="1:3">
      <c r="A812" s="3">
        <f ca="1">IFERROR(__xludf.UNSUPPORTED("""COMPUTED_VALUE"""),44641.6666666666)</f>
        <v>44641.666666666599</v>
      </c>
      <c r="B812" s="1">
        <f ca="1">IFERROR(__xludf.UNSUPPORTED("""COMPUTED_VALUE"""),165.38)</f>
        <v>165.38</v>
      </c>
      <c r="C812" s="2">
        <f t="shared" ca="1" si="3"/>
        <v>8.5376265398219645E-3</v>
      </c>
    </row>
    <row r="813" spans="1:3">
      <c r="A813" s="3">
        <f ca="1">IFERROR(__xludf.UNSUPPORTED("""COMPUTED_VALUE"""),44642.6666666666)</f>
        <v>44642.666666666599</v>
      </c>
      <c r="B813" s="1">
        <f ca="1">IFERROR(__xludf.UNSUPPORTED("""COMPUTED_VALUE"""),168.82)</f>
        <v>168.82</v>
      </c>
      <c r="C813" s="2">
        <f t="shared" ca="1" si="3"/>
        <v>2.0800580481315743E-2</v>
      </c>
    </row>
    <row r="814" spans="1:3">
      <c r="A814" s="3">
        <f ca="1">IFERROR(__xludf.UNSUPPORTED("""COMPUTED_VALUE"""),44643.6666666666)</f>
        <v>44643.666666666599</v>
      </c>
      <c r="B814" s="1">
        <f ca="1">IFERROR(__xludf.UNSUPPORTED("""COMPUTED_VALUE"""),170.21)</f>
        <v>170.21</v>
      </c>
      <c r="C814" s="2">
        <f t="shared" ca="1" si="3"/>
        <v>8.2336216088142091E-3</v>
      </c>
    </row>
    <row r="815" spans="1:3">
      <c r="A815" s="3">
        <f ca="1">IFERROR(__xludf.UNSUPPORTED("""COMPUTED_VALUE"""),44644.6666666666)</f>
        <v>44644.666666666599</v>
      </c>
      <c r="B815" s="1">
        <f ca="1">IFERROR(__xludf.UNSUPPORTED("""COMPUTED_VALUE"""),174.07)</f>
        <v>174.07</v>
      </c>
      <c r="C815" s="2">
        <f t="shared" ca="1" si="3"/>
        <v>2.2677868515363287E-2</v>
      </c>
    </row>
    <row r="816" spans="1:3">
      <c r="A816" s="3">
        <f ca="1">IFERROR(__xludf.UNSUPPORTED("""COMPUTED_VALUE"""),44645.6666666666)</f>
        <v>44645.666666666599</v>
      </c>
      <c r="B816" s="1">
        <f ca="1">IFERROR(__xludf.UNSUPPORTED("""COMPUTED_VALUE"""),174.72)</f>
        <v>174.72</v>
      </c>
      <c r="C816" s="2">
        <f t="shared" ca="1" si="3"/>
        <v>3.7341299477222137E-3</v>
      </c>
    </row>
    <row r="817" spans="1:3">
      <c r="A817" s="3">
        <f ca="1">IFERROR(__xludf.UNSUPPORTED("""COMPUTED_VALUE"""),44648.6666666666)</f>
        <v>44648.666666666599</v>
      </c>
      <c r="B817" s="1">
        <f ca="1">IFERROR(__xludf.UNSUPPORTED("""COMPUTED_VALUE"""),175.6)</f>
        <v>175.6</v>
      </c>
      <c r="C817" s="2">
        <f t="shared" ca="1" si="3"/>
        <v>5.0366300366300109E-3</v>
      </c>
    </row>
    <row r="818" spans="1:3">
      <c r="A818" s="3">
        <f ca="1">IFERROR(__xludf.UNSUPPORTED("""COMPUTED_VALUE"""),44649.6666666666)</f>
        <v>44649.666666666599</v>
      </c>
      <c r="B818" s="1">
        <f ca="1">IFERROR(__xludf.UNSUPPORTED("""COMPUTED_VALUE"""),178.96)</f>
        <v>178.96</v>
      </c>
      <c r="C818" s="2">
        <f t="shared" ca="1" si="3"/>
        <v>1.9134396355353155E-2</v>
      </c>
    </row>
    <row r="819" spans="1:3">
      <c r="A819" s="3">
        <f ca="1">IFERROR(__xludf.UNSUPPORTED("""COMPUTED_VALUE"""),44650.6666666666)</f>
        <v>44650.666666666599</v>
      </c>
      <c r="B819" s="1">
        <f ca="1">IFERROR(__xludf.UNSUPPORTED("""COMPUTED_VALUE"""),177.77)</f>
        <v>177.77</v>
      </c>
      <c r="C819" s="2">
        <f t="shared" ca="1" si="3"/>
        <v>-6.6495306213678902E-3</v>
      </c>
    </row>
    <row r="820" spans="1:3">
      <c r="A820" s="3">
        <f ca="1">IFERROR(__xludf.UNSUPPORTED("""COMPUTED_VALUE"""),44651.6666666666)</f>
        <v>44651.666666666599</v>
      </c>
      <c r="B820" s="1">
        <f ca="1">IFERROR(__xludf.UNSUPPORTED("""COMPUTED_VALUE"""),174.61)</f>
        <v>174.61</v>
      </c>
      <c r="C820" s="2">
        <f t="shared" ca="1" si="3"/>
        <v>-1.7775777690273928E-2</v>
      </c>
    </row>
    <row r="821" spans="1:3">
      <c r="A821" s="3">
        <f ca="1">IFERROR(__xludf.UNSUPPORTED("""COMPUTED_VALUE"""),44652.6666666666)</f>
        <v>44652.666666666599</v>
      </c>
      <c r="B821" s="1">
        <f ca="1">IFERROR(__xludf.UNSUPPORTED("""COMPUTED_VALUE"""),174.31)</f>
        <v>174.31</v>
      </c>
      <c r="C821" s="2">
        <f t="shared" ca="1" si="3"/>
        <v>-1.7181146555180766E-3</v>
      </c>
    </row>
    <row r="822" spans="1:3">
      <c r="A822" s="3">
        <f ca="1">IFERROR(__xludf.UNSUPPORTED("""COMPUTED_VALUE"""),44655.6666666666)</f>
        <v>44655.666666666599</v>
      </c>
      <c r="B822" s="1">
        <f ca="1">IFERROR(__xludf.UNSUPPORTED("""COMPUTED_VALUE"""),178.44)</f>
        <v>178.44</v>
      </c>
      <c r="C822" s="2">
        <f t="shared" ca="1" si="3"/>
        <v>2.3693419769376372E-2</v>
      </c>
    </row>
    <row r="823" spans="1:3">
      <c r="A823" s="3">
        <f ca="1">IFERROR(__xludf.UNSUPPORTED("""COMPUTED_VALUE"""),44656.6666666666)</f>
        <v>44656.666666666599</v>
      </c>
      <c r="B823" s="1">
        <f ca="1">IFERROR(__xludf.UNSUPPORTED("""COMPUTED_VALUE"""),175.06)</f>
        <v>175.06</v>
      </c>
      <c r="C823" s="2">
        <f t="shared" ca="1" si="3"/>
        <v>-1.8941941268773792E-2</v>
      </c>
    </row>
    <row r="824" spans="1:3">
      <c r="A824" s="3">
        <f ca="1">IFERROR(__xludf.UNSUPPORTED("""COMPUTED_VALUE"""),44657.6666666666)</f>
        <v>44657.666666666599</v>
      </c>
      <c r="B824" s="1">
        <f ca="1">IFERROR(__xludf.UNSUPPORTED("""COMPUTED_VALUE"""),171.83)</f>
        <v>171.83</v>
      </c>
      <c r="C824" s="2">
        <f t="shared" ca="1" si="3"/>
        <v>-1.8450816862789841E-2</v>
      </c>
    </row>
    <row r="825" spans="1:3">
      <c r="A825" s="3">
        <f ca="1">IFERROR(__xludf.UNSUPPORTED("""COMPUTED_VALUE"""),44658.6666666666)</f>
        <v>44658.666666666599</v>
      </c>
      <c r="B825" s="1">
        <f ca="1">IFERROR(__xludf.UNSUPPORTED("""COMPUTED_VALUE"""),172.14)</f>
        <v>172.14</v>
      </c>
      <c r="C825" s="2">
        <f t="shared" ca="1" si="3"/>
        <v>1.8041087120990154E-3</v>
      </c>
    </row>
    <row r="826" spans="1:3">
      <c r="A826" s="3">
        <f ca="1">IFERROR(__xludf.UNSUPPORTED("""COMPUTED_VALUE"""),44659.6666666666)</f>
        <v>44659.666666666599</v>
      </c>
      <c r="B826" s="1">
        <f ca="1">IFERROR(__xludf.UNSUPPORTED("""COMPUTED_VALUE"""),170.09)</f>
        <v>170.09</v>
      </c>
      <c r="C826" s="2">
        <f t="shared" ca="1" si="3"/>
        <v>-1.1908911351225649E-2</v>
      </c>
    </row>
    <row r="827" spans="1:3">
      <c r="A827" s="3">
        <f ca="1">IFERROR(__xludf.UNSUPPORTED("""COMPUTED_VALUE"""),44662.6666666666)</f>
        <v>44662.666666666599</v>
      </c>
      <c r="B827" s="1">
        <f ca="1">IFERROR(__xludf.UNSUPPORTED("""COMPUTED_VALUE"""),165.75)</f>
        <v>165.75</v>
      </c>
      <c r="C827" s="2">
        <f t="shared" ca="1" si="3"/>
        <v>-2.5515903345287808E-2</v>
      </c>
    </row>
    <row r="828" spans="1:3">
      <c r="A828" s="3">
        <f ca="1">IFERROR(__xludf.UNSUPPORTED("""COMPUTED_VALUE"""),44663.6666666666)</f>
        <v>44663.666666666599</v>
      </c>
      <c r="B828" s="1">
        <f ca="1">IFERROR(__xludf.UNSUPPORTED("""COMPUTED_VALUE"""),167.66)</f>
        <v>167.66</v>
      </c>
      <c r="C828" s="2">
        <f t="shared" ca="1" si="3"/>
        <v>1.1523378582202091E-2</v>
      </c>
    </row>
    <row r="829" spans="1:3">
      <c r="A829" s="3">
        <f ca="1">IFERROR(__xludf.UNSUPPORTED("""COMPUTED_VALUE"""),44664.6666666666)</f>
        <v>44664.666666666599</v>
      </c>
      <c r="B829" s="1">
        <f ca="1">IFERROR(__xludf.UNSUPPORTED("""COMPUTED_VALUE"""),170.4)</f>
        <v>170.4</v>
      </c>
      <c r="C829" s="2">
        <f t="shared" ca="1" si="3"/>
        <v>1.6342598115233264E-2</v>
      </c>
    </row>
    <row r="830" spans="1:3">
      <c r="A830" s="3">
        <f ca="1">IFERROR(__xludf.UNSUPPORTED("""COMPUTED_VALUE"""),44665.6666666666)</f>
        <v>44665.666666666599</v>
      </c>
      <c r="B830" s="1">
        <f ca="1">IFERROR(__xludf.UNSUPPORTED("""COMPUTED_VALUE"""),165.29)</f>
        <v>165.29</v>
      </c>
      <c r="C830" s="2">
        <f t="shared" ca="1" si="3"/>
        <v>-2.9988262910798202E-2</v>
      </c>
    </row>
    <row r="831" spans="1:3">
      <c r="A831" s="3">
        <f ca="1">IFERROR(__xludf.UNSUPPORTED("""COMPUTED_VALUE"""),44669.6666666666)</f>
        <v>44669.666666666599</v>
      </c>
      <c r="B831" s="1">
        <f ca="1">IFERROR(__xludf.UNSUPPORTED("""COMPUTED_VALUE"""),165.07)</f>
        <v>165.07</v>
      </c>
      <c r="C831" s="2">
        <f t="shared" ca="1" si="3"/>
        <v>-1.3309940105269459E-3</v>
      </c>
    </row>
    <row r="832" spans="1:3">
      <c r="A832" s="3">
        <f ca="1">IFERROR(__xludf.UNSUPPORTED("""COMPUTED_VALUE"""),44670.6666666666)</f>
        <v>44670.666666666599</v>
      </c>
      <c r="B832" s="1">
        <f ca="1">IFERROR(__xludf.UNSUPPORTED("""COMPUTED_VALUE"""),167.4)</f>
        <v>167.4</v>
      </c>
      <c r="C832" s="2">
        <f t="shared" ca="1" si="3"/>
        <v>1.4115223844429712E-2</v>
      </c>
    </row>
    <row r="833" spans="1:3">
      <c r="A833" s="3">
        <f ca="1">IFERROR(__xludf.UNSUPPORTED("""COMPUTED_VALUE"""),44671.6666666666)</f>
        <v>44671.666666666599</v>
      </c>
      <c r="B833" s="1">
        <f ca="1">IFERROR(__xludf.UNSUPPORTED("""COMPUTED_VALUE"""),167.23)</f>
        <v>167.23</v>
      </c>
      <c r="C833" s="2">
        <f t="shared" ca="1" si="3"/>
        <v>-1.0155316606930461E-3</v>
      </c>
    </row>
    <row r="834" spans="1:3">
      <c r="A834" s="3">
        <f ca="1">IFERROR(__xludf.UNSUPPORTED("""COMPUTED_VALUE"""),44672.6666666666)</f>
        <v>44672.666666666599</v>
      </c>
      <c r="B834" s="1">
        <f ca="1">IFERROR(__xludf.UNSUPPORTED("""COMPUTED_VALUE"""),166.42)</f>
        <v>166.42</v>
      </c>
      <c r="C834" s="2">
        <f t="shared" ca="1" si="3"/>
        <v>-4.8436285355498553E-3</v>
      </c>
    </row>
    <row r="835" spans="1:3">
      <c r="A835" s="3">
        <f ca="1">IFERROR(__xludf.UNSUPPORTED("""COMPUTED_VALUE"""),44673.6666666666)</f>
        <v>44673.666666666599</v>
      </c>
      <c r="B835" s="1">
        <f ca="1">IFERROR(__xludf.UNSUPPORTED("""COMPUTED_VALUE"""),161.79)</f>
        <v>161.79</v>
      </c>
      <c r="C835" s="2">
        <f t="shared" ca="1" si="3"/>
        <v>-2.782117533950244E-2</v>
      </c>
    </row>
    <row r="836" spans="1:3">
      <c r="A836" s="3">
        <f ca="1">IFERROR(__xludf.UNSUPPORTED("""COMPUTED_VALUE"""),44676.6666666666)</f>
        <v>44676.666666666599</v>
      </c>
      <c r="B836" s="1">
        <f ca="1">IFERROR(__xludf.UNSUPPORTED("""COMPUTED_VALUE"""),162.88)</f>
        <v>162.88</v>
      </c>
      <c r="C836" s="2">
        <f t="shared" ca="1" si="3"/>
        <v>6.7371283762902743E-3</v>
      </c>
    </row>
    <row r="837" spans="1:3">
      <c r="A837" s="3">
        <f ca="1">IFERROR(__xludf.UNSUPPORTED("""COMPUTED_VALUE"""),44677.6666666666)</f>
        <v>44677.666666666599</v>
      </c>
      <c r="B837" s="1">
        <f ca="1">IFERROR(__xludf.UNSUPPORTED("""COMPUTED_VALUE"""),156.8)</f>
        <v>156.80000000000001</v>
      </c>
      <c r="C837" s="2">
        <f t="shared" ca="1" si="3"/>
        <v>-3.7328094302553932E-2</v>
      </c>
    </row>
    <row r="838" spans="1:3">
      <c r="A838" s="3">
        <f ca="1">IFERROR(__xludf.UNSUPPORTED("""COMPUTED_VALUE"""),44678.6666666666)</f>
        <v>44678.666666666599</v>
      </c>
      <c r="B838" s="1">
        <f ca="1">IFERROR(__xludf.UNSUPPORTED("""COMPUTED_VALUE"""),156.57)</f>
        <v>156.57</v>
      </c>
      <c r="C838" s="2">
        <f t="shared" ca="1" si="3"/>
        <v>-1.4668367346939934E-3</v>
      </c>
    </row>
    <row r="839" spans="1:3">
      <c r="A839" s="3">
        <f ca="1">IFERROR(__xludf.UNSUPPORTED("""COMPUTED_VALUE"""),44679.6666666666)</f>
        <v>44679.666666666599</v>
      </c>
      <c r="B839" s="1">
        <f ca="1">IFERROR(__xludf.UNSUPPORTED("""COMPUTED_VALUE"""),163.64)</f>
        <v>163.63999999999999</v>
      </c>
      <c r="C839" s="2">
        <f t="shared" ca="1" si="3"/>
        <v>4.5155521491984374E-2</v>
      </c>
    </row>
    <row r="840" spans="1:3">
      <c r="A840" s="3">
        <f ca="1">IFERROR(__xludf.UNSUPPORTED("""COMPUTED_VALUE"""),44680.6666666666)</f>
        <v>44680.666666666599</v>
      </c>
      <c r="B840" s="1">
        <f ca="1">IFERROR(__xludf.UNSUPPORTED("""COMPUTED_VALUE"""),157.65)</f>
        <v>157.65</v>
      </c>
      <c r="C840" s="2">
        <f t="shared" ca="1" si="3"/>
        <v>-3.6604742116841733E-2</v>
      </c>
    </row>
    <row r="841" spans="1:3">
      <c r="A841" s="3">
        <f ca="1">IFERROR(__xludf.UNSUPPORTED("""COMPUTED_VALUE"""),44683.6666666666)</f>
        <v>44683.666666666599</v>
      </c>
      <c r="B841" s="1">
        <f ca="1">IFERROR(__xludf.UNSUPPORTED("""COMPUTED_VALUE"""),157.96)</f>
        <v>157.96</v>
      </c>
      <c r="C841" s="2">
        <f t="shared" ca="1" si="3"/>
        <v>1.9663812242309057E-3</v>
      </c>
    </row>
    <row r="842" spans="1:3">
      <c r="A842" s="3">
        <f ca="1">IFERROR(__xludf.UNSUPPORTED("""COMPUTED_VALUE"""),44684.6666666666)</f>
        <v>44684.666666666599</v>
      </c>
      <c r="B842" s="1">
        <f ca="1">IFERROR(__xludf.UNSUPPORTED("""COMPUTED_VALUE"""),159.48)</f>
        <v>159.47999999999999</v>
      </c>
      <c r="C842" s="2">
        <f t="shared" ca="1" si="3"/>
        <v>9.6226892884273343E-3</v>
      </c>
    </row>
    <row r="843" spans="1:3">
      <c r="A843" s="3">
        <f ca="1">IFERROR(__xludf.UNSUPPORTED("""COMPUTED_VALUE"""),44685.6666666666)</f>
        <v>44685.666666666599</v>
      </c>
      <c r="B843" s="1">
        <f ca="1">IFERROR(__xludf.UNSUPPORTED("""COMPUTED_VALUE"""),166.02)</f>
        <v>166.02</v>
      </c>
      <c r="C843" s="2">
        <f t="shared" ca="1" si="3"/>
        <v>4.1008276899924888E-2</v>
      </c>
    </row>
    <row r="844" spans="1:3">
      <c r="A844" s="3">
        <f ca="1">IFERROR(__xludf.UNSUPPORTED("""COMPUTED_VALUE"""),44686.6666666666)</f>
        <v>44686.666666666599</v>
      </c>
      <c r="B844" s="1">
        <f ca="1">IFERROR(__xludf.UNSUPPORTED("""COMPUTED_VALUE"""),156.77)</f>
        <v>156.77000000000001</v>
      </c>
      <c r="C844" s="2">
        <f t="shared" ca="1" si="3"/>
        <v>-5.5716178773641725E-2</v>
      </c>
    </row>
    <row r="845" spans="1:3">
      <c r="A845" s="3">
        <f ca="1">IFERROR(__xludf.UNSUPPORTED("""COMPUTED_VALUE"""),44687.6666666666)</f>
        <v>44687.666666666599</v>
      </c>
      <c r="B845" s="1">
        <f ca="1">IFERROR(__xludf.UNSUPPORTED("""COMPUTED_VALUE"""),157.28)</f>
        <v>157.28</v>
      </c>
      <c r="C845" s="2">
        <f t="shared" ca="1" si="3"/>
        <v>3.2531734387956299E-3</v>
      </c>
    </row>
    <row r="846" spans="1:3">
      <c r="A846" s="3">
        <f ca="1">IFERROR(__xludf.UNSUPPORTED("""COMPUTED_VALUE"""),44690.6666666666)</f>
        <v>44690.666666666599</v>
      </c>
      <c r="B846" s="1">
        <f ca="1">IFERROR(__xludf.UNSUPPORTED("""COMPUTED_VALUE"""),152.06)</f>
        <v>152.06</v>
      </c>
      <c r="C846" s="2">
        <f t="shared" ca="1" si="3"/>
        <v>-3.3189216683621556E-2</v>
      </c>
    </row>
    <row r="847" spans="1:3">
      <c r="A847" s="3">
        <f ca="1">IFERROR(__xludf.UNSUPPORTED("""COMPUTED_VALUE"""),44691.6666666666)</f>
        <v>44691.666666666599</v>
      </c>
      <c r="B847" s="1">
        <f ca="1">IFERROR(__xludf.UNSUPPORTED("""COMPUTED_VALUE"""),154.51)</f>
        <v>154.51</v>
      </c>
      <c r="C847" s="2">
        <f t="shared" ca="1" si="3"/>
        <v>1.6112061028541291E-2</v>
      </c>
    </row>
    <row r="848" spans="1:3">
      <c r="A848" s="3">
        <f ca="1">IFERROR(__xludf.UNSUPPORTED("""COMPUTED_VALUE"""),44692.6666666666)</f>
        <v>44692.666666666599</v>
      </c>
      <c r="B848" s="1">
        <f ca="1">IFERROR(__xludf.UNSUPPORTED("""COMPUTED_VALUE"""),146.5)</f>
        <v>146.5</v>
      </c>
      <c r="C848" s="2">
        <f t="shared" ca="1" si="3"/>
        <v>-5.1841304769917752E-2</v>
      </c>
    </row>
    <row r="849" spans="1:3">
      <c r="A849" s="3">
        <f ca="1">IFERROR(__xludf.UNSUPPORTED("""COMPUTED_VALUE"""),44693.6666666666)</f>
        <v>44693.666666666599</v>
      </c>
      <c r="B849" s="1">
        <f ca="1">IFERROR(__xludf.UNSUPPORTED("""COMPUTED_VALUE"""),142.56)</f>
        <v>142.56</v>
      </c>
      <c r="C849" s="2">
        <f t="shared" ca="1" si="3"/>
        <v>-2.6894197952218413E-2</v>
      </c>
    </row>
    <row r="850" spans="1:3">
      <c r="A850" s="3">
        <f ca="1">IFERROR(__xludf.UNSUPPORTED("""COMPUTED_VALUE"""),44694.6666666666)</f>
        <v>44694.666666666599</v>
      </c>
      <c r="B850" s="1">
        <f ca="1">IFERROR(__xludf.UNSUPPORTED("""COMPUTED_VALUE"""),147.11)</f>
        <v>147.11000000000001</v>
      </c>
      <c r="C850" s="2">
        <f t="shared" ca="1" si="3"/>
        <v>3.1916386083052826E-2</v>
      </c>
    </row>
    <row r="851" spans="1:3">
      <c r="A851" s="3">
        <f ca="1">IFERROR(__xludf.UNSUPPORTED("""COMPUTED_VALUE"""),44697.6666666666)</f>
        <v>44697.666666666599</v>
      </c>
      <c r="B851" s="1">
        <f ca="1">IFERROR(__xludf.UNSUPPORTED("""COMPUTED_VALUE"""),145.54)</f>
        <v>145.54</v>
      </c>
      <c r="C851" s="2">
        <f t="shared" ca="1" si="3"/>
        <v>-1.0672286044456676E-2</v>
      </c>
    </row>
    <row r="852" spans="1:3">
      <c r="A852" s="3">
        <f ca="1">IFERROR(__xludf.UNSUPPORTED("""COMPUTED_VALUE"""),44698.6666666666)</f>
        <v>44698.666666666599</v>
      </c>
      <c r="B852" s="1">
        <f ca="1">IFERROR(__xludf.UNSUPPORTED("""COMPUTED_VALUE"""),149.24)</f>
        <v>149.24</v>
      </c>
      <c r="C852" s="2">
        <f t="shared" ca="1" si="3"/>
        <v>2.542256424350706E-2</v>
      </c>
    </row>
    <row r="853" spans="1:3">
      <c r="A853" s="3">
        <f ca="1">IFERROR(__xludf.UNSUPPORTED("""COMPUTED_VALUE"""),44699.6666666666)</f>
        <v>44699.666666666599</v>
      </c>
      <c r="B853" s="1">
        <f ca="1">IFERROR(__xludf.UNSUPPORTED("""COMPUTED_VALUE"""),140.82)</f>
        <v>140.82</v>
      </c>
      <c r="C853" s="2">
        <f t="shared" ca="1" si="3"/>
        <v>-5.6419190565532129E-2</v>
      </c>
    </row>
    <row r="854" spans="1:3">
      <c r="A854" s="3">
        <f ca="1">IFERROR(__xludf.UNSUPPORTED("""COMPUTED_VALUE"""),44700.6666666666)</f>
        <v>44700.666666666599</v>
      </c>
      <c r="B854" s="1">
        <f ca="1">IFERROR(__xludf.UNSUPPORTED("""COMPUTED_VALUE"""),137.35)</f>
        <v>137.35</v>
      </c>
      <c r="C854" s="2">
        <f t="shared" ca="1" si="3"/>
        <v>-2.4641386166737674E-2</v>
      </c>
    </row>
    <row r="855" spans="1:3">
      <c r="A855" s="3">
        <f ca="1">IFERROR(__xludf.UNSUPPORTED("""COMPUTED_VALUE"""),44701.6666666666)</f>
        <v>44701.666666666599</v>
      </c>
      <c r="B855" s="1">
        <f ca="1">IFERROR(__xludf.UNSUPPORTED("""COMPUTED_VALUE"""),137.59)</f>
        <v>137.59</v>
      </c>
      <c r="C855" s="2">
        <f t="shared" ca="1" si="3"/>
        <v>1.7473607571897277E-3</v>
      </c>
    </row>
    <row r="856" spans="1:3">
      <c r="A856" s="3">
        <f ca="1">IFERROR(__xludf.UNSUPPORTED("""COMPUTED_VALUE"""),44704.6666666666)</f>
        <v>44704.666666666599</v>
      </c>
      <c r="B856" s="1">
        <f ca="1">IFERROR(__xludf.UNSUPPORTED("""COMPUTED_VALUE"""),143.11)</f>
        <v>143.11000000000001</v>
      </c>
      <c r="C856" s="2">
        <f t="shared" ca="1" si="3"/>
        <v>4.0119194708917873E-2</v>
      </c>
    </row>
    <row r="857" spans="1:3">
      <c r="A857" s="3">
        <f ca="1">IFERROR(__xludf.UNSUPPORTED("""COMPUTED_VALUE"""),44705.6666666666)</f>
        <v>44705.666666666599</v>
      </c>
      <c r="B857" s="1">
        <f ca="1">IFERROR(__xludf.UNSUPPORTED("""COMPUTED_VALUE"""),140.36)</f>
        <v>140.36000000000001</v>
      </c>
      <c r="C857" s="2">
        <f t="shared" ca="1" si="3"/>
        <v>-1.921598770176787E-2</v>
      </c>
    </row>
    <row r="858" spans="1:3">
      <c r="A858" s="3">
        <f ca="1">IFERROR(__xludf.UNSUPPORTED("""COMPUTED_VALUE"""),44706.6666666666)</f>
        <v>44706.666666666599</v>
      </c>
      <c r="B858" s="1">
        <f ca="1">IFERROR(__xludf.UNSUPPORTED("""COMPUTED_VALUE"""),140.52)</f>
        <v>140.52000000000001</v>
      </c>
      <c r="C858" s="2">
        <f t="shared" ca="1" si="3"/>
        <v>1.1399259048161625E-3</v>
      </c>
    </row>
    <row r="859" spans="1:3">
      <c r="A859" s="3">
        <f ca="1">IFERROR(__xludf.UNSUPPORTED("""COMPUTED_VALUE"""),44707.6666666666)</f>
        <v>44707.666666666599</v>
      </c>
      <c r="B859" s="1">
        <f ca="1">IFERROR(__xludf.UNSUPPORTED("""COMPUTED_VALUE"""),143.78)</f>
        <v>143.78</v>
      </c>
      <c r="C859" s="2">
        <f t="shared" ca="1" si="3"/>
        <v>2.3199544548818608E-2</v>
      </c>
    </row>
    <row r="860" spans="1:3">
      <c r="A860" s="3">
        <f ca="1">IFERROR(__xludf.UNSUPPORTED("""COMPUTED_VALUE"""),44708.6666666666)</f>
        <v>44708.666666666599</v>
      </c>
      <c r="B860" s="1">
        <f ca="1">IFERROR(__xludf.UNSUPPORTED("""COMPUTED_VALUE"""),149.64)</f>
        <v>149.63999999999999</v>
      </c>
      <c r="C860" s="2">
        <f t="shared" ca="1" si="3"/>
        <v>4.0756711642787491E-2</v>
      </c>
    </row>
    <row r="861" spans="1:3">
      <c r="A861" s="3">
        <f ca="1">IFERROR(__xludf.UNSUPPORTED("""COMPUTED_VALUE"""),44712.6666666666)</f>
        <v>44712.666666666599</v>
      </c>
      <c r="B861" s="1">
        <f ca="1">IFERROR(__xludf.UNSUPPORTED("""COMPUTED_VALUE"""),148.84)</f>
        <v>148.84</v>
      </c>
      <c r="C861" s="2">
        <f t="shared" ca="1" si="3"/>
        <v>-5.3461641272385925E-3</v>
      </c>
    </row>
    <row r="862" spans="1:3">
      <c r="A862" s="3">
        <f ca="1">IFERROR(__xludf.UNSUPPORTED("""COMPUTED_VALUE"""),44713.6666666666)</f>
        <v>44713.666666666599</v>
      </c>
      <c r="B862" s="1">
        <f ca="1">IFERROR(__xludf.UNSUPPORTED("""COMPUTED_VALUE"""),148.71)</f>
        <v>148.71</v>
      </c>
      <c r="C862" s="2">
        <f t="shared" ca="1" si="3"/>
        <v>-8.734211233539065E-4</v>
      </c>
    </row>
    <row r="863" spans="1:3">
      <c r="A863" s="3">
        <f ca="1">IFERROR(__xludf.UNSUPPORTED("""COMPUTED_VALUE"""),44714.6666666666)</f>
        <v>44714.666666666599</v>
      </c>
      <c r="B863" s="1">
        <f ca="1">IFERROR(__xludf.UNSUPPORTED("""COMPUTED_VALUE"""),151.21)</f>
        <v>151.21</v>
      </c>
      <c r="C863" s="2">
        <f t="shared" ca="1" si="3"/>
        <v>1.6811243359558872E-2</v>
      </c>
    </row>
    <row r="864" spans="1:3">
      <c r="A864" s="3">
        <f ca="1">IFERROR(__xludf.UNSUPPORTED("""COMPUTED_VALUE"""),44715.6666666666)</f>
        <v>44715.666666666599</v>
      </c>
      <c r="B864" s="1">
        <f ca="1">IFERROR(__xludf.UNSUPPORTED("""COMPUTED_VALUE"""),145.38)</f>
        <v>145.38</v>
      </c>
      <c r="C864" s="2">
        <f t="shared" ca="1" si="3"/>
        <v>-3.8555651081277773E-2</v>
      </c>
    </row>
    <row r="865" spans="1:3">
      <c r="A865" s="3">
        <f ca="1">IFERROR(__xludf.UNSUPPORTED("""COMPUTED_VALUE"""),44718.6666666666)</f>
        <v>44718.666666666599</v>
      </c>
      <c r="B865" s="1">
        <f ca="1">IFERROR(__xludf.UNSUPPORTED("""COMPUTED_VALUE"""),146.14)</f>
        <v>146.13999999999999</v>
      </c>
      <c r="C865" s="2">
        <f t="shared" ca="1" si="3"/>
        <v>5.2276791855825483E-3</v>
      </c>
    </row>
    <row r="866" spans="1:3">
      <c r="A866" s="3">
        <f ca="1">IFERROR(__xludf.UNSUPPORTED("""COMPUTED_VALUE"""),44719.6666666666)</f>
        <v>44719.666666666599</v>
      </c>
      <c r="B866" s="1">
        <f ca="1">IFERROR(__xludf.UNSUPPORTED("""COMPUTED_VALUE"""),148.71)</f>
        <v>148.71</v>
      </c>
      <c r="C866" s="2">
        <f t="shared" ca="1" si="3"/>
        <v>1.7585876556726575E-2</v>
      </c>
    </row>
    <row r="867" spans="1:3">
      <c r="A867" s="3">
        <f ca="1">IFERROR(__xludf.UNSUPPORTED("""COMPUTED_VALUE"""),44720.6666666666)</f>
        <v>44720.666666666599</v>
      </c>
      <c r="B867" s="1">
        <f ca="1">IFERROR(__xludf.UNSUPPORTED("""COMPUTED_VALUE"""),147.96)</f>
        <v>147.96</v>
      </c>
      <c r="C867" s="2">
        <f t="shared" ca="1" si="3"/>
        <v>-5.0433730078676617E-3</v>
      </c>
    </row>
    <row r="868" spans="1:3">
      <c r="A868" s="3">
        <f ca="1">IFERROR(__xludf.UNSUPPORTED("""COMPUTED_VALUE"""),44721.6666666666)</f>
        <v>44721.666666666599</v>
      </c>
      <c r="B868" s="1">
        <f ca="1">IFERROR(__xludf.UNSUPPORTED("""COMPUTED_VALUE"""),142.64)</f>
        <v>142.63999999999999</v>
      </c>
      <c r="C868" s="2">
        <f t="shared" ca="1" si="3"/>
        <v>-3.5955663692890112E-2</v>
      </c>
    </row>
    <row r="869" spans="1:3">
      <c r="A869" s="3">
        <f ca="1">IFERROR(__xludf.UNSUPPORTED("""COMPUTED_VALUE"""),44722.6666666666)</f>
        <v>44722.666666666599</v>
      </c>
      <c r="B869" s="1">
        <f ca="1">IFERROR(__xludf.UNSUPPORTED("""COMPUTED_VALUE"""),137.13)</f>
        <v>137.13</v>
      </c>
      <c r="C869" s="2">
        <f t="shared" ca="1" si="3"/>
        <v>-3.862871564778457E-2</v>
      </c>
    </row>
    <row r="870" spans="1:3">
      <c r="A870" s="3">
        <f ca="1">IFERROR(__xludf.UNSUPPORTED("""COMPUTED_VALUE"""),44725.6666666666)</f>
        <v>44725.666666666599</v>
      </c>
      <c r="B870" s="1">
        <f ca="1">IFERROR(__xludf.UNSUPPORTED("""COMPUTED_VALUE"""),131.88)</f>
        <v>131.88</v>
      </c>
      <c r="C870" s="2">
        <f t="shared" ca="1" si="3"/>
        <v>-3.8284839203675348E-2</v>
      </c>
    </row>
    <row r="871" spans="1:3">
      <c r="A871" s="3">
        <f ca="1">IFERROR(__xludf.UNSUPPORTED("""COMPUTED_VALUE"""),44726.6666666666)</f>
        <v>44726.666666666599</v>
      </c>
      <c r="B871" s="1">
        <f ca="1">IFERROR(__xludf.UNSUPPORTED("""COMPUTED_VALUE"""),132.76)</f>
        <v>132.76</v>
      </c>
      <c r="C871" s="2">
        <f t="shared" ca="1" si="3"/>
        <v>6.6727327873824351E-3</v>
      </c>
    </row>
    <row r="872" spans="1:3">
      <c r="A872" s="3">
        <f ca="1">IFERROR(__xludf.UNSUPPORTED("""COMPUTED_VALUE"""),44727.6666666666)</f>
        <v>44727.666666666599</v>
      </c>
      <c r="B872" s="1">
        <f ca="1">IFERROR(__xludf.UNSUPPORTED("""COMPUTED_VALUE"""),135.43)</f>
        <v>135.43</v>
      </c>
      <c r="C872" s="2">
        <f t="shared" ca="1" si="3"/>
        <v>2.0111479361253511E-2</v>
      </c>
    </row>
    <row r="873" spans="1:3">
      <c r="A873" s="3">
        <f ca="1">IFERROR(__xludf.UNSUPPORTED("""COMPUTED_VALUE"""),44728.6666666666)</f>
        <v>44728.666666666599</v>
      </c>
      <c r="B873" s="1">
        <f ca="1">IFERROR(__xludf.UNSUPPORTED("""COMPUTED_VALUE"""),130.06)</f>
        <v>130.06</v>
      </c>
      <c r="C873" s="2">
        <f t="shared" ca="1" si="3"/>
        <v>-3.9651480469615329E-2</v>
      </c>
    </row>
    <row r="874" spans="1:3">
      <c r="A874" s="3">
        <f ca="1">IFERROR(__xludf.UNSUPPORTED("""COMPUTED_VALUE"""),44729.6666666666)</f>
        <v>44729.666666666599</v>
      </c>
      <c r="B874" s="1">
        <f ca="1">IFERROR(__xludf.UNSUPPORTED("""COMPUTED_VALUE"""),131.56)</f>
        <v>131.56</v>
      </c>
      <c r="C874" s="2">
        <f t="shared" ca="1" si="3"/>
        <v>1.1533138551437798E-2</v>
      </c>
    </row>
    <row r="875" spans="1:3">
      <c r="A875" s="3">
        <f ca="1">IFERROR(__xludf.UNSUPPORTED("""COMPUTED_VALUE"""),44733.6666666666)</f>
        <v>44733.666666666599</v>
      </c>
      <c r="B875" s="1">
        <f ca="1">IFERROR(__xludf.UNSUPPORTED("""COMPUTED_VALUE"""),135.87)</f>
        <v>135.87</v>
      </c>
      <c r="C875" s="2">
        <f t="shared" ca="1" si="3"/>
        <v>3.2760717543326254E-2</v>
      </c>
    </row>
    <row r="876" spans="1:3">
      <c r="A876" s="3">
        <f ca="1">IFERROR(__xludf.UNSUPPORTED("""COMPUTED_VALUE"""),44734.6666666666)</f>
        <v>44734.666666666599</v>
      </c>
      <c r="B876" s="1">
        <f ca="1">IFERROR(__xludf.UNSUPPORTED("""COMPUTED_VALUE"""),135.35)</f>
        <v>135.35</v>
      </c>
      <c r="C876" s="2">
        <f t="shared" ca="1" si="3"/>
        <v>-3.8271877529992655E-3</v>
      </c>
    </row>
    <row r="877" spans="1:3">
      <c r="A877" s="3">
        <f ca="1">IFERROR(__xludf.UNSUPPORTED("""COMPUTED_VALUE"""),44735.6666666666)</f>
        <v>44735.666666666599</v>
      </c>
      <c r="B877" s="1">
        <f ca="1">IFERROR(__xludf.UNSUPPORTED("""COMPUTED_VALUE"""),138.27)</f>
        <v>138.27000000000001</v>
      </c>
      <c r="C877" s="2">
        <f t="shared" ca="1" si="3"/>
        <v>2.1573697820465577E-2</v>
      </c>
    </row>
    <row r="878" spans="1:3">
      <c r="A878" s="3">
        <f ca="1">IFERROR(__xludf.UNSUPPORTED("""COMPUTED_VALUE"""),44736.6666666666)</f>
        <v>44736.666666666599</v>
      </c>
      <c r="B878" s="1">
        <f ca="1">IFERROR(__xludf.UNSUPPORTED("""COMPUTED_VALUE"""),141.66)</f>
        <v>141.66</v>
      </c>
      <c r="C878" s="2">
        <f t="shared" ca="1" si="3"/>
        <v>2.4517248860924178E-2</v>
      </c>
    </row>
    <row r="879" spans="1:3">
      <c r="A879" s="3">
        <f ca="1">IFERROR(__xludf.UNSUPPORTED("""COMPUTED_VALUE"""),44739.6666666666)</f>
        <v>44739.666666666599</v>
      </c>
      <c r="B879" s="1">
        <f ca="1">IFERROR(__xludf.UNSUPPORTED("""COMPUTED_VALUE"""),141.66)</f>
        <v>141.66</v>
      </c>
      <c r="C879" s="2">
        <f t="shared" ca="1" si="3"/>
        <v>0</v>
      </c>
    </row>
    <row r="880" spans="1:3">
      <c r="A880" s="3">
        <f ca="1">IFERROR(__xludf.UNSUPPORTED("""COMPUTED_VALUE"""),44740.6666666666)</f>
        <v>44740.666666666599</v>
      </c>
      <c r="B880" s="1">
        <f ca="1">IFERROR(__xludf.UNSUPPORTED("""COMPUTED_VALUE"""),137.44)</f>
        <v>137.44</v>
      </c>
      <c r="C880" s="2">
        <f t="shared" ca="1" si="3"/>
        <v>-2.978963715939573E-2</v>
      </c>
    </row>
    <row r="881" spans="1:3">
      <c r="A881" s="3">
        <f ca="1">IFERROR(__xludf.UNSUPPORTED("""COMPUTED_VALUE"""),44741.6666666666)</f>
        <v>44741.666666666599</v>
      </c>
      <c r="B881" s="1">
        <f ca="1">IFERROR(__xludf.UNSUPPORTED("""COMPUTED_VALUE"""),139.23)</f>
        <v>139.22999999999999</v>
      </c>
      <c r="C881" s="2">
        <f t="shared" ca="1" si="3"/>
        <v>1.302386495925489E-2</v>
      </c>
    </row>
    <row r="882" spans="1:3">
      <c r="A882" s="3">
        <f ca="1">IFERROR(__xludf.UNSUPPORTED("""COMPUTED_VALUE"""),44742.6666666666)</f>
        <v>44742.666666666599</v>
      </c>
      <c r="B882" s="1">
        <f ca="1">IFERROR(__xludf.UNSUPPORTED("""COMPUTED_VALUE"""),136.72)</f>
        <v>136.72</v>
      </c>
      <c r="C882" s="2">
        <f t="shared" ca="1" si="3"/>
        <v>-1.8027723910076787E-2</v>
      </c>
    </row>
    <row r="883" spans="1:3">
      <c r="A883" s="3">
        <f ca="1">IFERROR(__xludf.UNSUPPORTED("""COMPUTED_VALUE"""),44743.6666666666)</f>
        <v>44743.666666666599</v>
      </c>
      <c r="B883" s="1">
        <f ca="1">IFERROR(__xludf.UNSUPPORTED("""COMPUTED_VALUE"""),138.93)</f>
        <v>138.93</v>
      </c>
      <c r="C883" s="2">
        <f t="shared" ca="1" si="3"/>
        <v>1.6164423639555354E-2</v>
      </c>
    </row>
    <row r="884" spans="1:3">
      <c r="A884" s="3">
        <f ca="1">IFERROR(__xludf.UNSUPPORTED("""COMPUTED_VALUE"""),44747.6666666666)</f>
        <v>44747.666666666599</v>
      </c>
      <c r="B884" s="1">
        <f ca="1">IFERROR(__xludf.UNSUPPORTED("""COMPUTED_VALUE"""),141.56)</f>
        <v>141.56</v>
      </c>
      <c r="C884" s="2">
        <f t="shared" ca="1" si="3"/>
        <v>1.8930396602605596E-2</v>
      </c>
    </row>
    <row r="885" spans="1:3">
      <c r="A885" s="3">
        <f ca="1">IFERROR(__xludf.UNSUPPORTED("""COMPUTED_VALUE"""),44748.6666666666)</f>
        <v>44748.666666666599</v>
      </c>
      <c r="B885" s="1">
        <f ca="1">IFERROR(__xludf.UNSUPPORTED("""COMPUTED_VALUE"""),142.92)</f>
        <v>142.91999999999999</v>
      </c>
      <c r="C885" s="2">
        <f t="shared" ca="1" si="3"/>
        <v>9.6072336818309213E-3</v>
      </c>
    </row>
    <row r="886" spans="1:3">
      <c r="A886" s="3">
        <f ca="1">IFERROR(__xludf.UNSUPPORTED("""COMPUTED_VALUE"""),44749.6666666666)</f>
        <v>44749.666666666599</v>
      </c>
      <c r="B886" s="1">
        <f ca="1">IFERROR(__xludf.UNSUPPORTED("""COMPUTED_VALUE"""),146.35)</f>
        <v>146.35</v>
      </c>
      <c r="C886" s="2">
        <f t="shared" ca="1" si="3"/>
        <v>2.3999440246291682E-2</v>
      </c>
    </row>
    <row r="887" spans="1:3">
      <c r="A887" s="3">
        <f ca="1">IFERROR(__xludf.UNSUPPORTED("""COMPUTED_VALUE"""),44750.6666666666)</f>
        <v>44750.666666666599</v>
      </c>
      <c r="B887" s="1">
        <f ca="1">IFERROR(__xludf.UNSUPPORTED("""COMPUTED_VALUE"""),147.04)</f>
        <v>147.04</v>
      </c>
      <c r="C887" s="2">
        <f t="shared" ca="1" si="3"/>
        <v>4.7147249743764797E-3</v>
      </c>
    </row>
    <row r="888" spans="1:3">
      <c r="A888" s="3">
        <f ca="1">IFERROR(__xludf.UNSUPPORTED("""COMPUTED_VALUE"""),44753.6666666666)</f>
        <v>44753.666666666599</v>
      </c>
      <c r="B888" s="1">
        <f ca="1">IFERROR(__xludf.UNSUPPORTED("""COMPUTED_VALUE"""),144.87)</f>
        <v>144.87</v>
      </c>
      <c r="C888" s="2">
        <f t="shared" ca="1" si="3"/>
        <v>-1.4757889009793169E-2</v>
      </c>
    </row>
    <row r="889" spans="1:3">
      <c r="A889" s="3">
        <f ca="1">IFERROR(__xludf.UNSUPPORTED("""COMPUTED_VALUE"""),44754.6666666666)</f>
        <v>44754.666666666599</v>
      </c>
      <c r="B889" s="1">
        <f ca="1">IFERROR(__xludf.UNSUPPORTED("""COMPUTED_VALUE"""),145.86)</f>
        <v>145.86000000000001</v>
      </c>
      <c r="C889" s="2">
        <f t="shared" ca="1" si="3"/>
        <v>6.8337129840547323E-3</v>
      </c>
    </row>
    <row r="890" spans="1:3">
      <c r="A890" s="3">
        <f ca="1">IFERROR(__xludf.UNSUPPORTED("""COMPUTED_VALUE"""),44755.6666666666)</f>
        <v>44755.666666666599</v>
      </c>
      <c r="B890" s="1">
        <f ca="1">IFERROR(__xludf.UNSUPPORTED("""COMPUTED_VALUE"""),145.49)</f>
        <v>145.49</v>
      </c>
      <c r="C890" s="2">
        <f t="shared" ca="1" si="3"/>
        <v>-2.5366790072672736E-3</v>
      </c>
    </row>
    <row r="891" spans="1:3">
      <c r="A891" s="3">
        <f ca="1">IFERROR(__xludf.UNSUPPORTED("""COMPUTED_VALUE"""),44756.6666666666)</f>
        <v>44756.666666666599</v>
      </c>
      <c r="B891" s="1">
        <f ca="1">IFERROR(__xludf.UNSUPPORTED("""COMPUTED_VALUE"""),148.47)</f>
        <v>148.47</v>
      </c>
      <c r="C891" s="2">
        <f t="shared" ca="1" si="3"/>
        <v>2.0482507388823904E-2</v>
      </c>
    </row>
    <row r="892" spans="1:3">
      <c r="A892" s="3">
        <f ca="1">IFERROR(__xludf.UNSUPPORTED("""COMPUTED_VALUE"""),44757.6666666666)</f>
        <v>44757.666666666599</v>
      </c>
      <c r="B892" s="1">
        <f ca="1">IFERROR(__xludf.UNSUPPORTED("""COMPUTED_VALUE"""),150.17)</f>
        <v>150.16999999999999</v>
      </c>
      <c r="C892" s="2">
        <f t="shared" ca="1" si="3"/>
        <v>1.1450124604297087E-2</v>
      </c>
    </row>
    <row r="893" spans="1:3">
      <c r="A893" s="3">
        <f ca="1">IFERROR(__xludf.UNSUPPORTED("""COMPUTED_VALUE"""),44760.6666666666)</f>
        <v>44760.666666666599</v>
      </c>
      <c r="B893" s="1">
        <f ca="1">IFERROR(__xludf.UNSUPPORTED("""COMPUTED_VALUE"""),147.07)</f>
        <v>147.07</v>
      </c>
      <c r="C893" s="2">
        <f t="shared" ca="1" si="3"/>
        <v>-2.0643270959579109E-2</v>
      </c>
    </row>
    <row r="894" spans="1:3">
      <c r="A894" s="3">
        <f ca="1">IFERROR(__xludf.UNSUPPORTED("""COMPUTED_VALUE"""),44761.6666666666)</f>
        <v>44761.666666666599</v>
      </c>
      <c r="B894" s="1">
        <f ca="1">IFERROR(__xludf.UNSUPPORTED("""COMPUTED_VALUE"""),151)</f>
        <v>151</v>
      </c>
      <c r="C894" s="2">
        <f t="shared" ca="1" si="3"/>
        <v>2.6721969130346142E-2</v>
      </c>
    </row>
    <row r="895" spans="1:3">
      <c r="A895" s="3">
        <f ca="1">IFERROR(__xludf.UNSUPPORTED("""COMPUTED_VALUE"""),44762.6666666666)</f>
        <v>44762.666666666599</v>
      </c>
      <c r="B895" s="1">
        <f ca="1">IFERROR(__xludf.UNSUPPORTED("""COMPUTED_VALUE"""),153.04)</f>
        <v>153.04</v>
      </c>
      <c r="C895" s="2">
        <f t="shared" ca="1" si="3"/>
        <v>1.3509933774834384E-2</v>
      </c>
    </row>
    <row r="896" spans="1:3">
      <c r="A896" s="3">
        <f ca="1">IFERROR(__xludf.UNSUPPORTED("""COMPUTED_VALUE"""),44763.6666666666)</f>
        <v>44763.666666666599</v>
      </c>
      <c r="B896" s="1">
        <f ca="1">IFERROR(__xludf.UNSUPPORTED("""COMPUTED_VALUE"""),155.35)</f>
        <v>155.35</v>
      </c>
      <c r="C896" s="2">
        <f t="shared" ca="1" si="3"/>
        <v>1.5094093047569278E-2</v>
      </c>
    </row>
    <row r="897" spans="1:3">
      <c r="A897" s="3">
        <f ca="1">IFERROR(__xludf.UNSUPPORTED("""COMPUTED_VALUE"""),44764.6666666666)</f>
        <v>44764.666666666599</v>
      </c>
      <c r="B897" s="1">
        <f ca="1">IFERROR(__xludf.UNSUPPORTED("""COMPUTED_VALUE"""),154.09)</f>
        <v>154.09</v>
      </c>
      <c r="C897" s="2">
        <f t="shared" ca="1" si="3"/>
        <v>-8.1107177341486376E-3</v>
      </c>
    </row>
    <row r="898" spans="1:3">
      <c r="A898" s="3">
        <f ca="1">IFERROR(__xludf.UNSUPPORTED("""COMPUTED_VALUE"""),44767.6666666666)</f>
        <v>44767.666666666599</v>
      </c>
      <c r="B898" s="1">
        <f ca="1">IFERROR(__xludf.UNSUPPORTED("""COMPUTED_VALUE"""),152.95)</f>
        <v>152.94999999999999</v>
      </c>
      <c r="C898" s="2">
        <f t="shared" ca="1" si="3"/>
        <v>-7.3982737361283323E-3</v>
      </c>
    </row>
    <row r="899" spans="1:3">
      <c r="A899" s="3">
        <f ca="1">IFERROR(__xludf.UNSUPPORTED("""COMPUTED_VALUE"""),44768.6666666666)</f>
        <v>44768.666666666599</v>
      </c>
      <c r="B899" s="1">
        <f ca="1">IFERROR(__xludf.UNSUPPORTED("""COMPUTED_VALUE"""),151.6)</f>
        <v>151.6</v>
      </c>
      <c r="C899" s="2">
        <f t="shared" ca="1" si="3"/>
        <v>-8.8264138607387667E-3</v>
      </c>
    </row>
    <row r="900" spans="1:3">
      <c r="A900" s="3">
        <f ca="1">IFERROR(__xludf.UNSUPPORTED("""COMPUTED_VALUE"""),44769.6666666666)</f>
        <v>44769.666666666599</v>
      </c>
      <c r="B900" s="1">
        <f ca="1">IFERROR(__xludf.UNSUPPORTED("""COMPUTED_VALUE"""),156.79)</f>
        <v>156.79</v>
      </c>
      <c r="C900" s="2">
        <f t="shared" ca="1" si="3"/>
        <v>3.4234828496042202E-2</v>
      </c>
    </row>
    <row r="901" spans="1:3">
      <c r="A901" s="3">
        <f ca="1">IFERROR(__xludf.UNSUPPORTED("""COMPUTED_VALUE"""),44770.6666666666)</f>
        <v>44770.666666666599</v>
      </c>
      <c r="B901" s="1">
        <f ca="1">IFERROR(__xludf.UNSUPPORTED("""COMPUTED_VALUE"""),157.35)</f>
        <v>157.35</v>
      </c>
      <c r="C901" s="2">
        <f t="shared" ca="1" si="3"/>
        <v>3.5716563556349402E-3</v>
      </c>
    </row>
    <row r="902" spans="1:3">
      <c r="A902" s="3">
        <f ca="1">IFERROR(__xludf.UNSUPPORTED("""COMPUTED_VALUE"""),44771.6666666666)</f>
        <v>44771.666666666599</v>
      </c>
      <c r="B902" s="1">
        <f ca="1">IFERROR(__xludf.UNSUPPORTED("""COMPUTED_VALUE"""),162.51)</f>
        <v>162.51</v>
      </c>
      <c r="C902" s="2">
        <f t="shared" ca="1" si="3"/>
        <v>3.2793136320305033E-2</v>
      </c>
    </row>
    <row r="903" spans="1:3">
      <c r="A903" s="3">
        <f ca="1">IFERROR(__xludf.UNSUPPORTED("""COMPUTED_VALUE"""),44774.6666666666)</f>
        <v>44774.666666666599</v>
      </c>
      <c r="B903" s="1">
        <f ca="1">IFERROR(__xludf.UNSUPPORTED("""COMPUTED_VALUE"""),161.51)</f>
        <v>161.51</v>
      </c>
      <c r="C903" s="2">
        <f t="shared" ca="1" si="3"/>
        <v>-6.1534674789243743E-3</v>
      </c>
    </row>
    <row r="904" spans="1:3">
      <c r="A904" s="3">
        <f ca="1">IFERROR(__xludf.UNSUPPORTED("""COMPUTED_VALUE"""),44775.6666666666)</f>
        <v>44775.666666666599</v>
      </c>
      <c r="B904" s="1">
        <f ca="1">IFERROR(__xludf.UNSUPPORTED("""COMPUTED_VALUE"""),160.01)</f>
        <v>160.01</v>
      </c>
      <c r="C904" s="2">
        <f t="shared" ca="1" si="3"/>
        <v>-9.2873506284440605E-3</v>
      </c>
    </row>
    <row r="905" spans="1:3">
      <c r="A905" s="3">
        <f ca="1">IFERROR(__xludf.UNSUPPORTED("""COMPUTED_VALUE"""),44776.6666666666)</f>
        <v>44776.666666666599</v>
      </c>
      <c r="B905" s="1">
        <f ca="1">IFERROR(__xludf.UNSUPPORTED("""COMPUTED_VALUE"""),166.13)</f>
        <v>166.13</v>
      </c>
      <c r="C905" s="2">
        <f t="shared" ca="1" si="3"/>
        <v>3.8247609524404758E-2</v>
      </c>
    </row>
    <row r="906" spans="1:3">
      <c r="A906" s="3">
        <f ca="1">IFERROR(__xludf.UNSUPPORTED("""COMPUTED_VALUE"""),44777.6666666666)</f>
        <v>44777.666666666599</v>
      </c>
      <c r="B906" s="1">
        <f ca="1">IFERROR(__xludf.UNSUPPORTED("""COMPUTED_VALUE"""),165.81)</f>
        <v>165.81</v>
      </c>
      <c r="C906" s="2">
        <f t="shared" ca="1" si="3"/>
        <v>-1.9262023716366291E-3</v>
      </c>
    </row>
    <row r="907" spans="1:3">
      <c r="A907" s="3">
        <f ca="1">IFERROR(__xludf.UNSUPPORTED("""COMPUTED_VALUE"""),44778.6666666666)</f>
        <v>44778.666666666599</v>
      </c>
      <c r="B907" s="1">
        <f ca="1">IFERROR(__xludf.UNSUPPORTED("""COMPUTED_VALUE"""),165.35)</f>
        <v>165.35</v>
      </c>
      <c r="C907" s="2">
        <f t="shared" ca="1" si="3"/>
        <v>-2.7742596948314817E-3</v>
      </c>
    </row>
    <row r="908" spans="1:3">
      <c r="A908" s="3">
        <f ca="1">IFERROR(__xludf.UNSUPPORTED("""COMPUTED_VALUE"""),44781.6666666666)</f>
        <v>44781.666666666599</v>
      </c>
      <c r="B908" s="1">
        <f ca="1">IFERROR(__xludf.UNSUPPORTED("""COMPUTED_VALUE"""),164.87)</f>
        <v>164.87</v>
      </c>
      <c r="C908" s="2">
        <f t="shared" ca="1" si="3"/>
        <v>-2.9029331720592066E-3</v>
      </c>
    </row>
    <row r="909" spans="1:3">
      <c r="A909" s="3">
        <f ca="1">IFERROR(__xludf.UNSUPPORTED("""COMPUTED_VALUE"""),44782.6666666666)</f>
        <v>44782.666666666599</v>
      </c>
      <c r="B909" s="1">
        <f ca="1">IFERROR(__xludf.UNSUPPORTED("""COMPUTED_VALUE"""),164.92)</f>
        <v>164.92</v>
      </c>
      <c r="C909" s="2">
        <f t="shared" ca="1" si="3"/>
        <v>3.0326924243332895E-4</v>
      </c>
    </row>
    <row r="910" spans="1:3">
      <c r="A910" s="3">
        <f ca="1">IFERROR(__xludf.UNSUPPORTED("""COMPUTED_VALUE"""),44783.6666666666)</f>
        <v>44783.666666666599</v>
      </c>
      <c r="B910" s="1">
        <f ca="1">IFERROR(__xludf.UNSUPPORTED("""COMPUTED_VALUE"""),169.24)</f>
        <v>169.24</v>
      </c>
      <c r="C910" s="2">
        <f t="shared" ca="1" si="3"/>
        <v>2.6194518554450777E-2</v>
      </c>
    </row>
    <row r="911" spans="1:3">
      <c r="A911" s="3">
        <f ca="1">IFERROR(__xludf.UNSUPPORTED("""COMPUTED_VALUE"""),44784.6666666666)</f>
        <v>44784.666666666599</v>
      </c>
      <c r="B911" s="1">
        <f ca="1">IFERROR(__xludf.UNSUPPORTED("""COMPUTED_VALUE"""),168.49)</f>
        <v>168.49</v>
      </c>
      <c r="C911" s="2">
        <f t="shared" ca="1" si="3"/>
        <v>-4.4315764594658469E-3</v>
      </c>
    </row>
    <row r="912" spans="1:3">
      <c r="A912" s="3">
        <f ca="1">IFERROR(__xludf.UNSUPPORTED("""COMPUTED_VALUE"""),44785.6666666666)</f>
        <v>44785.666666666599</v>
      </c>
      <c r="B912" s="1">
        <f ca="1">IFERROR(__xludf.UNSUPPORTED("""COMPUTED_VALUE"""),172.1)</f>
        <v>172.1</v>
      </c>
      <c r="C912" s="2">
        <f t="shared" ca="1" si="3"/>
        <v>2.1425603893406048E-2</v>
      </c>
    </row>
    <row r="913" spans="1:3">
      <c r="A913" s="3">
        <f ca="1">IFERROR(__xludf.UNSUPPORTED("""COMPUTED_VALUE"""),44788.6666666666)</f>
        <v>44788.666666666599</v>
      </c>
      <c r="B913" s="1">
        <f ca="1">IFERROR(__xludf.UNSUPPORTED("""COMPUTED_VALUE"""),173.19)</f>
        <v>173.19</v>
      </c>
      <c r="C913" s="2">
        <f t="shared" ca="1" si="3"/>
        <v>6.333527019174918E-3</v>
      </c>
    </row>
    <row r="914" spans="1:3">
      <c r="A914" s="3">
        <f ca="1">IFERROR(__xludf.UNSUPPORTED("""COMPUTED_VALUE"""),44789.6666666666)</f>
        <v>44789.666666666599</v>
      </c>
      <c r="B914" s="1">
        <f ca="1">IFERROR(__xludf.UNSUPPORTED("""COMPUTED_VALUE"""),173.03)</f>
        <v>173.03</v>
      </c>
      <c r="C914" s="2">
        <f t="shared" ca="1" si="3"/>
        <v>-9.2384086841039664E-4</v>
      </c>
    </row>
    <row r="915" spans="1:3">
      <c r="A915" s="3">
        <f ca="1">IFERROR(__xludf.UNSUPPORTED("""COMPUTED_VALUE"""),44790.6666666666)</f>
        <v>44790.666666666599</v>
      </c>
      <c r="B915" s="1">
        <f ca="1">IFERROR(__xludf.UNSUPPORTED("""COMPUTED_VALUE"""),174.55)</f>
        <v>174.55</v>
      </c>
      <c r="C915" s="2">
        <f t="shared" ca="1" si="3"/>
        <v>8.7846038259261992E-3</v>
      </c>
    </row>
    <row r="916" spans="1:3">
      <c r="A916" s="3">
        <f ca="1">IFERROR(__xludf.UNSUPPORTED("""COMPUTED_VALUE"""),44791.6666666666)</f>
        <v>44791.666666666599</v>
      </c>
      <c r="B916" s="1">
        <f ca="1">IFERROR(__xludf.UNSUPPORTED("""COMPUTED_VALUE"""),174.15)</f>
        <v>174.15</v>
      </c>
      <c r="C916" s="2">
        <f t="shared" ca="1" si="3"/>
        <v>-2.2916069894013502E-3</v>
      </c>
    </row>
    <row r="917" spans="1:3">
      <c r="A917" s="3">
        <f ca="1">IFERROR(__xludf.UNSUPPORTED("""COMPUTED_VALUE"""),44792.6666666666)</f>
        <v>44792.666666666599</v>
      </c>
      <c r="B917" s="1">
        <f ca="1">IFERROR(__xludf.UNSUPPORTED("""COMPUTED_VALUE"""),171.52)</f>
        <v>171.52</v>
      </c>
      <c r="C917" s="2">
        <f t="shared" ca="1" si="3"/>
        <v>-1.5101923629055386E-2</v>
      </c>
    </row>
    <row r="918" spans="1:3">
      <c r="A918" s="3">
        <f ca="1">IFERROR(__xludf.UNSUPPORTED("""COMPUTED_VALUE"""),44795.6666666666)</f>
        <v>44795.666666666599</v>
      </c>
      <c r="B918" s="1">
        <f ca="1">IFERROR(__xludf.UNSUPPORTED("""COMPUTED_VALUE"""),167.57)</f>
        <v>167.57</v>
      </c>
      <c r="C918" s="2">
        <f t="shared" ca="1" si="3"/>
        <v>-2.3029384328358306E-2</v>
      </c>
    </row>
    <row r="919" spans="1:3">
      <c r="A919" s="3">
        <f ca="1">IFERROR(__xludf.UNSUPPORTED("""COMPUTED_VALUE"""),44796.6666666666)</f>
        <v>44796.666666666599</v>
      </c>
      <c r="B919" s="1">
        <f ca="1">IFERROR(__xludf.UNSUPPORTED("""COMPUTED_VALUE"""),167.23)</f>
        <v>167.23</v>
      </c>
      <c r="C919" s="2">
        <f t="shared" ca="1" si="3"/>
        <v>-2.0290028047980154E-3</v>
      </c>
    </row>
    <row r="920" spans="1:3">
      <c r="A920" s="3">
        <f ca="1">IFERROR(__xludf.UNSUPPORTED("""COMPUTED_VALUE"""),44797.6666666666)</f>
        <v>44797.666666666599</v>
      </c>
      <c r="B920" s="1">
        <f ca="1">IFERROR(__xludf.UNSUPPORTED("""COMPUTED_VALUE"""),167.53)</f>
        <v>167.53</v>
      </c>
      <c r="C920" s="2">
        <f t="shared" ca="1" si="3"/>
        <v>1.7939364946481576E-3</v>
      </c>
    </row>
    <row r="921" spans="1:3">
      <c r="A921" s="3">
        <f ca="1">IFERROR(__xludf.UNSUPPORTED("""COMPUTED_VALUE"""),44798.6666666666)</f>
        <v>44798.666666666599</v>
      </c>
      <c r="B921" s="1">
        <f ca="1">IFERROR(__xludf.UNSUPPORTED("""COMPUTED_VALUE"""),170.03)</f>
        <v>170.03</v>
      </c>
      <c r="C921" s="2">
        <f t="shared" ca="1" si="3"/>
        <v>1.4922700411866531E-2</v>
      </c>
    </row>
    <row r="922" spans="1:3">
      <c r="A922" s="3">
        <f ca="1">IFERROR(__xludf.UNSUPPORTED("""COMPUTED_VALUE"""),44799.6666666666)</f>
        <v>44799.666666666599</v>
      </c>
      <c r="B922" s="1">
        <f ca="1">IFERROR(__xludf.UNSUPPORTED("""COMPUTED_VALUE"""),163.62)</f>
        <v>163.62</v>
      </c>
      <c r="C922" s="2">
        <f t="shared" ca="1" si="3"/>
        <v>-3.7699229547726851E-2</v>
      </c>
    </row>
    <row r="923" spans="1:3">
      <c r="A923" s="3">
        <f ca="1">IFERROR(__xludf.UNSUPPORTED("""COMPUTED_VALUE"""),44802.6666666666)</f>
        <v>44802.666666666599</v>
      </c>
      <c r="B923" s="1">
        <f ca="1">IFERROR(__xludf.UNSUPPORTED("""COMPUTED_VALUE"""),161.38)</f>
        <v>161.38</v>
      </c>
      <c r="C923" s="2">
        <f t="shared" ca="1" si="3"/>
        <v>-1.3690257914680412E-2</v>
      </c>
    </row>
    <row r="924" spans="1:3">
      <c r="A924" s="3">
        <f ca="1">IFERROR(__xludf.UNSUPPORTED("""COMPUTED_VALUE"""),44803.6666666666)</f>
        <v>44803.666666666599</v>
      </c>
      <c r="B924" s="1">
        <f ca="1">IFERROR(__xludf.UNSUPPORTED("""COMPUTED_VALUE"""),158.91)</f>
        <v>158.91</v>
      </c>
      <c r="C924" s="2">
        <f t="shared" ca="1" si="3"/>
        <v>-1.5305490147477995E-2</v>
      </c>
    </row>
    <row r="925" spans="1:3">
      <c r="A925" s="3">
        <f ca="1">IFERROR(__xludf.UNSUPPORTED("""COMPUTED_VALUE"""),44804.6666666666)</f>
        <v>44804.666666666599</v>
      </c>
      <c r="B925" s="1">
        <f ca="1">IFERROR(__xludf.UNSUPPORTED("""COMPUTED_VALUE"""),157.22)</f>
        <v>157.22</v>
      </c>
      <c r="C925" s="2">
        <f t="shared" ca="1" si="3"/>
        <v>-1.0634950600969088E-2</v>
      </c>
    </row>
    <row r="926" spans="1:3">
      <c r="A926" s="3">
        <f ca="1">IFERROR(__xludf.UNSUPPORTED("""COMPUTED_VALUE"""),44805.6666666666)</f>
        <v>44805.666666666599</v>
      </c>
      <c r="B926" s="1">
        <f ca="1">IFERROR(__xludf.UNSUPPORTED("""COMPUTED_VALUE"""),157.96)</f>
        <v>157.96</v>
      </c>
      <c r="C926" s="2">
        <f t="shared" ca="1" si="3"/>
        <v>4.7067803078489319E-3</v>
      </c>
    </row>
    <row r="927" spans="1:3">
      <c r="A927" s="3">
        <f ca="1">IFERROR(__xludf.UNSUPPORTED("""COMPUTED_VALUE"""),44806.6666666666)</f>
        <v>44806.666666666599</v>
      </c>
      <c r="B927" s="1">
        <f ca="1">IFERROR(__xludf.UNSUPPORTED("""COMPUTED_VALUE"""),155.81)</f>
        <v>155.81</v>
      </c>
      <c r="C927" s="2">
        <f t="shared" ca="1" si="3"/>
        <v>-1.3611040769815178E-2</v>
      </c>
    </row>
    <row r="928" spans="1:3">
      <c r="A928" s="3">
        <f ca="1">IFERROR(__xludf.UNSUPPORTED("""COMPUTED_VALUE"""),44810.6666666666)</f>
        <v>44810.666666666599</v>
      </c>
      <c r="B928" s="1">
        <f ca="1">IFERROR(__xludf.UNSUPPORTED("""COMPUTED_VALUE"""),154.53)</f>
        <v>154.53</v>
      </c>
      <c r="C928" s="2">
        <f t="shared" ca="1" si="3"/>
        <v>-8.2151338168281948E-3</v>
      </c>
    </row>
    <row r="929" spans="1:3">
      <c r="A929" s="3">
        <f ca="1">IFERROR(__xludf.UNSUPPORTED("""COMPUTED_VALUE"""),44811.6666666666)</f>
        <v>44811.666666666599</v>
      </c>
      <c r="B929" s="1">
        <f ca="1">IFERROR(__xludf.UNSUPPORTED("""COMPUTED_VALUE"""),155.96)</f>
        <v>155.96</v>
      </c>
      <c r="C929" s="2">
        <f t="shared" ca="1" si="3"/>
        <v>9.2538665631269456E-3</v>
      </c>
    </row>
    <row r="930" spans="1:3">
      <c r="A930" s="3">
        <f ca="1">IFERROR(__xludf.UNSUPPORTED("""COMPUTED_VALUE"""),44812.6666666666)</f>
        <v>44812.666666666599</v>
      </c>
      <c r="B930" s="1">
        <f ca="1">IFERROR(__xludf.UNSUPPORTED("""COMPUTED_VALUE"""),154.46)</f>
        <v>154.46</v>
      </c>
      <c r="C930" s="2">
        <f t="shared" ca="1" si="3"/>
        <v>-9.6178507309566553E-3</v>
      </c>
    </row>
    <row r="931" spans="1:3">
      <c r="A931" s="3">
        <f ca="1">IFERROR(__xludf.UNSUPPORTED("""COMPUTED_VALUE"""),44813.6666666666)</f>
        <v>44813.666666666599</v>
      </c>
      <c r="B931" s="1">
        <f ca="1">IFERROR(__xludf.UNSUPPORTED("""COMPUTED_VALUE"""),157.37)</f>
        <v>157.37</v>
      </c>
      <c r="C931" s="2">
        <f t="shared" ca="1" si="3"/>
        <v>1.8839829081962946E-2</v>
      </c>
    </row>
    <row r="932" spans="1:3">
      <c r="A932" s="3">
        <f ca="1">IFERROR(__xludf.UNSUPPORTED("""COMPUTED_VALUE"""),44816.6666666666)</f>
        <v>44816.666666666599</v>
      </c>
      <c r="B932" s="1">
        <f ca="1">IFERROR(__xludf.UNSUPPORTED("""COMPUTED_VALUE"""),163.43)</f>
        <v>163.43</v>
      </c>
      <c r="C932" s="2">
        <f t="shared" ca="1" si="3"/>
        <v>3.8507974836372895E-2</v>
      </c>
    </row>
    <row r="933" spans="1:3">
      <c r="A933" s="3">
        <f ca="1">IFERROR(__xludf.UNSUPPORTED("""COMPUTED_VALUE"""),44817.6666666666)</f>
        <v>44817.666666666599</v>
      </c>
      <c r="B933" s="1">
        <f ca="1">IFERROR(__xludf.UNSUPPORTED("""COMPUTED_VALUE"""),153.84)</f>
        <v>153.84</v>
      </c>
      <c r="C933" s="2">
        <f t="shared" ca="1" si="3"/>
        <v>-5.8679556996879413E-2</v>
      </c>
    </row>
    <row r="934" spans="1:3">
      <c r="A934" s="3">
        <f ca="1">IFERROR(__xludf.UNSUPPORTED("""COMPUTED_VALUE"""),44818.6666666666)</f>
        <v>44818.666666666599</v>
      </c>
      <c r="B934" s="1">
        <f ca="1">IFERROR(__xludf.UNSUPPORTED("""COMPUTED_VALUE"""),155.31)</f>
        <v>155.31</v>
      </c>
      <c r="C934" s="2">
        <f t="shared" ca="1" si="3"/>
        <v>9.5553822152886041E-3</v>
      </c>
    </row>
    <row r="935" spans="1:3">
      <c r="A935" s="3">
        <f ca="1">IFERROR(__xludf.UNSUPPORTED("""COMPUTED_VALUE"""),44819.6666666666)</f>
        <v>44819.666666666599</v>
      </c>
      <c r="B935" s="1">
        <f ca="1">IFERROR(__xludf.UNSUPPORTED("""COMPUTED_VALUE"""),152.37)</f>
        <v>152.37</v>
      </c>
      <c r="C935" s="2">
        <f t="shared" ca="1" si="3"/>
        <v>-1.8929882171141572E-2</v>
      </c>
    </row>
    <row r="936" spans="1:3">
      <c r="A936" s="3">
        <f ca="1">IFERROR(__xludf.UNSUPPORTED("""COMPUTED_VALUE"""),44820.6666666666)</f>
        <v>44820.666666666599</v>
      </c>
      <c r="B936" s="1">
        <f ca="1">IFERROR(__xludf.UNSUPPORTED("""COMPUTED_VALUE"""),150.7)</f>
        <v>150.69999999999999</v>
      </c>
      <c r="C936" s="2">
        <f t="shared" ca="1" si="3"/>
        <v>-1.0960162761698601E-2</v>
      </c>
    </row>
    <row r="937" spans="1:3">
      <c r="A937" s="3">
        <f ca="1">IFERROR(__xludf.UNSUPPORTED("""COMPUTED_VALUE"""),44823.6666666666)</f>
        <v>44823.666666666599</v>
      </c>
      <c r="B937" s="1">
        <f ca="1">IFERROR(__xludf.UNSUPPORTED("""COMPUTED_VALUE"""),154.48)</f>
        <v>154.47999999999999</v>
      </c>
      <c r="C937" s="2">
        <f t="shared" ca="1" si="3"/>
        <v>2.5082946250829474E-2</v>
      </c>
    </row>
    <row r="938" spans="1:3">
      <c r="A938" s="3">
        <f ca="1">IFERROR(__xludf.UNSUPPORTED("""COMPUTED_VALUE"""),44824.6666666666)</f>
        <v>44824.666666666599</v>
      </c>
      <c r="B938" s="1">
        <f ca="1">IFERROR(__xludf.UNSUPPORTED("""COMPUTED_VALUE"""),156.9)</f>
        <v>156.9</v>
      </c>
      <c r="C938" s="2">
        <f t="shared" ca="1" si="3"/>
        <v>1.566545831175567E-2</v>
      </c>
    </row>
    <row r="939" spans="1:3">
      <c r="A939" s="3">
        <f ca="1">IFERROR(__xludf.UNSUPPORTED("""COMPUTED_VALUE"""),44825.6666666666)</f>
        <v>44825.666666666599</v>
      </c>
      <c r="B939" s="1">
        <f ca="1">IFERROR(__xludf.UNSUPPORTED("""COMPUTED_VALUE"""),153.72)</f>
        <v>153.72</v>
      </c>
      <c r="C939" s="2">
        <f t="shared" ca="1" si="3"/>
        <v>-2.026768642447423E-2</v>
      </c>
    </row>
    <row r="940" spans="1:3">
      <c r="A940" s="3">
        <f ca="1">IFERROR(__xludf.UNSUPPORTED("""COMPUTED_VALUE"""),44826.6666666666)</f>
        <v>44826.666666666599</v>
      </c>
      <c r="B940" s="1">
        <f ca="1">IFERROR(__xludf.UNSUPPORTED("""COMPUTED_VALUE"""),152.74)</f>
        <v>152.74</v>
      </c>
      <c r="C940" s="2">
        <f t="shared" ca="1" si="3"/>
        <v>-6.3752276867030302E-3</v>
      </c>
    </row>
    <row r="941" spans="1:3">
      <c r="A941" s="3">
        <f ca="1">IFERROR(__xludf.UNSUPPORTED("""COMPUTED_VALUE"""),44827.6666666666)</f>
        <v>44827.666666666599</v>
      </c>
      <c r="B941" s="1">
        <f ca="1">IFERROR(__xludf.UNSUPPORTED("""COMPUTED_VALUE"""),150.43)</f>
        <v>150.43</v>
      </c>
      <c r="C941" s="2">
        <f t="shared" ca="1" si="3"/>
        <v>-1.5123739688359318E-2</v>
      </c>
    </row>
    <row r="942" spans="1:3">
      <c r="A942" s="3">
        <f ca="1">IFERROR(__xludf.UNSUPPORTED("""COMPUTED_VALUE"""),44830.6666666666)</f>
        <v>44830.666666666599</v>
      </c>
      <c r="B942" s="1">
        <f ca="1">IFERROR(__xludf.UNSUPPORTED("""COMPUTED_VALUE"""),150.77)</f>
        <v>150.77000000000001</v>
      </c>
      <c r="C942" s="2">
        <f t="shared" ca="1" si="3"/>
        <v>2.2601874626072154E-3</v>
      </c>
    </row>
    <row r="943" spans="1:3">
      <c r="A943" s="3">
        <f ca="1">IFERROR(__xludf.UNSUPPORTED("""COMPUTED_VALUE"""),44831.6666666666)</f>
        <v>44831.666666666599</v>
      </c>
      <c r="B943" s="1">
        <f ca="1">IFERROR(__xludf.UNSUPPORTED("""COMPUTED_VALUE"""),151.76)</f>
        <v>151.76</v>
      </c>
      <c r="C943" s="2">
        <f t="shared" ca="1" si="3"/>
        <v>6.5662930291170698E-3</v>
      </c>
    </row>
    <row r="944" spans="1:3">
      <c r="A944" s="3">
        <f ca="1">IFERROR(__xludf.UNSUPPORTED("""COMPUTED_VALUE"""),44832.6666666666)</f>
        <v>44832.666666666599</v>
      </c>
      <c r="B944" s="1">
        <f ca="1">IFERROR(__xludf.UNSUPPORTED("""COMPUTED_VALUE"""),149.84)</f>
        <v>149.84</v>
      </c>
      <c r="C944" s="2">
        <f t="shared" ca="1" si="3"/>
        <v>-1.265155508697936E-2</v>
      </c>
    </row>
    <row r="945" spans="1:3">
      <c r="A945" s="3">
        <f ca="1">IFERROR(__xludf.UNSUPPORTED("""COMPUTED_VALUE"""),44833.6666666666)</f>
        <v>44833.666666666599</v>
      </c>
      <c r="B945" s="1">
        <f ca="1">IFERROR(__xludf.UNSUPPORTED("""COMPUTED_VALUE"""),142.48)</f>
        <v>142.47999999999999</v>
      </c>
      <c r="C945" s="2">
        <f t="shared" ca="1" si="3"/>
        <v>-4.9119060331019843E-2</v>
      </c>
    </row>
    <row r="946" spans="1:3">
      <c r="A946" s="3">
        <f ca="1">IFERROR(__xludf.UNSUPPORTED("""COMPUTED_VALUE"""),44834.6666666666)</f>
        <v>44834.666666666599</v>
      </c>
      <c r="B946" s="1">
        <f ca="1">IFERROR(__xludf.UNSUPPORTED("""COMPUTED_VALUE"""),138.2)</f>
        <v>138.19999999999999</v>
      </c>
      <c r="C946" s="2">
        <f t="shared" ca="1" si="3"/>
        <v>-3.0039303761931511E-2</v>
      </c>
    </row>
    <row r="947" spans="1:3">
      <c r="A947" s="3">
        <f ca="1">IFERROR(__xludf.UNSUPPORTED("""COMPUTED_VALUE"""),44837.6666666666)</f>
        <v>44837.666666666599</v>
      </c>
      <c r="B947" s="1">
        <f ca="1">IFERROR(__xludf.UNSUPPORTED("""COMPUTED_VALUE"""),142.45)</f>
        <v>142.44999999999999</v>
      </c>
      <c r="C947" s="2">
        <f t="shared" ca="1" si="3"/>
        <v>3.0752532561505067E-2</v>
      </c>
    </row>
    <row r="948" spans="1:3">
      <c r="A948" s="3">
        <f ca="1">IFERROR(__xludf.UNSUPPORTED("""COMPUTED_VALUE"""),44838.6666666666)</f>
        <v>44838.666666666599</v>
      </c>
      <c r="B948" s="1">
        <f ca="1">IFERROR(__xludf.UNSUPPORTED("""COMPUTED_VALUE"""),146.1)</f>
        <v>146.1</v>
      </c>
      <c r="C948" s="2">
        <f t="shared" ca="1" si="3"/>
        <v>2.5623025623025666E-2</v>
      </c>
    </row>
    <row r="949" spans="1:3">
      <c r="A949" s="3">
        <f ca="1">IFERROR(__xludf.UNSUPPORTED("""COMPUTED_VALUE"""),44839.6666666666)</f>
        <v>44839.666666666599</v>
      </c>
      <c r="B949" s="1">
        <f ca="1">IFERROR(__xludf.UNSUPPORTED("""COMPUTED_VALUE"""),146.4)</f>
        <v>146.4</v>
      </c>
      <c r="C949" s="2">
        <f t="shared" ca="1" si="3"/>
        <v>2.0533880903491537E-3</v>
      </c>
    </row>
    <row r="950" spans="1:3">
      <c r="A950" s="3">
        <f ca="1">IFERROR(__xludf.UNSUPPORTED("""COMPUTED_VALUE"""),44840.6666666666)</f>
        <v>44840.666666666599</v>
      </c>
      <c r="B950" s="1">
        <f ca="1">IFERROR(__xludf.UNSUPPORTED("""COMPUTED_VALUE"""),145.43)</f>
        <v>145.43</v>
      </c>
      <c r="C950" s="2">
        <f t="shared" ca="1" si="3"/>
        <v>-6.6256830601092815E-3</v>
      </c>
    </row>
    <row r="951" spans="1:3">
      <c r="A951" s="3">
        <f ca="1">IFERROR(__xludf.UNSUPPORTED("""COMPUTED_VALUE"""),44841.6666666666)</f>
        <v>44841.666666666599</v>
      </c>
      <c r="B951" s="1">
        <f ca="1">IFERROR(__xludf.UNSUPPORTED("""COMPUTED_VALUE"""),140.09)</f>
        <v>140.09</v>
      </c>
      <c r="C951" s="2">
        <f t="shared" ca="1" si="3"/>
        <v>-3.671869627999727E-2</v>
      </c>
    </row>
    <row r="952" spans="1:3">
      <c r="A952" s="3">
        <f ca="1">IFERROR(__xludf.UNSUPPORTED("""COMPUTED_VALUE"""),44844.6666666666)</f>
        <v>44844.666666666599</v>
      </c>
      <c r="B952" s="1">
        <f ca="1">IFERROR(__xludf.UNSUPPORTED("""COMPUTED_VALUE"""),140.42)</f>
        <v>140.41999999999999</v>
      </c>
      <c r="C952" s="2">
        <f t="shared" ca="1" si="3"/>
        <v>2.355628524519838E-3</v>
      </c>
    </row>
    <row r="953" spans="1:3">
      <c r="A953" s="3">
        <f ca="1">IFERROR(__xludf.UNSUPPORTED("""COMPUTED_VALUE"""),44845.6666666666)</f>
        <v>44845.666666666599</v>
      </c>
      <c r="B953" s="1">
        <f ca="1">IFERROR(__xludf.UNSUPPORTED("""COMPUTED_VALUE"""),138.98)</f>
        <v>138.97999999999999</v>
      </c>
      <c r="C953" s="2">
        <f t="shared" ca="1" si="3"/>
        <v>-1.0254949437402064E-2</v>
      </c>
    </row>
    <row r="954" spans="1:3">
      <c r="A954" s="3">
        <f ca="1">IFERROR(__xludf.UNSUPPORTED("""COMPUTED_VALUE"""),44846.6666666666)</f>
        <v>44846.666666666599</v>
      </c>
      <c r="B954" s="1">
        <f ca="1">IFERROR(__xludf.UNSUPPORTED("""COMPUTED_VALUE"""),138.34)</f>
        <v>138.34</v>
      </c>
      <c r="C954" s="2">
        <f t="shared" ca="1" si="3"/>
        <v>-4.6049791336882024E-3</v>
      </c>
    </row>
    <row r="955" spans="1:3">
      <c r="A955" s="3">
        <f ca="1">IFERROR(__xludf.UNSUPPORTED("""COMPUTED_VALUE"""),44847.6666666666)</f>
        <v>44847.666666666599</v>
      </c>
      <c r="B955" s="1">
        <f ca="1">IFERROR(__xludf.UNSUPPORTED("""COMPUTED_VALUE"""),142.99)</f>
        <v>142.99</v>
      </c>
      <c r="C955" s="2">
        <f t="shared" ca="1" si="3"/>
        <v>3.3612837935521223E-2</v>
      </c>
    </row>
    <row r="956" spans="1:3">
      <c r="A956" s="3">
        <f ca="1">IFERROR(__xludf.UNSUPPORTED("""COMPUTED_VALUE"""),44848.6666666666)</f>
        <v>44848.666666666599</v>
      </c>
      <c r="B956" s="1">
        <f ca="1">IFERROR(__xludf.UNSUPPORTED("""COMPUTED_VALUE"""),138.38)</f>
        <v>138.38</v>
      </c>
      <c r="C956" s="2">
        <f t="shared" ca="1" si="3"/>
        <v>-3.2240016784390611E-2</v>
      </c>
    </row>
    <row r="957" spans="1:3">
      <c r="A957" s="3">
        <f ca="1">IFERROR(__xludf.UNSUPPORTED("""COMPUTED_VALUE"""),44851.6666666666)</f>
        <v>44851.666666666599</v>
      </c>
      <c r="B957" s="1">
        <f ca="1">IFERROR(__xludf.UNSUPPORTED("""COMPUTED_VALUE"""),142.41)</f>
        <v>142.41</v>
      </c>
      <c r="C957" s="2">
        <f t="shared" ca="1" si="3"/>
        <v>2.9122705593293836E-2</v>
      </c>
    </row>
    <row r="958" spans="1:3">
      <c r="A958" s="3">
        <f ca="1">IFERROR(__xludf.UNSUPPORTED("""COMPUTED_VALUE"""),44852.6666666666)</f>
        <v>44852.666666666599</v>
      </c>
      <c r="B958" s="1">
        <f ca="1">IFERROR(__xludf.UNSUPPORTED("""COMPUTED_VALUE"""),143.75)</f>
        <v>143.75</v>
      </c>
      <c r="C958" s="2">
        <f t="shared" ca="1" si="3"/>
        <v>9.4094515834562426E-3</v>
      </c>
    </row>
    <row r="959" spans="1:3">
      <c r="A959" s="3">
        <f ca="1">IFERROR(__xludf.UNSUPPORTED("""COMPUTED_VALUE"""),44853.6666666666)</f>
        <v>44853.666666666599</v>
      </c>
      <c r="B959" s="1">
        <f ca="1">IFERROR(__xludf.UNSUPPORTED("""COMPUTED_VALUE"""),143.86)</f>
        <v>143.86000000000001</v>
      </c>
      <c r="C959" s="2">
        <f t="shared" ca="1" si="3"/>
        <v>7.6521739130444274E-4</v>
      </c>
    </row>
    <row r="960" spans="1:3">
      <c r="A960" s="3">
        <f ca="1">IFERROR(__xludf.UNSUPPORTED("""COMPUTED_VALUE"""),44854.6666666666)</f>
        <v>44854.666666666599</v>
      </c>
      <c r="B960" s="1">
        <f ca="1">IFERROR(__xludf.UNSUPPORTED("""COMPUTED_VALUE"""),143.39)</f>
        <v>143.38999999999999</v>
      </c>
      <c r="C960" s="2">
        <f t="shared" ca="1" si="3"/>
        <v>-3.2670652022801839E-3</v>
      </c>
    </row>
    <row r="961" spans="1:3">
      <c r="A961" s="3">
        <f ca="1">IFERROR(__xludf.UNSUPPORTED("""COMPUTED_VALUE"""),44855.6666666666)</f>
        <v>44855.666666666599</v>
      </c>
      <c r="B961" s="1">
        <f ca="1">IFERROR(__xludf.UNSUPPORTED("""COMPUTED_VALUE"""),147.27)</f>
        <v>147.27000000000001</v>
      </c>
      <c r="C961" s="2">
        <f t="shared" ca="1" si="3"/>
        <v>2.7059069670130581E-2</v>
      </c>
    </row>
    <row r="962" spans="1:3">
      <c r="A962" s="3">
        <f ca="1">IFERROR(__xludf.UNSUPPORTED("""COMPUTED_VALUE"""),44858.6666666666)</f>
        <v>44858.666666666599</v>
      </c>
      <c r="B962" s="1">
        <f ca="1">IFERROR(__xludf.UNSUPPORTED("""COMPUTED_VALUE"""),149.45)</f>
        <v>149.44999999999999</v>
      </c>
      <c r="C962" s="2">
        <f t="shared" ca="1" si="3"/>
        <v>1.480274326067752E-2</v>
      </c>
    </row>
    <row r="963" spans="1:3">
      <c r="A963" s="3">
        <f ca="1">IFERROR(__xludf.UNSUPPORTED("""COMPUTED_VALUE"""),44859.6666666666)</f>
        <v>44859.666666666599</v>
      </c>
      <c r="B963" s="1">
        <f ca="1">IFERROR(__xludf.UNSUPPORTED("""COMPUTED_VALUE"""),152.34)</f>
        <v>152.34</v>
      </c>
      <c r="C963" s="2">
        <f t="shared" ca="1" si="3"/>
        <v>1.9337571094011477E-2</v>
      </c>
    </row>
    <row r="964" spans="1:3">
      <c r="A964" s="3">
        <f ca="1">IFERROR(__xludf.UNSUPPORTED("""COMPUTED_VALUE"""),44860.6666666666)</f>
        <v>44860.666666666599</v>
      </c>
      <c r="B964" s="1">
        <f ca="1">IFERROR(__xludf.UNSUPPORTED("""COMPUTED_VALUE"""),149.35)</f>
        <v>149.35</v>
      </c>
      <c r="C964" s="2">
        <f t="shared" ca="1" si="3"/>
        <v>-1.962714979650787E-2</v>
      </c>
    </row>
    <row r="965" spans="1:3">
      <c r="A965" s="3">
        <f ca="1">IFERROR(__xludf.UNSUPPORTED("""COMPUTED_VALUE"""),44861.6666666666)</f>
        <v>44861.666666666599</v>
      </c>
      <c r="B965" s="1">
        <f ca="1">IFERROR(__xludf.UNSUPPORTED("""COMPUTED_VALUE"""),144.8)</f>
        <v>144.80000000000001</v>
      </c>
      <c r="C965" s="2">
        <f t="shared" ca="1" si="3"/>
        <v>-3.0465349849347057E-2</v>
      </c>
    </row>
    <row r="966" spans="1:3">
      <c r="A966" s="3">
        <f ca="1">IFERROR(__xludf.UNSUPPORTED("""COMPUTED_VALUE"""),44862.6666666666)</f>
        <v>44862.666666666599</v>
      </c>
      <c r="B966" s="1">
        <f ca="1">IFERROR(__xludf.UNSUPPORTED("""COMPUTED_VALUE"""),155.74)</f>
        <v>155.74</v>
      </c>
      <c r="C966" s="2">
        <f t="shared" ca="1" si="3"/>
        <v>7.5552486187845283E-2</v>
      </c>
    </row>
    <row r="967" spans="1:3">
      <c r="A967" s="3">
        <f ca="1">IFERROR(__xludf.UNSUPPORTED("""COMPUTED_VALUE"""),44865.6666666666)</f>
        <v>44865.666666666599</v>
      </c>
      <c r="B967" s="1">
        <f ca="1">IFERROR(__xludf.UNSUPPORTED("""COMPUTED_VALUE"""),153.34)</f>
        <v>153.34</v>
      </c>
      <c r="C967" s="2">
        <f t="shared" ca="1" si="3"/>
        <v>-1.5410299216643159E-2</v>
      </c>
    </row>
    <row r="968" spans="1:3">
      <c r="A968" s="3">
        <f ca="1">IFERROR(__xludf.UNSUPPORTED("""COMPUTED_VALUE"""),44866.6666666666)</f>
        <v>44866.666666666599</v>
      </c>
      <c r="B968" s="1">
        <f ca="1">IFERROR(__xludf.UNSUPPORTED("""COMPUTED_VALUE"""),150.65)</f>
        <v>150.65</v>
      </c>
      <c r="C968" s="2">
        <f t="shared" ca="1" si="3"/>
        <v>-1.7542715534107196E-2</v>
      </c>
    </row>
    <row r="969" spans="1:3">
      <c r="A969" s="3">
        <f ca="1">IFERROR(__xludf.UNSUPPORTED("""COMPUTED_VALUE"""),44867.6666666666)</f>
        <v>44867.666666666599</v>
      </c>
      <c r="B969" s="1">
        <f ca="1">IFERROR(__xludf.UNSUPPORTED("""COMPUTED_VALUE"""),145.03)</f>
        <v>145.03</v>
      </c>
      <c r="C969" s="2">
        <f t="shared" ca="1" si="3"/>
        <v>-3.7305011616329271E-2</v>
      </c>
    </row>
    <row r="970" spans="1:3">
      <c r="A970" s="3">
        <f ca="1">IFERROR(__xludf.UNSUPPORTED("""COMPUTED_VALUE"""),44868.6666666666)</f>
        <v>44868.666666666599</v>
      </c>
      <c r="B970" s="1">
        <f ca="1">IFERROR(__xludf.UNSUPPORTED("""COMPUTED_VALUE"""),138.88)</f>
        <v>138.88</v>
      </c>
      <c r="C970" s="2">
        <f t="shared" ca="1" si="3"/>
        <v>-4.2405019651106705E-2</v>
      </c>
    </row>
    <row r="971" spans="1:3">
      <c r="A971" s="3">
        <f ca="1">IFERROR(__xludf.UNSUPPORTED("""COMPUTED_VALUE"""),44869.6666666666)</f>
        <v>44869.666666666599</v>
      </c>
      <c r="B971" s="1">
        <f ca="1">IFERROR(__xludf.UNSUPPORTED("""COMPUTED_VALUE"""),138.38)</f>
        <v>138.38</v>
      </c>
      <c r="C971" s="2">
        <f t="shared" ca="1" si="3"/>
        <v>-3.6002304147465438E-3</v>
      </c>
    </row>
    <row r="972" spans="1:3">
      <c r="A972" s="3">
        <f ca="1">IFERROR(__xludf.UNSUPPORTED("""COMPUTED_VALUE"""),44872.6666666666)</f>
        <v>44872.666666666599</v>
      </c>
      <c r="B972" s="1">
        <f ca="1">IFERROR(__xludf.UNSUPPORTED("""COMPUTED_VALUE"""),138.92)</f>
        <v>138.91999999999999</v>
      </c>
      <c r="C972" s="2">
        <f t="shared" ca="1" si="3"/>
        <v>3.9022980199450216E-3</v>
      </c>
    </row>
    <row r="973" spans="1:3">
      <c r="A973" s="3">
        <f ca="1">IFERROR(__xludf.UNSUPPORTED("""COMPUTED_VALUE"""),44873.6666666666)</f>
        <v>44873.666666666599</v>
      </c>
      <c r="B973" s="1">
        <f ca="1">IFERROR(__xludf.UNSUPPORTED("""COMPUTED_VALUE"""),139.5)</f>
        <v>139.5</v>
      </c>
      <c r="C973" s="2">
        <f t="shared" ca="1" si="3"/>
        <v>4.1750647854881407E-3</v>
      </c>
    </row>
    <row r="974" spans="1:3">
      <c r="A974" s="3">
        <f ca="1">IFERROR(__xludf.UNSUPPORTED("""COMPUTED_VALUE"""),44874.6666666666)</f>
        <v>44874.666666666599</v>
      </c>
      <c r="B974" s="1">
        <f ca="1">IFERROR(__xludf.UNSUPPORTED("""COMPUTED_VALUE"""),134.87)</f>
        <v>134.87</v>
      </c>
      <c r="C974" s="2">
        <f t="shared" ca="1" si="3"/>
        <v>-3.3189964157706059E-2</v>
      </c>
    </row>
    <row r="975" spans="1:3">
      <c r="A975" s="3">
        <f ca="1">IFERROR(__xludf.UNSUPPORTED("""COMPUTED_VALUE"""),44875.6666666666)</f>
        <v>44875.666666666599</v>
      </c>
      <c r="B975" s="1">
        <f ca="1">IFERROR(__xludf.UNSUPPORTED("""COMPUTED_VALUE"""),146.87)</f>
        <v>146.87</v>
      </c>
      <c r="C975" s="2">
        <f t="shared" ca="1" si="3"/>
        <v>8.8974568102617335E-2</v>
      </c>
    </row>
    <row r="976" spans="1:3">
      <c r="A976" s="3">
        <f ca="1">IFERROR(__xludf.UNSUPPORTED("""COMPUTED_VALUE"""),44876.6666666666)</f>
        <v>44876.666666666599</v>
      </c>
      <c r="B976" s="1">
        <f ca="1">IFERROR(__xludf.UNSUPPORTED("""COMPUTED_VALUE"""),149.7)</f>
        <v>149.69999999999999</v>
      </c>
      <c r="C976" s="2">
        <f t="shared" ca="1" si="3"/>
        <v>1.9268741063525458E-2</v>
      </c>
    </row>
    <row r="977" spans="1:3">
      <c r="A977" s="3">
        <f ca="1">IFERROR(__xludf.UNSUPPORTED("""COMPUTED_VALUE"""),44879.6666666666)</f>
        <v>44879.666666666599</v>
      </c>
      <c r="B977" s="1">
        <f ca="1">IFERROR(__xludf.UNSUPPORTED("""COMPUTED_VALUE"""),148.28)</f>
        <v>148.28</v>
      </c>
      <c r="C977" s="2">
        <f t="shared" ca="1" si="3"/>
        <v>-9.4856379425516876E-3</v>
      </c>
    </row>
    <row r="978" spans="1:3">
      <c r="A978" s="3">
        <f ca="1">IFERROR(__xludf.UNSUPPORTED("""COMPUTED_VALUE"""),44880.6666666666)</f>
        <v>44880.666666666599</v>
      </c>
      <c r="B978" s="1">
        <f ca="1">IFERROR(__xludf.UNSUPPORTED("""COMPUTED_VALUE"""),150.04)</f>
        <v>150.04</v>
      </c>
      <c r="C978" s="2">
        <f t="shared" ca="1" si="3"/>
        <v>1.1869436201780353E-2</v>
      </c>
    </row>
    <row r="979" spans="1:3">
      <c r="A979" s="3">
        <f ca="1">IFERROR(__xludf.UNSUPPORTED("""COMPUTED_VALUE"""),44881.6666666666)</f>
        <v>44881.666666666599</v>
      </c>
      <c r="B979" s="1">
        <f ca="1">IFERROR(__xludf.UNSUPPORTED("""COMPUTED_VALUE"""),148.79)</f>
        <v>148.79</v>
      </c>
      <c r="C979" s="2">
        <f t="shared" ca="1" si="3"/>
        <v>-8.3311117035457221E-3</v>
      </c>
    </row>
    <row r="980" spans="1:3">
      <c r="A980" s="3">
        <f ca="1">IFERROR(__xludf.UNSUPPORTED("""COMPUTED_VALUE"""),44882.6666666666)</f>
        <v>44882.666666666599</v>
      </c>
      <c r="B980" s="1">
        <f ca="1">IFERROR(__xludf.UNSUPPORTED("""COMPUTED_VALUE"""),150.72)</f>
        <v>150.72</v>
      </c>
      <c r="C980" s="2">
        <f t="shared" ca="1" si="3"/>
        <v>1.2971301834800773E-2</v>
      </c>
    </row>
    <row r="981" spans="1:3">
      <c r="A981" s="3">
        <f ca="1">IFERROR(__xludf.UNSUPPORTED("""COMPUTED_VALUE"""),44883.6666666666)</f>
        <v>44883.666666666599</v>
      </c>
      <c r="B981" s="1">
        <f ca="1">IFERROR(__xludf.UNSUPPORTED("""COMPUTED_VALUE"""),151.29)</f>
        <v>151.29</v>
      </c>
      <c r="C981" s="2">
        <f t="shared" ca="1" si="3"/>
        <v>3.7818471337579167E-3</v>
      </c>
    </row>
    <row r="982" spans="1:3">
      <c r="A982" s="3">
        <f ca="1">IFERROR(__xludf.UNSUPPORTED("""COMPUTED_VALUE"""),44886.6666666666)</f>
        <v>44886.666666666599</v>
      </c>
      <c r="B982" s="1">
        <f ca="1">IFERROR(__xludf.UNSUPPORTED("""COMPUTED_VALUE"""),148.01)</f>
        <v>148.01</v>
      </c>
      <c r="C982" s="2">
        <f t="shared" ca="1" si="3"/>
        <v>-2.1680216802168029E-2</v>
      </c>
    </row>
    <row r="983" spans="1:3">
      <c r="A983" s="3">
        <f ca="1">IFERROR(__xludf.UNSUPPORTED("""COMPUTED_VALUE"""),44887.6666666666)</f>
        <v>44887.666666666599</v>
      </c>
      <c r="B983" s="1">
        <f ca="1">IFERROR(__xludf.UNSUPPORTED("""COMPUTED_VALUE"""),150.18)</f>
        <v>150.18</v>
      </c>
      <c r="C983" s="2">
        <f t="shared" ca="1" si="3"/>
        <v>1.4661171542463455E-2</v>
      </c>
    </row>
    <row r="984" spans="1:3">
      <c r="A984" s="3">
        <f ca="1">IFERROR(__xludf.UNSUPPORTED("""COMPUTED_VALUE"""),44888.6666666666)</f>
        <v>44888.666666666599</v>
      </c>
      <c r="B984" s="1">
        <f ca="1">IFERROR(__xludf.UNSUPPORTED("""COMPUTED_VALUE"""),151.07)</f>
        <v>151.07</v>
      </c>
      <c r="C984" s="2">
        <f t="shared" ca="1" si="3"/>
        <v>5.9262218670927307E-3</v>
      </c>
    </row>
    <row r="985" spans="1:3">
      <c r="A985" s="3">
        <f ca="1">IFERROR(__xludf.UNSUPPORTED("""COMPUTED_VALUE"""),44890.5451388888)</f>
        <v>44890.545138888803</v>
      </c>
      <c r="B985" s="1">
        <f ca="1">IFERROR(__xludf.UNSUPPORTED("""COMPUTED_VALUE"""),148.11)</f>
        <v>148.11000000000001</v>
      </c>
      <c r="C985" s="2">
        <f t="shared" ca="1" si="3"/>
        <v>-1.959356589660409E-2</v>
      </c>
    </row>
    <row r="986" spans="1:3">
      <c r="A986" s="3">
        <f ca="1">IFERROR(__xludf.UNSUPPORTED("""COMPUTED_VALUE"""),44893.6666666666)</f>
        <v>44893.666666666599</v>
      </c>
      <c r="B986" s="1">
        <f ca="1">IFERROR(__xludf.UNSUPPORTED("""COMPUTED_VALUE"""),144.22)</f>
        <v>144.22</v>
      </c>
      <c r="C986" s="2">
        <f t="shared" ca="1" si="3"/>
        <v>-2.6264263047734888E-2</v>
      </c>
    </row>
    <row r="987" spans="1:3">
      <c r="A987" s="3">
        <f ca="1">IFERROR(__xludf.UNSUPPORTED("""COMPUTED_VALUE"""),44894.6666666666)</f>
        <v>44894.666666666599</v>
      </c>
      <c r="B987" s="1">
        <f ca="1">IFERROR(__xludf.UNSUPPORTED("""COMPUTED_VALUE"""),141.17)</f>
        <v>141.16999999999999</v>
      </c>
      <c r="C987" s="2">
        <f t="shared" ca="1" si="3"/>
        <v>-2.1148245735681675E-2</v>
      </c>
    </row>
    <row r="988" spans="1:3">
      <c r="A988" s="3">
        <f ca="1">IFERROR(__xludf.UNSUPPORTED("""COMPUTED_VALUE"""),44895.6666666666)</f>
        <v>44895.666666666599</v>
      </c>
      <c r="B988" s="1">
        <f ca="1">IFERROR(__xludf.UNSUPPORTED("""COMPUTED_VALUE"""),148.03)</f>
        <v>148.03</v>
      </c>
      <c r="C988" s="2">
        <f t="shared" ca="1" si="3"/>
        <v>4.8593893886803248E-2</v>
      </c>
    </row>
    <row r="989" spans="1:3">
      <c r="A989" s="3">
        <f ca="1">IFERROR(__xludf.UNSUPPORTED("""COMPUTED_VALUE"""),44896.6666666666)</f>
        <v>44896.666666666599</v>
      </c>
      <c r="B989" s="1">
        <f ca="1">IFERROR(__xludf.UNSUPPORTED("""COMPUTED_VALUE"""),148.31)</f>
        <v>148.31</v>
      </c>
      <c r="C989" s="2">
        <f t="shared" ca="1" si="3"/>
        <v>1.8915084780112216E-3</v>
      </c>
    </row>
    <row r="990" spans="1:3">
      <c r="A990" s="3">
        <f ca="1">IFERROR(__xludf.UNSUPPORTED("""COMPUTED_VALUE"""),44897.6666666666)</f>
        <v>44897.666666666599</v>
      </c>
      <c r="B990" s="1">
        <f ca="1">IFERROR(__xludf.UNSUPPORTED("""COMPUTED_VALUE"""),147.81)</f>
        <v>147.81</v>
      </c>
      <c r="C990" s="2">
        <f t="shared" ca="1" si="3"/>
        <v>-3.3713168363562807E-3</v>
      </c>
    </row>
    <row r="991" spans="1:3">
      <c r="A991" s="3">
        <f ca="1">IFERROR(__xludf.UNSUPPORTED("""COMPUTED_VALUE"""),44900.6666666666)</f>
        <v>44900.666666666599</v>
      </c>
      <c r="B991" s="1">
        <f ca="1">IFERROR(__xludf.UNSUPPORTED("""COMPUTED_VALUE"""),146.63)</f>
        <v>146.63</v>
      </c>
      <c r="C991" s="2">
        <f t="shared" ca="1" si="3"/>
        <v>-7.9832217035383721E-3</v>
      </c>
    </row>
    <row r="992" spans="1:3">
      <c r="A992" s="3">
        <f ca="1">IFERROR(__xludf.UNSUPPORTED("""COMPUTED_VALUE"""),44901.6666666666)</f>
        <v>44901.666666666599</v>
      </c>
      <c r="B992" s="1">
        <f ca="1">IFERROR(__xludf.UNSUPPORTED("""COMPUTED_VALUE"""),142.91)</f>
        <v>142.91</v>
      </c>
      <c r="C992" s="2">
        <f t="shared" ca="1" si="3"/>
        <v>-2.5369978858350944E-2</v>
      </c>
    </row>
    <row r="993" spans="1:3">
      <c r="A993" s="3">
        <f ca="1">IFERROR(__xludf.UNSUPPORTED("""COMPUTED_VALUE"""),44902.6666666666)</f>
        <v>44902.666666666599</v>
      </c>
      <c r="B993" s="1">
        <f ca="1">IFERROR(__xludf.UNSUPPORTED("""COMPUTED_VALUE"""),140.94)</f>
        <v>140.94</v>
      </c>
      <c r="C993" s="2">
        <f t="shared" ca="1" si="3"/>
        <v>-1.3784899587152746E-2</v>
      </c>
    </row>
    <row r="994" spans="1:3">
      <c r="A994" s="3">
        <f ca="1">IFERROR(__xludf.UNSUPPORTED("""COMPUTED_VALUE"""),44903.6666666666)</f>
        <v>44903.666666666599</v>
      </c>
      <c r="B994" s="1">
        <f ca="1">IFERROR(__xludf.UNSUPPORTED("""COMPUTED_VALUE"""),142.65)</f>
        <v>142.65</v>
      </c>
      <c r="C994" s="2">
        <f t="shared" ca="1" si="3"/>
        <v>1.2132822477650121E-2</v>
      </c>
    </row>
    <row r="995" spans="1:3">
      <c r="A995" s="3">
        <f ca="1">IFERROR(__xludf.UNSUPPORTED("""COMPUTED_VALUE"""),44904.6666666666)</f>
        <v>44904.666666666599</v>
      </c>
      <c r="B995" s="1">
        <f ca="1">IFERROR(__xludf.UNSUPPORTED("""COMPUTED_VALUE"""),142.16)</f>
        <v>142.16</v>
      </c>
      <c r="C995" s="2">
        <f t="shared" ca="1" si="3"/>
        <v>-3.4349807220470318E-3</v>
      </c>
    </row>
    <row r="996" spans="1:3">
      <c r="A996" s="3">
        <f ca="1">IFERROR(__xludf.UNSUPPORTED("""COMPUTED_VALUE"""),44907.6666666666)</f>
        <v>44907.666666666599</v>
      </c>
      <c r="B996" s="1">
        <f ca="1">IFERROR(__xludf.UNSUPPORTED("""COMPUTED_VALUE"""),144.49)</f>
        <v>144.49</v>
      </c>
      <c r="C996" s="2">
        <f t="shared" ca="1" si="3"/>
        <v>1.6389983117614044E-2</v>
      </c>
    </row>
    <row r="997" spans="1:3">
      <c r="A997" s="3">
        <f ca="1">IFERROR(__xludf.UNSUPPORTED("""COMPUTED_VALUE"""),44908.6666666666)</f>
        <v>44908.666666666599</v>
      </c>
      <c r="B997" s="1">
        <f ca="1">IFERROR(__xludf.UNSUPPORTED("""COMPUTED_VALUE"""),145.47)</f>
        <v>145.47</v>
      </c>
      <c r="C997" s="2">
        <f t="shared" ca="1" si="3"/>
        <v>6.782476295937364E-3</v>
      </c>
    </row>
    <row r="998" spans="1:3">
      <c r="A998" s="3">
        <f ca="1">IFERROR(__xludf.UNSUPPORTED("""COMPUTED_VALUE"""),44909.6666666666)</f>
        <v>44909.666666666599</v>
      </c>
      <c r="B998" s="1">
        <f ca="1">IFERROR(__xludf.UNSUPPORTED("""COMPUTED_VALUE"""),143.21)</f>
        <v>143.21</v>
      </c>
      <c r="C998" s="2">
        <f t="shared" ca="1" si="3"/>
        <v>-1.5535849316010111E-2</v>
      </c>
    </row>
    <row r="999" spans="1:3">
      <c r="A999" s="3">
        <f ca="1">IFERROR(__xludf.UNSUPPORTED("""COMPUTED_VALUE"""),44910.6666666666)</f>
        <v>44910.666666666599</v>
      </c>
      <c r="B999" s="1">
        <f ca="1">IFERROR(__xludf.UNSUPPORTED("""COMPUTED_VALUE"""),136.5)</f>
        <v>136.5</v>
      </c>
      <c r="C999" s="2">
        <f t="shared" ca="1" si="3"/>
        <v>-4.6854269953215608E-2</v>
      </c>
    </row>
    <row r="1000" spans="1:3">
      <c r="A1000" s="3">
        <f ca="1">IFERROR(__xludf.UNSUPPORTED("""COMPUTED_VALUE"""),44911.6666666666)</f>
        <v>44911.666666666599</v>
      </c>
      <c r="B1000" s="1">
        <f ca="1">IFERROR(__xludf.UNSUPPORTED("""COMPUTED_VALUE"""),134.51)</f>
        <v>134.51</v>
      </c>
      <c r="C1000" s="2">
        <f t="shared" ca="1" si="3"/>
        <v>-1.4578754578754646E-2</v>
      </c>
    </row>
    <row r="1001" spans="1:3">
      <c r="A1001" s="3">
        <f ca="1">IFERROR(__xludf.UNSUPPORTED("""COMPUTED_VALUE"""),44914.6666666666)</f>
        <v>44914.666666666599</v>
      </c>
      <c r="B1001" s="1">
        <f ca="1">IFERROR(__xludf.UNSUPPORTED("""COMPUTED_VALUE"""),132.37)</f>
        <v>132.37</v>
      </c>
      <c r="C1001" s="2">
        <f t="shared" ca="1" si="3"/>
        <v>-1.5909597799420017E-2</v>
      </c>
    </row>
    <row r="1002" spans="1:3">
      <c r="A1002" s="3">
        <f ca="1">IFERROR(__xludf.UNSUPPORTED("""COMPUTED_VALUE"""),44915.6666666666)</f>
        <v>44915.666666666599</v>
      </c>
      <c r="B1002" s="1">
        <f ca="1">IFERROR(__xludf.UNSUPPORTED("""COMPUTED_VALUE"""),132.3)</f>
        <v>132.30000000000001</v>
      </c>
      <c r="C1002" s="2">
        <f t="shared" ca="1" si="3"/>
        <v>-5.2882072977255559E-4</v>
      </c>
    </row>
    <row r="1003" spans="1:3">
      <c r="A1003" s="3">
        <f ca="1">IFERROR(__xludf.UNSUPPORTED("""COMPUTED_VALUE"""),44916.6666666666)</f>
        <v>44916.666666666599</v>
      </c>
      <c r="B1003" s="1">
        <f ca="1">IFERROR(__xludf.UNSUPPORTED("""COMPUTED_VALUE"""),135.45)</f>
        <v>135.44999999999999</v>
      </c>
      <c r="C1003" s="2">
        <f t="shared" ca="1" si="3"/>
        <v>2.3809523809523635E-2</v>
      </c>
    </row>
    <row r="1004" spans="1:3">
      <c r="A1004" s="3">
        <f ca="1">IFERROR(__xludf.UNSUPPORTED("""COMPUTED_VALUE"""),44917.6666666666)</f>
        <v>44917.666666666599</v>
      </c>
      <c r="B1004" s="1">
        <f ca="1">IFERROR(__xludf.UNSUPPORTED("""COMPUTED_VALUE"""),132.23)</f>
        <v>132.22999999999999</v>
      </c>
      <c r="C1004" s="2">
        <f t="shared" ca="1" si="3"/>
        <v>-2.3772609819121441E-2</v>
      </c>
    </row>
    <row r="1005" spans="1:3">
      <c r="A1005" s="3">
        <f ca="1">IFERROR(__xludf.UNSUPPORTED("""COMPUTED_VALUE"""),44918.6666666666)</f>
        <v>44918.666666666599</v>
      </c>
      <c r="B1005" s="1">
        <f ca="1">IFERROR(__xludf.UNSUPPORTED("""COMPUTED_VALUE"""),131.86)</f>
        <v>131.86000000000001</v>
      </c>
      <c r="C1005" s="2">
        <f t="shared" ca="1" si="3"/>
        <v>-2.7981547303938302E-3</v>
      </c>
    </row>
    <row r="1006" spans="1:3">
      <c r="A1006" s="3">
        <f ca="1">IFERROR(__xludf.UNSUPPORTED("""COMPUTED_VALUE"""),44922.6666666666)</f>
        <v>44922.666666666599</v>
      </c>
      <c r="B1006" s="1">
        <f ca="1">IFERROR(__xludf.UNSUPPORTED("""COMPUTED_VALUE"""),130.03)</f>
        <v>130.03</v>
      </c>
      <c r="C1006" s="2">
        <f t="shared" ca="1" si="3"/>
        <v>-1.3878355831943063E-2</v>
      </c>
    </row>
    <row r="1007" spans="1:3">
      <c r="A1007" s="3">
        <f ca="1">IFERROR(__xludf.UNSUPPORTED("""COMPUTED_VALUE"""),44923.6666666666)</f>
        <v>44923.666666666599</v>
      </c>
      <c r="B1007" s="1">
        <f ca="1">IFERROR(__xludf.UNSUPPORTED("""COMPUTED_VALUE"""),126.04)</f>
        <v>126.04</v>
      </c>
      <c r="C1007" s="2">
        <f t="shared" ca="1" si="3"/>
        <v>-3.0685226486195455E-2</v>
      </c>
    </row>
    <row r="1008" spans="1:3">
      <c r="A1008" s="3">
        <f ca="1">IFERROR(__xludf.UNSUPPORTED("""COMPUTED_VALUE"""),44924.6666666666)</f>
        <v>44924.666666666599</v>
      </c>
      <c r="B1008" s="1">
        <f ca="1">IFERROR(__xludf.UNSUPPORTED("""COMPUTED_VALUE"""),129.61)</f>
        <v>129.61000000000001</v>
      </c>
      <c r="C1008" s="2">
        <f t="shared" ca="1" si="3"/>
        <v>2.8324341478895645E-2</v>
      </c>
    </row>
    <row r="1009" spans="1:3">
      <c r="A1009" s="3">
        <f ca="1">IFERROR(__xludf.UNSUPPORTED("""COMPUTED_VALUE"""),44925.6666666666)</f>
        <v>44925.666666666599</v>
      </c>
      <c r="B1009" s="1">
        <f ca="1">IFERROR(__xludf.UNSUPPORTED("""COMPUTED_VALUE"""),129.93)</f>
        <v>129.93</v>
      </c>
      <c r="C1009" s="2">
        <f t="shared" ca="1" si="3"/>
        <v>2.4689452974307009E-3</v>
      </c>
    </row>
    <row r="1010" spans="1:3">
      <c r="A1010" s="3">
        <f ca="1">IFERROR(__xludf.UNSUPPORTED("""COMPUTED_VALUE"""),44929.6666666666)</f>
        <v>44929.666666666599</v>
      </c>
      <c r="B1010" s="1">
        <f ca="1">IFERROR(__xludf.UNSUPPORTED("""COMPUTED_VALUE"""),125.07)</f>
        <v>125.07</v>
      </c>
      <c r="C1010" s="2">
        <f t="shared" ca="1" si="3"/>
        <v>-3.740475640729634E-2</v>
      </c>
    </row>
    <row r="1011" spans="1:3">
      <c r="A1011" s="3">
        <f ca="1">IFERROR(__xludf.UNSUPPORTED("""COMPUTED_VALUE"""),44930.6666666666)</f>
        <v>44930.666666666599</v>
      </c>
      <c r="B1011" s="1">
        <f ca="1">IFERROR(__xludf.UNSUPPORTED("""COMPUTED_VALUE"""),126.36)</f>
        <v>126.36</v>
      </c>
      <c r="C1011" s="2">
        <f t="shared" ca="1" si="3"/>
        <v>1.0314224034540707E-2</v>
      </c>
    </row>
    <row r="1012" spans="1:3">
      <c r="A1012" s="3">
        <f ca="1">IFERROR(__xludf.UNSUPPORTED("""COMPUTED_VALUE"""),44931.6666666666)</f>
        <v>44931.666666666599</v>
      </c>
      <c r="B1012" s="1">
        <f ca="1">IFERROR(__xludf.UNSUPPORTED("""COMPUTED_VALUE"""),125.02)</f>
        <v>125.02</v>
      </c>
      <c r="C1012" s="2">
        <f t="shared" ca="1" si="3"/>
        <v>-1.0604621715732853E-2</v>
      </c>
    </row>
    <row r="1013" spans="1:3">
      <c r="A1013" s="3">
        <f ca="1">IFERROR(__xludf.UNSUPPORTED("""COMPUTED_VALUE"""),44932.6666666666)</f>
        <v>44932.666666666599</v>
      </c>
      <c r="B1013" s="1">
        <f ca="1">IFERROR(__xludf.UNSUPPORTED("""COMPUTED_VALUE"""),129.62)</f>
        <v>129.62</v>
      </c>
      <c r="C1013" s="2">
        <f t="shared" ca="1" si="3"/>
        <v>3.6794112941929358E-2</v>
      </c>
    </row>
    <row r="1014" spans="1:3">
      <c r="A1014" s="3">
        <f ca="1">IFERROR(__xludf.UNSUPPORTED("""COMPUTED_VALUE"""),44935.6666666666)</f>
        <v>44935.666666666599</v>
      </c>
      <c r="B1014" s="1">
        <f ca="1">IFERROR(__xludf.UNSUPPORTED("""COMPUTED_VALUE"""),130.15)</f>
        <v>130.15</v>
      </c>
      <c r="C1014" s="2">
        <f t="shared" ca="1" si="3"/>
        <v>4.0888751735843323E-3</v>
      </c>
    </row>
    <row r="1015" spans="1:3">
      <c r="A1015" s="3">
        <f ca="1">IFERROR(__xludf.UNSUPPORTED("""COMPUTED_VALUE"""),44936.6666666666)</f>
        <v>44936.666666666599</v>
      </c>
      <c r="B1015" s="1">
        <f ca="1">IFERROR(__xludf.UNSUPPORTED("""COMPUTED_VALUE"""),130.73)</f>
        <v>130.72999999999999</v>
      </c>
      <c r="C1015" s="2">
        <f t="shared" ca="1" si="3"/>
        <v>4.4563964656164738E-3</v>
      </c>
    </row>
    <row r="1016" spans="1:3">
      <c r="A1016" s="3">
        <f ca="1">IFERROR(__xludf.UNSUPPORTED("""COMPUTED_VALUE"""),44937.6666666666)</f>
        <v>44937.666666666599</v>
      </c>
      <c r="B1016" s="1">
        <f ca="1">IFERROR(__xludf.UNSUPPORTED("""COMPUTED_VALUE"""),133.49)</f>
        <v>133.49</v>
      </c>
      <c r="C1016" s="2">
        <f t="shared" ca="1" si="3"/>
        <v>2.1112216017746651E-2</v>
      </c>
    </row>
    <row r="1017" spans="1:3">
      <c r="A1017" s="3">
        <f ca="1">IFERROR(__xludf.UNSUPPORTED("""COMPUTED_VALUE"""),44938.6666666666)</f>
        <v>44938.666666666599</v>
      </c>
      <c r="B1017" s="1">
        <f ca="1">IFERROR(__xludf.UNSUPPORTED("""COMPUTED_VALUE"""),133.41)</f>
        <v>133.41</v>
      </c>
      <c r="C1017" s="2">
        <f t="shared" ca="1" si="3"/>
        <v>-5.9929582740289534E-4</v>
      </c>
    </row>
    <row r="1018" spans="1:3">
      <c r="A1018" s="3">
        <f ca="1">IFERROR(__xludf.UNSUPPORTED("""COMPUTED_VALUE"""),44939.6666666666)</f>
        <v>44939.666666666599</v>
      </c>
      <c r="B1018" s="1">
        <f ca="1">IFERROR(__xludf.UNSUPPORTED("""COMPUTED_VALUE"""),134.76)</f>
        <v>134.76</v>
      </c>
      <c r="C1018" s="2">
        <f t="shared" ca="1" si="3"/>
        <v>1.0119181470654331E-2</v>
      </c>
    </row>
    <row r="1019" spans="1:3">
      <c r="A1019" s="3">
        <f ca="1">IFERROR(__xludf.UNSUPPORTED("""COMPUTED_VALUE"""),44943.6666666666)</f>
        <v>44943.666666666599</v>
      </c>
      <c r="B1019" s="1">
        <f ca="1">IFERROR(__xludf.UNSUPPORTED("""COMPUTED_VALUE"""),135.94)</f>
        <v>135.94</v>
      </c>
      <c r="C1019" s="2">
        <f t="shared" ca="1" si="3"/>
        <v>8.7563075096468313E-3</v>
      </c>
    </row>
    <row r="1020" spans="1:3">
      <c r="A1020" s="3">
        <f ca="1">IFERROR(__xludf.UNSUPPORTED("""COMPUTED_VALUE"""),44944.6666666666)</f>
        <v>44944.666666666599</v>
      </c>
      <c r="B1020" s="1">
        <f ca="1">IFERROR(__xludf.UNSUPPORTED("""COMPUTED_VALUE"""),135.21)</f>
        <v>135.21</v>
      </c>
      <c r="C1020" s="2">
        <f t="shared" ca="1" si="3"/>
        <v>-5.3700161836103414E-3</v>
      </c>
    </row>
    <row r="1021" spans="1:3">
      <c r="A1021" s="3">
        <f ca="1">IFERROR(__xludf.UNSUPPORTED("""COMPUTED_VALUE"""),44945.6666666666)</f>
        <v>44945.666666666599</v>
      </c>
      <c r="B1021" s="1">
        <f ca="1">IFERROR(__xludf.UNSUPPORTED("""COMPUTED_VALUE"""),135.27)</f>
        <v>135.27000000000001</v>
      </c>
      <c r="C1021" s="2">
        <f t="shared" ca="1" si="3"/>
        <v>4.437541601952686E-4</v>
      </c>
    </row>
    <row r="1022" spans="1:3">
      <c r="A1022" s="3">
        <f ca="1">IFERROR(__xludf.UNSUPPORTED("""COMPUTED_VALUE"""),44946.6666666666)</f>
        <v>44946.666666666599</v>
      </c>
      <c r="B1022" s="1">
        <f ca="1">IFERROR(__xludf.UNSUPPORTED("""COMPUTED_VALUE"""),137.87)</f>
        <v>137.87</v>
      </c>
      <c r="C1022" s="2">
        <f t="shared" ca="1" si="3"/>
        <v>1.9220817624011195E-2</v>
      </c>
    </row>
    <row r="1023" spans="1:3">
      <c r="A1023" s="3">
        <f ca="1">IFERROR(__xludf.UNSUPPORTED("""COMPUTED_VALUE"""),44949.6666666666)</f>
        <v>44949.666666666599</v>
      </c>
      <c r="B1023" s="1">
        <f ca="1">IFERROR(__xludf.UNSUPPORTED("""COMPUTED_VALUE"""),141.11)</f>
        <v>141.11000000000001</v>
      </c>
      <c r="C1023" s="2">
        <f t="shared" ref="C1023:C1277" ca="1" si="4">(B1023-B1022)/B1022</f>
        <v>2.3500398926525053E-2</v>
      </c>
    </row>
    <row r="1024" spans="1:3">
      <c r="A1024" s="3">
        <f ca="1">IFERROR(__xludf.UNSUPPORTED("""COMPUTED_VALUE"""),44950.6666666666)</f>
        <v>44950.666666666599</v>
      </c>
      <c r="B1024" s="1">
        <f ca="1">IFERROR(__xludf.UNSUPPORTED("""COMPUTED_VALUE"""),142.53)</f>
        <v>142.53</v>
      </c>
      <c r="C1024" s="2">
        <f t="shared" ca="1" si="4"/>
        <v>1.0063071362766546E-2</v>
      </c>
    </row>
    <row r="1025" spans="1:3">
      <c r="A1025" s="3">
        <f ca="1">IFERROR(__xludf.UNSUPPORTED("""COMPUTED_VALUE"""),44951.6666666666)</f>
        <v>44951.666666666599</v>
      </c>
      <c r="B1025" s="1">
        <f ca="1">IFERROR(__xludf.UNSUPPORTED("""COMPUTED_VALUE"""),141.86)</f>
        <v>141.86000000000001</v>
      </c>
      <c r="C1025" s="2">
        <f t="shared" ca="1" si="4"/>
        <v>-4.700764751280344E-3</v>
      </c>
    </row>
    <row r="1026" spans="1:3">
      <c r="A1026" s="3">
        <f ca="1">IFERROR(__xludf.UNSUPPORTED("""COMPUTED_VALUE"""),44952.6666666666)</f>
        <v>44952.666666666599</v>
      </c>
      <c r="B1026" s="1">
        <f ca="1">IFERROR(__xludf.UNSUPPORTED("""COMPUTED_VALUE"""),143.96)</f>
        <v>143.96</v>
      </c>
      <c r="C1026" s="2">
        <f t="shared" ca="1" si="4"/>
        <v>1.4803327224023643E-2</v>
      </c>
    </row>
    <row r="1027" spans="1:3">
      <c r="A1027" s="3">
        <f ca="1">IFERROR(__xludf.UNSUPPORTED("""COMPUTED_VALUE"""),44953.6666666666)</f>
        <v>44953.666666666599</v>
      </c>
      <c r="B1027" s="1">
        <f ca="1">IFERROR(__xludf.UNSUPPORTED("""COMPUTED_VALUE"""),145.93)</f>
        <v>145.93</v>
      </c>
      <c r="C1027" s="2">
        <f t="shared" ca="1" si="4"/>
        <v>1.368435676576826E-2</v>
      </c>
    </row>
    <row r="1028" spans="1:3">
      <c r="A1028" s="3">
        <f ca="1">IFERROR(__xludf.UNSUPPORTED("""COMPUTED_VALUE"""),44956.6666666666)</f>
        <v>44956.666666666599</v>
      </c>
      <c r="B1028" s="1">
        <f ca="1">IFERROR(__xludf.UNSUPPORTED("""COMPUTED_VALUE"""),143)</f>
        <v>143</v>
      </c>
      <c r="C1028" s="2">
        <f t="shared" ca="1" si="4"/>
        <v>-2.0078119646405858E-2</v>
      </c>
    </row>
    <row r="1029" spans="1:3">
      <c r="A1029" s="3">
        <f ca="1">IFERROR(__xludf.UNSUPPORTED("""COMPUTED_VALUE"""),44957.6666666666)</f>
        <v>44957.666666666599</v>
      </c>
      <c r="B1029" s="1">
        <f ca="1">IFERROR(__xludf.UNSUPPORTED("""COMPUTED_VALUE"""),144.29)</f>
        <v>144.29</v>
      </c>
      <c r="C1029" s="2">
        <f t="shared" ca="1" si="4"/>
        <v>9.0209790209789652E-3</v>
      </c>
    </row>
    <row r="1030" spans="1:3">
      <c r="A1030" s="3">
        <f ca="1">IFERROR(__xludf.UNSUPPORTED("""COMPUTED_VALUE"""),44958.6666666666)</f>
        <v>44958.666666666599</v>
      </c>
      <c r="B1030" s="1">
        <f ca="1">IFERROR(__xludf.UNSUPPORTED("""COMPUTED_VALUE"""),145.43)</f>
        <v>145.43</v>
      </c>
      <c r="C1030" s="2">
        <f t="shared" ca="1" si="4"/>
        <v>7.9007554231063475E-3</v>
      </c>
    </row>
    <row r="1031" spans="1:3">
      <c r="A1031" s="3">
        <f ca="1">IFERROR(__xludf.UNSUPPORTED("""COMPUTED_VALUE"""),44959.6666666666)</f>
        <v>44959.666666666599</v>
      </c>
      <c r="B1031" s="1">
        <f ca="1">IFERROR(__xludf.UNSUPPORTED("""COMPUTED_VALUE"""),150.82)</f>
        <v>150.82</v>
      </c>
      <c r="C1031" s="2">
        <f t="shared" ca="1" si="4"/>
        <v>3.7062504297600121E-2</v>
      </c>
    </row>
    <row r="1032" spans="1:3">
      <c r="A1032" s="3">
        <f ca="1">IFERROR(__xludf.UNSUPPORTED("""COMPUTED_VALUE"""),44960.6666666666)</f>
        <v>44960.666666666599</v>
      </c>
      <c r="B1032" s="1">
        <f ca="1">IFERROR(__xludf.UNSUPPORTED("""COMPUTED_VALUE"""),154.5)</f>
        <v>154.5</v>
      </c>
      <c r="C1032" s="2">
        <f t="shared" ca="1" si="4"/>
        <v>2.4399946956637098E-2</v>
      </c>
    </row>
    <row r="1033" spans="1:3">
      <c r="A1033" s="3">
        <f ca="1">IFERROR(__xludf.UNSUPPORTED("""COMPUTED_VALUE"""),44963.6666666666)</f>
        <v>44963.666666666599</v>
      </c>
      <c r="B1033" s="1">
        <f ca="1">IFERROR(__xludf.UNSUPPORTED("""COMPUTED_VALUE"""),151.73)</f>
        <v>151.72999999999999</v>
      </c>
      <c r="C1033" s="2">
        <f t="shared" ca="1" si="4"/>
        <v>-1.7928802588996831E-2</v>
      </c>
    </row>
    <row r="1034" spans="1:3">
      <c r="A1034" s="3">
        <f ca="1">IFERROR(__xludf.UNSUPPORTED("""COMPUTED_VALUE"""),44964.6666666666)</f>
        <v>44964.666666666599</v>
      </c>
      <c r="B1034" s="1">
        <f ca="1">IFERROR(__xludf.UNSUPPORTED("""COMPUTED_VALUE"""),154.65)</f>
        <v>154.65</v>
      </c>
      <c r="C1034" s="2">
        <f t="shared" ca="1" si="4"/>
        <v>1.9244710999802385E-2</v>
      </c>
    </row>
    <row r="1035" spans="1:3">
      <c r="A1035" s="3">
        <f ca="1">IFERROR(__xludf.UNSUPPORTED("""COMPUTED_VALUE"""),44965.6666666666)</f>
        <v>44965.666666666599</v>
      </c>
      <c r="B1035" s="1">
        <f ca="1">IFERROR(__xludf.UNSUPPORTED("""COMPUTED_VALUE"""),151.92)</f>
        <v>151.91999999999999</v>
      </c>
      <c r="C1035" s="2">
        <f t="shared" ca="1" si="4"/>
        <v>-1.7652764306498661E-2</v>
      </c>
    </row>
    <row r="1036" spans="1:3">
      <c r="A1036" s="3">
        <f ca="1">IFERROR(__xludf.UNSUPPORTED("""COMPUTED_VALUE"""),44966.6666666666)</f>
        <v>44966.666666666599</v>
      </c>
      <c r="B1036" s="1">
        <f ca="1">IFERROR(__xludf.UNSUPPORTED("""COMPUTED_VALUE"""),150.87)</f>
        <v>150.87</v>
      </c>
      <c r="C1036" s="2">
        <f t="shared" ca="1" si="4"/>
        <v>-6.9115323854659228E-3</v>
      </c>
    </row>
    <row r="1037" spans="1:3">
      <c r="A1037" s="3">
        <f ca="1">IFERROR(__xludf.UNSUPPORTED("""COMPUTED_VALUE"""),44967.6666666666)</f>
        <v>44967.666666666599</v>
      </c>
      <c r="B1037" s="1">
        <f ca="1">IFERROR(__xludf.UNSUPPORTED("""COMPUTED_VALUE"""),151.01)</f>
        <v>151.01</v>
      </c>
      <c r="C1037" s="2">
        <f t="shared" ca="1" si="4"/>
        <v>9.2795121627882514E-4</v>
      </c>
    </row>
    <row r="1038" spans="1:3">
      <c r="A1038" s="3">
        <f ca="1">IFERROR(__xludf.UNSUPPORTED("""COMPUTED_VALUE"""),44970.6666666666)</f>
        <v>44970.666666666599</v>
      </c>
      <c r="B1038" s="1">
        <f ca="1">IFERROR(__xludf.UNSUPPORTED("""COMPUTED_VALUE"""),153.85)</f>
        <v>153.85</v>
      </c>
      <c r="C1038" s="2">
        <f t="shared" ca="1" si="4"/>
        <v>1.8806701542944199E-2</v>
      </c>
    </row>
    <row r="1039" spans="1:3">
      <c r="A1039" s="3">
        <f ca="1">IFERROR(__xludf.UNSUPPORTED("""COMPUTED_VALUE"""),44971.6666666666)</f>
        <v>44971.666666666599</v>
      </c>
      <c r="B1039" s="1">
        <f ca="1">IFERROR(__xludf.UNSUPPORTED("""COMPUTED_VALUE"""),153.2)</f>
        <v>153.19999999999999</v>
      </c>
      <c r="C1039" s="2">
        <f t="shared" ca="1" si="4"/>
        <v>-4.2248943776405957E-3</v>
      </c>
    </row>
    <row r="1040" spans="1:3">
      <c r="A1040" s="3">
        <f ca="1">IFERROR(__xludf.UNSUPPORTED("""COMPUTED_VALUE"""),44972.6666666666)</f>
        <v>44972.666666666599</v>
      </c>
      <c r="B1040" s="1">
        <f ca="1">IFERROR(__xludf.UNSUPPORTED("""COMPUTED_VALUE"""),155.33)</f>
        <v>155.33000000000001</v>
      </c>
      <c r="C1040" s="2">
        <f t="shared" ca="1" si="4"/>
        <v>1.3903394255874831E-2</v>
      </c>
    </row>
    <row r="1041" spans="1:3">
      <c r="A1041" s="3">
        <f ca="1">IFERROR(__xludf.UNSUPPORTED("""COMPUTED_VALUE"""),44973.6666666666)</f>
        <v>44973.666666666599</v>
      </c>
      <c r="B1041" s="1">
        <f ca="1">IFERROR(__xludf.UNSUPPORTED("""COMPUTED_VALUE"""),153.71)</f>
        <v>153.71</v>
      </c>
      <c r="C1041" s="2">
        <f t="shared" ca="1" si="4"/>
        <v>-1.0429408356402527E-2</v>
      </c>
    </row>
    <row r="1042" spans="1:3">
      <c r="A1042" s="3">
        <f ca="1">IFERROR(__xludf.UNSUPPORTED("""COMPUTED_VALUE"""),44974.6666666666)</f>
        <v>44974.666666666599</v>
      </c>
      <c r="B1042" s="1">
        <f ca="1">IFERROR(__xludf.UNSUPPORTED("""COMPUTED_VALUE"""),152.55)</f>
        <v>152.55000000000001</v>
      </c>
      <c r="C1042" s="2">
        <f t="shared" ca="1" si="4"/>
        <v>-7.5466788107474893E-3</v>
      </c>
    </row>
    <row r="1043" spans="1:3">
      <c r="A1043" s="3">
        <f ca="1">IFERROR(__xludf.UNSUPPORTED("""COMPUTED_VALUE"""),44978.6666666666)</f>
        <v>44978.666666666599</v>
      </c>
      <c r="B1043" s="1">
        <f ca="1">IFERROR(__xludf.UNSUPPORTED("""COMPUTED_VALUE"""),148.48)</f>
        <v>148.47999999999999</v>
      </c>
      <c r="C1043" s="2">
        <f t="shared" ca="1" si="4"/>
        <v>-2.6679777122255138E-2</v>
      </c>
    </row>
    <row r="1044" spans="1:3">
      <c r="A1044" s="3">
        <f ca="1">IFERROR(__xludf.UNSUPPORTED("""COMPUTED_VALUE"""),44979.6666666666)</f>
        <v>44979.666666666599</v>
      </c>
      <c r="B1044" s="1">
        <f ca="1">IFERROR(__xludf.UNSUPPORTED("""COMPUTED_VALUE"""),148.91)</f>
        <v>148.91</v>
      </c>
      <c r="C1044" s="2">
        <f t="shared" ca="1" si="4"/>
        <v>2.8960129310345289E-3</v>
      </c>
    </row>
    <row r="1045" spans="1:3">
      <c r="A1045" s="3">
        <f ca="1">IFERROR(__xludf.UNSUPPORTED("""COMPUTED_VALUE"""),44980.6666666666)</f>
        <v>44980.666666666599</v>
      </c>
      <c r="B1045" s="1">
        <f ca="1">IFERROR(__xludf.UNSUPPORTED("""COMPUTED_VALUE"""),149.4)</f>
        <v>149.4</v>
      </c>
      <c r="C1045" s="2">
        <f t="shared" ca="1" si="4"/>
        <v>3.2905782015983419E-3</v>
      </c>
    </row>
    <row r="1046" spans="1:3">
      <c r="A1046" s="3">
        <f ca="1">IFERROR(__xludf.UNSUPPORTED("""COMPUTED_VALUE"""),44981.6666666666)</f>
        <v>44981.666666666599</v>
      </c>
      <c r="B1046" s="1">
        <f ca="1">IFERROR(__xludf.UNSUPPORTED("""COMPUTED_VALUE"""),146.71)</f>
        <v>146.71</v>
      </c>
      <c r="C1046" s="2">
        <f t="shared" ca="1" si="4"/>
        <v>-1.8005354752342689E-2</v>
      </c>
    </row>
    <row r="1047" spans="1:3">
      <c r="A1047" s="3">
        <f ca="1">IFERROR(__xludf.UNSUPPORTED("""COMPUTED_VALUE"""),44984.6666666666)</f>
        <v>44984.666666666599</v>
      </c>
      <c r="B1047" s="1">
        <f ca="1">IFERROR(__xludf.UNSUPPORTED("""COMPUTED_VALUE"""),147.92)</f>
        <v>147.91999999999999</v>
      </c>
      <c r="C1047" s="2">
        <f t="shared" ca="1" si="4"/>
        <v>8.2475632199576002E-3</v>
      </c>
    </row>
    <row r="1048" spans="1:3">
      <c r="A1048" s="3">
        <f ca="1">IFERROR(__xludf.UNSUPPORTED("""COMPUTED_VALUE"""),44985.6666666666)</f>
        <v>44985.666666666599</v>
      </c>
      <c r="B1048" s="1">
        <f ca="1">IFERROR(__xludf.UNSUPPORTED("""COMPUTED_VALUE"""),147.41)</f>
        <v>147.41</v>
      </c>
      <c r="C1048" s="2">
        <f t="shared" ca="1" si="4"/>
        <v>-3.4478096268252497E-3</v>
      </c>
    </row>
    <row r="1049" spans="1:3">
      <c r="A1049" s="3">
        <f ca="1">IFERROR(__xludf.UNSUPPORTED("""COMPUTED_VALUE"""),44986.6666666666)</f>
        <v>44986.666666666599</v>
      </c>
      <c r="B1049" s="1">
        <f ca="1">IFERROR(__xludf.UNSUPPORTED("""COMPUTED_VALUE"""),145.31)</f>
        <v>145.31</v>
      </c>
      <c r="C1049" s="2">
        <f t="shared" ca="1" si="4"/>
        <v>-1.4245980598331147E-2</v>
      </c>
    </row>
    <row r="1050" spans="1:3">
      <c r="A1050" s="3">
        <f ca="1">IFERROR(__xludf.UNSUPPORTED("""COMPUTED_VALUE"""),44987.6666666666)</f>
        <v>44987.666666666599</v>
      </c>
      <c r="B1050" s="1">
        <f ca="1">IFERROR(__xludf.UNSUPPORTED("""COMPUTED_VALUE"""),145.91)</f>
        <v>145.91</v>
      </c>
      <c r="C1050" s="2">
        <f t="shared" ca="1" si="4"/>
        <v>4.1291032964007593E-3</v>
      </c>
    </row>
    <row r="1051" spans="1:3">
      <c r="A1051" s="3">
        <f ca="1">IFERROR(__xludf.UNSUPPORTED("""COMPUTED_VALUE"""),44988.6666666666)</f>
        <v>44988.666666666599</v>
      </c>
      <c r="B1051" s="1">
        <f ca="1">IFERROR(__xludf.UNSUPPORTED("""COMPUTED_VALUE"""),151.03)</f>
        <v>151.03</v>
      </c>
      <c r="C1051" s="2">
        <f t="shared" ca="1" si="4"/>
        <v>3.5090124049071379E-2</v>
      </c>
    </row>
    <row r="1052" spans="1:3">
      <c r="A1052" s="3">
        <f ca="1">IFERROR(__xludf.UNSUPPORTED("""COMPUTED_VALUE"""),44991.6666666666)</f>
        <v>44991.666666666599</v>
      </c>
      <c r="B1052" s="1">
        <f ca="1">IFERROR(__xludf.UNSUPPORTED("""COMPUTED_VALUE"""),153.83)</f>
        <v>153.83000000000001</v>
      </c>
      <c r="C1052" s="2">
        <f t="shared" ca="1" si="4"/>
        <v>1.8539363040455614E-2</v>
      </c>
    </row>
    <row r="1053" spans="1:3">
      <c r="A1053" s="3">
        <f ca="1">IFERROR(__xludf.UNSUPPORTED("""COMPUTED_VALUE"""),44992.6666666666)</f>
        <v>44992.666666666599</v>
      </c>
      <c r="B1053" s="1">
        <f ca="1">IFERROR(__xludf.UNSUPPORTED("""COMPUTED_VALUE"""),151.6)</f>
        <v>151.6</v>
      </c>
      <c r="C1053" s="2">
        <f t="shared" ca="1" si="4"/>
        <v>-1.4496522134824273E-2</v>
      </c>
    </row>
    <row r="1054" spans="1:3">
      <c r="A1054" s="3">
        <f ca="1">IFERROR(__xludf.UNSUPPORTED("""COMPUTED_VALUE"""),44993.6666666666)</f>
        <v>44993.666666666599</v>
      </c>
      <c r="B1054" s="1">
        <f ca="1">IFERROR(__xludf.UNSUPPORTED("""COMPUTED_VALUE"""),152.87)</f>
        <v>152.87</v>
      </c>
      <c r="C1054" s="2">
        <f t="shared" ca="1" si="4"/>
        <v>8.377308707124078E-3</v>
      </c>
    </row>
    <row r="1055" spans="1:3">
      <c r="A1055" s="3">
        <f ca="1">IFERROR(__xludf.UNSUPPORTED("""COMPUTED_VALUE"""),44994.6666666666)</f>
        <v>44994.666666666599</v>
      </c>
      <c r="B1055" s="1">
        <f ca="1">IFERROR(__xludf.UNSUPPORTED("""COMPUTED_VALUE"""),150.59)</f>
        <v>150.59</v>
      </c>
      <c r="C1055" s="2">
        <f t="shared" ca="1" si="4"/>
        <v>-1.4914633348596855E-2</v>
      </c>
    </row>
    <row r="1056" spans="1:3">
      <c r="A1056" s="3">
        <f ca="1">IFERROR(__xludf.UNSUPPORTED("""COMPUTED_VALUE"""),44995.6666666666)</f>
        <v>44995.666666666599</v>
      </c>
      <c r="B1056" s="1">
        <f ca="1">IFERROR(__xludf.UNSUPPORTED("""COMPUTED_VALUE"""),148.5)</f>
        <v>148.5</v>
      </c>
      <c r="C1056" s="2">
        <f t="shared" ca="1" si="4"/>
        <v>-1.3878743608473361E-2</v>
      </c>
    </row>
    <row r="1057" spans="1:3">
      <c r="A1057" s="3">
        <f ca="1">IFERROR(__xludf.UNSUPPORTED("""COMPUTED_VALUE"""),44998.6666666666)</f>
        <v>44998.666666666599</v>
      </c>
      <c r="B1057" s="1">
        <f ca="1">IFERROR(__xludf.UNSUPPORTED("""COMPUTED_VALUE"""),150.47)</f>
        <v>150.47</v>
      </c>
      <c r="C1057" s="2">
        <f t="shared" ca="1" si="4"/>
        <v>1.3265993265993259E-2</v>
      </c>
    </row>
    <row r="1058" spans="1:3">
      <c r="A1058" s="3">
        <f ca="1">IFERROR(__xludf.UNSUPPORTED("""COMPUTED_VALUE"""),44999.6666666666)</f>
        <v>44999.666666666599</v>
      </c>
      <c r="B1058" s="1">
        <f ca="1">IFERROR(__xludf.UNSUPPORTED("""COMPUTED_VALUE"""),152.59)</f>
        <v>152.59</v>
      </c>
      <c r="C1058" s="2">
        <f t="shared" ca="1" si="4"/>
        <v>1.4089187213398051E-2</v>
      </c>
    </row>
    <row r="1059" spans="1:3">
      <c r="A1059" s="3">
        <f ca="1">IFERROR(__xludf.UNSUPPORTED("""COMPUTED_VALUE"""),45000.6666666666)</f>
        <v>45000.666666666599</v>
      </c>
      <c r="B1059" s="1">
        <f ca="1">IFERROR(__xludf.UNSUPPORTED("""COMPUTED_VALUE"""),152.99)</f>
        <v>152.99</v>
      </c>
      <c r="C1059" s="2">
        <f t="shared" ca="1" si="4"/>
        <v>2.6214037617144355E-3</v>
      </c>
    </row>
    <row r="1060" spans="1:3">
      <c r="A1060" s="3">
        <f ca="1">IFERROR(__xludf.UNSUPPORTED("""COMPUTED_VALUE"""),45001.6666666666)</f>
        <v>45001.666666666599</v>
      </c>
      <c r="B1060" s="1">
        <f ca="1">IFERROR(__xludf.UNSUPPORTED("""COMPUTED_VALUE"""),155.85)</f>
        <v>155.85</v>
      </c>
      <c r="C1060" s="2">
        <f t="shared" ca="1" si="4"/>
        <v>1.8694032289692041E-2</v>
      </c>
    </row>
    <row r="1061" spans="1:3">
      <c r="A1061" s="3">
        <f ca="1">IFERROR(__xludf.UNSUPPORTED("""COMPUTED_VALUE"""),45002.6666666666)</f>
        <v>45002.666666666599</v>
      </c>
      <c r="B1061" s="1">
        <f ca="1">IFERROR(__xludf.UNSUPPORTED("""COMPUTED_VALUE"""),155)</f>
        <v>155</v>
      </c>
      <c r="C1061" s="2">
        <f t="shared" ca="1" si="4"/>
        <v>-5.4539621430862648E-3</v>
      </c>
    </row>
    <row r="1062" spans="1:3">
      <c r="A1062" s="3">
        <f ca="1">IFERROR(__xludf.UNSUPPORTED("""COMPUTED_VALUE"""),45005.6666666666)</f>
        <v>45005.666666666599</v>
      </c>
      <c r="B1062" s="1">
        <f ca="1">IFERROR(__xludf.UNSUPPORTED("""COMPUTED_VALUE"""),157.4)</f>
        <v>157.4</v>
      </c>
      <c r="C1062" s="2">
        <f t="shared" ca="1" si="4"/>
        <v>1.5483870967741972E-2</v>
      </c>
    </row>
    <row r="1063" spans="1:3">
      <c r="A1063" s="3">
        <f ca="1">IFERROR(__xludf.UNSUPPORTED("""COMPUTED_VALUE"""),45006.6666666666)</f>
        <v>45006.666666666599</v>
      </c>
      <c r="B1063" s="1">
        <f ca="1">IFERROR(__xludf.UNSUPPORTED("""COMPUTED_VALUE"""),159.28)</f>
        <v>159.28</v>
      </c>
      <c r="C1063" s="2">
        <f t="shared" ca="1" si="4"/>
        <v>1.1944091486658166E-2</v>
      </c>
    </row>
    <row r="1064" spans="1:3">
      <c r="A1064" s="3">
        <f ca="1">IFERROR(__xludf.UNSUPPORTED("""COMPUTED_VALUE"""),45007.6666666666)</f>
        <v>45007.666666666599</v>
      </c>
      <c r="B1064" s="1">
        <f ca="1">IFERROR(__xludf.UNSUPPORTED("""COMPUTED_VALUE"""),157.83)</f>
        <v>157.83000000000001</v>
      </c>
      <c r="C1064" s="2">
        <f t="shared" ca="1" si="4"/>
        <v>-9.1034655951782312E-3</v>
      </c>
    </row>
    <row r="1065" spans="1:3">
      <c r="A1065" s="3">
        <f ca="1">IFERROR(__xludf.UNSUPPORTED("""COMPUTED_VALUE"""),45008.6666666666)</f>
        <v>45008.666666666599</v>
      </c>
      <c r="B1065" s="1">
        <f ca="1">IFERROR(__xludf.UNSUPPORTED("""COMPUTED_VALUE"""),158.93)</f>
        <v>158.93</v>
      </c>
      <c r="C1065" s="2">
        <f t="shared" ca="1" si="4"/>
        <v>6.969524171576977E-3</v>
      </c>
    </row>
    <row r="1066" spans="1:3">
      <c r="A1066" s="3">
        <f ca="1">IFERROR(__xludf.UNSUPPORTED("""COMPUTED_VALUE"""),45009.6666666666)</f>
        <v>45009.666666666599</v>
      </c>
      <c r="B1066" s="1">
        <f ca="1">IFERROR(__xludf.UNSUPPORTED("""COMPUTED_VALUE"""),160.25)</f>
        <v>160.25</v>
      </c>
      <c r="C1066" s="2">
        <f t="shared" ca="1" si="4"/>
        <v>8.3055433209588692E-3</v>
      </c>
    </row>
    <row r="1067" spans="1:3">
      <c r="A1067" s="3">
        <f ca="1">IFERROR(__xludf.UNSUPPORTED("""COMPUTED_VALUE"""),45012.6666666666)</f>
        <v>45012.666666666599</v>
      </c>
      <c r="B1067" s="1">
        <f ca="1">IFERROR(__xludf.UNSUPPORTED("""COMPUTED_VALUE"""),158.28)</f>
        <v>158.28</v>
      </c>
      <c r="C1067" s="2">
        <f t="shared" ca="1" si="4"/>
        <v>-1.2293291731669259E-2</v>
      </c>
    </row>
    <row r="1068" spans="1:3">
      <c r="A1068" s="3">
        <f ca="1">IFERROR(__xludf.UNSUPPORTED("""COMPUTED_VALUE"""),45013.6666666666)</f>
        <v>45013.666666666599</v>
      </c>
      <c r="B1068" s="1">
        <f ca="1">IFERROR(__xludf.UNSUPPORTED("""COMPUTED_VALUE"""),157.65)</f>
        <v>157.65</v>
      </c>
      <c r="C1068" s="2">
        <f t="shared" ca="1" si="4"/>
        <v>-3.9802880970431862E-3</v>
      </c>
    </row>
    <row r="1069" spans="1:3">
      <c r="A1069" s="3">
        <f ca="1">IFERROR(__xludf.UNSUPPORTED("""COMPUTED_VALUE"""),45014.6666666666)</f>
        <v>45014.666666666599</v>
      </c>
      <c r="B1069" s="1">
        <f ca="1">IFERROR(__xludf.UNSUPPORTED("""COMPUTED_VALUE"""),160.77)</f>
        <v>160.77000000000001</v>
      </c>
      <c r="C1069" s="2">
        <f t="shared" ca="1" si="4"/>
        <v>1.9790675547098031E-2</v>
      </c>
    </row>
    <row r="1070" spans="1:3">
      <c r="A1070" s="3">
        <f ca="1">IFERROR(__xludf.UNSUPPORTED("""COMPUTED_VALUE"""),45015.6666666666)</f>
        <v>45015.666666666599</v>
      </c>
      <c r="B1070" s="1">
        <f ca="1">IFERROR(__xludf.UNSUPPORTED("""COMPUTED_VALUE"""),162.36)</f>
        <v>162.36000000000001</v>
      </c>
      <c r="C1070" s="2">
        <f t="shared" ca="1" si="4"/>
        <v>9.8899048329912503E-3</v>
      </c>
    </row>
    <row r="1071" spans="1:3">
      <c r="A1071" s="3">
        <f ca="1">IFERROR(__xludf.UNSUPPORTED("""COMPUTED_VALUE"""),45016.6666666666)</f>
        <v>45016.666666666599</v>
      </c>
      <c r="B1071" s="1">
        <f ca="1">IFERROR(__xludf.UNSUPPORTED("""COMPUTED_VALUE"""),164.9)</f>
        <v>164.9</v>
      </c>
      <c r="C1071" s="2">
        <f t="shared" ca="1" si="4"/>
        <v>1.5644247351564375E-2</v>
      </c>
    </row>
    <row r="1072" spans="1:3">
      <c r="A1072" s="3">
        <f ca="1">IFERROR(__xludf.UNSUPPORTED("""COMPUTED_VALUE"""),45019.6666666666)</f>
        <v>45019.666666666599</v>
      </c>
      <c r="B1072" s="1">
        <f ca="1">IFERROR(__xludf.UNSUPPORTED("""COMPUTED_VALUE"""),166.17)</f>
        <v>166.17</v>
      </c>
      <c r="C1072" s="2">
        <f t="shared" ca="1" si="4"/>
        <v>7.7016373559732065E-3</v>
      </c>
    </row>
    <row r="1073" spans="1:3">
      <c r="A1073" s="3">
        <f ca="1">IFERROR(__xludf.UNSUPPORTED("""COMPUTED_VALUE"""),45020.6666666666)</f>
        <v>45020.666666666599</v>
      </c>
      <c r="B1073" s="1">
        <f ca="1">IFERROR(__xludf.UNSUPPORTED("""COMPUTED_VALUE"""),165.63)</f>
        <v>165.63</v>
      </c>
      <c r="C1073" s="2">
        <f t="shared" ca="1" si="4"/>
        <v>-3.2496840584942655E-3</v>
      </c>
    </row>
    <row r="1074" spans="1:3">
      <c r="A1074" s="3">
        <f ca="1">IFERROR(__xludf.UNSUPPORTED("""COMPUTED_VALUE"""),45021.6666666666)</f>
        <v>45021.666666666599</v>
      </c>
      <c r="B1074" s="1">
        <f ca="1">IFERROR(__xludf.UNSUPPORTED("""COMPUTED_VALUE"""),163.76)</f>
        <v>163.76</v>
      </c>
      <c r="C1074" s="2">
        <f t="shared" ca="1" si="4"/>
        <v>-1.1290225200748684E-2</v>
      </c>
    </row>
    <row r="1075" spans="1:3">
      <c r="A1075" s="3">
        <f ca="1">IFERROR(__xludf.UNSUPPORTED("""COMPUTED_VALUE"""),45022.6666666666)</f>
        <v>45022.666666666599</v>
      </c>
      <c r="B1075" s="1">
        <f ca="1">IFERROR(__xludf.UNSUPPORTED("""COMPUTED_VALUE"""),164.66)</f>
        <v>164.66</v>
      </c>
      <c r="C1075" s="2">
        <f t="shared" ca="1" si="4"/>
        <v>5.4958475818270994E-3</v>
      </c>
    </row>
    <row r="1076" spans="1:3">
      <c r="A1076" s="3">
        <f ca="1">IFERROR(__xludf.UNSUPPORTED("""COMPUTED_VALUE"""),45026.6666666666)</f>
        <v>45026.666666666599</v>
      </c>
      <c r="B1076" s="1">
        <f ca="1">IFERROR(__xludf.UNSUPPORTED("""COMPUTED_VALUE"""),162.03)</f>
        <v>162.03</v>
      </c>
      <c r="C1076" s="2">
        <f t="shared" ca="1" si="4"/>
        <v>-1.5972306571116212E-2</v>
      </c>
    </row>
    <row r="1077" spans="1:3">
      <c r="A1077" s="3">
        <f ca="1">IFERROR(__xludf.UNSUPPORTED("""COMPUTED_VALUE"""),45027.6666666666)</f>
        <v>45027.666666666599</v>
      </c>
      <c r="B1077" s="1">
        <f ca="1">IFERROR(__xludf.UNSUPPORTED("""COMPUTED_VALUE"""),160.8)</f>
        <v>160.80000000000001</v>
      </c>
      <c r="C1077" s="2">
        <f t="shared" ca="1" si="4"/>
        <v>-7.5911868172560005E-3</v>
      </c>
    </row>
    <row r="1078" spans="1:3">
      <c r="A1078" s="3">
        <f ca="1">IFERROR(__xludf.UNSUPPORTED("""COMPUTED_VALUE"""),45028.6666666666)</f>
        <v>45028.666666666599</v>
      </c>
      <c r="B1078" s="1">
        <f ca="1">IFERROR(__xludf.UNSUPPORTED("""COMPUTED_VALUE"""),160.1)</f>
        <v>160.1</v>
      </c>
      <c r="C1078" s="2">
        <f t="shared" ca="1" si="4"/>
        <v>-4.3532338308458771E-3</v>
      </c>
    </row>
    <row r="1079" spans="1:3">
      <c r="A1079" s="3">
        <f ca="1">IFERROR(__xludf.UNSUPPORTED("""COMPUTED_VALUE"""),45029.6666666666)</f>
        <v>45029.666666666599</v>
      </c>
      <c r="B1079" s="1">
        <f ca="1">IFERROR(__xludf.UNSUPPORTED("""COMPUTED_VALUE"""),165.56)</f>
        <v>165.56</v>
      </c>
      <c r="C1079" s="2">
        <f t="shared" ca="1" si="4"/>
        <v>3.4103685196752082E-2</v>
      </c>
    </row>
    <row r="1080" spans="1:3">
      <c r="A1080" s="3">
        <f ca="1">IFERROR(__xludf.UNSUPPORTED("""COMPUTED_VALUE"""),45030.6666666666)</f>
        <v>45030.666666666599</v>
      </c>
      <c r="B1080" s="1">
        <f ca="1">IFERROR(__xludf.UNSUPPORTED("""COMPUTED_VALUE"""),165.21)</f>
        <v>165.21</v>
      </c>
      <c r="C1080" s="2">
        <f t="shared" ca="1" si="4"/>
        <v>-2.11403720705481E-3</v>
      </c>
    </row>
    <row r="1081" spans="1:3">
      <c r="A1081" s="3">
        <f ca="1">IFERROR(__xludf.UNSUPPORTED("""COMPUTED_VALUE"""),45033.6666666666)</f>
        <v>45033.666666666599</v>
      </c>
      <c r="B1081" s="1">
        <f ca="1">IFERROR(__xludf.UNSUPPORTED("""COMPUTED_VALUE"""),165.23)</f>
        <v>165.23</v>
      </c>
      <c r="C1081" s="2">
        <f t="shared" ca="1" si="4"/>
        <v>1.210580473335864E-4</v>
      </c>
    </row>
    <row r="1082" spans="1:3">
      <c r="A1082" s="3">
        <f ca="1">IFERROR(__xludf.UNSUPPORTED("""COMPUTED_VALUE"""),45034.6666666666)</f>
        <v>45034.666666666599</v>
      </c>
      <c r="B1082" s="1">
        <f ca="1">IFERROR(__xludf.UNSUPPORTED("""COMPUTED_VALUE"""),166.47)</f>
        <v>166.47</v>
      </c>
      <c r="C1082" s="2">
        <f t="shared" ca="1" si="4"/>
        <v>7.5046904315197553E-3</v>
      </c>
    </row>
    <row r="1083" spans="1:3">
      <c r="A1083" s="3">
        <f ca="1">IFERROR(__xludf.UNSUPPORTED("""COMPUTED_VALUE"""),45035.6666666666)</f>
        <v>45035.666666666599</v>
      </c>
      <c r="B1083" s="1">
        <f ca="1">IFERROR(__xludf.UNSUPPORTED("""COMPUTED_VALUE"""),167.63)</f>
        <v>167.63</v>
      </c>
      <c r="C1083" s="2">
        <f t="shared" ca="1" si="4"/>
        <v>6.9682225025529919E-3</v>
      </c>
    </row>
    <row r="1084" spans="1:3">
      <c r="A1084" s="3">
        <f ca="1">IFERROR(__xludf.UNSUPPORTED("""COMPUTED_VALUE"""),45036.6666666666)</f>
        <v>45036.666666666599</v>
      </c>
      <c r="B1084" s="1">
        <f ca="1">IFERROR(__xludf.UNSUPPORTED("""COMPUTED_VALUE"""),166.65)</f>
        <v>166.65</v>
      </c>
      <c r="C1084" s="2">
        <f t="shared" ca="1" si="4"/>
        <v>-5.8462089124857713E-3</v>
      </c>
    </row>
    <row r="1085" spans="1:3">
      <c r="A1085" s="3">
        <f ca="1">IFERROR(__xludf.UNSUPPORTED("""COMPUTED_VALUE"""),45037.6666666666)</f>
        <v>45037.666666666599</v>
      </c>
      <c r="B1085" s="1">
        <f ca="1">IFERROR(__xludf.UNSUPPORTED("""COMPUTED_VALUE"""),165.02)</f>
        <v>165.02</v>
      </c>
      <c r="C1085" s="2">
        <f t="shared" ca="1" si="4"/>
        <v>-9.7809780978097526E-3</v>
      </c>
    </row>
    <row r="1086" spans="1:3">
      <c r="A1086" s="3">
        <f ca="1">IFERROR(__xludf.UNSUPPORTED("""COMPUTED_VALUE"""),45040.6666666666)</f>
        <v>45040.666666666599</v>
      </c>
      <c r="B1086" s="1">
        <f ca="1">IFERROR(__xludf.UNSUPPORTED("""COMPUTED_VALUE"""),165.33)</f>
        <v>165.33</v>
      </c>
      <c r="C1086" s="2">
        <f t="shared" ca="1" si="4"/>
        <v>1.8785601745243137E-3</v>
      </c>
    </row>
    <row r="1087" spans="1:3">
      <c r="A1087" s="3">
        <f ca="1">IFERROR(__xludf.UNSUPPORTED("""COMPUTED_VALUE"""),45041.6666666666)</f>
        <v>45041.666666666599</v>
      </c>
      <c r="B1087" s="1">
        <f ca="1">IFERROR(__xludf.UNSUPPORTED("""COMPUTED_VALUE"""),163.77)</f>
        <v>163.77000000000001</v>
      </c>
      <c r="C1087" s="2">
        <f t="shared" ca="1" si="4"/>
        <v>-9.4356741063328017E-3</v>
      </c>
    </row>
    <row r="1088" spans="1:3">
      <c r="A1088" s="3">
        <f ca="1">IFERROR(__xludf.UNSUPPORTED("""COMPUTED_VALUE"""),45042.6666666666)</f>
        <v>45042.666666666599</v>
      </c>
      <c r="B1088" s="1">
        <f ca="1">IFERROR(__xludf.UNSUPPORTED("""COMPUTED_VALUE"""),163.76)</f>
        <v>163.76</v>
      </c>
      <c r="C1088" s="2">
        <f t="shared" ca="1" si="4"/>
        <v>-6.106124442827946E-5</v>
      </c>
    </row>
    <row r="1089" spans="1:3">
      <c r="A1089" s="3">
        <f ca="1">IFERROR(__xludf.UNSUPPORTED("""COMPUTED_VALUE"""),45043.6666666666)</f>
        <v>45043.666666666599</v>
      </c>
      <c r="B1089" s="1">
        <f ca="1">IFERROR(__xludf.UNSUPPORTED("""COMPUTED_VALUE"""),168.41)</f>
        <v>168.41</v>
      </c>
      <c r="C1089" s="2">
        <f t="shared" ca="1" si="4"/>
        <v>2.8395212506106535E-2</v>
      </c>
    </row>
    <row r="1090" spans="1:3">
      <c r="A1090" s="3">
        <f ca="1">IFERROR(__xludf.UNSUPPORTED("""COMPUTED_VALUE"""),45044.6666666666)</f>
        <v>45044.666666666599</v>
      </c>
      <c r="B1090" s="1">
        <f ca="1">IFERROR(__xludf.UNSUPPORTED("""COMPUTED_VALUE"""),169.68)</f>
        <v>169.68</v>
      </c>
      <c r="C1090" s="2">
        <f t="shared" ca="1" si="4"/>
        <v>7.5411198859925794E-3</v>
      </c>
    </row>
    <row r="1091" spans="1:3">
      <c r="A1091" s="3">
        <f ca="1">IFERROR(__xludf.UNSUPPORTED("""COMPUTED_VALUE"""),45047.6666666666)</f>
        <v>45047.666666666599</v>
      </c>
      <c r="B1091" s="1">
        <f ca="1">IFERROR(__xludf.UNSUPPORTED("""COMPUTED_VALUE"""),169.59)</f>
        <v>169.59</v>
      </c>
      <c r="C1091" s="2">
        <f t="shared" ca="1" si="4"/>
        <v>-5.3041018387555046E-4</v>
      </c>
    </row>
    <row r="1092" spans="1:3">
      <c r="A1092" s="3">
        <f ca="1">IFERROR(__xludf.UNSUPPORTED("""COMPUTED_VALUE"""),45048.6666666666)</f>
        <v>45048.666666666599</v>
      </c>
      <c r="B1092" s="1">
        <f ca="1">IFERROR(__xludf.UNSUPPORTED("""COMPUTED_VALUE"""),168.54)</f>
        <v>168.54</v>
      </c>
      <c r="C1092" s="2">
        <f t="shared" ca="1" si="4"/>
        <v>-6.1914027949761859E-3</v>
      </c>
    </row>
    <row r="1093" spans="1:3">
      <c r="A1093" s="3">
        <f ca="1">IFERROR(__xludf.UNSUPPORTED("""COMPUTED_VALUE"""),45049.6666666666)</f>
        <v>45049.666666666599</v>
      </c>
      <c r="B1093" s="1">
        <f ca="1">IFERROR(__xludf.UNSUPPORTED("""COMPUTED_VALUE"""),167.45)</f>
        <v>167.45</v>
      </c>
      <c r="C1093" s="2">
        <f t="shared" ca="1" si="4"/>
        <v>-6.4673074641034972E-3</v>
      </c>
    </row>
    <row r="1094" spans="1:3">
      <c r="A1094" s="3">
        <f ca="1">IFERROR(__xludf.UNSUPPORTED("""COMPUTED_VALUE"""),45050.6666666666)</f>
        <v>45050.666666666599</v>
      </c>
      <c r="B1094" s="1">
        <f ca="1">IFERROR(__xludf.UNSUPPORTED("""COMPUTED_VALUE"""),165.79)</f>
        <v>165.79</v>
      </c>
      <c r="C1094" s="2">
        <f t="shared" ca="1" si="4"/>
        <v>-9.913406987160327E-3</v>
      </c>
    </row>
    <row r="1095" spans="1:3">
      <c r="A1095" s="3">
        <f ca="1">IFERROR(__xludf.UNSUPPORTED("""COMPUTED_VALUE"""),45051.6666666666)</f>
        <v>45051.666666666599</v>
      </c>
      <c r="B1095" s="1">
        <f ca="1">IFERROR(__xludf.UNSUPPORTED("""COMPUTED_VALUE"""),173.57)</f>
        <v>173.57</v>
      </c>
      <c r="C1095" s="2">
        <f t="shared" ca="1" si="4"/>
        <v>4.6926835152904287E-2</v>
      </c>
    </row>
    <row r="1096" spans="1:3">
      <c r="A1096" s="3">
        <f ca="1">IFERROR(__xludf.UNSUPPORTED("""COMPUTED_VALUE"""),45054.6666666666)</f>
        <v>45054.666666666599</v>
      </c>
      <c r="B1096" s="1">
        <f ca="1">IFERROR(__xludf.UNSUPPORTED("""COMPUTED_VALUE"""),173.5)</f>
        <v>173.5</v>
      </c>
      <c r="C1096" s="2">
        <f t="shared" ca="1" si="4"/>
        <v>-4.0329550037444941E-4</v>
      </c>
    </row>
    <row r="1097" spans="1:3">
      <c r="A1097" s="3">
        <f ca="1">IFERROR(__xludf.UNSUPPORTED("""COMPUTED_VALUE"""),45055.6666666666)</f>
        <v>45055.666666666599</v>
      </c>
      <c r="B1097" s="1">
        <f ca="1">IFERROR(__xludf.UNSUPPORTED("""COMPUTED_VALUE"""),171.77)</f>
        <v>171.77</v>
      </c>
      <c r="C1097" s="2">
        <f t="shared" ca="1" si="4"/>
        <v>-9.9711815561959061E-3</v>
      </c>
    </row>
    <row r="1098" spans="1:3">
      <c r="A1098" s="3">
        <f ca="1">IFERROR(__xludf.UNSUPPORTED("""COMPUTED_VALUE"""),45056.6666666666)</f>
        <v>45056.666666666599</v>
      </c>
      <c r="B1098" s="1">
        <f ca="1">IFERROR(__xludf.UNSUPPORTED("""COMPUTED_VALUE"""),173.56)</f>
        <v>173.56</v>
      </c>
      <c r="C1098" s="2">
        <f t="shared" ca="1" si="4"/>
        <v>1.0420911684228864E-2</v>
      </c>
    </row>
    <row r="1099" spans="1:3">
      <c r="A1099" s="3">
        <f ca="1">IFERROR(__xludf.UNSUPPORTED("""COMPUTED_VALUE"""),45057.6666666666)</f>
        <v>45057.666666666599</v>
      </c>
      <c r="B1099" s="1">
        <f ca="1">IFERROR(__xludf.UNSUPPORTED("""COMPUTED_VALUE"""),173.75)</f>
        <v>173.75</v>
      </c>
      <c r="C1099" s="2">
        <f t="shared" ca="1" si="4"/>
        <v>1.0947222862410563E-3</v>
      </c>
    </row>
    <row r="1100" spans="1:3">
      <c r="A1100" s="3">
        <f ca="1">IFERROR(__xludf.UNSUPPORTED("""COMPUTED_VALUE"""),45058.6666666666)</f>
        <v>45058.666666666599</v>
      </c>
      <c r="B1100" s="1">
        <f ca="1">IFERROR(__xludf.UNSUPPORTED("""COMPUTED_VALUE"""),172.57)</f>
        <v>172.57</v>
      </c>
      <c r="C1100" s="2">
        <f t="shared" ca="1" si="4"/>
        <v>-6.7913669064748597E-3</v>
      </c>
    </row>
    <row r="1101" spans="1:3">
      <c r="A1101" s="3">
        <f ca="1">IFERROR(__xludf.UNSUPPORTED("""COMPUTED_VALUE"""),45061.6666666666)</f>
        <v>45061.666666666599</v>
      </c>
      <c r="B1101" s="1">
        <f ca="1">IFERROR(__xludf.UNSUPPORTED("""COMPUTED_VALUE"""),172.07)</f>
        <v>172.07</v>
      </c>
      <c r="C1101" s="2">
        <f t="shared" ca="1" si="4"/>
        <v>-2.8973749782696878E-3</v>
      </c>
    </row>
    <row r="1102" spans="1:3">
      <c r="A1102" s="3">
        <f ca="1">IFERROR(__xludf.UNSUPPORTED("""COMPUTED_VALUE"""),45062.6666666666)</f>
        <v>45062.666666666599</v>
      </c>
      <c r="B1102" s="1">
        <f ca="1">IFERROR(__xludf.UNSUPPORTED("""COMPUTED_VALUE"""),172.07)</f>
        <v>172.07</v>
      </c>
      <c r="C1102" s="2">
        <f t="shared" ca="1" si="4"/>
        <v>0</v>
      </c>
    </row>
    <row r="1103" spans="1:3">
      <c r="A1103" s="3">
        <f ca="1">IFERROR(__xludf.UNSUPPORTED("""COMPUTED_VALUE"""),45063.6666666666)</f>
        <v>45063.666666666599</v>
      </c>
      <c r="B1103" s="1">
        <f ca="1">IFERROR(__xludf.UNSUPPORTED("""COMPUTED_VALUE"""),172.69)</f>
        <v>172.69</v>
      </c>
      <c r="C1103" s="2">
        <f t="shared" ca="1" si="4"/>
        <v>3.6031847503923088E-3</v>
      </c>
    </row>
    <row r="1104" spans="1:3">
      <c r="A1104" s="3">
        <f ca="1">IFERROR(__xludf.UNSUPPORTED("""COMPUTED_VALUE"""),45064.6666666666)</f>
        <v>45064.666666666599</v>
      </c>
      <c r="B1104" s="1">
        <f ca="1">IFERROR(__xludf.UNSUPPORTED("""COMPUTED_VALUE"""),175.05)</f>
        <v>175.05</v>
      </c>
      <c r="C1104" s="2">
        <f t="shared" ca="1" si="4"/>
        <v>1.3666106896751483E-2</v>
      </c>
    </row>
    <row r="1105" spans="1:3">
      <c r="A1105" s="3">
        <f ca="1">IFERROR(__xludf.UNSUPPORTED("""COMPUTED_VALUE"""),45065.6666666666)</f>
        <v>45065.666666666599</v>
      </c>
      <c r="B1105" s="1">
        <f ca="1">IFERROR(__xludf.UNSUPPORTED("""COMPUTED_VALUE"""),175.16)</f>
        <v>175.16</v>
      </c>
      <c r="C1105" s="2">
        <f t="shared" ca="1" si="4"/>
        <v>6.2839188803190643E-4</v>
      </c>
    </row>
    <row r="1106" spans="1:3">
      <c r="A1106" s="3">
        <f ca="1">IFERROR(__xludf.UNSUPPORTED("""COMPUTED_VALUE"""),45068.6666666666)</f>
        <v>45068.666666666599</v>
      </c>
      <c r="B1106" s="1">
        <f ca="1">IFERROR(__xludf.UNSUPPORTED("""COMPUTED_VALUE"""),174.2)</f>
        <v>174.2</v>
      </c>
      <c r="C1106" s="2">
        <f t="shared" ca="1" si="4"/>
        <v>-5.480703356930852E-3</v>
      </c>
    </row>
    <row r="1107" spans="1:3">
      <c r="A1107" s="3">
        <f ca="1">IFERROR(__xludf.UNSUPPORTED("""COMPUTED_VALUE"""),45069.6666666666)</f>
        <v>45069.666666666599</v>
      </c>
      <c r="B1107" s="1">
        <f ca="1">IFERROR(__xludf.UNSUPPORTED("""COMPUTED_VALUE"""),171.56)</f>
        <v>171.56</v>
      </c>
      <c r="C1107" s="2">
        <f t="shared" ca="1" si="4"/>
        <v>-1.5154994259471795E-2</v>
      </c>
    </row>
    <row r="1108" spans="1:3">
      <c r="A1108" s="3">
        <f ca="1">IFERROR(__xludf.UNSUPPORTED("""COMPUTED_VALUE"""),45070.6666666666)</f>
        <v>45070.666666666599</v>
      </c>
      <c r="B1108" s="1">
        <f ca="1">IFERROR(__xludf.UNSUPPORTED("""COMPUTED_VALUE"""),171.84)</f>
        <v>171.84</v>
      </c>
      <c r="C1108" s="2">
        <f t="shared" ca="1" si="4"/>
        <v>1.6320820704126902E-3</v>
      </c>
    </row>
    <row r="1109" spans="1:3">
      <c r="A1109" s="3">
        <f ca="1">IFERROR(__xludf.UNSUPPORTED("""COMPUTED_VALUE"""),45071.6666666666)</f>
        <v>45071.666666666599</v>
      </c>
      <c r="B1109" s="1">
        <f ca="1">IFERROR(__xludf.UNSUPPORTED("""COMPUTED_VALUE"""),172.99)</f>
        <v>172.99</v>
      </c>
      <c r="C1109" s="2">
        <f t="shared" ca="1" si="4"/>
        <v>6.6922718808193997E-3</v>
      </c>
    </row>
    <row r="1110" spans="1:3">
      <c r="A1110" s="3">
        <f ca="1">IFERROR(__xludf.UNSUPPORTED("""COMPUTED_VALUE"""),45072.6666666666)</f>
        <v>45072.666666666599</v>
      </c>
      <c r="B1110" s="1">
        <f ca="1">IFERROR(__xludf.UNSUPPORTED("""COMPUTED_VALUE"""),175.43)</f>
        <v>175.43</v>
      </c>
      <c r="C1110" s="2">
        <f t="shared" ca="1" si="4"/>
        <v>1.4104861552690893E-2</v>
      </c>
    </row>
    <row r="1111" spans="1:3">
      <c r="A1111" s="3">
        <f ca="1">IFERROR(__xludf.UNSUPPORTED("""COMPUTED_VALUE"""),45076.6666666666)</f>
        <v>45076.666666666599</v>
      </c>
      <c r="B1111" s="1">
        <f ca="1">IFERROR(__xludf.UNSUPPORTED("""COMPUTED_VALUE"""),177.3)</f>
        <v>177.3</v>
      </c>
      <c r="C1111" s="2">
        <f t="shared" ca="1" si="4"/>
        <v>1.0659522316593539E-2</v>
      </c>
    </row>
    <row r="1112" spans="1:3">
      <c r="A1112" s="3">
        <f ca="1">IFERROR(__xludf.UNSUPPORTED("""COMPUTED_VALUE"""),45077.6666666666)</f>
        <v>45077.666666666599</v>
      </c>
      <c r="B1112" s="1">
        <f ca="1">IFERROR(__xludf.UNSUPPORTED("""COMPUTED_VALUE"""),177.25)</f>
        <v>177.25</v>
      </c>
      <c r="C1112" s="2">
        <f t="shared" ca="1" si="4"/>
        <v>-2.8200789622115829E-4</v>
      </c>
    </row>
    <row r="1113" spans="1:3">
      <c r="A1113" s="3">
        <f ca="1">IFERROR(__xludf.UNSUPPORTED("""COMPUTED_VALUE"""),45078.6666666666)</f>
        <v>45078.666666666599</v>
      </c>
      <c r="B1113" s="1">
        <f ca="1">IFERROR(__xludf.UNSUPPORTED("""COMPUTED_VALUE"""),180.09)</f>
        <v>180.09</v>
      </c>
      <c r="C1113" s="2">
        <f t="shared" ca="1" si="4"/>
        <v>1.6022566995768709E-2</v>
      </c>
    </row>
    <row r="1114" spans="1:3">
      <c r="A1114" s="3">
        <f ca="1">IFERROR(__xludf.UNSUPPORTED("""COMPUTED_VALUE"""),45079.6666666666)</f>
        <v>45079.666666666599</v>
      </c>
      <c r="B1114" s="1">
        <f ca="1">IFERROR(__xludf.UNSUPPORTED("""COMPUTED_VALUE"""),180.95)</f>
        <v>180.95</v>
      </c>
      <c r="C1114" s="2">
        <f t="shared" ca="1" si="4"/>
        <v>4.7753900827363274E-3</v>
      </c>
    </row>
    <row r="1115" spans="1:3">
      <c r="A1115" s="3">
        <f ca="1">IFERROR(__xludf.UNSUPPORTED("""COMPUTED_VALUE"""),45082.6666666666)</f>
        <v>45082.666666666599</v>
      </c>
      <c r="B1115" s="1">
        <f ca="1">IFERROR(__xludf.UNSUPPORTED("""COMPUTED_VALUE"""),179.58)</f>
        <v>179.58</v>
      </c>
      <c r="C1115" s="2">
        <f t="shared" ca="1" si="4"/>
        <v>-7.5711522520031842E-3</v>
      </c>
    </row>
    <row r="1116" spans="1:3">
      <c r="A1116" s="3">
        <f ca="1">IFERROR(__xludf.UNSUPPORTED("""COMPUTED_VALUE"""),45083.6666666666)</f>
        <v>45083.666666666599</v>
      </c>
      <c r="B1116" s="1">
        <f ca="1">IFERROR(__xludf.UNSUPPORTED("""COMPUTED_VALUE"""),179.21)</f>
        <v>179.21</v>
      </c>
      <c r="C1116" s="2">
        <f t="shared" ca="1" si="4"/>
        <v>-2.0603630693841438E-3</v>
      </c>
    </row>
    <row r="1117" spans="1:3">
      <c r="A1117" s="3">
        <f ca="1">IFERROR(__xludf.UNSUPPORTED("""COMPUTED_VALUE"""),45084.6666666666)</f>
        <v>45084.666666666599</v>
      </c>
      <c r="B1117" s="1">
        <f ca="1">IFERROR(__xludf.UNSUPPORTED("""COMPUTED_VALUE"""),177.82)</f>
        <v>177.82</v>
      </c>
      <c r="C1117" s="2">
        <f t="shared" ca="1" si="4"/>
        <v>-7.7562636013616135E-3</v>
      </c>
    </row>
    <row r="1118" spans="1:3">
      <c r="A1118" s="3">
        <f ca="1">IFERROR(__xludf.UNSUPPORTED("""COMPUTED_VALUE"""),45085.6666666666)</f>
        <v>45085.666666666599</v>
      </c>
      <c r="B1118" s="1">
        <f ca="1">IFERROR(__xludf.UNSUPPORTED("""COMPUTED_VALUE"""),180.57)</f>
        <v>180.57</v>
      </c>
      <c r="C1118" s="2">
        <f t="shared" ca="1" si="4"/>
        <v>1.5465077044202002E-2</v>
      </c>
    </row>
    <row r="1119" spans="1:3">
      <c r="A1119" s="3">
        <f ca="1">IFERROR(__xludf.UNSUPPORTED("""COMPUTED_VALUE"""),45086.6666666666)</f>
        <v>45086.666666666599</v>
      </c>
      <c r="B1119" s="1">
        <f ca="1">IFERROR(__xludf.UNSUPPORTED("""COMPUTED_VALUE"""),180.96)</f>
        <v>180.96</v>
      </c>
      <c r="C1119" s="2">
        <f t="shared" ca="1" si="4"/>
        <v>2.1598272138229763E-3</v>
      </c>
    </row>
    <row r="1120" spans="1:3">
      <c r="A1120" s="3">
        <f ca="1">IFERROR(__xludf.UNSUPPORTED("""COMPUTED_VALUE"""),45089.6666666666)</f>
        <v>45089.666666666599</v>
      </c>
      <c r="B1120" s="1">
        <f ca="1">IFERROR(__xludf.UNSUPPORTED("""COMPUTED_VALUE"""),183.79)</f>
        <v>183.79</v>
      </c>
      <c r="C1120" s="2">
        <f t="shared" ca="1" si="4"/>
        <v>1.5638815207780637E-2</v>
      </c>
    </row>
    <row r="1121" spans="1:3">
      <c r="A1121" s="3">
        <f ca="1">IFERROR(__xludf.UNSUPPORTED("""COMPUTED_VALUE"""),45090.6666666666)</f>
        <v>45090.666666666599</v>
      </c>
      <c r="B1121" s="1">
        <f ca="1">IFERROR(__xludf.UNSUPPORTED("""COMPUTED_VALUE"""),183.31)</f>
        <v>183.31</v>
      </c>
      <c r="C1121" s="2">
        <f t="shared" ca="1" si="4"/>
        <v>-2.6116763697697906E-3</v>
      </c>
    </row>
    <row r="1122" spans="1:3">
      <c r="A1122" s="3">
        <f ca="1">IFERROR(__xludf.UNSUPPORTED("""COMPUTED_VALUE"""),45091.6666666666)</f>
        <v>45091.666666666599</v>
      </c>
      <c r="B1122" s="1">
        <f ca="1">IFERROR(__xludf.UNSUPPORTED("""COMPUTED_VALUE"""),183.95)</f>
        <v>183.95</v>
      </c>
      <c r="C1122" s="2">
        <f t="shared" ca="1" si="4"/>
        <v>3.4913534449838328E-3</v>
      </c>
    </row>
    <row r="1123" spans="1:3">
      <c r="A1123" s="3">
        <f ca="1">IFERROR(__xludf.UNSUPPORTED("""COMPUTED_VALUE"""),45092.6666666666)</f>
        <v>45092.666666666599</v>
      </c>
      <c r="B1123" s="1">
        <f ca="1">IFERROR(__xludf.UNSUPPORTED("""COMPUTED_VALUE"""),186.01)</f>
        <v>186.01</v>
      </c>
      <c r="C1123" s="2">
        <f t="shared" ca="1" si="4"/>
        <v>1.1198695297635239E-2</v>
      </c>
    </row>
    <row r="1124" spans="1:3">
      <c r="A1124" s="3">
        <f ca="1">IFERROR(__xludf.UNSUPPORTED("""COMPUTED_VALUE"""),45093.6666666666)</f>
        <v>45093.666666666599</v>
      </c>
      <c r="B1124" s="1">
        <f ca="1">IFERROR(__xludf.UNSUPPORTED("""COMPUTED_VALUE"""),184.92)</f>
        <v>184.92</v>
      </c>
      <c r="C1124" s="2">
        <f t="shared" ca="1" si="4"/>
        <v>-5.8599000053760741E-3</v>
      </c>
    </row>
    <row r="1125" spans="1:3">
      <c r="A1125" s="3">
        <f ca="1">IFERROR(__xludf.UNSUPPORTED("""COMPUTED_VALUE"""),45097.6666666666)</f>
        <v>45097.666666666599</v>
      </c>
      <c r="B1125" s="1">
        <f ca="1">IFERROR(__xludf.UNSUPPORTED("""COMPUTED_VALUE"""),185.01)</f>
        <v>185.01</v>
      </c>
      <c r="C1125" s="2">
        <f t="shared" ca="1" si="4"/>
        <v>4.8669695003246492E-4</v>
      </c>
    </row>
    <row r="1126" spans="1:3">
      <c r="A1126" s="3">
        <f ca="1">IFERROR(__xludf.UNSUPPORTED("""COMPUTED_VALUE"""),45098.6666666666)</f>
        <v>45098.666666666599</v>
      </c>
      <c r="B1126" s="1">
        <f ca="1">IFERROR(__xludf.UNSUPPORTED("""COMPUTED_VALUE"""),183.96)</f>
        <v>183.96</v>
      </c>
      <c r="C1126" s="2">
        <f t="shared" ca="1" si="4"/>
        <v>-5.6753688989783415E-3</v>
      </c>
    </row>
    <row r="1127" spans="1:3">
      <c r="A1127" s="3">
        <f ca="1">IFERROR(__xludf.UNSUPPORTED("""COMPUTED_VALUE"""),45099.6666666666)</f>
        <v>45099.666666666599</v>
      </c>
      <c r="B1127" s="1">
        <f ca="1">IFERROR(__xludf.UNSUPPORTED("""COMPUTED_VALUE"""),187)</f>
        <v>187</v>
      </c>
      <c r="C1127" s="2">
        <f t="shared" ca="1" si="4"/>
        <v>1.6525331593824702E-2</v>
      </c>
    </row>
    <row r="1128" spans="1:3">
      <c r="A1128" s="3">
        <f ca="1">IFERROR(__xludf.UNSUPPORTED("""COMPUTED_VALUE"""),45100.6666666666)</f>
        <v>45100.666666666599</v>
      </c>
      <c r="B1128" s="1">
        <f ca="1">IFERROR(__xludf.UNSUPPORTED("""COMPUTED_VALUE"""),186.68)</f>
        <v>186.68</v>
      </c>
      <c r="C1128" s="2">
        <f t="shared" ca="1" si="4"/>
        <v>-1.7112299465240277E-3</v>
      </c>
    </row>
    <row r="1129" spans="1:3">
      <c r="A1129" s="3">
        <f ca="1">IFERROR(__xludf.UNSUPPORTED("""COMPUTED_VALUE"""),45103.6666666666)</f>
        <v>45103.666666666599</v>
      </c>
      <c r="B1129" s="1">
        <f ca="1">IFERROR(__xludf.UNSUPPORTED("""COMPUTED_VALUE"""),185.27)</f>
        <v>185.27</v>
      </c>
      <c r="C1129" s="2">
        <f t="shared" ca="1" si="4"/>
        <v>-7.5530319262909606E-3</v>
      </c>
    </row>
    <row r="1130" spans="1:3">
      <c r="A1130" s="3">
        <f ca="1">IFERROR(__xludf.UNSUPPORTED("""COMPUTED_VALUE"""),45104.6666666666)</f>
        <v>45104.666666666599</v>
      </c>
      <c r="B1130" s="1">
        <f ca="1">IFERROR(__xludf.UNSUPPORTED("""COMPUTED_VALUE"""),188.06)</f>
        <v>188.06</v>
      </c>
      <c r="C1130" s="2">
        <f t="shared" ca="1" si="4"/>
        <v>1.5059102930857623E-2</v>
      </c>
    </row>
    <row r="1131" spans="1:3">
      <c r="A1131" s="3">
        <f ca="1">IFERROR(__xludf.UNSUPPORTED("""COMPUTED_VALUE"""),45105.6666666666)</f>
        <v>45105.666666666599</v>
      </c>
      <c r="B1131" s="1">
        <f ca="1">IFERROR(__xludf.UNSUPPORTED("""COMPUTED_VALUE"""),189.25)</f>
        <v>189.25</v>
      </c>
      <c r="C1131" s="2">
        <f t="shared" ca="1" si="4"/>
        <v>6.3277677337019982E-3</v>
      </c>
    </row>
    <row r="1132" spans="1:3">
      <c r="A1132" s="3">
        <f ca="1">IFERROR(__xludf.UNSUPPORTED("""COMPUTED_VALUE"""),45106.6666666666)</f>
        <v>45106.666666666599</v>
      </c>
      <c r="B1132" s="1">
        <f ca="1">IFERROR(__xludf.UNSUPPORTED("""COMPUTED_VALUE"""),189.59)</f>
        <v>189.59</v>
      </c>
      <c r="C1132" s="2">
        <f t="shared" ca="1" si="4"/>
        <v>1.7965653896961872E-3</v>
      </c>
    </row>
    <row r="1133" spans="1:3">
      <c r="A1133" s="3">
        <f ca="1">IFERROR(__xludf.UNSUPPORTED("""COMPUTED_VALUE"""),45107.6666666666)</f>
        <v>45107.666666666599</v>
      </c>
      <c r="B1133" s="1">
        <f ca="1">IFERROR(__xludf.UNSUPPORTED("""COMPUTED_VALUE"""),193.97)</f>
        <v>193.97</v>
      </c>
      <c r="C1133" s="2">
        <f t="shared" ca="1" si="4"/>
        <v>2.3102484308244083E-2</v>
      </c>
    </row>
    <row r="1134" spans="1:3">
      <c r="A1134" s="3">
        <f ca="1">IFERROR(__xludf.UNSUPPORTED("""COMPUTED_VALUE"""),45110.5451388888)</f>
        <v>45110.545138888803</v>
      </c>
      <c r="B1134" s="1">
        <f ca="1">IFERROR(__xludf.UNSUPPORTED("""COMPUTED_VALUE"""),192.46)</f>
        <v>192.46</v>
      </c>
      <c r="C1134" s="2">
        <f t="shared" ca="1" si="4"/>
        <v>-7.7847089756147387E-3</v>
      </c>
    </row>
    <row r="1135" spans="1:3">
      <c r="A1135" s="3">
        <f ca="1">IFERROR(__xludf.UNSUPPORTED("""COMPUTED_VALUE"""),45112.6666666666)</f>
        <v>45112.666666666599</v>
      </c>
      <c r="B1135" s="1">
        <f ca="1">IFERROR(__xludf.UNSUPPORTED("""COMPUTED_VALUE"""),191.33)</f>
        <v>191.33</v>
      </c>
      <c r="C1135" s="2">
        <f t="shared" ca="1" si="4"/>
        <v>-5.8713498908863938E-3</v>
      </c>
    </row>
    <row r="1136" spans="1:3">
      <c r="A1136" s="3">
        <f ca="1">IFERROR(__xludf.UNSUPPORTED("""COMPUTED_VALUE"""),45113.6666666666)</f>
        <v>45113.666666666599</v>
      </c>
      <c r="B1136" s="1">
        <f ca="1">IFERROR(__xludf.UNSUPPORTED("""COMPUTED_VALUE"""),191.81)</f>
        <v>191.81</v>
      </c>
      <c r="C1136" s="2">
        <f t="shared" ca="1" si="4"/>
        <v>2.5087545079182029E-3</v>
      </c>
    </row>
    <row r="1137" spans="1:3">
      <c r="A1137" s="3">
        <f ca="1">IFERROR(__xludf.UNSUPPORTED("""COMPUTED_VALUE"""),45114.6666666666)</f>
        <v>45114.666666666599</v>
      </c>
      <c r="B1137" s="1">
        <f ca="1">IFERROR(__xludf.UNSUPPORTED("""COMPUTED_VALUE"""),190.68)</f>
        <v>190.68</v>
      </c>
      <c r="C1137" s="2">
        <f t="shared" ca="1" si="4"/>
        <v>-5.8912465460611825E-3</v>
      </c>
    </row>
    <row r="1138" spans="1:3">
      <c r="A1138" s="3">
        <f ca="1">IFERROR(__xludf.UNSUPPORTED("""COMPUTED_VALUE"""),45117.6666666666)</f>
        <v>45117.666666666599</v>
      </c>
      <c r="B1138" s="1">
        <f ca="1">IFERROR(__xludf.UNSUPPORTED("""COMPUTED_VALUE"""),188.61)</f>
        <v>188.61</v>
      </c>
      <c r="C1138" s="2">
        <f t="shared" ca="1" si="4"/>
        <v>-1.0855884203901789E-2</v>
      </c>
    </row>
    <row r="1139" spans="1:3">
      <c r="A1139" s="3">
        <f ca="1">IFERROR(__xludf.UNSUPPORTED("""COMPUTED_VALUE"""),45118.6666666666)</f>
        <v>45118.666666666599</v>
      </c>
      <c r="B1139" s="1">
        <f ca="1">IFERROR(__xludf.UNSUPPORTED("""COMPUTED_VALUE"""),188.08)</f>
        <v>188.08</v>
      </c>
      <c r="C1139" s="2">
        <f t="shared" ca="1" si="4"/>
        <v>-2.8100312814803093E-3</v>
      </c>
    </row>
    <row r="1140" spans="1:3">
      <c r="A1140" s="3">
        <f ca="1">IFERROR(__xludf.UNSUPPORTED("""COMPUTED_VALUE"""),45119.6666666666)</f>
        <v>45119.666666666599</v>
      </c>
      <c r="B1140" s="1">
        <f ca="1">IFERROR(__xludf.UNSUPPORTED("""COMPUTED_VALUE"""),189.77)</f>
        <v>189.77</v>
      </c>
      <c r="C1140" s="2">
        <f t="shared" ca="1" si="4"/>
        <v>8.9855380689068346E-3</v>
      </c>
    </row>
    <row r="1141" spans="1:3">
      <c r="A1141" s="3">
        <f ca="1">IFERROR(__xludf.UNSUPPORTED("""COMPUTED_VALUE"""),45120.6666666666)</f>
        <v>45120.666666666599</v>
      </c>
      <c r="B1141" s="1">
        <f ca="1">IFERROR(__xludf.UNSUPPORTED("""COMPUTED_VALUE"""),190.54)</f>
        <v>190.54</v>
      </c>
      <c r="C1141" s="2">
        <f t="shared" ca="1" si="4"/>
        <v>4.0575433419401475E-3</v>
      </c>
    </row>
    <row r="1142" spans="1:3">
      <c r="A1142" s="3">
        <f ca="1">IFERROR(__xludf.UNSUPPORTED("""COMPUTED_VALUE"""),45121.6666666666)</f>
        <v>45121.666666666599</v>
      </c>
      <c r="B1142" s="1">
        <f ca="1">IFERROR(__xludf.UNSUPPORTED("""COMPUTED_VALUE"""),190.69)</f>
        <v>190.69</v>
      </c>
      <c r="C1142" s="2">
        <f t="shared" ca="1" si="4"/>
        <v>7.8723627584762097E-4</v>
      </c>
    </row>
    <row r="1143" spans="1:3">
      <c r="A1143" s="3">
        <f ca="1">IFERROR(__xludf.UNSUPPORTED("""COMPUTED_VALUE"""),45124.6666666666)</f>
        <v>45124.666666666599</v>
      </c>
      <c r="B1143" s="1">
        <f ca="1">IFERROR(__xludf.UNSUPPORTED("""COMPUTED_VALUE"""),193.99)</f>
        <v>193.99</v>
      </c>
      <c r="C1143" s="2">
        <f t="shared" ca="1" si="4"/>
        <v>1.7305574492632082E-2</v>
      </c>
    </row>
    <row r="1144" spans="1:3">
      <c r="A1144" s="3">
        <f ca="1">IFERROR(__xludf.UNSUPPORTED("""COMPUTED_VALUE"""),45125.6666666666)</f>
        <v>45125.666666666599</v>
      </c>
      <c r="B1144" s="1">
        <f ca="1">IFERROR(__xludf.UNSUPPORTED("""COMPUTED_VALUE"""),193.73)</f>
        <v>193.73</v>
      </c>
      <c r="C1144" s="2">
        <f t="shared" ca="1" si="4"/>
        <v>-1.3402752719213326E-3</v>
      </c>
    </row>
    <row r="1145" spans="1:3">
      <c r="A1145" s="3">
        <f ca="1">IFERROR(__xludf.UNSUPPORTED("""COMPUTED_VALUE"""),45126.6666666666)</f>
        <v>45126.666666666599</v>
      </c>
      <c r="B1145" s="1">
        <f ca="1">IFERROR(__xludf.UNSUPPORTED("""COMPUTED_VALUE"""),195.1)</f>
        <v>195.1</v>
      </c>
      <c r="C1145" s="2">
        <f t="shared" ca="1" si="4"/>
        <v>7.0716977236360123E-3</v>
      </c>
    </row>
    <row r="1146" spans="1:3">
      <c r="A1146" s="3">
        <f ca="1">IFERROR(__xludf.UNSUPPORTED("""COMPUTED_VALUE"""),45127.6666666666)</f>
        <v>45127.666666666599</v>
      </c>
      <c r="B1146" s="1">
        <f ca="1">IFERROR(__xludf.UNSUPPORTED("""COMPUTED_VALUE"""),193.13)</f>
        <v>193.13</v>
      </c>
      <c r="C1146" s="2">
        <f t="shared" ca="1" si="4"/>
        <v>-1.0097385955920036E-2</v>
      </c>
    </row>
    <row r="1147" spans="1:3">
      <c r="A1147" s="3">
        <f ca="1">IFERROR(__xludf.UNSUPPORTED("""COMPUTED_VALUE"""),45128.6666666666)</f>
        <v>45128.666666666599</v>
      </c>
      <c r="B1147" s="1">
        <f ca="1">IFERROR(__xludf.UNSUPPORTED("""COMPUTED_VALUE"""),191.94)</f>
        <v>191.94</v>
      </c>
      <c r="C1147" s="2">
        <f t="shared" ca="1" si="4"/>
        <v>-6.1616527727437363E-3</v>
      </c>
    </row>
    <row r="1148" spans="1:3">
      <c r="A1148" s="3">
        <f ca="1">IFERROR(__xludf.UNSUPPORTED("""COMPUTED_VALUE"""),45131.6666666666)</f>
        <v>45131.666666666599</v>
      </c>
      <c r="B1148" s="1">
        <f ca="1">IFERROR(__xludf.UNSUPPORTED("""COMPUTED_VALUE"""),192.75)</f>
        <v>192.75</v>
      </c>
      <c r="C1148" s="2">
        <f t="shared" ca="1" si="4"/>
        <v>4.2200687714911032E-3</v>
      </c>
    </row>
    <row r="1149" spans="1:3">
      <c r="A1149" s="3">
        <f ca="1">IFERROR(__xludf.UNSUPPORTED("""COMPUTED_VALUE"""),45132.6666666666)</f>
        <v>45132.666666666599</v>
      </c>
      <c r="B1149" s="1">
        <f ca="1">IFERROR(__xludf.UNSUPPORTED("""COMPUTED_VALUE"""),193.62)</f>
        <v>193.62</v>
      </c>
      <c r="C1149" s="2">
        <f t="shared" ca="1" si="4"/>
        <v>4.5136186770428251E-3</v>
      </c>
    </row>
    <row r="1150" spans="1:3">
      <c r="A1150" s="3">
        <f ca="1">IFERROR(__xludf.UNSUPPORTED("""COMPUTED_VALUE"""),45133.6666666666)</f>
        <v>45133.666666666599</v>
      </c>
      <c r="B1150" s="1">
        <f ca="1">IFERROR(__xludf.UNSUPPORTED("""COMPUTED_VALUE"""),194.5)</f>
        <v>194.5</v>
      </c>
      <c r="C1150" s="2">
        <f t="shared" ca="1" si="4"/>
        <v>4.5449850222084257E-3</v>
      </c>
    </row>
    <row r="1151" spans="1:3">
      <c r="A1151" s="3">
        <f ca="1">IFERROR(__xludf.UNSUPPORTED("""COMPUTED_VALUE"""),45134.6666666666)</f>
        <v>45134.666666666599</v>
      </c>
      <c r="B1151" s="1">
        <f ca="1">IFERROR(__xludf.UNSUPPORTED("""COMPUTED_VALUE"""),193.22)</f>
        <v>193.22</v>
      </c>
      <c r="C1151" s="2">
        <f t="shared" ca="1" si="4"/>
        <v>-6.5809768637532188E-3</v>
      </c>
    </row>
    <row r="1152" spans="1:3">
      <c r="A1152" s="3">
        <f ca="1">IFERROR(__xludf.UNSUPPORTED("""COMPUTED_VALUE"""),45135.6666666666)</f>
        <v>45135.666666666599</v>
      </c>
      <c r="B1152" s="1">
        <f ca="1">IFERROR(__xludf.UNSUPPORTED("""COMPUTED_VALUE"""),195.83)</f>
        <v>195.83</v>
      </c>
      <c r="C1152" s="2">
        <f t="shared" ca="1" si="4"/>
        <v>1.3507918434944694E-2</v>
      </c>
    </row>
    <row r="1153" spans="1:3">
      <c r="A1153" s="3">
        <f ca="1">IFERROR(__xludf.UNSUPPORTED("""COMPUTED_VALUE"""),45138.6666666666)</f>
        <v>45138.666666666599</v>
      </c>
      <c r="B1153" s="1">
        <f ca="1">IFERROR(__xludf.UNSUPPORTED("""COMPUTED_VALUE"""),196.45)</f>
        <v>196.45</v>
      </c>
      <c r="C1153" s="2">
        <f t="shared" ca="1" si="4"/>
        <v>3.1660113363630501E-3</v>
      </c>
    </row>
    <row r="1154" spans="1:3">
      <c r="A1154" s="3">
        <f ca="1">IFERROR(__xludf.UNSUPPORTED("""COMPUTED_VALUE"""),45139.6666666666)</f>
        <v>45139.666666666599</v>
      </c>
      <c r="B1154" s="1">
        <f ca="1">IFERROR(__xludf.UNSUPPORTED("""COMPUTED_VALUE"""),195.61)</f>
        <v>195.61</v>
      </c>
      <c r="C1154" s="2">
        <f t="shared" ca="1" si="4"/>
        <v>-4.2758971748535256E-3</v>
      </c>
    </row>
    <row r="1155" spans="1:3">
      <c r="A1155" s="3">
        <f ca="1">IFERROR(__xludf.UNSUPPORTED("""COMPUTED_VALUE"""),45140.6666666666)</f>
        <v>45140.666666666599</v>
      </c>
      <c r="B1155" s="1">
        <f ca="1">IFERROR(__xludf.UNSUPPORTED("""COMPUTED_VALUE"""),192.58)</f>
        <v>192.58</v>
      </c>
      <c r="C1155" s="2">
        <f t="shared" ca="1" si="4"/>
        <v>-1.549000562343439E-2</v>
      </c>
    </row>
    <row r="1156" spans="1:3">
      <c r="A1156" s="3">
        <f ca="1">IFERROR(__xludf.UNSUPPORTED("""COMPUTED_VALUE"""),45141.6666666666)</f>
        <v>45141.666666666599</v>
      </c>
      <c r="B1156" s="1">
        <f ca="1">IFERROR(__xludf.UNSUPPORTED("""COMPUTED_VALUE"""),191.17)</f>
        <v>191.17</v>
      </c>
      <c r="C1156" s="2">
        <f t="shared" ca="1" si="4"/>
        <v>-7.3216325682834401E-3</v>
      </c>
    </row>
    <row r="1157" spans="1:3">
      <c r="A1157" s="3">
        <f ca="1">IFERROR(__xludf.UNSUPPORTED("""COMPUTED_VALUE"""),45142.6666666666)</f>
        <v>45142.666666666599</v>
      </c>
      <c r="B1157" s="1">
        <f ca="1">IFERROR(__xludf.UNSUPPORTED("""COMPUTED_VALUE"""),181.99)</f>
        <v>181.99</v>
      </c>
      <c r="C1157" s="2">
        <f t="shared" ca="1" si="4"/>
        <v>-4.8020086833708106E-2</v>
      </c>
    </row>
    <row r="1158" spans="1:3">
      <c r="A1158" s="3">
        <f ca="1">IFERROR(__xludf.UNSUPPORTED("""COMPUTED_VALUE"""),45145.6666666666)</f>
        <v>45145.666666666599</v>
      </c>
      <c r="B1158" s="1">
        <f ca="1">IFERROR(__xludf.UNSUPPORTED("""COMPUTED_VALUE"""),178.85)</f>
        <v>178.85</v>
      </c>
      <c r="C1158" s="2">
        <f t="shared" ca="1" si="4"/>
        <v>-1.7253695257981289E-2</v>
      </c>
    </row>
    <row r="1159" spans="1:3">
      <c r="A1159" s="3">
        <f ca="1">IFERROR(__xludf.UNSUPPORTED("""COMPUTED_VALUE"""),45146.6666666666)</f>
        <v>45146.666666666599</v>
      </c>
      <c r="B1159" s="1">
        <f ca="1">IFERROR(__xludf.UNSUPPORTED("""COMPUTED_VALUE"""),179.8)</f>
        <v>179.8</v>
      </c>
      <c r="C1159" s="2">
        <f t="shared" ca="1" si="4"/>
        <v>5.3117137265866208E-3</v>
      </c>
    </row>
    <row r="1160" spans="1:3">
      <c r="A1160" s="3">
        <f ca="1">IFERROR(__xludf.UNSUPPORTED("""COMPUTED_VALUE"""),45147.6666666666)</f>
        <v>45147.666666666599</v>
      </c>
      <c r="B1160" s="1">
        <f ca="1">IFERROR(__xludf.UNSUPPORTED("""COMPUTED_VALUE"""),178.19)</f>
        <v>178.19</v>
      </c>
      <c r="C1160" s="2">
        <f t="shared" ca="1" si="4"/>
        <v>-8.9543937708565832E-3</v>
      </c>
    </row>
    <row r="1161" spans="1:3">
      <c r="A1161" s="3">
        <f ca="1">IFERROR(__xludf.UNSUPPORTED("""COMPUTED_VALUE"""),45148.6666666666)</f>
        <v>45148.666666666599</v>
      </c>
      <c r="B1161" s="1">
        <f ca="1">IFERROR(__xludf.UNSUPPORTED("""COMPUTED_VALUE"""),177.97)</f>
        <v>177.97</v>
      </c>
      <c r="C1161" s="2">
        <f t="shared" ca="1" si="4"/>
        <v>-1.2346371850272117E-3</v>
      </c>
    </row>
    <row r="1162" spans="1:3">
      <c r="A1162" s="3">
        <f ca="1">IFERROR(__xludf.UNSUPPORTED("""COMPUTED_VALUE"""),45149.6666666666)</f>
        <v>45149.666666666599</v>
      </c>
      <c r="B1162" s="1">
        <f ca="1">IFERROR(__xludf.UNSUPPORTED("""COMPUTED_VALUE"""),177.79)</f>
        <v>177.79</v>
      </c>
      <c r="C1162" s="2">
        <f t="shared" ca="1" si="4"/>
        <v>-1.0114064168118605E-3</v>
      </c>
    </row>
    <row r="1163" spans="1:3">
      <c r="A1163" s="3">
        <f ca="1">IFERROR(__xludf.UNSUPPORTED("""COMPUTED_VALUE"""),45152.6666666666)</f>
        <v>45152.666666666599</v>
      </c>
      <c r="B1163" s="1">
        <f ca="1">IFERROR(__xludf.UNSUPPORTED("""COMPUTED_VALUE"""),179.46)</f>
        <v>179.46</v>
      </c>
      <c r="C1163" s="2">
        <f t="shared" ca="1" si="4"/>
        <v>9.3931042240846842E-3</v>
      </c>
    </row>
    <row r="1164" spans="1:3">
      <c r="A1164" s="3">
        <f ca="1">IFERROR(__xludf.UNSUPPORTED("""COMPUTED_VALUE"""),45153.6666666666)</f>
        <v>45153.666666666599</v>
      </c>
      <c r="B1164" s="1">
        <f ca="1">IFERROR(__xludf.UNSUPPORTED("""COMPUTED_VALUE"""),177.45)</f>
        <v>177.45</v>
      </c>
      <c r="C1164" s="2">
        <f t="shared" ca="1" si="4"/>
        <v>-1.1200267469073995E-2</v>
      </c>
    </row>
    <row r="1165" spans="1:3">
      <c r="A1165" s="3">
        <f ca="1">IFERROR(__xludf.UNSUPPORTED("""COMPUTED_VALUE"""),45154.6666666666)</f>
        <v>45154.666666666599</v>
      </c>
      <c r="B1165" s="1">
        <f ca="1">IFERROR(__xludf.UNSUPPORTED("""COMPUTED_VALUE"""),176.57)</f>
        <v>176.57</v>
      </c>
      <c r="C1165" s="2">
        <f t="shared" ca="1" si="4"/>
        <v>-4.9591434206818566E-3</v>
      </c>
    </row>
    <row r="1166" spans="1:3">
      <c r="A1166" s="3">
        <f ca="1">IFERROR(__xludf.UNSUPPORTED("""COMPUTED_VALUE"""),45155.6666666666)</f>
        <v>45155.666666666599</v>
      </c>
      <c r="B1166" s="1">
        <f ca="1">IFERROR(__xludf.UNSUPPORTED("""COMPUTED_VALUE"""),174)</f>
        <v>174</v>
      </c>
      <c r="C1166" s="2">
        <f t="shared" ca="1" si="4"/>
        <v>-1.4555133941213079E-2</v>
      </c>
    </row>
    <row r="1167" spans="1:3">
      <c r="A1167" s="3">
        <f ca="1">IFERROR(__xludf.UNSUPPORTED("""COMPUTED_VALUE"""),45156.6666666666)</f>
        <v>45156.666666666599</v>
      </c>
      <c r="B1167" s="1">
        <f ca="1">IFERROR(__xludf.UNSUPPORTED("""COMPUTED_VALUE"""),174.49)</f>
        <v>174.49</v>
      </c>
      <c r="C1167" s="2">
        <f t="shared" ca="1" si="4"/>
        <v>2.8160919540230409E-3</v>
      </c>
    </row>
    <row r="1168" spans="1:3">
      <c r="A1168" s="3">
        <f ca="1">IFERROR(__xludf.UNSUPPORTED("""COMPUTED_VALUE"""),45159.6666666666)</f>
        <v>45159.666666666599</v>
      </c>
      <c r="B1168" s="1">
        <f ca="1">IFERROR(__xludf.UNSUPPORTED("""COMPUTED_VALUE"""),175.84)</f>
        <v>175.84</v>
      </c>
      <c r="C1168" s="2">
        <f t="shared" ca="1" si="4"/>
        <v>7.7368330563355736E-3</v>
      </c>
    </row>
    <row r="1169" spans="1:3">
      <c r="A1169" s="3">
        <f ca="1">IFERROR(__xludf.UNSUPPORTED("""COMPUTED_VALUE"""),45160.6666666666)</f>
        <v>45160.666666666599</v>
      </c>
      <c r="B1169" s="1">
        <f ca="1">IFERROR(__xludf.UNSUPPORTED("""COMPUTED_VALUE"""),177.23)</f>
        <v>177.23</v>
      </c>
      <c r="C1169" s="2">
        <f t="shared" ca="1" si="4"/>
        <v>7.9049135577797212E-3</v>
      </c>
    </row>
    <row r="1170" spans="1:3">
      <c r="A1170" s="3">
        <f ca="1">IFERROR(__xludf.UNSUPPORTED("""COMPUTED_VALUE"""),45161.6666666666)</f>
        <v>45161.666666666599</v>
      </c>
      <c r="B1170" s="1">
        <f ca="1">IFERROR(__xludf.UNSUPPORTED("""COMPUTED_VALUE"""),181.12)</f>
        <v>181.12</v>
      </c>
      <c r="C1170" s="2">
        <f t="shared" ca="1" si="4"/>
        <v>2.194887998645836E-2</v>
      </c>
    </row>
    <row r="1171" spans="1:3">
      <c r="A1171" s="3">
        <f ca="1">IFERROR(__xludf.UNSUPPORTED("""COMPUTED_VALUE"""),45162.6666666666)</f>
        <v>45162.666666666599</v>
      </c>
      <c r="B1171" s="1">
        <f ca="1">IFERROR(__xludf.UNSUPPORTED("""COMPUTED_VALUE"""),176.38)</f>
        <v>176.38</v>
      </c>
      <c r="C1171" s="2">
        <f t="shared" ca="1" si="4"/>
        <v>-2.6170494699646694E-2</v>
      </c>
    </row>
    <row r="1172" spans="1:3">
      <c r="A1172" s="3">
        <f ca="1">IFERROR(__xludf.UNSUPPORTED("""COMPUTED_VALUE"""),45163.6666666666)</f>
        <v>45163.666666666599</v>
      </c>
      <c r="B1172" s="1">
        <f ca="1">IFERROR(__xludf.UNSUPPORTED("""COMPUTED_VALUE"""),178.61)</f>
        <v>178.61</v>
      </c>
      <c r="C1172" s="2">
        <f t="shared" ca="1" si="4"/>
        <v>1.2643156820501295E-2</v>
      </c>
    </row>
    <row r="1173" spans="1:3">
      <c r="A1173" s="3">
        <f ca="1">IFERROR(__xludf.UNSUPPORTED("""COMPUTED_VALUE"""),45166.6666666666)</f>
        <v>45166.666666666599</v>
      </c>
      <c r="B1173" s="1">
        <f ca="1">IFERROR(__xludf.UNSUPPORTED("""COMPUTED_VALUE"""),180.19)</f>
        <v>180.19</v>
      </c>
      <c r="C1173" s="2">
        <f t="shared" ca="1" si="4"/>
        <v>8.8460892447230505E-3</v>
      </c>
    </row>
    <row r="1174" spans="1:3">
      <c r="A1174" s="3">
        <f ca="1">IFERROR(__xludf.UNSUPPORTED("""COMPUTED_VALUE"""),45167.6666666666)</f>
        <v>45167.666666666599</v>
      </c>
      <c r="B1174" s="1">
        <f ca="1">IFERROR(__xludf.UNSUPPORTED("""COMPUTED_VALUE"""),184.12)</f>
        <v>184.12</v>
      </c>
      <c r="C1174" s="2">
        <f t="shared" ca="1" si="4"/>
        <v>2.1810311338032115E-2</v>
      </c>
    </row>
    <row r="1175" spans="1:3">
      <c r="A1175" s="3">
        <f ca="1">IFERROR(__xludf.UNSUPPORTED("""COMPUTED_VALUE"""),45168.6666666666)</f>
        <v>45168.666666666599</v>
      </c>
      <c r="B1175" s="1">
        <f ca="1">IFERROR(__xludf.UNSUPPORTED("""COMPUTED_VALUE"""),187.65)</f>
        <v>187.65</v>
      </c>
      <c r="C1175" s="2">
        <f t="shared" ca="1" si="4"/>
        <v>1.9172278948511846E-2</v>
      </c>
    </row>
    <row r="1176" spans="1:3">
      <c r="A1176" s="3">
        <f ca="1">IFERROR(__xludf.UNSUPPORTED("""COMPUTED_VALUE"""),45169.6666666666)</f>
        <v>45169.666666666599</v>
      </c>
      <c r="B1176" s="1">
        <f ca="1">IFERROR(__xludf.UNSUPPORTED("""COMPUTED_VALUE"""),187.87)</f>
        <v>187.87</v>
      </c>
      <c r="C1176" s="2">
        <f t="shared" ca="1" si="4"/>
        <v>1.1723954169997274E-3</v>
      </c>
    </row>
    <row r="1177" spans="1:3">
      <c r="A1177" s="3">
        <f ca="1">IFERROR(__xludf.UNSUPPORTED("""COMPUTED_VALUE"""),45170.6666666666)</f>
        <v>45170.666666666599</v>
      </c>
      <c r="B1177" s="1">
        <f ca="1">IFERROR(__xludf.UNSUPPORTED("""COMPUTED_VALUE"""),189.46)</f>
        <v>189.46</v>
      </c>
      <c r="C1177" s="2">
        <f t="shared" ca="1" si="4"/>
        <v>8.4632990897961537E-3</v>
      </c>
    </row>
    <row r="1178" spans="1:3">
      <c r="A1178" s="3">
        <f ca="1">IFERROR(__xludf.UNSUPPORTED("""COMPUTED_VALUE"""),45174.6666666666)</f>
        <v>45174.666666666599</v>
      </c>
      <c r="B1178" s="1">
        <f ca="1">IFERROR(__xludf.UNSUPPORTED("""COMPUTED_VALUE"""),189.7)</f>
        <v>189.7</v>
      </c>
      <c r="C1178" s="2">
        <f t="shared" ca="1" si="4"/>
        <v>1.2667581547555192E-3</v>
      </c>
    </row>
    <row r="1179" spans="1:3">
      <c r="A1179" s="3">
        <f ca="1">IFERROR(__xludf.UNSUPPORTED("""COMPUTED_VALUE"""),45175.6666666666)</f>
        <v>45175.666666666599</v>
      </c>
      <c r="B1179" s="1">
        <f ca="1">IFERROR(__xludf.UNSUPPORTED("""COMPUTED_VALUE"""),182.91)</f>
        <v>182.91</v>
      </c>
      <c r="C1179" s="2">
        <f t="shared" ca="1" si="4"/>
        <v>-3.5793357933579295E-2</v>
      </c>
    </row>
    <row r="1180" spans="1:3">
      <c r="A1180" s="3">
        <f ca="1">IFERROR(__xludf.UNSUPPORTED("""COMPUTED_VALUE"""),45176.6666666666)</f>
        <v>45176.666666666599</v>
      </c>
      <c r="B1180" s="1">
        <f ca="1">IFERROR(__xludf.UNSUPPORTED("""COMPUTED_VALUE"""),177.56)</f>
        <v>177.56</v>
      </c>
      <c r="C1180" s="2">
        <f t="shared" ca="1" si="4"/>
        <v>-2.9249357607566532E-2</v>
      </c>
    </row>
    <row r="1181" spans="1:3">
      <c r="A1181" s="3">
        <f ca="1">IFERROR(__xludf.UNSUPPORTED("""COMPUTED_VALUE"""),45177.6666666666)</f>
        <v>45177.666666666599</v>
      </c>
      <c r="B1181" s="1">
        <f ca="1">IFERROR(__xludf.UNSUPPORTED("""COMPUTED_VALUE"""),178.18)</f>
        <v>178.18</v>
      </c>
      <c r="C1181" s="2">
        <f t="shared" ca="1" si="4"/>
        <v>3.4917774273485274E-3</v>
      </c>
    </row>
    <row r="1182" spans="1:3">
      <c r="A1182" s="3">
        <f ca="1">IFERROR(__xludf.UNSUPPORTED("""COMPUTED_VALUE"""),45180.6666666666)</f>
        <v>45180.666666666599</v>
      </c>
      <c r="B1182" s="1">
        <f ca="1">IFERROR(__xludf.UNSUPPORTED("""COMPUTED_VALUE"""),179.36)</f>
        <v>179.36</v>
      </c>
      <c r="C1182" s="2">
        <f t="shared" ca="1" si="4"/>
        <v>6.6225165562914289E-3</v>
      </c>
    </row>
    <row r="1183" spans="1:3">
      <c r="A1183" s="3">
        <f ca="1">IFERROR(__xludf.UNSUPPORTED("""COMPUTED_VALUE"""),45181.6666666666)</f>
        <v>45181.666666666599</v>
      </c>
      <c r="B1183" s="1">
        <f ca="1">IFERROR(__xludf.UNSUPPORTED("""COMPUTED_VALUE"""),176.3)</f>
        <v>176.3</v>
      </c>
      <c r="C1183" s="2">
        <f t="shared" ca="1" si="4"/>
        <v>-1.7060660124888504E-2</v>
      </c>
    </row>
    <row r="1184" spans="1:3">
      <c r="A1184" s="3">
        <f ca="1">IFERROR(__xludf.UNSUPPORTED("""COMPUTED_VALUE"""),45182.6666666666)</f>
        <v>45182.666666666599</v>
      </c>
      <c r="B1184" s="1">
        <f ca="1">IFERROR(__xludf.UNSUPPORTED("""COMPUTED_VALUE"""),174.21)</f>
        <v>174.21</v>
      </c>
      <c r="C1184" s="2">
        <f t="shared" ca="1" si="4"/>
        <v>-1.1854792966534335E-2</v>
      </c>
    </row>
    <row r="1185" spans="1:3">
      <c r="A1185" s="3">
        <f ca="1">IFERROR(__xludf.UNSUPPORTED("""COMPUTED_VALUE"""),45183.6666666666)</f>
        <v>45183.666666666599</v>
      </c>
      <c r="B1185" s="1">
        <f ca="1">IFERROR(__xludf.UNSUPPORTED("""COMPUTED_VALUE"""),175.74)</f>
        <v>175.74</v>
      </c>
      <c r="C1185" s="2">
        <f t="shared" ca="1" si="4"/>
        <v>8.7825038746340688E-3</v>
      </c>
    </row>
    <row r="1186" spans="1:3">
      <c r="A1186" s="3">
        <f ca="1">IFERROR(__xludf.UNSUPPORTED("""COMPUTED_VALUE"""),45184.6666666666)</f>
        <v>45184.666666666599</v>
      </c>
      <c r="B1186" s="1">
        <f ca="1">IFERROR(__xludf.UNSUPPORTED("""COMPUTED_VALUE"""),175.01)</f>
        <v>175.01</v>
      </c>
      <c r="C1186" s="2">
        <f t="shared" ca="1" si="4"/>
        <v>-4.1538636622283952E-3</v>
      </c>
    </row>
    <row r="1187" spans="1:3">
      <c r="A1187" s="3">
        <f ca="1">IFERROR(__xludf.UNSUPPORTED("""COMPUTED_VALUE"""),45187.6666666666)</f>
        <v>45187.666666666599</v>
      </c>
      <c r="B1187" s="1">
        <f ca="1">IFERROR(__xludf.UNSUPPORTED("""COMPUTED_VALUE"""),177.97)</f>
        <v>177.97</v>
      </c>
      <c r="C1187" s="2">
        <f t="shared" ca="1" si="4"/>
        <v>1.691331923890068E-2</v>
      </c>
    </row>
    <row r="1188" spans="1:3">
      <c r="A1188" s="3">
        <f ca="1">IFERROR(__xludf.UNSUPPORTED("""COMPUTED_VALUE"""),45188.6666666666)</f>
        <v>45188.666666666599</v>
      </c>
      <c r="B1188" s="1">
        <f ca="1">IFERROR(__xludf.UNSUPPORTED("""COMPUTED_VALUE"""),179.07)</f>
        <v>179.07</v>
      </c>
      <c r="C1188" s="2">
        <f t="shared" ca="1" si="4"/>
        <v>6.1808169916277708E-3</v>
      </c>
    </row>
    <row r="1189" spans="1:3">
      <c r="A1189" s="3">
        <f ca="1">IFERROR(__xludf.UNSUPPORTED("""COMPUTED_VALUE"""),45189.6666666666)</f>
        <v>45189.666666666599</v>
      </c>
      <c r="B1189" s="1">
        <f ca="1">IFERROR(__xludf.UNSUPPORTED("""COMPUTED_VALUE"""),175.49)</f>
        <v>175.49</v>
      </c>
      <c r="C1189" s="2">
        <f t="shared" ca="1" si="4"/>
        <v>-1.99921818283352E-2</v>
      </c>
    </row>
    <row r="1190" spans="1:3">
      <c r="A1190" s="3">
        <f ca="1">IFERROR(__xludf.UNSUPPORTED("""COMPUTED_VALUE"""),45190.6666666666)</f>
        <v>45190.666666666599</v>
      </c>
      <c r="B1190" s="1">
        <f ca="1">IFERROR(__xludf.UNSUPPORTED("""COMPUTED_VALUE"""),173.93)</f>
        <v>173.93</v>
      </c>
      <c r="C1190" s="2">
        <f t="shared" ca="1" si="4"/>
        <v>-8.8893954071457195E-3</v>
      </c>
    </row>
    <row r="1191" spans="1:3">
      <c r="A1191" s="3">
        <f ca="1">IFERROR(__xludf.UNSUPPORTED("""COMPUTED_VALUE"""),45191.6666666666)</f>
        <v>45191.666666666599</v>
      </c>
      <c r="B1191" s="1">
        <f ca="1">IFERROR(__xludf.UNSUPPORTED("""COMPUTED_VALUE"""),174.79)</f>
        <v>174.79</v>
      </c>
      <c r="C1191" s="2">
        <f t="shared" ca="1" si="4"/>
        <v>4.9445179095037378E-3</v>
      </c>
    </row>
    <row r="1192" spans="1:3">
      <c r="A1192" s="3">
        <f ca="1">IFERROR(__xludf.UNSUPPORTED("""COMPUTED_VALUE"""),45194.6666666666)</f>
        <v>45194.666666666599</v>
      </c>
      <c r="B1192" s="1">
        <f ca="1">IFERROR(__xludf.UNSUPPORTED("""COMPUTED_VALUE"""),176.08)</f>
        <v>176.08</v>
      </c>
      <c r="C1192" s="2">
        <f t="shared" ca="1" si="4"/>
        <v>7.380284913324678E-3</v>
      </c>
    </row>
    <row r="1193" spans="1:3">
      <c r="A1193" s="3">
        <f ca="1">IFERROR(__xludf.UNSUPPORTED("""COMPUTED_VALUE"""),45195.6666666666)</f>
        <v>45195.666666666599</v>
      </c>
      <c r="B1193" s="1">
        <f ca="1">IFERROR(__xludf.UNSUPPORTED("""COMPUTED_VALUE"""),171.96)</f>
        <v>171.96</v>
      </c>
      <c r="C1193" s="2">
        <f t="shared" ca="1" si="4"/>
        <v>-2.3398455247614743E-2</v>
      </c>
    </row>
    <row r="1194" spans="1:3">
      <c r="A1194" s="3">
        <f ca="1">IFERROR(__xludf.UNSUPPORTED("""COMPUTED_VALUE"""),45196.6666666666)</f>
        <v>45196.666666666599</v>
      </c>
      <c r="B1194" s="1">
        <f ca="1">IFERROR(__xludf.UNSUPPORTED("""COMPUTED_VALUE"""),170.43)</f>
        <v>170.43</v>
      </c>
      <c r="C1194" s="2">
        <f t="shared" ca="1" si="4"/>
        <v>-8.8974180041870264E-3</v>
      </c>
    </row>
    <row r="1195" spans="1:3">
      <c r="A1195" s="3">
        <f ca="1">IFERROR(__xludf.UNSUPPORTED("""COMPUTED_VALUE"""),45197.6666666666)</f>
        <v>45197.666666666599</v>
      </c>
      <c r="B1195" s="1">
        <f ca="1">IFERROR(__xludf.UNSUPPORTED("""COMPUTED_VALUE"""),170.69)</f>
        <v>170.69</v>
      </c>
      <c r="C1195" s="2">
        <f t="shared" ca="1" si="4"/>
        <v>1.5255530129671471E-3</v>
      </c>
    </row>
    <row r="1196" spans="1:3">
      <c r="A1196" s="3">
        <f ca="1">IFERROR(__xludf.UNSUPPORTED("""COMPUTED_VALUE"""),45198.6666666666)</f>
        <v>45198.666666666599</v>
      </c>
      <c r="B1196" s="1">
        <f ca="1">IFERROR(__xludf.UNSUPPORTED("""COMPUTED_VALUE"""),171.21)</f>
        <v>171.21</v>
      </c>
      <c r="C1196" s="2">
        <f t="shared" ca="1" si="4"/>
        <v>3.0464584920031064E-3</v>
      </c>
    </row>
    <row r="1197" spans="1:3">
      <c r="A1197" s="3">
        <f ca="1">IFERROR(__xludf.UNSUPPORTED("""COMPUTED_VALUE"""),45201.6666666666)</f>
        <v>45201.666666666599</v>
      </c>
      <c r="B1197" s="1">
        <f ca="1">IFERROR(__xludf.UNSUPPORTED("""COMPUTED_VALUE"""),173.75)</f>
        <v>173.75</v>
      </c>
      <c r="C1197" s="2">
        <f t="shared" ca="1" si="4"/>
        <v>1.4835582033759663E-2</v>
      </c>
    </row>
    <row r="1198" spans="1:3">
      <c r="A1198" s="3">
        <f ca="1">IFERROR(__xludf.UNSUPPORTED("""COMPUTED_VALUE"""),45202.6666666666)</f>
        <v>45202.666666666599</v>
      </c>
      <c r="B1198" s="1">
        <f ca="1">IFERROR(__xludf.UNSUPPORTED("""COMPUTED_VALUE"""),172.4)</f>
        <v>172.4</v>
      </c>
      <c r="C1198" s="2">
        <f t="shared" ca="1" si="4"/>
        <v>-7.769784172661838E-3</v>
      </c>
    </row>
    <row r="1199" spans="1:3">
      <c r="A1199" s="3">
        <f ca="1">IFERROR(__xludf.UNSUPPORTED("""COMPUTED_VALUE"""),45203.6666666666)</f>
        <v>45203.666666666599</v>
      </c>
      <c r="B1199" s="1">
        <f ca="1">IFERROR(__xludf.UNSUPPORTED("""COMPUTED_VALUE"""),173.66)</f>
        <v>173.66</v>
      </c>
      <c r="C1199" s="2">
        <f t="shared" ca="1" si="4"/>
        <v>7.3085846867748886E-3</v>
      </c>
    </row>
    <row r="1200" spans="1:3">
      <c r="A1200" s="3">
        <f ca="1">IFERROR(__xludf.UNSUPPORTED("""COMPUTED_VALUE"""),45204.6666666666)</f>
        <v>45204.666666666599</v>
      </c>
      <c r="B1200" s="1">
        <f ca="1">IFERROR(__xludf.UNSUPPORTED("""COMPUTED_VALUE"""),174.91)</f>
        <v>174.91</v>
      </c>
      <c r="C1200" s="2">
        <f t="shared" ca="1" si="4"/>
        <v>7.1979730507888981E-3</v>
      </c>
    </row>
    <row r="1201" spans="1:3">
      <c r="A1201" s="3">
        <f ca="1">IFERROR(__xludf.UNSUPPORTED("""COMPUTED_VALUE"""),45205.6666666666)</f>
        <v>45205.666666666599</v>
      </c>
      <c r="B1201" s="1">
        <f ca="1">IFERROR(__xludf.UNSUPPORTED("""COMPUTED_VALUE"""),177.49)</f>
        <v>177.49</v>
      </c>
      <c r="C1201" s="2">
        <f t="shared" ca="1" si="4"/>
        <v>1.4750443085015223E-2</v>
      </c>
    </row>
    <row r="1202" spans="1:3">
      <c r="A1202" s="3">
        <f ca="1">IFERROR(__xludf.UNSUPPORTED("""COMPUTED_VALUE"""),45208.6666666666)</f>
        <v>45208.666666666599</v>
      </c>
      <c r="B1202" s="1">
        <f ca="1">IFERROR(__xludf.UNSUPPORTED("""COMPUTED_VALUE"""),178.99)</f>
        <v>178.99</v>
      </c>
      <c r="C1202" s="2">
        <f t="shared" ca="1" si="4"/>
        <v>8.4511803481886298E-3</v>
      </c>
    </row>
    <row r="1203" spans="1:3">
      <c r="A1203" s="3">
        <f ca="1">IFERROR(__xludf.UNSUPPORTED("""COMPUTED_VALUE"""),45209.6666666666)</f>
        <v>45209.666666666599</v>
      </c>
      <c r="B1203" s="1">
        <f ca="1">IFERROR(__xludf.UNSUPPORTED("""COMPUTED_VALUE"""),178.39)</f>
        <v>178.39</v>
      </c>
      <c r="C1203" s="2">
        <f t="shared" ca="1" si="4"/>
        <v>-3.3521425777977691E-3</v>
      </c>
    </row>
    <row r="1204" spans="1:3">
      <c r="A1204" s="3">
        <f ca="1">IFERROR(__xludf.UNSUPPORTED("""COMPUTED_VALUE"""),45210.6666666666)</f>
        <v>45210.666666666599</v>
      </c>
      <c r="B1204" s="1">
        <f ca="1">IFERROR(__xludf.UNSUPPORTED("""COMPUTED_VALUE"""),179.8)</f>
        <v>179.8</v>
      </c>
      <c r="C1204" s="2">
        <f t="shared" ca="1" si="4"/>
        <v>7.9040304949830435E-3</v>
      </c>
    </row>
    <row r="1205" spans="1:3">
      <c r="A1205" s="3">
        <f ca="1">IFERROR(__xludf.UNSUPPORTED("""COMPUTED_VALUE"""),45211.6666666666)</f>
        <v>45211.666666666599</v>
      </c>
      <c r="B1205" s="1">
        <f ca="1">IFERROR(__xludf.UNSUPPORTED("""COMPUTED_VALUE"""),180.71)</f>
        <v>180.71</v>
      </c>
      <c r="C1205" s="2">
        <f t="shared" ca="1" si="4"/>
        <v>5.0611790878753978E-3</v>
      </c>
    </row>
    <row r="1206" spans="1:3">
      <c r="A1206" s="3">
        <f ca="1">IFERROR(__xludf.UNSUPPORTED("""COMPUTED_VALUE"""),45212.6666666666)</f>
        <v>45212.666666666599</v>
      </c>
      <c r="B1206" s="1">
        <f ca="1">IFERROR(__xludf.UNSUPPORTED("""COMPUTED_VALUE"""),178.85)</f>
        <v>178.85</v>
      </c>
      <c r="C1206" s="2">
        <f t="shared" ca="1" si="4"/>
        <v>-1.0292734215040749E-2</v>
      </c>
    </row>
    <row r="1207" spans="1:3">
      <c r="A1207" s="3">
        <f ca="1">IFERROR(__xludf.UNSUPPORTED("""COMPUTED_VALUE"""),45215.6666666666)</f>
        <v>45215.666666666599</v>
      </c>
      <c r="B1207" s="1">
        <f ca="1">IFERROR(__xludf.UNSUPPORTED("""COMPUTED_VALUE"""),178.72)</f>
        <v>178.72</v>
      </c>
      <c r="C1207" s="2">
        <f t="shared" ca="1" si="4"/>
        <v>-7.2686608890128851E-4</v>
      </c>
    </row>
    <row r="1208" spans="1:3">
      <c r="A1208" s="3">
        <f ca="1">IFERROR(__xludf.UNSUPPORTED("""COMPUTED_VALUE"""),45216.6666666666)</f>
        <v>45216.666666666599</v>
      </c>
      <c r="B1208" s="1">
        <f ca="1">IFERROR(__xludf.UNSUPPORTED("""COMPUTED_VALUE"""),177.15)</f>
        <v>177.15</v>
      </c>
      <c r="C1208" s="2">
        <f t="shared" ca="1" si="4"/>
        <v>-8.7846911369739988E-3</v>
      </c>
    </row>
    <row r="1209" spans="1:3">
      <c r="A1209" s="3">
        <f ca="1">IFERROR(__xludf.UNSUPPORTED("""COMPUTED_VALUE"""),45217.6666666666)</f>
        <v>45217.666666666599</v>
      </c>
      <c r="B1209" s="1">
        <f ca="1">IFERROR(__xludf.UNSUPPORTED("""COMPUTED_VALUE"""),175.84)</f>
        <v>175.84</v>
      </c>
      <c r="C1209" s="2">
        <f t="shared" ca="1" si="4"/>
        <v>-7.3948631103584661E-3</v>
      </c>
    </row>
    <row r="1210" spans="1:3">
      <c r="A1210" s="3">
        <f ca="1">IFERROR(__xludf.UNSUPPORTED("""COMPUTED_VALUE"""),45218.6666666666)</f>
        <v>45218.666666666599</v>
      </c>
      <c r="B1210" s="1">
        <f ca="1">IFERROR(__xludf.UNSUPPORTED("""COMPUTED_VALUE"""),175.46)</f>
        <v>175.46</v>
      </c>
      <c r="C1210" s="2">
        <f t="shared" ca="1" si="4"/>
        <v>-2.1610555050045237E-3</v>
      </c>
    </row>
    <row r="1211" spans="1:3">
      <c r="A1211" s="3">
        <f ca="1">IFERROR(__xludf.UNSUPPORTED("""COMPUTED_VALUE"""),45219.6666666666)</f>
        <v>45219.666666666599</v>
      </c>
      <c r="B1211" s="1">
        <f ca="1">IFERROR(__xludf.UNSUPPORTED("""COMPUTED_VALUE"""),172.88)</f>
        <v>172.88</v>
      </c>
      <c r="C1211" s="2">
        <f t="shared" ca="1" si="4"/>
        <v>-1.4704206086857474E-2</v>
      </c>
    </row>
    <row r="1212" spans="1:3">
      <c r="A1212" s="3">
        <f ca="1">IFERROR(__xludf.UNSUPPORTED("""COMPUTED_VALUE"""),45222.6666666666)</f>
        <v>45222.666666666599</v>
      </c>
      <c r="B1212" s="1">
        <f ca="1">IFERROR(__xludf.UNSUPPORTED("""COMPUTED_VALUE"""),173)</f>
        <v>173</v>
      </c>
      <c r="C1212" s="2">
        <f t="shared" ca="1" si="4"/>
        <v>6.9412309116152564E-4</v>
      </c>
    </row>
    <row r="1213" spans="1:3">
      <c r="A1213" s="3">
        <f ca="1">IFERROR(__xludf.UNSUPPORTED("""COMPUTED_VALUE"""),45223.6666666666)</f>
        <v>45223.666666666599</v>
      </c>
      <c r="B1213" s="1">
        <f ca="1">IFERROR(__xludf.UNSUPPORTED("""COMPUTED_VALUE"""),173.44)</f>
        <v>173.44</v>
      </c>
      <c r="C1213" s="2">
        <f t="shared" ca="1" si="4"/>
        <v>2.5433526011560564E-3</v>
      </c>
    </row>
    <row r="1214" spans="1:3">
      <c r="A1214" s="3">
        <f ca="1">IFERROR(__xludf.UNSUPPORTED("""COMPUTED_VALUE"""),45224.6666666666)</f>
        <v>45224.666666666599</v>
      </c>
      <c r="B1214" s="1">
        <f ca="1">IFERROR(__xludf.UNSUPPORTED("""COMPUTED_VALUE"""),171.1)</f>
        <v>171.1</v>
      </c>
      <c r="C1214" s="2">
        <f t="shared" ca="1" si="4"/>
        <v>-1.349169741697419E-2</v>
      </c>
    </row>
    <row r="1215" spans="1:3">
      <c r="A1215" s="3">
        <f ca="1">IFERROR(__xludf.UNSUPPORTED("""COMPUTED_VALUE"""),45225.6666666666)</f>
        <v>45225.666666666599</v>
      </c>
      <c r="B1215" s="1">
        <f ca="1">IFERROR(__xludf.UNSUPPORTED("""COMPUTED_VALUE"""),166.89)</f>
        <v>166.89</v>
      </c>
      <c r="C1215" s="2">
        <f t="shared" ca="1" si="4"/>
        <v>-2.4605493863237921E-2</v>
      </c>
    </row>
    <row r="1216" spans="1:3">
      <c r="A1216" s="3">
        <f ca="1">IFERROR(__xludf.UNSUPPORTED("""COMPUTED_VALUE"""),45226.6666666666)</f>
        <v>45226.666666666599</v>
      </c>
      <c r="B1216" s="1">
        <f ca="1">IFERROR(__xludf.UNSUPPORTED("""COMPUTED_VALUE"""),168.22)</f>
        <v>168.22</v>
      </c>
      <c r="C1216" s="2">
        <f t="shared" ca="1" si="4"/>
        <v>7.9693211097130595E-3</v>
      </c>
    </row>
    <row r="1217" spans="1:3">
      <c r="A1217" s="3">
        <f ca="1">IFERROR(__xludf.UNSUPPORTED("""COMPUTED_VALUE"""),45229.6666666666)</f>
        <v>45229.666666666599</v>
      </c>
      <c r="B1217" s="1">
        <f ca="1">IFERROR(__xludf.UNSUPPORTED("""COMPUTED_VALUE"""),170.29)</f>
        <v>170.29</v>
      </c>
      <c r="C1217" s="2">
        <f t="shared" ca="1" si="4"/>
        <v>1.2305314469147505E-2</v>
      </c>
    </row>
    <row r="1218" spans="1:3">
      <c r="A1218" s="3">
        <f ca="1">IFERROR(__xludf.UNSUPPORTED("""COMPUTED_VALUE"""),45230.6666666666)</f>
        <v>45230.666666666599</v>
      </c>
      <c r="B1218" s="1">
        <f ca="1">IFERROR(__xludf.UNSUPPORTED("""COMPUTED_VALUE"""),170.77)</f>
        <v>170.77</v>
      </c>
      <c r="C1218" s="2">
        <f t="shared" ca="1" si="4"/>
        <v>2.8187210053439321E-3</v>
      </c>
    </row>
    <row r="1219" spans="1:3">
      <c r="A1219" s="3">
        <f ca="1">IFERROR(__xludf.UNSUPPORTED("""COMPUTED_VALUE"""),45231.6666666666)</f>
        <v>45231.666666666599</v>
      </c>
      <c r="B1219" s="1">
        <f ca="1">IFERROR(__xludf.UNSUPPORTED("""COMPUTED_VALUE"""),173.97)</f>
        <v>173.97</v>
      </c>
      <c r="C1219" s="2">
        <f t="shared" ca="1" si="4"/>
        <v>1.873865433038583E-2</v>
      </c>
    </row>
    <row r="1220" spans="1:3">
      <c r="A1220" s="3">
        <f ca="1">IFERROR(__xludf.UNSUPPORTED("""COMPUTED_VALUE"""),45232.6666666666)</f>
        <v>45232.666666666599</v>
      </c>
      <c r="B1220" s="1">
        <f ca="1">IFERROR(__xludf.UNSUPPORTED("""COMPUTED_VALUE"""),177.57)</f>
        <v>177.57</v>
      </c>
      <c r="C1220" s="2">
        <f t="shared" ca="1" si="4"/>
        <v>2.0693222969477464E-2</v>
      </c>
    </row>
    <row r="1221" spans="1:3">
      <c r="A1221" s="3">
        <f ca="1">IFERROR(__xludf.UNSUPPORTED("""COMPUTED_VALUE"""),45233.6666666666)</f>
        <v>45233.666666666599</v>
      </c>
      <c r="B1221" s="1">
        <f ca="1">IFERROR(__xludf.UNSUPPORTED("""COMPUTED_VALUE"""),176.65)</f>
        <v>176.65</v>
      </c>
      <c r="C1221" s="2">
        <f t="shared" ca="1" si="4"/>
        <v>-5.1810553584501181E-3</v>
      </c>
    </row>
    <row r="1222" spans="1:3">
      <c r="A1222" s="3">
        <f ca="1">IFERROR(__xludf.UNSUPPORTED("""COMPUTED_VALUE"""),45236.6666666666)</f>
        <v>45236.666666666599</v>
      </c>
      <c r="B1222" s="1">
        <f ca="1">IFERROR(__xludf.UNSUPPORTED("""COMPUTED_VALUE"""),179.23)</f>
        <v>179.23</v>
      </c>
      <c r="C1222" s="2">
        <f t="shared" ca="1" si="4"/>
        <v>1.460515142938004E-2</v>
      </c>
    </row>
    <row r="1223" spans="1:3">
      <c r="A1223" s="3">
        <f ca="1">IFERROR(__xludf.UNSUPPORTED("""COMPUTED_VALUE"""),45237.6666666666)</f>
        <v>45237.666666666599</v>
      </c>
      <c r="B1223" s="1">
        <f ca="1">IFERROR(__xludf.UNSUPPORTED("""COMPUTED_VALUE"""),181.82)</f>
        <v>181.82</v>
      </c>
      <c r="C1223" s="2">
        <f t="shared" ca="1" si="4"/>
        <v>1.4450705797020609E-2</v>
      </c>
    </row>
    <row r="1224" spans="1:3">
      <c r="A1224" s="3">
        <f ca="1">IFERROR(__xludf.UNSUPPORTED("""COMPUTED_VALUE"""),45238.6666666666)</f>
        <v>45238.666666666599</v>
      </c>
      <c r="B1224" s="1">
        <f ca="1">IFERROR(__xludf.UNSUPPORTED("""COMPUTED_VALUE"""),182.89)</f>
        <v>182.89</v>
      </c>
      <c r="C1224" s="2">
        <f t="shared" ca="1" si="4"/>
        <v>5.8849411505884569E-3</v>
      </c>
    </row>
    <row r="1225" spans="1:3">
      <c r="A1225" s="3">
        <f ca="1">IFERROR(__xludf.UNSUPPORTED("""COMPUTED_VALUE"""),45239.6666666666)</f>
        <v>45239.666666666599</v>
      </c>
      <c r="B1225" s="1">
        <f ca="1">IFERROR(__xludf.UNSUPPORTED("""COMPUTED_VALUE"""),182.41)</f>
        <v>182.41</v>
      </c>
      <c r="C1225" s="2">
        <f t="shared" ca="1" si="4"/>
        <v>-2.6245284050521616E-3</v>
      </c>
    </row>
    <row r="1226" spans="1:3">
      <c r="A1226" s="3">
        <f ca="1">IFERROR(__xludf.UNSUPPORTED("""COMPUTED_VALUE"""),45240.6666666666)</f>
        <v>45240.666666666599</v>
      </c>
      <c r="B1226" s="1">
        <f ca="1">IFERROR(__xludf.UNSUPPORTED("""COMPUTED_VALUE"""),186.4)</f>
        <v>186.4</v>
      </c>
      <c r="C1226" s="2">
        <f t="shared" ca="1" si="4"/>
        <v>2.1873800778466145E-2</v>
      </c>
    </row>
    <row r="1227" spans="1:3">
      <c r="A1227" s="3">
        <f ca="1">IFERROR(__xludf.UNSUPPORTED("""COMPUTED_VALUE"""),45243.6666666666)</f>
        <v>45243.666666666599</v>
      </c>
      <c r="B1227" s="1">
        <f ca="1">IFERROR(__xludf.UNSUPPORTED("""COMPUTED_VALUE"""),184.8)</f>
        <v>184.8</v>
      </c>
      <c r="C1227" s="2">
        <f t="shared" ca="1" si="4"/>
        <v>-8.5836909871244323E-3</v>
      </c>
    </row>
    <row r="1228" spans="1:3">
      <c r="A1228" s="3">
        <f ca="1">IFERROR(__xludf.UNSUPPORTED("""COMPUTED_VALUE"""),45244.6666666666)</f>
        <v>45244.666666666599</v>
      </c>
      <c r="B1228" s="1">
        <f ca="1">IFERROR(__xludf.UNSUPPORTED("""COMPUTED_VALUE"""),187.44)</f>
        <v>187.44</v>
      </c>
      <c r="C1228" s="2">
        <f t="shared" ca="1" si="4"/>
        <v>1.4285714285714211E-2</v>
      </c>
    </row>
    <row r="1229" spans="1:3">
      <c r="A1229" s="3">
        <f ca="1">IFERROR(__xludf.UNSUPPORTED("""COMPUTED_VALUE"""),45245.6666666666)</f>
        <v>45245.666666666599</v>
      </c>
      <c r="B1229" s="1">
        <f ca="1">IFERROR(__xludf.UNSUPPORTED("""COMPUTED_VALUE"""),188.01)</f>
        <v>188.01</v>
      </c>
      <c r="C1229" s="2">
        <f t="shared" ca="1" si="4"/>
        <v>3.0409731113956104E-3</v>
      </c>
    </row>
    <row r="1230" spans="1:3">
      <c r="A1230" s="3">
        <f ca="1">IFERROR(__xludf.UNSUPPORTED("""COMPUTED_VALUE"""),45246.6666666666)</f>
        <v>45246.666666666599</v>
      </c>
      <c r="B1230" s="1">
        <f ca="1">IFERROR(__xludf.UNSUPPORTED("""COMPUTED_VALUE"""),189.71)</f>
        <v>189.71</v>
      </c>
      <c r="C1230" s="2">
        <f t="shared" ca="1" si="4"/>
        <v>9.042072230200612E-3</v>
      </c>
    </row>
    <row r="1231" spans="1:3">
      <c r="A1231" s="3">
        <f ca="1">IFERROR(__xludf.UNSUPPORTED("""COMPUTED_VALUE"""),45247.6666666666)</f>
        <v>45247.666666666599</v>
      </c>
      <c r="B1231" s="1">
        <f ca="1">IFERROR(__xludf.UNSUPPORTED("""COMPUTED_VALUE"""),189.69)</f>
        <v>189.69</v>
      </c>
      <c r="C1231" s="2">
        <f t="shared" ca="1" si="4"/>
        <v>-1.0542406831485019E-4</v>
      </c>
    </row>
    <row r="1232" spans="1:3">
      <c r="A1232" s="3">
        <f ca="1">IFERROR(__xludf.UNSUPPORTED("""COMPUTED_VALUE"""),45250.6666666666)</f>
        <v>45250.666666666599</v>
      </c>
      <c r="B1232" s="1">
        <f ca="1">IFERROR(__xludf.UNSUPPORTED("""COMPUTED_VALUE"""),191.45)</f>
        <v>191.45</v>
      </c>
      <c r="C1232" s="2">
        <f t="shared" ca="1" si="4"/>
        <v>9.278296167431024E-3</v>
      </c>
    </row>
    <row r="1233" spans="1:3">
      <c r="A1233" s="3">
        <f ca="1">IFERROR(__xludf.UNSUPPORTED("""COMPUTED_VALUE"""),45251.6666666666)</f>
        <v>45251.666666666599</v>
      </c>
      <c r="B1233" s="1">
        <f ca="1">IFERROR(__xludf.UNSUPPORTED("""COMPUTED_VALUE"""),190.64)</f>
        <v>190.64</v>
      </c>
      <c r="C1233" s="2">
        <f t="shared" ca="1" si="4"/>
        <v>-4.230869678767314E-3</v>
      </c>
    </row>
    <row r="1234" spans="1:3">
      <c r="A1234" s="3">
        <f ca="1">IFERROR(__xludf.UNSUPPORTED("""COMPUTED_VALUE"""),45252.6666666666)</f>
        <v>45252.666666666599</v>
      </c>
      <c r="B1234" s="1">
        <f ca="1">IFERROR(__xludf.UNSUPPORTED("""COMPUTED_VALUE"""),191.31)</f>
        <v>191.31</v>
      </c>
      <c r="C1234" s="2">
        <f t="shared" ca="1" si="4"/>
        <v>3.514477549307679E-3</v>
      </c>
    </row>
    <row r="1235" spans="1:3">
      <c r="A1235" s="3">
        <f ca="1">IFERROR(__xludf.UNSUPPORTED("""COMPUTED_VALUE"""),45254.5451388888)</f>
        <v>45254.545138888803</v>
      </c>
      <c r="B1235" s="1">
        <f ca="1">IFERROR(__xludf.UNSUPPORTED("""COMPUTED_VALUE"""),189.97)</f>
        <v>189.97</v>
      </c>
      <c r="C1235" s="2">
        <f t="shared" ca="1" si="4"/>
        <v>-7.0043385081804575E-3</v>
      </c>
    </row>
    <row r="1236" spans="1:3">
      <c r="A1236" s="3">
        <f ca="1">IFERROR(__xludf.UNSUPPORTED("""COMPUTED_VALUE"""),45257.6666666666)</f>
        <v>45257.666666666599</v>
      </c>
      <c r="B1236" s="1">
        <f ca="1">IFERROR(__xludf.UNSUPPORTED("""COMPUTED_VALUE"""),189.79)</f>
        <v>189.79</v>
      </c>
      <c r="C1236" s="2">
        <f t="shared" ca="1" si="4"/>
        <v>-9.4751802916253529E-4</v>
      </c>
    </row>
    <row r="1237" spans="1:3">
      <c r="A1237" s="3">
        <f ca="1">IFERROR(__xludf.UNSUPPORTED("""COMPUTED_VALUE"""),45258.6666666666)</f>
        <v>45258.666666666599</v>
      </c>
      <c r="B1237" s="1">
        <f ca="1">IFERROR(__xludf.UNSUPPORTED("""COMPUTED_VALUE"""),190.4)</f>
        <v>190.4</v>
      </c>
      <c r="C1237" s="2">
        <f t="shared" ca="1" si="4"/>
        <v>3.2140787185837697E-3</v>
      </c>
    </row>
    <row r="1238" spans="1:3">
      <c r="A1238" s="3">
        <f ca="1">IFERROR(__xludf.UNSUPPORTED("""COMPUTED_VALUE"""),45259.6666666666)</f>
        <v>45259.666666666599</v>
      </c>
      <c r="B1238" s="1">
        <f ca="1">IFERROR(__xludf.UNSUPPORTED("""COMPUTED_VALUE"""),189.37)</f>
        <v>189.37</v>
      </c>
      <c r="C1238" s="2">
        <f t="shared" ca="1" si="4"/>
        <v>-5.4096638655462244E-3</v>
      </c>
    </row>
    <row r="1239" spans="1:3">
      <c r="A1239" s="3">
        <f ca="1">IFERROR(__xludf.UNSUPPORTED("""COMPUTED_VALUE"""),45260.6666666666)</f>
        <v>45260.666666666599</v>
      </c>
      <c r="B1239" s="1">
        <f ca="1">IFERROR(__xludf.UNSUPPORTED("""COMPUTED_VALUE"""),189.95)</f>
        <v>189.95</v>
      </c>
      <c r="C1239" s="2">
        <f t="shared" ca="1" si="4"/>
        <v>3.0627871362939436E-3</v>
      </c>
    </row>
    <row r="1240" spans="1:3">
      <c r="A1240" s="3">
        <f ca="1">IFERROR(__xludf.UNSUPPORTED("""COMPUTED_VALUE"""),45261.6666666666)</f>
        <v>45261.666666666599</v>
      </c>
      <c r="B1240" s="1">
        <f ca="1">IFERROR(__xludf.UNSUPPORTED("""COMPUTED_VALUE"""),191.24)</f>
        <v>191.24</v>
      </c>
      <c r="C1240" s="2">
        <f t="shared" ca="1" si="4"/>
        <v>6.791260858120666E-3</v>
      </c>
    </row>
    <row r="1241" spans="1:3">
      <c r="A1241" s="3">
        <f ca="1">IFERROR(__xludf.UNSUPPORTED("""COMPUTED_VALUE"""),45264.6666666666)</f>
        <v>45264.666666666599</v>
      </c>
      <c r="B1241" s="1">
        <f ca="1">IFERROR(__xludf.UNSUPPORTED("""COMPUTED_VALUE"""),189.43)</f>
        <v>189.43</v>
      </c>
      <c r="C1241" s="2">
        <f t="shared" ca="1" si="4"/>
        <v>-9.4645471658648932E-3</v>
      </c>
    </row>
    <row r="1242" spans="1:3">
      <c r="A1242" s="3">
        <f ca="1">IFERROR(__xludf.UNSUPPORTED("""COMPUTED_VALUE"""),45265.6666666666)</f>
        <v>45265.666666666599</v>
      </c>
      <c r="B1242" s="1">
        <f ca="1">IFERROR(__xludf.UNSUPPORTED("""COMPUTED_VALUE"""),193.42)</f>
        <v>193.42</v>
      </c>
      <c r="C1242" s="2">
        <f t="shared" ca="1" si="4"/>
        <v>2.1063189568706016E-2</v>
      </c>
    </row>
    <row r="1243" spans="1:3">
      <c r="A1243" s="3">
        <f ca="1">IFERROR(__xludf.UNSUPPORTED("""COMPUTED_VALUE"""),45266.6666666666)</f>
        <v>45266.666666666599</v>
      </c>
      <c r="B1243" s="1">
        <f ca="1">IFERROR(__xludf.UNSUPPORTED("""COMPUTED_VALUE"""),192.32)</f>
        <v>192.32</v>
      </c>
      <c r="C1243" s="2">
        <f t="shared" ca="1" si="4"/>
        <v>-5.6871057801674823E-3</v>
      </c>
    </row>
    <row r="1244" spans="1:3">
      <c r="A1244" s="3">
        <f ca="1">IFERROR(__xludf.UNSUPPORTED("""COMPUTED_VALUE"""),45267.6666666666)</f>
        <v>45267.666666666599</v>
      </c>
      <c r="B1244" s="1">
        <f ca="1">IFERROR(__xludf.UNSUPPORTED("""COMPUTED_VALUE"""),194.27)</f>
        <v>194.27</v>
      </c>
      <c r="C1244" s="2">
        <f t="shared" ca="1" si="4"/>
        <v>1.0139351081530872E-2</v>
      </c>
    </row>
    <row r="1245" spans="1:3">
      <c r="A1245" s="3">
        <f ca="1">IFERROR(__xludf.UNSUPPORTED("""COMPUTED_VALUE"""),45268.6666666666)</f>
        <v>45268.666666666599</v>
      </c>
      <c r="B1245" s="1">
        <f ca="1">IFERROR(__xludf.UNSUPPORTED("""COMPUTED_VALUE"""),195.71)</f>
        <v>195.71</v>
      </c>
      <c r="C1245" s="2">
        <f t="shared" ca="1" si="4"/>
        <v>7.4123642353425521E-3</v>
      </c>
    </row>
    <row r="1246" spans="1:3">
      <c r="A1246" s="3">
        <f ca="1">IFERROR(__xludf.UNSUPPORTED("""COMPUTED_VALUE"""),45271.6666666666)</f>
        <v>45271.666666666599</v>
      </c>
      <c r="B1246" s="1">
        <f ca="1">IFERROR(__xludf.UNSUPPORTED("""COMPUTED_VALUE"""),193.18)</f>
        <v>193.18</v>
      </c>
      <c r="C1246" s="2">
        <f t="shared" ca="1" si="4"/>
        <v>-1.2927290378621436E-2</v>
      </c>
    </row>
    <row r="1247" spans="1:3">
      <c r="A1247" s="3">
        <f ca="1">IFERROR(__xludf.UNSUPPORTED("""COMPUTED_VALUE"""),45272.6666666666)</f>
        <v>45272.666666666599</v>
      </c>
      <c r="B1247" s="1">
        <f ca="1">IFERROR(__xludf.UNSUPPORTED("""COMPUTED_VALUE"""),194.71)</f>
        <v>194.71</v>
      </c>
      <c r="C1247" s="2">
        <f t="shared" ca="1" si="4"/>
        <v>7.9200745418780468E-3</v>
      </c>
    </row>
    <row r="1248" spans="1:3">
      <c r="A1248" s="3">
        <f ca="1">IFERROR(__xludf.UNSUPPORTED("""COMPUTED_VALUE"""),45273.6666666666)</f>
        <v>45273.666666666599</v>
      </c>
      <c r="B1248" s="1">
        <f ca="1">IFERROR(__xludf.UNSUPPORTED("""COMPUTED_VALUE"""),197.96)</f>
        <v>197.96</v>
      </c>
      <c r="C1248" s="2">
        <f t="shared" ca="1" si="4"/>
        <v>1.6691489908068409E-2</v>
      </c>
    </row>
    <row r="1249" spans="1:3">
      <c r="A1249" s="3">
        <f ca="1">IFERROR(__xludf.UNSUPPORTED("""COMPUTED_VALUE"""),45274.6666666666)</f>
        <v>45274.666666666599</v>
      </c>
      <c r="B1249" s="1">
        <f ca="1">IFERROR(__xludf.UNSUPPORTED("""COMPUTED_VALUE"""),198.11)</f>
        <v>198.11</v>
      </c>
      <c r="C1249" s="2">
        <f t="shared" ca="1" si="4"/>
        <v>7.5772883410792926E-4</v>
      </c>
    </row>
    <row r="1250" spans="1:3">
      <c r="A1250" s="3">
        <f ca="1">IFERROR(__xludf.UNSUPPORTED("""COMPUTED_VALUE"""),45275.6666666666)</f>
        <v>45275.666666666599</v>
      </c>
      <c r="B1250" s="1">
        <f ca="1">IFERROR(__xludf.UNSUPPORTED("""COMPUTED_VALUE"""),197.57)</f>
        <v>197.57</v>
      </c>
      <c r="C1250" s="2">
        <f t="shared" ca="1" si="4"/>
        <v>-2.7257584170411408E-3</v>
      </c>
    </row>
    <row r="1251" spans="1:3">
      <c r="A1251" s="3">
        <f ca="1">IFERROR(__xludf.UNSUPPORTED("""COMPUTED_VALUE"""),45278.6666666666)</f>
        <v>45278.666666666599</v>
      </c>
      <c r="B1251" s="1">
        <f ca="1">IFERROR(__xludf.UNSUPPORTED("""COMPUTED_VALUE"""),195.89)</f>
        <v>195.89</v>
      </c>
      <c r="C1251" s="2">
        <f t="shared" ca="1" si="4"/>
        <v>-8.5033152806600534E-3</v>
      </c>
    </row>
    <row r="1252" spans="1:3">
      <c r="A1252" s="3">
        <f ca="1">IFERROR(__xludf.UNSUPPORTED("""COMPUTED_VALUE"""),45279.6666666666)</f>
        <v>45279.666666666599</v>
      </c>
      <c r="B1252" s="1">
        <f ca="1">IFERROR(__xludf.UNSUPPORTED("""COMPUTED_VALUE"""),196.94)</f>
        <v>196.94</v>
      </c>
      <c r="C1252" s="2">
        <f t="shared" ca="1" si="4"/>
        <v>5.3601511052121676E-3</v>
      </c>
    </row>
    <row r="1253" spans="1:3">
      <c r="A1253" s="3">
        <f ca="1">IFERROR(__xludf.UNSUPPORTED("""COMPUTED_VALUE"""),45280.6666666666)</f>
        <v>45280.666666666599</v>
      </c>
      <c r="B1253" s="1">
        <f ca="1">IFERROR(__xludf.UNSUPPORTED("""COMPUTED_VALUE"""),194.83)</f>
        <v>194.83</v>
      </c>
      <c r="C1253" s="2">
        <f t="shared" ca="1" si="4"/>
        <v>-1.0713923022240201E-2</v>
      </c>
    </row>
    <row r="1254" spans="1:3">
      <c r="A1254" s="3">
        <f ca="1">IFERROR(__xludf.UNSUPPORTED("""COMPUTED_VALUE"""),45281.6666666666)</f>
        <v>45281.666666666599</v>
      </c>
      <c r="B1254" s="1">
        <f ca="1">IFERROR(__xludf.UNSUPPORTED("""COMPUTED_VALUE"""),194.68)</f>
        <v>194.68</v>
      </c>
      <c r="C1254" s="2">
        <f t="shared" ca="1" si="4"/>
        <v>-7.6990196581638187E-4</v>
      </c>
    </row>
    <row r="1255" spans="1:3">
      <c r="A1255" s="3">
        <f ca="1">IFERROR(__xludf.UNSUPPORTED("""COMPUTED_VALUE"""),45282.6666666666)</f>
        <v>45282.666666666599</v>
      </c>
      <c r="B1255" s="1">
        <f ca="1">IFERROR(__xludf.UNSUPPORTED("""COMPUTED_VALUE"""),193.6)</f>
        <v>193.6</v>
      </c>
      <c r="C1255" s="2">
        <f t="shared" ca="1" si="4"/>
        <v>-5.5475652352579233E-3</v>
      </c>
    </row>
    <row r="1256" spans="1:3">
      <c r="A1256" s="3">
        <f ca="1">IFERROR(__xludf.UNSUPPORTED("""COMPUTED_VALUE"""),45286.6666666666)</f>
        <v>45286.666666666599</v>
      </c>
      <c r="B1256" s="1">
        <f ca="1">IFERROR(__xludf.UNSUPPORTED("""COMPUTED_VALUE"""),193.05)</f>
        <v>193.05</v>
      </c>
      <c r="C1256" s="2">
        <f t="shared" ca="1" si="4"/>
        <v>-2.840909090909003E-3</v>
      </c>
    </row>
    <row r="1257" spans="1:3">
      <c r="A1257" s="3">
        <f ca="1">IFERROR(__xludf.UNSUPPORTED("""COMPUTED_VALUE"""),45287.6666666666)</f>
        <v>45287.666666666599</v>
      </c>
      <c r="B1257" s="1">
        <f ca="1">IFERROR(__xludf.UNSUPPORTED("""COMPUTED_VALUE"""),193.15)</f>
        <v>193.15</v>
      </c>
      <c r="C1257" s="2">
        <f t="shared" ca="1" si="4"/>
        <v>5.1800051800048855E-4</v>
      </c>
    </row>
    <row r="1258" spans="1:3">
      <c r="A1258" s="3">
        <f ca="1">IFERROR(__xludf.UNSUPPORTED("""COMPUTED_VALUE"""),45288.6666666666)</f>
        <v>45288.666666666599</v>
      </c>
      <c r="B1258" s="1">
        <f ca="1">IFERROR(__xludf.UNSUPPORTED("""COMPUTED_VALUE"""),193.58)</f>
        <v>193.58</v>
      </c>
      <c r="C1258" s="2">
        <f t="shared" ca="1" si="4"/>
        <v>2.2262490292519121E-3</v>
      </c>
    </row>
    <row r="1259" spans="1:3">
      <c r="A1259" s="3">
        <f ca="1">IFERROR(__xludf.UNSUPPORTED("""COMPUTED_VALUE"""),45289.6666666666)</f>
        <v>45289.666666666599</v>
      </c>
      <c r="B1259" s="1">
        <f ca="1">IFERROR(__xludf.UNSUPPORTED("""COMPUTED_VALUE"""),192.53)</f>
        <v>192.53</v>
      </c>
      <c r="C1259" s="2">
        <f t="shared" ca="1" si="4"/>
        <v>-5.4241140613700348E-3</v>
      </c>
    </row>
    <row r="1260" spans="1:3">
      <c r="A1260" s="3">
        <f ca="1">IFERROR(__xludf.UNSUPPORTED("""COMPUTED_VALUE"""),45293.6666666666)</f>
        <v>45293.666666666599</v>
      </c>
      <c r="B1260" s="1">
        <f ca="1">IFERROR(__xludf.UNSUPPORTED("""COMPUTED_VALUE"""),185.64)</f>
        <v>185.64</v>
      </c>
      <c r="C1260" s="2">
        <f t="shared" ca="1" si="4"/>
        <v>-3.5786630654962938E-2</v>
      </c>
    </row>
    <row r="1261" spans="1:3">
      <c r="A1261" s="3">
        <f ca="1">IFERROR(__xludf.UNSUPPORTED("""COMPUTED_VALUE"""),45294.6666666666)</f>
        <v>45294.666666666599</v>
      </c>
      <c r="B1261" s="1">
        <f ca="1">IFERROR(__xludf.UNSUPPORTED("""COMPUTED_VALUE"""),184.25)</f>
        <v>184.25</v>
      </c>
      <c r="C1261" s="2">
        <f t="shared" ca="1" si="4"/>
        <v>-7.4876104287868268E-3</v>
      </c>
    </row>
    <row r="1262" spans="1:3">
      <c r="A1262" s="3">
        <f ca="1">IFERROR(__xludf.UNSUPPORTED("""COMPUTED_VALUE"""),45295.6666666666)</f>
        <v>45295.666666666599</v>
      </c>
      <c r="B1262" s="1">
        <f ca="1">IFERROR(__xludf.UNSUPPORTED("""COMPUTED_VALUE"""),181.91)</f>
        <v>181.91</v>
      </c>
      <c r="C1262" s="2">
        <f t="shared" ca="1" si="4"/>
        <v>-1.2700135685210331E-2</v>
      </c>
    </row>
    <row r="1263" spans="1:3">
      <c r="A1263" s="3">
        <f ca="1">IFERROR(__xludf.UNSUPPORTED("""COMPUTED_VALUE"""),45296.6666666666)</f>
        <v>45296.666666666599</v>
      </c>
      <c r="B1263" s="1">
        <f ca="1">IFERROR(__xludf.UNSUPPORTED("""COMPUTED_VALUE"""),181.18)</f>
        <v>181.18</v>
      </c>
      <c r="C1263" s="2">
        <f t="shared" ca="1" si="4"/>
        <v>-4.0129734484084974E-3</v>
      </c>
    </row>
    <row r="1264" spans="1:3">
      <c r="A1264" s="3">
        <f ca="1">IFERROR(__xludf.UNSUPPORTED("""COMPUTED_VALUE"""),45299.6666666666)</f>
        <v>45299.666666666599</v>
      </c>
      <c r="B1264" s="1">
        <f ca="1">IFERROR(__xludf.UNSUPPORTED("""COMPUTED_VALUE"""),185.56)</f>
        <v>185.56</v>
      </c>
      <c r="C1264" s="2">
        <f t="shared" ca="1" si="4"/>
        <v>2.4174853736615494E-2</v>
      </c>
    </row>
    <row r="1265" spans="1:3">
      <c r="A1265" s="3">
        <f ca="1">IFERROR(__xludf.UNSUPPORTED("""COMPUTED_VALUE"""),45300.6666666666)</f>
        <v>45300.666666666599</v>
      </c>
      <c r="B1265" s="1">
        <f ca="1">IFERROR(__xludf.UNSUPPORTED("""COMPUTED_VALUE"""),185.14)</f>
        <v>185.14</v>
      </c>
      <c r="C1265" s="2">
        <f t="shared" ca="1" si="4"/>
        <v>-2.2634188402673849E-3</v>
      </c>
    </row>
    <row r="1266" spans="1:3">
      <c r="A1266" s="3">
        <f ca="1">IFERROR(__xludf.UNSUPPORTED("""COMPUTED_VALUE"""),45301.6666666666)</f>
        <v>45301.666666666599</v>
      </c>
      <c r="B1266" s="1">
        <f ca="1">IFERROR(__xludf.UNSUPPORTED("""COMPUTED_VALUE"""),186.19)</f>
        <v>186.19</v>
      </c>
      <c r="C1266" s="2">
        <f t="shared" ca="1" si="4"/>
        <v>5.6713838176515692E-3</v>
      </c>
    </row>
    <row r="1267" spans="1:3">
      <c r="A1267" s="3">
        <f ca="1">IFERROR(__xludf.UNSUPPORTED("""COMPUTED_VALUE"""),45302.6666666666)</f>
        <v>45302.666666666599</v>
      </c>
      <c r="B1267" s="1">
        <f ca="1">IFERROR(__xludf.UNSUPPORTED("""COMPUTED_VALUE"""),185.59)</f>
        <v>185.59</v>
      </c>
      <c r="C1267" s="2">
        <f t="shared" ca="1" si="4"/>
        <v>-3.2225146355872726E-3</v>
      </c>
    </row>
    <row r="1268" spans="1:3">
      <c r="A1268" s="3">
        <f ca="1">IFERROR(__xludf.UNSUPPORTED("""COMPUTED_VALUE"""),45303.6666666666)</f>
        <v>45303.666666666599</v>
      </c>
      <c r="B1268" s="1">
        <f ca="1">IFERROR(__xludf.UNSUPPORTED("""COMPUTED_VALUE"""),185.92)</f>
        <v>185.92</v>
      </c>
      <c r="C1268" s="2">
        <f t="shared" ca="1" si="4"/>
        <v>1.7781130448837981E-3</v>
      </c>
    </row>
    <row r="1269" spans="1:3">
      <c r="A1269" s="3">
        <f ca="1">IFERROR(__xludf.UNSUPPORTED("""COMPUTED_VALUE"""),45307.6666666666)</f>
        <v>45307.666666666599</v>
      </c>
      <c r="B1269" s="1">
        <f ca="1">IFERROR(__xludf.UNSUPPORTED("""COMPUTED_VALUE"""),183.63)</f>
        <v>183.63</v>
      </c>
      <c r="C1269" s="2">
        <f t="shared" ca="1" si="4"/>
        <v>-1.2317125645438857E-2</v>
      </c>
    </row>
    <row r="1270" spans="1:3">
      <c r="A1270" s="3">
        <f ca="1">IFERROR(__xludf.UNSUPPORTED("""COMPUTED_VALUE"""),45308.6666666666)</f>
        <v>45308.666666666599</v>
      </c>
      <c r="B1270" s="1">
        <f ca="1">IFERROR(__xludf.UNSUPPORTED("""COMPUTED_VALUE"""),182.68)</f>
        <v>182.68</v>
      </c>
      <c r="C1270" s="2">
        <f t="shared" ca="1" si="4"/>
        <v>-5.1734466045852455E-3</v>
      </c>
    </row>
    <row r="1271" spans="1:3">
      <c r="A1271" s="3">
        <f ca="1">IFERROR(__xludf.UNSUPPORTED("""COMPUTED_VALUE"""),45309.6666666666)</f>
        <v>45309.666666666599</v>
      </c>
      <c r="B1271" s="1">
        <f ca="1">IFERROR(__xludf.UNSUPPORTED("""COMPUTED_VALUE"""),188.63)</f>
        <v>188.63</v>
      </c>
      <c r="C1271" s="2">
        <f t="shared" ca="1" si="4"/>
        <v>3.2570615283555884E-2</v>
      </c>
    </row>
    <row r="1272" spans="1:3">
      <c r="A1272" s="3">
        <f ca="1">IFERROR(__xludf.UNSUPPORTED("""COMPUTED_VALUE"""),45310.6666666666)</f>
        <v>45310.666666666599</v>
      </c>
      <c r="B1272" s="1">
        <f ca="1">IFERROR(__xludf.UNSUPPORTED("""COMPUTED_VALUE"""),191.56)</f>
        <v>191.56</v>
      </c>
      <c r="C1272" s="2">
        <f t="shared" ca="1" si="4"/>
        <v>1.5533054127127216E-2</v>
      </c>
    </row>
    <row r="1273" spans="1:3">
      <c r="A1273" s="3">
        <f ca="1">IFERROR(__xludf.UNSUPPORTED("""COMPUTED_VALUE"""),45313.6666666666)</f>
        <v>45313.666666666599</v>
      </c>
      <c r="B1273" s="1">
        <f ca="1">IFERROR(__xludf.UNSUPPORTED("""COMPUTED_VALUE"""),193.89)</f>
        <v>193.89</v>
      </c>
      <c r="C1273" s="2">
        <f t="shared" ca="1" si="4"/>
        <v>1.2163290874921613E-2</v>
      </c>
    </row>
    <row r="1274" spans="1:3">
      <c r="A1274" s="3">
        <f ca="1">IFERROR(__xludf.UNSUPPORTED("""COMPUTED_VALUE"""),45314.6666666666)</f>
        <v>45314.666666666599</v>
      </c>
      <c r="B1274" s="1">
        <f ca="1">IFERROR(__xludf.UNSUPPORTED("""COMPUTED_VALUE"""),195.18)</f>
        <v>195.18</v>
      </c>
      <c r="C1274" s="2">
        <f t="shared" ca="1" si="4"/>
        <v>6.6532570013926482E-3</v>
      </c>
    </row>
    <row r="1275" spans="1:3">
      <c r="A1275" s="3">
        <f ca="1">IFERROR(__xludf.UNSUPPORTED("""COMPUTED_VALUE"""),45315.6666666666)</f>
        <v>45315.666666666599</v>
      </c>
      <c r="B1275" s="1">
        <f ca="1">IFERROR(__xludf.UNSUPPORTED("""COMPUTED_VALUE"""),194.5)</f>
        <v>194.5</v>
      </c>
      <c r="C1275" s="2">
        <f t="shared" ca="1" si="4"/>
        <v>-3.4839635208525812E-3</v>
      </c>
    </row>
    <row r="1276" spans="1:3">
      <c r="A1276" s="3">
        <f ca="1">IFERROR(__xludf.UNSUPPORTED("""COMPUTED_VALUE"""),45316.6666666666)</f>
        <v>45316.666666666599</v>
      </c>
      <c r="B1276" s="1">
        <f ca="1">IFERROR(__xludf.UNSUPPORTED("""COMPUTED_VALUE"""),194.17)</f>
        <v>194.17</v>
      </c>
      <c r="C1276" s="2">
        <f t="shared" ca="1" si="4"/>
        <v>-1.6966580976864396E-3</v>
      </c>
    </row>
    <row r="1277" spans="1:3">
      <c r="A1277" s="3">
        <f ca="1">IFERROR(__xludf.UNSUPPORTED("""COMPUTED_VALUE"""),45317.6666666666)</f>
        <v>45317.666666666599</v>
      </c>
      <c r="B1277" s="1">
        <f ca="1">IFERROR(__xludf.UNSUPPORTED("""COMPUTED_VALUE"""),192.42)</f>
        <v>192.42</v>
      </c>
      <c r="C1277" s="2">
        <f t="shared" ca="1" si="4"/>
        <v>-9.012720811659887E-3</v>
      </c>
    </row>
    <row r="1278" spans="1:3">
      <c r="A1278" s="3">
        <f ca="1">IFERROR(__xludf.UNSUPPORTED("""COMPUTED_VALUE"""),45320.6666666666)</f>
        <v>45320.666666666599</v>
      </c>
      <c r="B1278" s="1">
        <f ca="1">IFERROR(__xludf.UNSUPPORTED("""COMPUTED_VALUE"""),191.73)</f>
        <v>191.73</v>
      </c>
      <c r="C1278" s="2">
        <f t="shared" ref="C1278:C1532" ca="1" si="5">(B1278-B1277)/B1277</f>
        <v>-3.5859058309946875E-3</v>
      </c>
    </row>
    <row r="1279" spans="1:3">
      <c r="A1279" s="3">
        <f ca="1">IFERROR(__xludf.UNSUPPORTED("""COMPUTED_VALUE"""),45321.6666666666)</f>
        <v>45321.666666666599</v>
      </c>
      <c r="B1279" s="1">
        <f ca="1">IFERROR(__xludf.UNSUPPORTED("""COMPUTED_VALUE"""),188.04)</f>
        <v>188.04</v>
      </c>
      <c r="C1279" s="2">
        <f t="shared" ca="1" si="5"/>
        <v>-1.9245814426537309E-2</v>
      </c>
    </row>
    <row r="1280" spans="1:3">
      <c r="A1280" s="3">
        <f ca="1">IFERROR(__xludf.UNSUPPORTED("""COMPUTED_VALUE"""),45322.6666666666)</f>
        <v>45322.666666666599</v>
      </c>
      <c r="B1280" s="1">
        <f ca="1">IFERROR(__xludf.UNSUPPORTED("""COMPUTED_VALUE"""),184.4)</f>
        <v>184.4</v>
      </c>
      <c r="C1280" s="2">
        <f t="shared" ca="1" si="5"/>
        <v>-1.9357583492873785E-2</v>
      </c>
    </row>
    <row r="1281" spans="1:3">
      <c r="A1281" s="3">
        <f ca="1">IFERROR(__xludf.UNSUPPORTED("""COMPUTED_VALUE"""),45323.6666666666)</f>
        <v>45323.666666666599</v>
      </c>
      <c r="B1281" s="1">
        <f ca="1">IFERROR(__xludf.UNSUPPORTED("""COMPUTED_VALUE"""),186.86)</f>
        <v>186.86</v>
      </c>
      <c r="C1281" s="2">
        <f t="shared" ca="1" si="5"/>
        <v>1.3340563991323252E-2</v>
      </c>
    </row>
    <row r="1282" spans="1:3">
      <c r="A1282" s="3">
        <f ca="1">IFERROR(__xludf.UNSUPPORTED("""COMPUTED_VALUE"""),45324.6666666666)</f>
        <v>45324.666666666599</v>
      </c>
      <c r="B1282" s="1">
        <f ca="1">IFERROR(__xludf.UNSUPPORTED("""COMPUTED_VALUE"""),185.85)</f>
        <v>185.85</v>
      </c>
      <c r="C1282" s="2">
        <f t="shared" ca="1" si="5"/>
        <v>-5.4051161297228902E-3</v>
      </c>
    </row>
    <row r="1283" spans="1:3">
      <c r="A1283" s="3">
        <f ca="1">IFERROR(__xludf.UNSUPPORTED("""COMPUTED_VALUE"""),45327.6666666666)</f>
        <v>45327.666666666599</v>
      </c>
      <c r="B1283" s="1">
        <f ca="1">IFERROR(__xludf.UNSUPPORTED("""COMPUTED_VALUE"""),187.68)</f>
        <v>187.68</v>
      </c>
      <c r="C1283" s="2">
        <f t="shared" ca="1" si="5"/>
        <v>9.846650524616694E-3</v>
      </c>
    </row>
    <row r="1284" spans="1:3">
      <c r="A1284" s="3">
        <f ca="1">IFERROR(__xludf.UNSUPPORTED("""COMPUTED_VALUE"""),45328.6666666666)</f>
        <v>45328.666666666599</v>
      </c>
      <c r="B1284" s="1">
        <f ca="1">IFERROR(__xludf.UNSUPPORTED("""COMPUTED_VALUE"""),189.3)</f>
        <v>189.3</v>
      </c>
      <c r="C1284" s="2">
        <f t="shared" ca="1" si="5"/>
        <v>8.6317135549872359E-3</v>
      </c>
    </row>
    <row r="1285" spans="1:3">
      <c r="A1285" s="3">
        <f ca="1">IFERROR(__xludf.UNSUPPORTED("""COMPUTED_VALUE"""),45329.6666666666)</f>
        <v>45329.666666666599</v>
      </c>
      <c r="B1285" s="1">
        <f ca="1">IFERROR(__xludf.UNSUPPORTED("""COMPUTED_VALUE"""),189.41)</f>
        <v>189.41</v>
      </c>
      <c r="C1285" s="2">
        <f t="shared" ca="1" si="5"/>
        <v>5.8108821975692132E-4</v>
      </c>
    </row>
    <row r="1286" spans="1:3">
      <c r="A1286" s="3">
        <f ca="1">IFERROR(__xludf.UNSUPPORTED("""COMPUTED_VALUE"""),45330.6666666666)</f>
        <v>45330.666666666599</v>
      </c>
      <c r="B1286" s="1">
        <f ca="1">IFERROR(__xludf.UNSUPPORTED("""COMPUTED_VALUE"""),188.32)</f>
        <v>188.32</v>
      </c>
      <c r="C1286" s="2">
        <f t="shared" ca="1" si="5"/>
        <v>-5.7547120004223821E-3</v>
      </c>
    </row>
    <row r="1287" spans="1:3">
      <c r="A1287" s="3">
        <f ca="1">IFERROR(__xludf.UNSUPPORTED("""COMPUTED_VALUE"""),45331.6666666666)</f>
        <v>45331.666666666599</v>
      </c>
      <c r="B1287" s="1">
        <f ca="1">IFERROR(__xludf.UNSUPPORTED("""COMPUTED_VALUE"""),188.85)</f>
        <v>188.85</v>
      </c>
      <c r="C1287" s="2">
        <f t="shared" ca="1" si="5"/>
        <v>2.8143585386576101E-3</v>
      </c>
    </row>
    <row r="1288" spans="1:3">
      <c r="A1288" s="3">
        <f ca="1">IFERROR(__xludf.UNSUPPORTED("""COMPUTED_VALUE"""),45334.6666666666)</f>
        <v>45334.666666666599</v>
      </c>
      <c r="B1288" s="1">
        <f ca="1">IFERROR(__xludf.UNSUPPORTED("""COMPUTED_VALUE"""),187.15)</f>
        <v>187.15</v>
      </c>
      <c r="C1288" s="2">
        <f t="shared" ca="1" si="5"/>
        <v>-9.0018533227428574E-3</v>
      </c>
    </row>
    <row r="1289" spans="1:3">
      <c r="A1289" s="3">
        <f ca="1">IFERROR(__xludf.UNSUPPORTED("""COMPUTED_VALUE"""),45335.6666666666)</f>
        <v>45335.666666666599</v>
      </c>
      <c r="B1289" s="1">
        <f ca="1">IFERROR(__xludf.UNSUPPORTED("""COMPUTED_VALUE"""),185.04)</f>
        <v>185.04</v>
      </c>
      <c r="C1289" s="2">
        <f t="shared" ca="1" si="5"/>
        <v>-1.1274378840502343E-2</v>
      </c>
    </row>
    <row r="1290" spans="1:3">
      <c r="A1290" s="3">
        <f ca="1">IFERROR(__xludf.UNSUPPORTED("""COMPUTED_VALUE"""),45336.6666666666)</f>
        <v>45336.666666666599</v>
      </c>
      <c r="B1290" s="1">
        <f ca="1">IFERROR(__xludf.UNSUPPORTED("""COMPUTED_VALUE"""),184.15)</f>
        <v>184.15</v>
      </c>
      <c r="C1290" s="2">
        <f t="shared" ca="1" si="5"/>
        <v>-4.8097708603544445E-3</v>
      </c>
    </row>
    <row r="1291" spans="1:3">
      <c r="A1291" s="3">
        <f ca="1">IFERROR(__xludf.UNSUPPORTED("""COMPUTED_VALUE"""),45337.6666666666)</f>
        <v>45337.666666666599</v>
      </c>
      <c r="B1291" s="1">
        <f ca="1">IFERROR(__xludf.UNSUPPORTED("""COMPUTED_VALUE"""),183.86)</f>
        <v>183.86</v>
      </c>
      <c r="C1291" s="2">
        <f t="shared" ca="1" si="5"/>
        <v>-1.574803149606256E-3</v>
      </c>
    </row>
    <row r="1292" spans="1:3">
      <c r="A1292" s="3">
        <f ca="1">IFERROR(__xludf.UNSUPPORTED("""COMPUTED_VALUE"""),45338.6666666666)</f>
        <v>45338.666666666599</v>
      </c>
      <c r="B1292" s="1">
        <f ca="1">IFERROR(__xludf.UNSUPPORTED("""COMPUTED_VALUE"""),182.31)</f>
        <v>182.31</v>
      </c>
      <c r="C1292" s="2">
        <f t="shared" ca="1" si="5"/>
        <v>-8.4303274230393306E-3</v>
      </c>
    </row>
    <row r="1293" spans="1:3">
      <c r="A1293" s="3">
        <f ca="1">IFERROR(__xludf.UNSUPPORTED("""COMPUTED_VALUE"""),45342.6666666666)</f>
        <v>45342.666666666599</v>
      </c>
      <c r="B1293" s="1">
        <f ca="1">IFERROR(__xludf.UNSUPPORTED("""COMPUTED_VALUE"""),181.56)</f>
        <v>181.56</v>
      </c>
      <c r="C1293" s="2">
        <f t="shared" ca="1" si="5"/>
        <v>-4.1138719763040973E-3</v>
      </c>
    </row>
    <row r="1294" spans="1:3">
      <c r="A1294" s="3">
        <f ca="1">IFERROR(__xludf.UNSUPPORTED("""COMPUTED_VALUE"""),45343.6666666666)</f>
        <v>45343.666666666599</v>
      </c>
      <c r="B1294" s="1">
        <f ca="1">IFERROR(__xludf.UNSUPPORTED("""COMPUTED_VALUE"""),182.32)</f>
        <v>182.32</v>
      </c>
      <c r="C1294" s="2">
        <f t="shared" ca="1" si="5"/>
        <v>4.1859440405375131E-3</v>
      </c>
    </row>
    <row r="1295" spans="1:3">
      <c r="A1295" s="3">
        <f ca="1">IFERROR(__xludf.UNSUPPORTED("""COMPUTED_VALUE"""),45344.6666666666)</f>
        <v>45344.666666666599</v>
      </c>
      <c r="B1295" s="1">
        <f ca="1">IFERROR(__xludf.UNSUPPORTED("""COMPUTED_VALUE"""),184.37)</f>
        <v>184.37</v>
      </c>
      <c r="C1295" s="2">
        <f t="shared" ca="1" si="5"/>
        <v>1.1243966652040431E-2</v>
      </c>
    </row>
    <row r="1296" spans="1:3">
      <c r="A1296" s="3">
        <f ca="1">IFERROR(__xludf.UNSUPPORTED("""COMPUTED_VALUE"""),45345.6666666666)</f>
        <v>45345.666666666599</v>
      </c>
      <c r="B1296" s="1">
        <f ca="1">IFERROR(__xludf.UNSUPPORTED("""COMPUTED_VALUE"""),182.52)</f>
        <v>182.52</v>
      </c>
      <c r="C1296" s="2">
        <f t="shared" ca="1" si="5"/>
        <v>-1.0034170418180801E-2</v>
      </c>
    </row>
    <row r="1297" spans="1:3">
      <c r="A1297" s="3">
        <f ca="1">IFERROR(__xludf.UNSUPPORTED("""COMPUTED_VALUE"""),45348.6666666666)</f>
        <v>45348.666666666599</v>
      </c>
      <c r="B1297" s="1">
        <f ca="1">IFERROR(__xludf.UNSUPPORTED("""COMPUTED_VALUE"""),181.16)</f>
        <v>181.16</v>
      </c>
      <c r="C1297" s="2">
        <f t="shared" ca="1" si="5"/>
        <v>-7.4512382204690638E-3</v>
      </c>
    </row>
    <row r="1298" spans="1:3">
      <c r="A1298" s="3">
        <f ca="1">IFERROR(__xludf.UNSUPPORTED("""COMPUTED_VALUE"""),45349.6666666666)</f>
        <v>45349.666666666599</v>
      </c>
      <c r="B1298" s="1">
        <f ca="1">IFERROR(__xludf.UNSUPPORTED("""COMPUTED_VALUE"""),182.63)</f>
        <v>182.63</v>
      </c>
      <c r="C1298" s="2">
        <f t="shared" ca="1" si="5"/>
        <v>8.1143740340030857E-3</v>
      </c>
    </row>
    <row r="1299" spans="1:3">
      <c r="A1299" s="3">
        <f ca="1">IFERROR(__xludf.UNSUPPORTED("""COMPUTED_VALUE"""),45350.6666666666)</f>
        <v>45350.666666666599</v>
      </c>
      <c r="B1299" s="1">
        <f ca="1">IFERROR(__xludf.UNSUPPORTED("""COMPUTED_VALUE"""),181.42)</f>
        <v>181.42</v>
      </c>
      <c r="C1299" s="2">
        <f t="shared" ca="1" si="5"/>
        <v>-6.6254175108142578E-3</v>
      </c>
    </row>
    <row r="1300" spans="1:3">
      <c r="A1300" s="3">
        <f ca="1">IFERROR(__xludf.UNSUPPORTED("""COMPUTED_VALUE"""),45351.6666666666)</f>
        <v>45351.666666666599</v>
      </c>
      <c r="B1300" s="1">
        <f ca="1">IFERROR(__xludf.UNSUPPORTED("""COMPUTED_VALUE"""),180.75)</f>
        <v>180.75</v>
      </c>
      <c r="C1300" s="2">
        <f t="shared" ca="1" si="5"/>
        <v>-3.6930878624186281E-3</v>
      </c>
    </row>
    <row r="1301" spans="1:3">
      <c r="A1301" s="3">
        <f ca="1">IFERROR(__xludf.UNSUPPORTED("""COMPUTED_VALUE"""),45352.6666666666)</f>
        <v>45352.666666666599</v>
      </c>
      <c r="B1301" s="1">
        <f ca="1">IFERROR(__xludf.UNSUPPORTED("""COMPUTED_VALUE"""),179.66)</f>
        <v>179.66</v>
      </c>
      <c r="C1301" s="2">
        <f t="shared" ca="1" si="5"/>
        <v>-6.0304287690179995E-3</v>
      </c>
    </row>
    <row r="1302" spans="1:3">
      <c r="A1302" s="3">
        <f ca="1">IFERROR(__xludf.UNSUPPORTED("""COMPUTED_VALUE"""),45355.6666666666)</f>
        <v>45355.666666666599</v>
      </c>
      <c r="B1302" s="1">
        <f ca="1">IFERROR(__xludf.UNSUPPORTED("""COMPUTED_VALUE"""),175.1)</f>
        <v>175.1</v>
      </c>
      <c r="C1302" s="2">
        <f t="shared" ca="1" si="5"/>
        <v>-2.5381275743070256E-2</v>
      </c>
    </row>
    <row r="1303" spans="1:3">
      <c r="A1303" s="3">
        <f ca="1">IFERROR(__xludf.UNSUPPORTED("""COMPUTED_VALUE"""),45356.6666666666)</f>
        <v>45356.666666666599</v>
      </c>
      <c r="B1303" s="1">
        <f ca="1">IFERROR(__xludf.UNSUPPORTED("""COMPUTED_VALUE"""),170.12)</f>
        <v>170.12</v>
      </c>
      <c r="C1303" s="2">
        <f t="shared" ca="1" si="5"/>
        <v>-2.8440890919474528E-2</v>
      </c>
    </row>
    <row r="1304" spans="1:3">
      <c r="A1304" s="3">
        <f ca="1">IFERROR(__xludf.UNSUPPORTED("""COMPUTED_VALUE"""),45357.6666666666)</f>
        <v>45357.666666666599</v>
      </c>
      <c r="B1304" s="1">
        <f ca="1">IFERROR(__xludf.UNSUPPORTED("""COMPUTED_VALUE"""),169.12)</f>
        <v>169.12</v>
      </c>
      <c r="C1304" s="2">
        <f t="shared" ca="1" si="5"/>
        <v>-5.87820362097343E-3</v>
      </c>
    </row>
    <row r="1305" spans="1:3">
      <c r="A1305" s="3">
        <f ca="1">IFERROR(__xludf.UNSUPPORTED("""COMPUTED_VALUE"""),45358.6666666666)</f>
        <v>45358.666666666599</v>
      </c>
      <c r="B1305" s="1">
        <f ca="1">IFERROR(__xludf.UNSUPPORTED("""COMPUTED_VALUE"""),169)</f>
        <v>169</v>
      </c>
      <c r="C1305" s="2">
        <f t="shared" ca="1" si="5"/>
        <v>-7.0955534531696161E-4</v>
      </c>
    </row>
    <row r="1306" spans="1:3">
      <c r="A1306" s="3">
        <f ca="1">IFERROR(__xludf.UNSUPPORTED("""COMPUTED_VALUE"""),45359.6666666666)</f>
        <v>45359.666666666599</v>
      </c>
      <c r="B1306" s="1">
        <f ca="1">IFERROR(__xludf.UNSUPPORTED("""COMPUTED_VALUE"""),170.73)</f>
        <v>170.73</v>
      </c>
      <c r="C1306" s="2">
        <f t="shared" ca="1" si="5"/>
        <v>1.0236686390532483E-2</v>
      </c>
    </row>
    <row r="1307" spans="1:3">
      <c r="A1307" s="3">
        <f ca="1">IFERROR(__xludf.UNSUPPORTED("""COMPUTED_VALUE"""),45362.6666666666)</f>
        <v>45362.666666666599</v>
      </c>
      <c r="B1307" s="1">
        <f ca="1">IFERROR(__xludf.UNSUPPORTED("""COMPUTED_VALUE"""),172.75)</f>
        <v>172.75</v>
      </c>
      <c r="C1307" s="2">
        <f t="shared" ca="1" si="5"/>
        <v>1.1831546886897502E-2</v>
      </c>
    </row>
    <row r="1308" spans="1:3">
      <c r="A1308" s="3">
        <f ca="1">IFERROR(__xludf.UNSUPPORTED("""COMPUTED_VALUE"""),45363.6666666666)</f>
        <v>45363.666666666599</v>
      </c>
      <c r="B1308" s="1">
        <f ca="1">IFERROR(__xludf.UNSUPPORTED("""COMPUTED_VALUE"""),173.23)</f>
        <v>173.23</v>
      </c>
      <c r="C1308" s="2">
        <f t="shared" ca="1" si="5"/>
        <v>2.7785817655571043E-3</v>
      </c>
    </row>
    <row r="1309" spans="1:3">
      <c r="A1309" s="3">
        <f ca="1">IFERROR(__xludf.UNSUPPORTED("""COMPUTED_VALUE"""),45364.6666666666)</f>
        <v>45364.666666666599</v>
      </c>
      <c r="B1309" s="1">
        <f ca="1">IFERROR(__xludf.UNSUPPORTED("""COMPUTED_VALUE"""),171.13)</f>
        <v>171.13</v>
      </c>
      <c r="C1309" s="2">
        <f t="shared" ca="1" si="5"/>
        <v>-1.2122611556889653E-2</v>
      </c>
    </row>
    <row r="1310" spans="1:3">
      <c r="A1310" s="3">
        <f ca="1">IFERROR(__xludf.UNSUPPORTED("""COMPUTED_VALUE"""),45365.6666666666)</f>
        <v>45365.666666666599</v>
      </c>
      <c r="B1310" s="1">
        <f ca="1">IFERROR(__xludf.UNSUPPORTED("""COMPUTED_VALUE"""),173)</f>
        <v>173</v>
      </c>
      <c r="C1310" s="2">
        <f t="shared" ca="1" si="5"/>
        <v>1.0927365160988748E-2</v>
      </c>
    </row>
    <row r="1311" spans="1:3">
      <c r="A1311" s="3">
        <f ca="1">IFERROR(__xludf.UNSUPPORTED("""COMPUTED_VALUE"""),45366.6666666666)</f>
        <v>45366.666666666599</v>
      </c>
      <c r="B1311" s="1">
        <f ca="1">IFERROR(__xludf.UNSUPPORTED("""COMPUTED_VALUE"""),172.62)</f>
        <v>172.62</v>
      </c>
      <c r="C1311" s="2">
        <f t="shared" ca="1" si="5"/>
        <v>-2.1965317919074882E-3</v>
      </c>
    </row>
    <row r="1312" spans="1:3">
      <c r="A1312" s="3">
        <f ca="1">IFERROR(__xludf.UNSUPPORTED("""COMPUTED_VALUE"""),45369.6666666666)</f>
        <v>45369.666666666599</v>
      </c>
      <c r="B1312" s="1">
        <f ca="1">IFERROR(__xludf.UNSUPPORTED("""COMPUTED_VALUE"""),173.72)</f>
        <v>173.72</v>
      </c>
      <c r="C1312" s="2">
        <f t="shared" ca="1" si="5"/>
        <v>6.3723786351523246E-3</v>
      </c>
    </row>
    <row r="1313" spans="1:3">
      <c r="A1313" s="3">
        <f ca="1">IFERROR(__xludf.UNSUPPORTED("""COMPUTED_VALUE"""),45370.6666666666)</f>
        <v>45370.666666666599</v>
      </c>
      <c r="B1313" s="1">
        <f ca="1">IFERROR(__xludf.UNSUPPORTED("""COMPUTED_VALUE"""),176.08)</f>
        <v>176.08</v>
      </c>
      <c r="C1313" s="2">
        <f t="shared" ca="1" si="5"/>
        <v>1.3585079438176455E-2</v>
      </c>
    </row>
    <row r="1314" spans="1:3">
      <c r="A1314" s="3">
        <f ca="1">IFERROR(__xludf.UNSUPPORTED("""COMPUTED_VALUE"""),45371.6666666666)</f>
        <v>45371.666666666599</v>
      </c>
      <c r="B1314" s="1">
        <f ca="1">IFERROR(__xludf.UNSUPPORTED("""COMPUTED_VALUE"""),178.67)</f>
        <v>178.67</v>
      </c>
      <c r="C1314" s="2">
        <f t="shared" ca="1" si="5"/>
        <v>1.4709223080417848E-2</v>
      </c>
    </row>
    <row r="1315" spans="1:3">
      <c r="A1315" s="3">
        <f ca="1">IFERROR(__xludf.UNSUPPORTED("""COMPUTED_VALUE"""),45372.6666666666)</f>
        <v>45372.666666666599</v>
      </c>
      <c r="B1315" s="1">
        <f ca="1">IFERROR(__xludf.UNSUPPORTED("""COMPUTED_VALUE"""),171.37)</f>
        <v>171.37</v>
      </c>
      <c r="C1315" s="2">
        <f t="shared" ca="1" si="5"/>
        <v>-4.085744668942734E-2</v>
      </c>
    </row>
    <row r="1316" spans="1:3">
      <c r="A1316" s="3">
        <f ca="1">IFERROR(__xludf.UNSUPPORTED("""COMPUTED_VALUE"""),45373.6666666666)</f>
        <v>45373.666666666599</v>
      </c>
      <c r="B1316" s="1">
        <f ca="1">IFERROR(__xludf.UNSUPPORTED("""COMPUTED_VALUE"""),172.28)</f>
        <v>172.28</v>
      </c>
      <c r="C1316" s="2">
        <f t="shared" ca="1" si="5"/>
        <v>5.3101476337748532E-3</v>
      </c>
    </row>
    <row r="1317" spans="1:3">
      <c r="A1317" s="3">
        <f ca="1">IFERROR(__xludf.UNSUPPORTED("""COMPUTED_VALUE"""),45376.6666666666)</f>
        <v>45376.666666666599</v>
      </c>
      <c r="B1317" s="1">
        <f ca="1">IFERROR(__xludf.UNSUPPORTED("""COMPUTED_VALUE"""),170.85)</f>
        <v>170.85</v>
      </c>
      <c r="C1317" s="2">
        <f t="shared" ca="1" si="5"/>
        <v>-8.3004411423264843E-3</v>
      </c>
    </row>
    <row r="1318" spans="1:3">
      <c r="A1318" s="3">
        <f ca="1">IFERROR(__xludf.UNSUPPORTED("""COMPUTED_VALUE"""),45377.6666666666)</f>
        <v>45377.666666666599</v>
      </c>
      <c r="B1318" s="1">
        <f ca="1">IFERROR(__xludf.UNSUPPORTED("""COMPUTED_VALUE"""),169.71)</f>
        <v>169.71</v>
      </c>
      <c r="C1318" s="2">
        <f t="shared" ca="1" si="5"/>
        <v>-6.6725197541702454E-3</v>
      </c>
    </row>
    <row r="1319" spans="1:3">
      <c r="A1319" s="3">
        <f ca="1">IFERROR(__xludf.UNSUPPORTED("""COMPUTED_VALUE"""),45378.6666666666)</f>
        <v>45378.666666666599</v>
      </c>
      <c r="B1319" s="1">
        <f ca="1">IFERROR(__xludf.UNSUPPORTED("""COMPUTED_VALUE"""),173.31)</f>
        <v>173.31</v>
      </c>
      <c r="C1319" s="2">
        <f t="shared" ca="1" si="5"/>
        <v>2.1212656885274846E-2</v>
      </c>
    </row>
    <row r="1320" spans="1:3">
      <c r="A1320" s="3">
        <f ca="1">IFERROR(__xludf.UNSUPPORTED("""COMPUTED_VALUE"""),45379.6666666666)</f>
        <v>45379.666666666599</v>
      </c>
      <c r="B1320" s="1">
        <f ca="1">IFERROR(__xludf.UNSUPPORTED("""COMPUTED_VALUE"""),171.48)</f>
        <v>171.48</v>
      </c>
      <c r="C1320" s="2">
        <f t="shared" ca="1" si="5"/>
        <v>-1.0559113726847917E-2</v>
      </c>
    </row>
    <row r="1321" spans="1:3">
      <c r="A1321" s="3">
        <f ca="1">IFERROR(__xludf.UNSUPPORTED("""COMPUTED_VALUE"""),45383.6666666666)</f>
        <v>45383.666666666599</v>
      </c>
      <c r="B1321" s="1">
        <f ca="1">IFERROR(__xludf.UNSUPPORTED("""COMPUTED_VALUE"""),170.03)</f>
        <v>170.03</v>
      </c>
      <c r="C1321" s="2">
        <f t="shared" ca="1" si="5"/>
        <v>-8.4557965943549609E-3</v>
      </c>
    </row>
    <row r="1322" spans="1:3">
      <c r="A1322" s="3">
        <f ca="1">IFERROR(__xludf.UNSUPPORTED("""COMPUTED_VALUE"""),45384.6666666666)</f>
        <v>45384.666666666599</v>
      </c>
      <c r="B1322" s="1">
        <f ca="1">IFERROR(__xludf.UNSUPPORTED("""COMPUTED_VALUE"""),168.84)</f>
        <v>168.84</v>
      </c>
      <c r="C1322" s="2">
        <f t="shared" ca="1" si="5"/>
        <v>-6.9987649238369568E-3</v>
      </c>
    </row>
    <row r="1323" spans="1:3">
      <c r="A1323" s="3">
        <f ca="1">IFERROR(__xludf.UNSUPPORTED("""COMPUTED_VALUE"""),45385.6666666666)</f>
        <v>45385.666666666599</v>
      </c>
      <c r="B1323" s="1">
        <f ca="1">IFERROR(__xludf.UNSUPPORTED("""COMPUTED_VALUE"""),169.65)</f>
        <v>169.65</v>
      </c>
      <c r="C1323" s="2">
        <f t="shared" ca="1" si="5"/>
        <v>4.7974413646055571E-3</v>
      </c>
    </row>
    <row r="1324" spans="1:3">
      <c r="A1324" s="3">
        <f ca="1">IFERROR(__xludf.UNSUPPORTED("""COMPUTED_VALUE"""),45386.6666666666)</f>
        <v>45386.666666666599</v>
      </c>
      <c r="B1324" s="1">
        <f ca="1">IFERROR(__xludf.UNSUPPORTED("""COMPUTED_VALUE"""),168.82)</f>
        <v>168.82</v>
      </c>
      <c r="C1324" s="2">
        <f t="shared" ca="1" si="5"/>
        <v>-4.8924255820808277E-3</v>
      </c>
    </row>
    <row r="1325" spans="1:3">
      <c r="A1325" s="3">
        <f ca="1">IFERROR(__xludf.UNSUPPORTED("""COMPUTED_VALUE"""),45387.6666666666)</f>
        <v>45387.666666666599</v>
      </c>
      <c r="B1325" s="1">
        <f ca="1">IFERROR(__xludf.UNSUPPORTED("""COMPUTED_VALUE"""),169.58)</f>
        <v>169.58</v>
      </c>
      <c r="C1325" s="2">
        <f t="shared" ca="1" si="5"/>
        <v>4.5018362753229436E-3</v>
      </c>
    </row>
    <row r="1326" spans="1:3">
      <c r="A1326" s="3">
        <f ca="1">IFERROR(__xludf.UNSUPPORTED("""COMPUTED_VALUE"""),45390.6666666666)</f>
        <v>45390.666666666599</v>
      </c>
      <c r="B1326" s="1">
        <f ca="1">IFERROR(__xludf.UNSUPPORTED("""COMPUTED_VALUE"""),168.45)</f>
        <v>168.45</v>
      </c>
      <c r="C1326" s="2">
        <f t="shared" ca="1" si="5"/>
        <v>-6.663521641703171E-3</v>
      </c>
    </row>
    <row r="1327" spans="1:3">
      <c r="A1327" s="3">
        <f ca="1">IFERROR(__xludf.UNSUPPORTED("""COMPUTED_VALUE"""),45391.6666666666)</f>
        <v>45391.666666666599</v>
      </c>
      <c r="B1327" s="1">
        <f ca="1">IFERROR(__xludf.UNSUPPORTED("""COMPUTED_VALUE"""),169.67)</f>
        <v>169.67</v>
      </c>
      <c r="C1327" s="2">
        <f t="shared" ca="1" si="5"/>
        <v>7.2425051944197032E-3</v>
      </c>
    </row>
    <row r="1328" spans="1:3">
      <c r="A1328" s="3">
        <f ca="1">IFERROR(__xludf.UNSUPPORTED("""COMPUTED_VALUE"""),45392.6666666666)</f>
        <v>45392.666666666599</v>
      </c>
      <c r="B1328" s="1">
        <f ca="1">IFERROR(__xludf.UNSUPPORTED("""COMPUTED_VALUE"""),167.78)</f>
        <v>167.78</v>
      </c>
      <c r="C1328" s="2">
        <f t="shared" ca="1" si="5"/>
        <v>-1.1139270348323136E-2</v>
      </c>
    </row>
    <row r="1329" spans="1:3">
      <c r="A1329" s="3">
        <f ca="1">IFERROR(__xludf.UNSUPPORTED("""COMPUTED_VALUE"""),45393.6666666666)</f>
        <v>45393.666666666599</v>
      </c>
      <c r="B1329" s="1">
        <f ca="1">IFERROR(__xludf.UNSUPPORTED("""COMPUTED_VALUE"""),175.04)</f>
        <v>175.04</v>
      </c>
      <c r="C1329" s="2">
        <f t="shared" ca="1" si="5"/>
        <v>4.3270950053641621E-2</v>
      </c>
    </row>
    <row r="1330" spans="1:3">
      <c r="A1330" s="3">
        <f ca="1">IFERROR(__xludf.UNSUPPORTED("""COMPUTED_VALUE"""),45394.6666666666)</f>
        <v>45394.666666666599</v>
      </c>
      <c r="B1330" s="1">
        <f ca="1">IFERROR(__xludf.UNSUPPORTED("""COMPUTED_VALUE"""),176.55)</f>
        <v>176.55</v>
      </c>
      <c r="C1330" s="2">
        <f t="shared" ca="1" si="5"/>
        <v>8.6265996343693977E-3</v>
      </c>
    </row>
    <row r="1331" spans="1:3">
      <c r="A1331" s="3">
        <f ca="1">IFERROR(__xludf.UNSUPPORTED("""COMPUTED_VALUE"""),45397.6666666666)</f>
        <v>45397.666666666599</v>
      </c>
      <c r="B1331" s="1">
        <f ca="1">IFERROR(__xludf.UNSUPPORTED("""COMPUTED_VALUE"""),172.69)</f>
        <v>172.69</v>
      </c>
      <c r="C1331" s="2">
        <f t="shared" ca="1" si="5"/>
        <v>-2.1863494760691098E-2</v>
      </c>
    </row>
    <row r="1332" spans="1:3">
      <c r="A1332" s="3">
        <f ca="1">IFERROR(__xludf.UNSUPPORTED("""COMPUTED_VALUE"""),45398.6666666666)</f>
        <v>45398.666666666599</v>
      </c>
      <c r="B1332" s="1">
        <f ca="1">IFERROR(__xludf.UNSUPPORTED("""COMPUTED_VALUE"""),169.38)</f>
        <v>169.38</v>
      </c>
      <c r="C1332" s="2">
        <f t="shared" ca="1" si="5"/>
        <v>-1.9167293995019992E-2</v>
      </c>
    </row>
    <row r="1333" spans="1:3">
      <c r="A1333" s="3">
        <f ca="1">IFERROR(__xludf.UNSUPPORTED("""COMPUTED_VALUE"""),45399.6666666666)</f>
        <v>45399.666666666599</v>
      </c>
      <c r="B1333" s="1">
        <f ca="1">IFERROR(__xludf.UNSUPPORTED("""COMPUTED_VALUE"""),168)</f>
        <v>168</v>
      </c>
      <c r="C1333" s="2">
        <f t="shared" ca="1" si="5"/>
        <v>-8.1473609635139659E-3</v>
      </c>
    </row>
    <row r="1334" spans="1:3">
      <c r="A1334" s="3">
        <f ca="1">IFERROR(__xludf.UNSUPPORTED("""COMPUTED_VALUE"""),45400.6666666666)</f>
        <v>45400.666666666599</v>
      </c>
      <c r="B1334" s="1">
        <f ca="1">IFERROR(__xludf.UNSUPPORTED("""COMPUTED_VALUE"""),167.04)</f>
        <v>167.04</v>
      </c>
      <c r="C1334" s="2">
        <f t="shared" ca="1" si="5"/>
        <v>-5.714285714285762E-3</v>
      </c>
    </row>
    <row r="1335" spans="1:3">
      <c r="A1335" s="3">
        <f ca="1">IFERROR(__xludf.UNSUPPORTED("""COMPUTED_VALUE"""),45401.6666666666)</f>
        <v>45401.666666666599</v>
      </c>
      <c r="B1335" s="1">
        <f ca="1">IFERROR(__xludf.UNSUPPORTED("""COMPUTED_VALUE"""),165)</f>
        <v>165</v>
      </c>
      <c r="C1335" s="2">
        <f t="shared" ca="1" si="5"/>
        <v>-1.2212643678160872E-2</v>
      </c>
    </row>
    <row r="1336" spans="1:3">
      <c r="A1336" s="3">
        <f ca="1">IFERROR(__xludf.UNSUPPORTED("""COMPUTED_VALUE"""),45404.6666666666)</f>
        <v>45404.666666666599</v>
      </c>
      <c r="B1336" s="1">
        <f ca="1">IFERROR(__xludf.UNSUPPORTED("""COMPUTED_VALUE"""),165.84)</f>
        <v>165.84</v>
      </c>
      <c r="C1336" s="2">
        <f t="shared" ca="1" si="5"/>
        <v>5.0909090909091112E-3</v>
      </c>
    </row>
    <row r="1337" spans="1:3">
      <c r="A1337" s="3">
        <f ca="1">IFERROR(__xludf.UNSUPPORTED("""COMPUTED_VALUE"""),45405.6666666666)</f>
        <v>45405.666666666599</v>
      </c>
      <c r="B1337" s="1">
        <f ca="1">IFERROR(__xludf.UNSUPPORTED("""COMPUTED_VALUE"""),166.9)</f>
        <v>166.9</v>
      </c>
      <c r="C1337" s="2">
        <f t="shared" ca="1" si="5"/>
        <v>6.391702846116753E-3</v>
      </c>
    </row>
    <row r="1338" spans="1:3">
      <c r="A1338" s="3">
        <f ca="1">IFERROR(__xludf.UNSUPPORTED("""COMPUTED_VALUE"""),45406.6666666666)</f>
        <v>45406.666666666599</v>
      </c>
      <c r="B1338" s="1">
        <f ca="1">IFERROR(__xludf.UNSUPPORTED("""COMPUTED_VALUE"""),169.02)</f>
        <v>169.02</v>
      </c>
      <c r="C1338" s="2">
        <f t="shared" ca="1" si="5"/>
        <v>1.2702216896345144E-2</v>
      </c>
    </row>
    <row r="1339" spans="1:3">
      <c r="A1339" s="3">
        <f ca="1">IFERROR(__xludf.UNSUPPORTED("""COMPUTED_VALUE"""),45407.6666666666)</f>
        <v>45407.666666666599</v>
      </c>
      <c r="B1339" s="1">
        <f ca="1">IFERROR(__xludf.UNSUPPORTED("""COMPUTED_VALUE"""),169.89)</f>
        <v>169.89</v>
      </c>
      <c r="C1339" s="2">
        <f t="shared" ca="1" si="5"/>
        <v>5.1473198438053251E-3</v>
      </c>
    </row>
    <row r="1340" spans="1:3">
      <c r="A1340" s="3">
        <f ca="1">IFERROR(__xludf.UNSUPPORTED("""COMPUTED_VALUE"""),45408.6666666666)</f>
        <v>45408.666666666599</v>
      </c>
      <c r="B1340" s="1">
        <f ca="1">IFERROR(__xludf.UNSUPPORTED("""COMPUTED_VALUE"""),169.3)</f>
        <v>169.3</v>
      </c>
      <c r="C1340" s="2">
        <f t="shared" ca="1" si="5"/>
        <v>-3.4728353640589502E-3</v>
      </c>
    </row>
    <row r="1341" spans="1:3">
      <c r="A1341" s="3">
        <f ca="1">IFERROR(__xludf.UNSUPPORTED("""COMPUTED_VALUE"""),45411.6666666666)</f>
        <v>45411.666666666599</v>
      </c>
      <c r="B1341" s="1">
        <f ca="1">IFERROR(__xludf.UNSUPPORTED("""COMPUTED_VALUE"""),173.5)</f>
        <v>173.5</v>
      </c>
      <c r="C1341" s="2">
        <f t="shared" ca="1" si="5"/>
        <v>2.4808033077377369E-2</v>
      </c>
    </row>
    <row r="1342" spans="1:3">
      <c r="A1342" s="3">
        <f ca="1">IFERROR(__xludf.UNSUPPORTED("""COMPUTED_VALUE"""),45412.6666666666)</f>
        <v>45412.666666666599</v>
      </c>
      <c r="B1342" s="1">
        <f ca="1">IFERROR(__xludf.UNSUPPORTED("""COMPUTED_VALUE"""),170.33)</f>
        <v>170.33</v>
      </c>
      <c r="C1342" s="2">
        <f t="shared" ca="1" si="5"/>
        <v>-1.8270893371757854E-2</v>
      </c>
    </row>
    <row r="1343" spans="1:3">
      <c r="A1343" s="3">
        <f ca="1">IFERROR(__xludf.UNSUPPORTED("""COMPUTED_VALUE"""),45413.6666666666)</f>
        <v>45413.666666666599</v>
      </c>
      <c r="B1343" s="1">
        <f ca="1">IFERROR(__xludf.UNSUPPORTED("""COMPUTED_VALUE"""),169.3)</f>
        <v>169.3</v>
      </c>
      <c r="C1343" s="2">
        <f t="shared" ca="1" si="5"/>
        <v>-6.0470850701579348E-3</v>
      </c>
    </row>
    <row r="1344" spans="1:3">
      <c r="A1344" s="3">
        <f ca="1">IFERROR(__xludf.UNSUPPORTED("""COMPUTED_VALUE"""),45414.6666666666)</f>
        <v>45414.666666666599</v>
      </c>
      <c r="B1344" s="1">
        <f ca="1">IFERROR(__xludf.UNSUPPORTED("""COMPUTED_VALUE"""),173.03)</f>
        <v>173.03</v>
      </c>
      <c r="C1344" s="2">
        <f t="shared" ca="1" si="5"/>
        <v>2.2031896042527994E-2</v>
      </c>
    </row>
    <row r="1345" spans="1:3">
      <c r="A1345" s="3">
        <f ca="1">IFERROR(__xludf.UNSUPPORTED("""COMPUTED_VALUE"""),45415.6666666666)</f>
        <v>45415.666666666599</v>
      </c>
      <c r="B1345" s="1">
        <f ca="1">IFERROR(__xludf.UNSUPPORTED("""COMPUTED_VALUE"""),183.38)</f>
        <v>183.38</v>
      </c>
      <c r="C1345" s="2">
        <f t="shared" ca="1" si="5"/>
        <v>5.9816216841010197E-2</v>
      </c>
    </row>
    <row r="1346" spans="1:3">
      <c r="A1346" s="3">
        <f ca="1">IFERROR(__xludf.UNSUPPORTED("""COMPUTED_VALUE"""),45418.6666666666)</f>
        <v>45418.666666666599</v>
      </c>
      <c r="B1346" s="1">
        <f ca="1">IFERROR(__xludf.UNSUPPORTED("""COMPUTED_VALUE"""),181.71)</f>
        <v>181.71</v>
      </c>
      <c r="C1346" s="2">
        <f t="shared" ca="1" si="5"/>
        <v>-9.1067728214635595E-3</v>
      </c>
    </row>
    <row r="1347" spans="1:3">
      <c r="A1347" s="3">
        <f ca="1">IFERROR(__xludf.UNSUPPORTED("""COMPUTED_VALUE"""),45419.6666666666)</f>
        <v>45419.666666666599</v>
      </c>
      <c r="B1347" s="1">
        <f ca="1">IFERROR(__xludf.UNSUPPORTED("""COMPUTED_VALUE"""),182.4)</f>
        <v>182.4</v>
      </c>
      <c r="C1347" s="2">
        <f t="shared" ca="1" si="5"/>
        <v>3.7972593693247356E-3</v>
      </c>
    </row>
    <row r="1348" spans="1:3">
      <c r="A1348" s="3">
        <f ca="1">IFERROR(__xludf.UNSUPPORTED("""COMPUTED_VALUE"""),45420.6666666666)</f>
        <v>45420.666666666599</v>
      </c>
      <c r="B1348" s="1">
        <f ca="1">IFERROR(__xludf.UNSUPPORTED("""COMPUTED_VALUE"""),182.74)</f>
        <v>182.74</v>
      </c>
      <c r="C1348" s="2">
        <f t="shared" ca="1" si="5"/>
        <v>1.8640350877193168E-3</v>
      </c>
    </row>
    <row r="1349" spans="1:3">
      <c r="A1349" s="3">
        <f ca="1">IFERROR(__xludf.UNSUPPORTED("""COMPUTED_VALUE"""),45421.6666666666)</f>
        <v>45421.666666666599</v>
      </c>
      <c r="B1349" s="1">
        <f ca="1">IFERROR(__xludf.UNSUPPORTED("""COMPUTED_VALUE"""),184.57)</f>
        <v>184.57</v>
      </c>
      <c r="C1349" s="2">
        <f t="shared" ca="1" si="5"/>
        <v>1.0014227864725752E-2</v>
      </c>
    </row>
    <row r="1350" spans="1:3">
      <c r="A1350" s="3">
        <f ca="1">IFERROR(__xludf.UNSUPPORTED("""COMPUTED_VALUE"""),45422.6666666666)</f>
        <v>45422.666666666599</v>
      </c>
      <c r="B1350" s="1">
        <f ca="1">IFERROR(__xludf.UNSUPPORTED("""COMPUTED_VALUE"""),183.05)</f>
        <v>183.05</v>
      </c>
      <c r="C1350" s="2">
        <f t="shared" ca="1" si="5"/>
        <v>-8.2353578588068577E-3</v>
      </c>
    </row>
    <row r="1351" spans="1:3">
      <c r="A1351" s="3">
        <f ca="1">IFERROR(__xludf.UNSUPPORTED("""COMPUTED_VALUE"""),45425.6666666666)</f>
        <v>45425.666666666599</v>
      </c>
      <c r="B1351" s="1">
        <f ca="1">IFERROR(__xludf.UNSUPPORTED("""COMPUTED_VALUE"""),186.28)</f>
        <v>186.28</v>
      </c>
      <c r="C1351" s="2">
        <f t="shared" ca="1" si="5"/>
        <v>1.7645452062278008E-2</v>
      </c>
    </row>
    <row r="1352" spans="1:3">
      <c r="A1352" s="3">
        <f ca="1">IFERROR(__xludf.UNSUPPORTED("""COMPUTED_VALUE"""),45426.6666666666)</f>
        <v>45426.666666666599</v>
      </c>
      <c r="B1352" s="1">
        <f ca="1">IFERROR(__xludf.UNSUPPORTED("""COMPUTED_VALUE"""),187.43)</f>
        <v>187.43</v>
      </c>
      <c r="C1352" s="2">
        <f t="shared" ca="1" si="5"/>
        <v>6.1735022546704193E-3</v>
      </c>
    </row>
    <row r="1353" spans="1:3">
      <c r="A1353" s="3">
        <f ca="1">IFERROR(__xludf.UNSUPPORTED("""COMPUTED_VALUE"""),45427.6666666666)</f>
        <v>45427.666666666599</v>
      </c>
      <c r="B1353" s="1">
        <f ca="1">IFERROR(__xludf.UNSUPPORTED("""COMPUTED_VALUE"""),189.72)</f>
        <v>189.72</v>
      </c>
      <c r="C1353" s="2">
        <f t="shared" ca="1" si="5"/>
        <v>1.2217894680680744E-2</v>
      </c>
    </row>
    <row r="1354" spans="1:3">
      <c r="A1354" s="3">
        <f ca="1">IFERROR(__xludf.UNSUPPORTED("""COMPUTED_VALUE"""),45428.6666666666)</f>
        <v>45428.666666666599</v>
      </c>
      <c r="B1354" s="1">
        <f ca="1">IFERROR(__xludf.UNSUPPORTED("""COMPUTED_VALUE"""),189.84)</f>
        <v>189.84</v>
      </c>
      <c r="C1354" s="2">
        <f t="shared" ca="1" si="5"/>
        <v>6.3251106894373049E-4</v>
      </c>
    </row>
    <row r="1355" spans="1:3">
      <c r="A1355" s="3">
        <f ca="1">IFERROR(__xludf.UNSUPPORTED("""COMPUTED_VALUE"""),45429.6666666666)</f>
        <v>45429.666666666599</v>
      </c>
      <c r="B1355" s="1">
        <f ca="1">IFERROR(__xludf.UNSUPPORTED("""COMPUTED_VALUE"""),189.87)</f>
        <v>189.87</v>
      </c>
      <c r="C1355" s="2">
        <f t="shared" ca="1" si="5"/>
        <v>1.5802781289507551E-4</v>
      </c>
    </row>
    <row r="1356" spans="1:3">
      <c r="A1356" s="3">
        <f ca="1">IFERROR(__xludf.UNSUPPORTED("""COMPUTED_VALUE"""),45432.6666666666)</f>
        <v>45432.666666666599</v>
      </c>
      <c r="B1356" s="1">
        <f ca="1">IFERROR(__xludf.UNSUPPORTED("""COMPUTED_VALUE"""),191.04)</f>
        <v>191.04</v>
      </c>
      <c r="C1356" s="2">
        <f t="shared" ca="1" si="5"/>
        <v>6.1621109179964577E-3</v>
      </c>
    </row>
    <row r="1357" spans="1:3">
      <c r="A1357" s="3">
        <f ca="1">IFERROR(__xludf.UNSUPPORTED("""COMPUTED_VALUE"""),45433.6666666666)</f>
        <v>45433.666666666599</v>
      </c>
      <c r="B1357" s="1">
        <f ca="1">IFERROR(__xludf.UNSUPPORTED("""COMPUTED_VALUE"""),192.35)</f>
        <v>192.35</v>
      </c>
      <c r="C1357" s="2">
        <f t="shared" ca="1" si="5"/>
        <v>6.8572026800670137E-3</v>
      </c>
    </row>
    <row r="1358" spans="1:3">
      <c r="A1358" s="3">
        <f ca="1">IFERROR(__xludf.UNSUPPORTED("""COMPUTED_VALUE"""),45434.6666666666)</f>
        <v>45434.666666666599</v>
      </c>
      <c r="B1358" s="1">
        <f ca="1">IFERROR(__xludf.UNSUPPORTED("""COMPUTED_VALUE"""),190.9)</f>
        <v>190.9</v>
      </c>
      <c r="C1358" s="2">
        <f t="shared" ca="1" si="5"/>
        <v>-7.5383415648556731E-3</v>
      </c>
    </row>
    <row r="1359" spans="1:3">
      <c r="A1359" s="3">
        <f ca="1">IFERROR(__xludf.UNSUPPORTED("""COMPUTED_VALUE"""),45435.6666666666)</f>
        <v>45435.666666666599</v>
      </c>
      <c r="B1359" s="1">
        <f ca="1">IFERROR(__xludf.UNSUPPORTED("""COMPUTED_VALUE"""),186.88)</f>
        <v>186.88</v>
      </c>
      <c r="C1359" s="2">
        <f t="shared" ca="1" si="5"/>
        <v>-2.1058145625982242E-2</v>
      </c>
    </row>
    <row r="1360" spans="1:3">
      <c r="A1360" s="3">
        <f ca="1">IFERROR(__xludf.UNSUPPORTED("""COMPUTED_VALUE"""),45436.6666666666)</f>
        <v>45436.666666666599</v>
      </c>
      <c r="B1360" s="1">
        <f ca="1">IFERROR(__xludf.UNSUPPORTED("""COMPUTED_VALUE"""),189.98)</f>
        <v>189.98</v>
      </c>
      <c r="C1360" s="2">
        <f t="shared" ca="1" si="5"/>
        <v>1.6588184931506818E-2</v>
      </c>
    </row>
    <row r="1361" spans="1:3">
      <c r="A1361" s="3">
        <f ca="1">IFERROR(__xludf.UNSUPPORTED("""COMPUTED_VALUE"""),45440.6666666666)</f>
        <v>45440.666666666599</v>
      </c>
      <c r="B1361" s="1">
        <f ca="1">IFERROR(__xludf.UNSUPPORTED("""COMPUTED_VALUE"""),189.99)</f>
        <v>189.99</v>
      </c>
      <c r="C1361" s="2">
        <f t="shared" ca="1" si="5"/>
        <v>5.2637119696911926E-5</v>
      </c>
    </row>
    <row r="1362" spans="1:3">
      <c r="A1362" s="3">
        <f ca="1">IFERROR(__xludf.UNSUPPORTED("""COMPUTED_VALUE"""),45441.6666666666)</f>
        <v>45441.666666666599</v>
      </c>
      <c r="B1362" s="1">
        <f ca="1">IFERROR(__xludf.UNSUPPORTED("""COMPUTED_VALUE"""),190.29)</f>
        <v>190.29</v>
      </c>
      <c r="C1362" s="2">
        <f t="shared" ca="1" si="5"/>
        <v>1.5790304752880831E-3</v>
      </c>
    </row>
    <row r="1363" spans="1:3">
      <c r="A1363" s="3">
        <f ca="1">IFERROR(__xludf.UNSUPPORTED("""COMPUTED_VALUE"""),45442.6666666666)</f>
        <v>45442.666666666599</v>
      </c>
      <c r="B1363" s="1">
        <f ca="1">IFERROR(__xludf.UNSUPPORTED("""COMPUTED_VALUE"""),191.29)</f>
        <v>191.29</v>
      </c>
      <c r="C1363" s="2">
        <f t="shared" ca="1" si="5"/>
        <v>5.2551368963161494E-3</v>
      </c>
    </row>
    <row r="1364" spans="1:3">
      <c r="A1364" s="3">
        <f ca="1">IFERROR(__xludf.UNSUPPORTED("""COMPUTED_VALUE"""),45443.6666666666)</f>
        <v>45443.666666666599</v>
      </c>
      <c r="B1364" s="1">
        <f ca="1">IFERROR(__xludf.UNSUPPORTED("""COMPUTED_VALUE"""),192.25)</f>
        <v>192.25</v>
      </c>
      <c r="C1364" s="2">
        <f t="shared" ca="1" si="5"/>
        <v>5.0185582100476132E-3</v>
      </c>
    </row>
    <row r="1365" spans="1:3">
      <c r="A1365" s="3">
        <f ca="1">IFERROR(__xludf.UNSUPPORTED("""COMPUTED_VALUE"""),45446.6666666666)</f>
        <v>45446.666666666599</v>
      </c>
      <c r="B1365" s="1">
        <f ca="1">IFERROR(__xludf.UNSUPPORTED("""COMPUTED_VALUE"""),194.03)</f>
        <v>194.03</v>
      </c>
      <c r="C1365" s="2">
        <f t="shared" ca="1" si="5"/>
        <v>9.2587776332899926E-3</v>
      </c>
    </row>
    <row r="1366" spans="1:3">
      <c r="A1366" s="3">
        <f ca="1">IFERROR(__xludf.UNSUPPORTED("""COMPUTED_VALUE"""),45447.6666666666)</f>
        <v>45447.666666666599</v>
      </c>
      <c r="B1366" s="1">
        <f ca="1">IFERROR(__xludf.UNSUPPORTED("""COMPUTED_VALUE"""),194.35)</f>
        <v>194.35</v>
      </c>
      <c r="C1366" s="2">
        <f t="shared" ca="1" si="5"/>
        <v>1.6492295005926566E-3</v>
      </c>
    </row>
    <row r="1367" spans="1:3">
      <c r="A1367" s="3">
        <f ca="1">IFERROR(__xludf.UNSUPPORTED("""COMPUTED_VALUE"""),45448.6666666666)</f>
        <v>45448.666666666599</v>
      </c>
      <c r="B1367" s="1">
        <f ca="1">IFERROR(__xludf.UNSUPPORTED("""COMPUTED_VALUE"""),195.87)</f>
        <v>195.87</v>
      </c>
      <c r="C1367" s="2">
        <f t="shared" ca="1" si="5"/>
        <v>7.8209416002058673E-3</v>
      </c>
    </row>
    <row r="1368" spans="1:3">
      <c r="A1368" s="3">
        <f ca="1">IFERROR(__xludf.UNSUPPORTED("""COMPUTED_VALUE"""),45449.6666666666)</f>
        <v>45449.666666666599</v>
      </c>
      <c r="B1368" s="1">
        <f ca="1">IFERROR(__xludf.UNSUPPORTED("""COMPUTED_VALUE"""),194.48)</f>
        <v>194.48</v>
      </c>
      <c r="C1368" s="2">
        <f t="shared" ca="1" si="5"/>
        <v>-7.0965436258743795E-3</v>
      </c>
    </row>
    <row r="1369" spans="1:3">
      <c r="A1369" s="3">
        <f ca="1">IFERROR(__xludf.UNSUPPORTED("""COMPUTED_VALUE"""),45450.6666666666)</f>
        <v>45450.666666666599</v>
      </c>
      <c r="B1369" s="1">
        <f ca="1">IFERROR(__xludf.UNSUPPORTED("""COMPUTED_VALUE"""),196.89)</f>
        <v>196.89</v>
      </c>
      <c r="C1369" s="2">
        <f t="shared" ca="1" si="5"/>
        <v>1.2392019744960904E-2</v>
      </c>
    </row>
    <row r="1370" spans="1:3">
      <c r="A1370" s="3">
        <f ca="1">IFERROR(__xludf.UNSUPPORTED("""COMPUTED_VALUE"""),45453.6666666666)</f>
        <v>45453.666666666599</v>
      </c>
      <c r="B1370" s="1">
        <f ca="1">IFERROR(__xludf.UNSUPPORTED("""COMPUTED_VALUE"""),193.12)</f>
        <v>193.12</v>
      </c>
      <c r="C1370" s="2">
        <f t="shared" ca="1" si="5"/>
        <v>-1.9147747473208299E-2</v>
      </c>
    </row>
    <row r="1371" spans="1:3">
      <c r="A1371" s="3">
        <f ca="1">IFERROR(__xludf.UNSUPPORTED("""COMPUTED_VALUE"""),45454.6666666666)</f>
        <v>45454.666666666599</v>
      </c>
      <c r="B1371" s="1">
        <f ca="1">IFERROR(__xludf.UNSUPPORTED("""COMPUTED_VALUE"""),207.15)</f>
        <v>207.15</v>
      </c>
      <c r="C1371" s="2">
        <f t="shared" ca="1" si="5"/>
        <v>7.2649130074565041E-2</v>
      </c>
    </row>
    <row r="1372" spans="1:3">
      <c r="A1372" s="3">
        <f ca="1">IFERROR(__xludf.UNSUPPORTED("""COMPUTED_VALUE"""),45455.6666666666)</f>
        <v>45455.666666666599</v>
      </c>
      <c r="B1372" s="1">
        <f ca="1">IFERROR(__xludf.UNSUPPORTED("""COMPUTED_VALUE"""),213.07)</f>
        <v>213.07</v>
      </c>
      <c r="C1372" s="2">
        <f t="shared" ca="1" si="5"/>
        <v>2.857832488534872E-2</v>
      </c>
    </row>
    <row r="1373" spans="1:3">
      <c r="A1373" s="3">
        <f ca="1">IFERROR(__xludf.UNSUPPORTED("""COMPUTED_VALUE"""),45456.6666666666)</f>
        <v>45456.666666666599</v>
      </c>
      <c r="B1373" s="1">
        <f ca="1">IFERROR(__xludf.UNSUPPORTED("""COMPUTED_VALUE"""),214.24)</f>
        <v>214.24</v>
      </c>
      <c r="C1373" s="2">
        <f t="shared" ca="1" si="5"/>
        <v>5.4911531421599283E-3</v>
      </c>
    </row>
    <row r="1374" spans="1:3">
      <c r="A1374" s="3">
        <f ca="1">IFERROR(__xludf.UNSUPPORTED("""COMPUTED_VALUE"""),45457.6666666666)</f>
        <v>45457.666666666599</v>
      </c>
      <c r="B1374" s="1">
        <f ca="1">IFERROR(__xludf.UNSUPPORTED("""COMPUTED_VALUE"""),212.49)</f>
        <v>212.49</v>
      </c>
      <c r="C1374" s="2">
        <f t="shared" ca="1" si="5"/>
        <v>-8.1684092606422697E-3</v>
      </c>
    </row>
    <row r="1375" spans="1:3">
      <c r="A1375" s="3">
        <f ca="1">IFERROR(__xludf.UNSUPPORTED("""COMPUTED_VALUE"""),45460.6666666666)</f>
        <v>45460.666666666599</v>
      </c>
      <c r="B1375" s="1">
        <f ca="1">IFERROR(__xludf.UNSUPPORTED("""COMPUTED_VALUE"""),216.67)</f>
        <v>216.67</v>
      </c>
      <c r="C1375" s="2">
        <f t="shared" ca="1" si="5"/>
        <v>1.9671513953597713E-2</v>
      </c>
    </row>
    <row r="1376" spans="1:3">
      <c r="A1376" s="3">
        <f ca="1">IFERROR(__xludf.UNSUPPORTED("""COMPUTED_VALUE"""),45461.6666666666)</f>
        <v>45461.666666666599</v>
      </c>
      <c r="B1376" s="1">
        <f ca="1">IFERROR(__xludf.UNSUPPORTED("""COMPUTED_VALUE"""),214.29)</f>
        <v>214.29</v>
      </c>
      <c r="C1376" s="2">
        <f t="shared" ca="1" si="5"/>
        <v>-1.0984446393132393E-2</v>
      </c>
    </row>
    <row r="1377" spans="1:3">
      <c r="A1377" s="3">
        <f ca="1">IFERROR(__xludf.UNSUPPORTED("""COMPUTED_VALUE"""),45463.6666666666)</f>
        <v>45463.666666666599</v>
      </c>
      <c r="B1377" s="1">
        <f ca="1">IFERROR(__xludf.UNSUPPORTED("""COMPUTED_VALUE"""),209.68)</f>
        <v>209.68</v>
      </c>
      <c r="C1377" s="2">
        <f t="shared" ca="1" si="5"/>
        <v>-2.1512903075271761E-2</v>
      </c>
    </row>
    <row r="1378" spans="1:3">
      <c r="A1378" s="3">
        <f ca="1">IFERROR(__xludf.UNSUPPORTED("""COMPUTED_VALUE"""),45464.6666666666)</f>
        <v>45464.666666666599</v>
      </c>
      <c r="B1378" s="1">
        <f ca="1">IFERROR(__xludf.UNSUPPORTED("""COMPUTED_VALUE"""),207.49)</f>
        <v>207.49</v>
      </c>
      <c r="C1378" s="2">
        <f t="shared" ca="1" si="5"/>
        <v>-1.0444486837085071E-2</v>
      </c>
    </row>
    <row r="1379" spans="1:3">
      <c r="A1379" s="3">
        <f ca="1">IFERROR(__xludf.UNSUPPORTED("""COMPUTED_VALUE"""),45467.6666666666)</f>
        <v>45467.666666666599</v>
      </c>
      <c r="B1379" s="1">
        <f ca="1">IFERROR(__xludf.UNSUPPORTED("""COMPUTED_VALUE"""),208.14)</f>
        <v>208.14</v>
      </c>
      <c r="C1379" s="2">
        <f t="shared" ca="1" si="5"/>
        <v>3.1326810930646164E-3</v>
      </c>
    </row>
    <row r="1380" spans="1:3">
      <c r="A1380" s="3">
        <f ca="1">IFERROR(__xludf.UNSUPPORTED("""COMPUTED_VALUE"""),45468.6666666666)</f>
        <v>45468.666666666599</v>
      </c>
      <c r="B1380" s="1">
        <f ca="1">IFERROR(__xludf.UNSUPPORTED("""COMPUTED_VALUE"""),209.07)</f>
        <v>209.07</v>
      </c>
      <c r="C1380" s="2">
        <f t="shared" ca="1" si="5"/>
        <v>4.4681464398962567E-3</v>
      </c>
    </row>
    <row r="1381" spans="1:3">
      <c r="A1381" s="3">
        <f ca="1">IFERROR(__xludf.UNSUPPORTED("""COMPUTED_VALUE"""),45469.6666666666)</f>
        <v>45469.666666666599</v>
      </c>
      <c r="B1381" s="1">
        <f ca="1">IFERROR(__xludf.UNSUPPORTED("""COMPUTED_VALUE"""),213.25)</f>
        <v>213.25</v>
      </c>
      <c r="C1381" s="2">
        <f t="shared" ca="1" si="5"/>
        <v>1.9993303678193939E-2</v>
      </c>
    </row>
    <row r="1382" spans="1:3">
      <c r="A1382" s="3">
        <f ca="1">IFERROR(__xludf.UNSUPPORTED("""COMPUTED_VALUE"""),45470.6666666666)</f>
        <v>45470.666666666599</v>
      </c>
      <c r="B1382" s="1">
        <f ca="1">IFERROR(__xludf.UNSUPPORTED("""COMPUTED_VALUE"""),214.1)</f>
        <v>214.1</v>
      </c>
      <c r="C1382" s="2">
        <f t="shared" ca="1" si="5"/>
        <v>3.9859320046893047E-3</v>
      </c>
    </row>
    <row r="1383" spans="1:3">
      <c r="A1383" s="3">
        <f ca="1">IFERROR(__xludf.UNSUPPORTED("""COMPUTED_VALUE"""),45471.6666666666)</f>
        <v>45471.666666666599</v>
      </c>
      <c r="B1383" s="1">
        <f ca="1">IFERROR(__xludf.UNSUPPORTED("""COMPUTED_VALUE"""),210.62)</f>
        <v>210.62</v>
      </c>
      <c r="C1383" s="2">
        <f t="shared" ca="1" si="5"/>
        <v>-1.6254086875291871E-2</v>
      </c>
    </row>
    <row r="1384" spans="1:3">
      <c r="A1384" s="3">
        <f ca="1">IFERROR(__xludf.UNSUPPORTED("""COMPUTED_VALUE"""),45474.6666666666)</f>
        <v>45474.666666666599</v>
      </c>
      <c r="B1384" s="1">
        <f ca="1">IFERROR(__xludf.UNSUPPORTED("""COMPUTED_VALUE"""),216.75)</f>
        <v>216.75</v>
      </c>
      <c r="C1384" s="2">
        <f t="shared" ca="1" si="5"/>
        <v>2.910454847592819E-2</v>
      </c>
    </row>
    <row r="1385" spans="1:3">
      <c r="A1385" s="3">
        <f ca="1">IFERROR(__xludf.UNSUPPORTED("""COMPUTED_VALUE"""),45475.6666666666)</f>
        <v>45475.666666666599</v>
      </c>
      <c r="B1385" s="1">
        <f ca="1">IFERROR(__xludf.UNSUPPORTED("""COMPUTED_VALUE"""),220.27)</f>
        <v>220.27</v>
      </c>
      <c r="C1385" s="2">
        <f t="shared" ca="1" si="5"/>
        <v>1.623990772779705E-2</v>
      </c>
    </row>
    <row r="1386" spans="1:3">
      <c r="A1386" s="3">
        <f ca="1">IFERROR(__xludf.UNSUPPORTED("""COMPUTED_VALUE"""),45476.5451388888)</f>
        <v>45476.545138888803</v>
      </c>
      <c r="B1386" s="1">
        <f ca="1">IFERROR(__xludf.UNSUPPORTED("""COMPUTED_VALUE"""),221.55)</f>
        <v>221.55</v>
      </c>
      <c r="C1386" s="2">
        <f t="shared" ca="1" si="5"/>
        <v>5.8110500749080727E-3</v>
      </c>
    </row>
    <row r="1387" spans="1:3">
      <c r="A1387" s="3">
        <f ca="1">IFERROR(__xludf.UNSUPPORTED("""COMPUTED_VALUE"""),45478.6666666666)</f>
        <v>45478.666666666599</v>
      </c>
      <c r="B1387" s="1">
        <f ca="1">IFERROR(__xludf.UNSUPPORTED("""COMPUTED_VALUE"""),226.34)</f>
        <v>226.34</v>
      </c>
      <c r="C1387" s="2">
        <f t="shared" ca="1" si="5"/>
        <v>2.1620401715188409E-2</v>
      </c>
    </row>
    <row r="1388" spans="1:3">
      <c r="A1388" s="3">
        <f ca="1">IFERROR(__xludf.UNSUPPORTED("""COMPUTED_VALUE"""),45481.6666666666)</f>
        <v>45481.666666666599</v>
      </c>
      <c r="B1388" s="1">
        <f ca="1">IFERROR(__xludf.UNSUPPORTED("""COMPUTED_VALUE"""),227.82)</f>
        <v>227.82</v>
      </c>
      <c r="C1388" s="2">
        <f t="shared" ca="1" si="5"/>
        <v>6.538835380401121E-3</v>
      </c>
    </row>
    <row r="1389" spans="1:3">
      <c r="A1389" s="3">
        <f ca="1">IFERROR(__xludf.UNSUPPORTED("""COMPUTED_VALUE"""),45482.6666666666)</f>
        <v>45482.666666666599</v>
      </c>
      <c r="B1389" s="1">
        <f ca="1">IFERROR(__xludf.UNSUPPORTED("""COMPUTED_VALUE"""),228.68)</f>
        <v>228.68</v>
      </c>
      <c r="C1389" s="2">
        <f t="shared" ca="1" si="5"/>
        <v>3.7749100166798951E-3</v>
      </c>
    </row>
    <row r="1390" spans="1:3">
      <c r="A1390" s="3">
        <f ca="1">IFERROR(__xludf.UNSUPPORTED("""COMPUTED_VALUE"""),45483.6666666666)</f>
        <v>45483.666666666599</v>
      </c>
      <c r="B1390" s="1">
        <f ca="1">IFERROR(__xludf.UNSUPPORTED("""COMPUTED_VALUE"""),232.98)</f>
        <v>232.98</v>
      </c>
      <c r="C1390" s="2">
        <f t="shared" ca="1" si="5"/>
        <v>1.8803568305055023E-2</v>
      </c>
    </row>
    <row r="1391" spans="1:3">
      <c r="A1391" s="3">
        <f ca="1">IFERROR(__xludf.UNSUPPORTED("""COMPUTED_VALUE"""),45484.6666666666)</f>
        <v>45484.666666666599</v>
      </c>
      <c r="B1391" s="1">
        <f ca="1">IFERROR(__xludf.UNSUPPORTED("""COMPUTED_VALUE"""),227.57)</f>
        <v>227.57</v>
      </c>
      <c r="C1391" s="2">
        <f t="shared" ca="1" si="5"/>
        <v>-2.3220877328526041E-2</v>
      </c>
    </row>
    <row r="1392" spans="1:3">
      <c r="A1392" s="3">
        <f ca="1">IFERROR(__xludf.UNSUPPORTED("""COMPUTED_VALUE"""),45485.6666666666)</f>
        <v>45485.666666666599</v>
      </c>
      <c r="B1392" s="1">
        <f ca="1">IFERROR(__xludf.UNSUPPORTED("""COMPUTED_VALUE"""),230.54)</f>
        <v>230.54</v>
      </c>
      <c r="C1392" s="2">
        <f t="shared" ca="1" si="5"/>
        <v>1.3050929384365246E-2</v>
      </c>
    </row>
    <row r="1393" spans="1:3">
      <c r="A1393" s="3">
        <f ca="1">IFERROR(__xludf.UNSUPPORTED("""COMPUTED_VALUE"""),45488.6666666666)</f>
        <v>45488.666666666599</v>
      </c>
      <c r="B1393" s="1">
        <f ca="1">IFERROR(__xludf.UNSUPPORTED("""COMPUTED_VALUE"""),234.4)</f>
        <v>234.4</v>
      </c>
      <c r="C1393" s="2">
        <f t="shared" ca="1" si="5"/>
        <v>1.6743298343020793E-2</v>
      </c>
    </row>
    <row r="1394" spans="1:3">
      <c r="A1394" s="3">
        <f ca="1">IFERROR(__xludf.UNSUPPORTED("""COMPUTED_VALUE"""),45489.6666666666)</f>
        <v>45489.666666666599</v>
      </c>
      <c r="B1394" s="1">
        <f ca="1">IFERROR(__xludf.UNSUPPORTED("""COMPUTED_VALUE"""),234.82)</f>
        <v>234.82</v>
      </c>
      <c r="C1394" s="2">
        <f t="shared" ca="1" si="5"/>
        <v>1.791808873720083E-3</v>
      </c>
    </row>
    <row r="1395" spans="1:3">
      <c r="A1395" s="3">
        <f ca="1">IFERROR(__xludf.UNSUPPORTED("""COMPUTED_VALUE"""),45490.6666666666)</f>
        <v>45490.666666666599</v>
      </c>
      <c r="B1395" s="1">
        <f ca="1">IFERROR(__xludf.UNSUPPORTED("""COMPUTED_VALUE"""),228.88)</f>
        <v>228.88</v>
      </c>
      <c r="C1395" s="2">
        <f t="shared" ca="1" si="5"/>
        <v>-2.5295971382335396E-2</v>
      </c>
    </row>
    <row r="1396" spans="1:3">
      <c r="A1396" s="3">
        <f ca="1">IFERROR(__xludf.UNSUPPORTED("""COMPUTED_VALUE"""),45491.6666666666)</f>
        <v>45491.666666666599</v>
      </c>
      <c r="B1396" s="1">
        <f ca="1">IFERROR(__xludf.UNSUPPORTED("""COMPUTED_VALUE"""),224.18)</f>
        <v>224.18</v>
      </c>
      <c r="C1396" s="2">
        <f t="shared" ca="1" si="5"/>
        <v>-2.0534778049632947E-2</v>
      </c>
    </row>
    <row r="1397" spans="1:3">
      <c r="A1397" s="3">
        <f ca="1">IFERROR(__xludf.UNSUPPORTED("""COMPUTED_VALUE"""),45492.6666666666)</f>
        <v>45492.666666666599</v>
      </c>
      <c r="B1397" s="1">
        <f ca="1">IFERROR(__xludf.UNSUPPORTED("""COMPUTED_VALUE"""),224.31)</f>
        <v>224.31</v>
      </c>
      <c r="C1397" s="2">
        <f t="shared" ca="1" si="5"/>
        <v>5.7989115889015724E-4</v>
      </c>
    </row>
    <row r="1398" spans="1:3">
      <c r="A1398" s="3">
        <f ca="1">IFERROR(__xludf.UNSUPPORTED("""COMPUTED_VALUE"""),45495.6666666666)</f>
        <v>45495.666666666599</v>
      </c>
      <c r="B1398" s="1">
        <f ca="1">IFERROR(__xludf.UNSUPPORTED("""COMPUTED_VALUE"""),223.96)</f>
        <v>223.96</v>
      </c>
      <c r="C1398" s="2">
        <f t="shared" ca="1" si="5"/>
        <v>-1.5603406000623884E-3</v>
      </c>
    </row>
    <row r="1399" spans="1:3">
      <c r="A1399" s="3">
        <f ca="1">IFERROR(__xludf.UNSUPPORTED("""COMPUTED_VALUE"""),45496.6666666666)</f>
        <v>45496.666666666599</v>
      </c>
      <c r="B1399" s="1">
        <f ca="1">IFERROR(__xludf.UNSUPPORTED("""COMPUTED_VALUE"""),225.01)</f>
        <v>225.01</v>
      </c>
      <c r="C1399" s="2">
        <f t="shared" ca="1" si="5"/>
        <v>4.6883372030719012E-3</v>
      </c>
    </row>
    <row r="1400" spans="1:3">
      <c r="A1400" s="3">
        <f ca="1">IFERROR(__xludf.UNSUPPORTED("""COMPUTED_VALUE"""),45497.6666666666)</f>
        <v>45497.666666666599</v>
      </c>
      <c r="B1400" s="1">
        <f ca="1">IFERROR(__xludf.UNSUPPORTED("""COMPUTED_VALUE"""),218.54)</f>
        <v>218.54</v>
      </c>
      <c r="C1400" s="2">
        <f t="shared" ca="1" si="5"/>
        <v>-2.8754277587662767E-2</v>
      </c>
    </row>
    <row r="1401" spans="1:3">
      <c r="A1401" s="3">
        <f ca="1">IFERROR(__xludf.UNSUPPORTED("""COMPUTED_VALUE"""),45498.6666666666)</f>
        <v>45498.666666666599</v>
      </c>
      <c r="B1401" s="1">
        <f ca="1">IFERROR(__xludf.UNSUPPORTED("""COMPUTED_VALUE"""),217.49)</f>
        <v>217.49</v>
      </c>
      <c r="C1401" s="2">
        <f t="shared" ca="1" si="5"/>
        <v>-4.8046124279307358E-3</v>
      </c>
    </row>
    <row r="1402" spans="1:3">
      <c r="A1402" s="3">
        <f ca="1">IFERROR(__xludf.UNSUPPORTED("""COMPUTED_VALUE"""),45499.6666666666)</f>
        <v>45499.666666666599</v>
      </c>
      <c r="B1402" s="1">
        <f ca="1">IFERROR(__xludf.UNSUPPORTED("""COMPUTED_VALUE"""),217.96)</f>
        <v>217.96</v>
      </c>
      <c r="C1402" s="2">
        <f t="shared" ca="1" si="5"/>
        <v>2.1610188974205656E-3</v>
      </c>
    </row>
    <row r="1403" spans="1:3">
      <c r="A1403" s="3">
        <f ca="1">IFERROR(__xludf.UNSUPPORTED("""COMPUTED_VALUE"""),45502.6666666666)</f>
        <v>45502.666666666599</v>
      </c>
      <c r="B1403" s="1">
        <f ca="1">IFERROR(__xludf.UNSUPPORTED("""COMPUTED_VALUE"""),218.24)</f>
        <v>218.24</v>
      </c>
      <c r="C1403" s="2">
        <f t="shared" ca="1" si="5"/>
        <v>1.2846393833731012E-3</v>
      </c>
    </row>
    <row r="1404" spans="1:3">
      <c r="A1404" s="3">
        <f ca="1">IFERROR(__xludf.UNSUPPORTED("""COMPUTED_VALUE"""),45503.6666666666)</f>
        <v>45503.666666666599</v>
      </c>
      <c r="B1404" s="1">
        <f ca="1">IFERROR(__xludf.UNSUPPORTED("""COMPUTED_VALUE"""),218.8)</f>
        <v>218.8</v>
      </c>
      <c r="C1404" s="2">
        <f t="shared" ca="1" si="5"/>
        <v>2.5659824046920924E-3</v>
      </c>
    </row>
    <row r="1405" spans="1:3">
      <c r="A1405" s="3">
        <f ca="1">IFERROR(__xludf.UNSUPPORTED("""COMPUTED_VALUE"""),45504.6666666666)</f>
        <v>45504.666666666599</v>
      </c>
      <c r="B1405" s="1">
        <f ca="1">IFERROR(__xludf.UNSUPPORTED("""COMPUTED_VALUE"""),222.08)</f>
        <v>222.08</v>
      </c>
      <c r="C1405" s="2">
        <f t="shared" ca="1" si="5"/>
        <v>1.4990859232175507E-2</v>
      </c>
    </row>
    <row r="1406" spans="1:3">
      <c r="A1406" s="3">
        <f ca="1">IFERROR(__xludf.UNSUPPORTED("""COMPUTED_VALUE"""),45505.6666666666)</f>
        <v>45505.666666666599</v>
      </c>
      <c r="B1406" s="1">
        <f ca="1">IFERROR(__xludf.UNSUPPORTED("""COMPUTED_VALUE"""),218.36)</f>
        <v>218.36</v>
      </c>
      <c r="C1406" s="2">
        <f t="shared" ca="1" si="5"/>
        <v>-1.6750720461095096E-2</v>
      </c>
    </row>
    <row r="1407" spans="1:3">
      <c r="A1407" s="3">
        <f ca="1">IFERROR(__xludf.UNSUPPORTED("""COMPUTED_VALUE"""),45506.6666666666)</f>
        <v>45506.666666666599</v>
      </c>
      <c r="B1407" s="1">
        <f ca="1">IFERROR(__xludf.UNSUPPORTED("""COMPUTED_VALUE"""),219.86)</f>
        <v>219.86</v>
      </c>
      <c r="C1407" s="2">
        <f t="shared" ca="1" si="5"/>
        <v>6.8693899981681619E-3</v>
      </c>
    </row>
    <row r="1408" spans="1:3">
      <c r="A1408" s="3">
        <f ca="1">IFERROR(__xludf.UNSUPPORTED("""COMPUTED_VALUE"""),45509.6666666666)</f>
        <v>45509.666666666599</v>
      </c>
      <c r="B1408" s="1">
        <f ca="1">IFERROR(__xludf.UNSUPPORTED("""COMPUTED_VALUE"""),209.27)</f>
        <v>209.27</v>
      </c>
      <c r="C1408" s="2">
        <f t="shared" ca="1" si="5"/>
        <v>-4.8167015373419463E-2</v>
      </c>
    </row>
    <row r="1409" spans="1:3">
      <c r="A1409" s="3">
        <f ca="1">IFERROR(__xludf.UNSUPPORTED("""COMPUTED_VALUE"""),45510.6666666666)</f>
        <v>45510.666666666599</v>
      </c>
      <c r="B1409" s="1">
        <f ca="1">IFERROR(__xludf.UNSUPPORTED("""COMPUTED_VALUE"""),207.23)</f>
        <v>207.23</v>
      </c>
      <c r="C1409" s="2">
        <f t="shared" ca="1" si="5"/>
        <v>-9.7481722177092771E-3</v>
      </c>
    </row>
    <row r="1410" spans="1:3">
      <c r="A1410" s="3">
        <f ca="1">IFERROR(__xludf.UNSUPPORTED("""COMPUTED_VALUE"""),45511.6666666666)</f>
        <v>45511.666666666599</v>
      </c>
      <c r="B1410" s="1">
        <f ca="1">IFERROR(__xludf.UNSUPPORTED("""COMPUTED_VALUE"""),209.82)</f>
        <v>209.82</v>
      </c>
      <c r="C1410" s="2">
        <f t="shared" ca="1" si="5"/>
        <v>1.2498190416445513E-2</v>
      </c>
    </row>
    <row r="1411" spans="1:3">
      <c r="A1411" s="3">
        <f ca="1">IFERROR(__xludf.UNSUPPORTED("""COMPUTED_VALUE"""),45512.6666666666)</f>
        <v>45512.666666666599</v>
      </c>
      <c r="B1411" s="1">
        <f ca="1">IFERROR(__xludf.UNSUPPORTED("""COMPUTED_VALUE"""),213.31)</f>
        <v>213.31</v>
      </c>
      <c r="C1411" s="2">
        <f t="shared" ca="1" si="5"/>
        <v>1.6633304737394002E-2</v>
      </c>
    </row>
    <row r="1412" spans="1:3">
      <c r="A1412" s="3">
        <f ca="1">IFERROR(__xludf.UNSUPPORTED("""COMPUTED_VALUE"""),45513.6666666666)</f>
        <v>45513.666666666599</v>
      </c>
      <c r="B1412" s="1">
        <f ca="1">IFERROR(__xludf.UNSUPPORTED("""COMPUTED_VALUE"""),216.24)</f>
        <v>216.24</v>
      </c>
      <c r="C1412" s="2">
        <f t="shared" ca="1" si="5"/>
        <v>1.3735877361586456E-2</v>
      </c>
    </row>
    <row r="1413" spans="1:3">
      <c r="A1413" s="3">
        <f ca="1">IFERROR(__xludf.UNSUPPORTED("""COMPUTED_VALUE"""),45516.6666666666)</f>
        <v>45516.666666666599</v>
      </c>
      <c r="B1413" s="1">
        <f ca="1">IFERROR(__xludf.UNSUPPORTED("""COMPUTED_VALUE"""),217.53)</f>
        <v>217.53</v>
      </c>
      <c r="C1413" s="2">
        <f t="shared" ca="1" si="5"/>
        <v>5.9655937846836479E-3</v>
      </c>
    </row>
    <row r="1414" spans="1:3">
      <c r="A1414" s="3">
        <f ca="1">IFERROR(__xludf.UNSUPPORTED("""COMPUTED_VALUE"""),45517.6666666666)</f>
        <v>45517.666666666599</v>
      </c>
      <c r="B1414" s="1">
        <f ca="1">IFERROR(__xludf.UNSUPPORTED("""COMPUTED_VALUE"""),221.27)</f>
        <v>221.27</v>
      </c>
      <c r="C1414" s="2">
        <f t="shared" ca="1" si="5"/>
        <v>1.7193030846320088E-2</v>
      </c>
    </row>
    <row r="1415" spans="1:3">
      <c r="A1415" s="3">
        <f ca="1">IFERROR(__xludf.UNSUPPORTED("""COMPUTED_VALUE"""),45518.6666666666)</f>
        <v>45518.666666666599</v>
      </c>
      <c r="B1415" s="1">
        <f ca="1">IFERROR(__xludf.UNSUPPORTED("""COMPUTED_VALUE"""),221.72)</f>
        <v>221.72</v>
      </c>
      <c r="C1415" s="2">
        <f t="shared" ca="1" si="5"/>
        <v>2.0337144664888535E-3</v>
      </c>
    </row>
    <row r="1416" spans="1:3">
      <c r="A1416" s="3">
        <f ca="1">IFERROR(__xludf.UNSUPPORTED("""COMPUTED_VALUE"""),45519.6666666666)</f>
        <v>45519.666666666599</v>
      </c>
      <c r="B1416" s="1">
        <f ca="1">IFERROR(__xludf.UNSUPPORTED("""COMPUTED_VALUE"""),224.72)</f>
        <v>224.72</v>
      </c>
      <c r="C1416" s="2">
        <f t="shared" ca="1" si="5"/>
        <v>1.3530579108785856E-2</v>
      </c>
    </row>
    <row r="1417" spans="1:3">
      <c r="A1417" s="3">
        <f ca="1">IFERROR(__xludf.UNSUPPORTED("""COMPUTED_VALUE"""),45520.6666666666)</f>
        <v>45520.666666666599</v>
      </c>
      <c r="B1417" s="1">
        <f ca="1">IFERROR(__xludf.UNSUPPORTED("""COMPUTED_VALUE"""),226.05)</f>
        <v>226.05</v>
      </c>
      <c r="C1417" s="2">
        <f t="shared" ca="1" si="5"/>
        <v>5.9184763260947517E-3</v>
      </c>
    </row>
    <row r="1418" spans="1:3">
      <c r="A1418" s="3">
        <f ca="1">IFERROR(__xludf.UNSUPPORTED("""COMPUTED_VALUE"""),45523.6666666666)</f>
        <v>45523.666666666599</v>
      </c>
      <c r="B1418" s="1">
        <f ca="1">IFERROR(__xludf.UNSUPPORTED("""COMPUTED_VALUE"""),225.89)</f>
        <v>225.89</v>
      </c>
      <c r="C1418" s="2">
        <f t="shared" ca="1" si="5"/>
        <v>-7.0780800707819066E-4</v>
      </c>
    </row>
    <row r="1419" spans="1:3">
      <c r="A1419" s="3">
        <f ca="1">IFERROR(__xludf.UNSUPPORTED("""COMPUTED_VALUE"""),45524.6666666666)</f>
        <v>45524.666666666599</v>
      </c>
      <c r="B1419" s="1">
        <f ca="1">IFERROR(__xludf.UNSUPPORTED("""COMPUTED_VALUE"""),226.51)</f>
        <v>226.51</v>
      </c>
      <c r="C1419" s="2">
        <f t="shared" ca="1" si="5"/>
        <v>2.7446987471778502E-3</v>
      </c>
    </row>
    <row r="1420" spans="1:3">
      <c r="A1420" s="3">
        <f ca="1">IFERROR(__xludf.UNSUPPORTED("""COMPUTED_VALUE"""),45525.6666666666)</f>
        <v>45525.666666666599</v>
      </c>
      <c r="B1420" s="1">
        <f ca="1">IFERROR(__xludf.UNSUPPORTED("""COMPUTED_VALUE"""),226.4)</f>
        <v>226.4</v>
      </c>
      <c r="C1420" s="2">
        <f t="shared" ca="1" si="5"/>
        <v>-4.8562977351986769E-4</v>
      </c>
    </row>
    <row r="1421" spans="1:3">
      <c r="A1421" s="3">
        <f ca="1">IFERROR(__xludf.UNSUPPORTED("""COMPUTED_VALUE"""),45526.6666666666)</f>
        <v>45526.666666666599</v>
      </c>
      <c r="B1421" s="1">
        <f ca="1">IFERROR(__xludf.UNSUPPORTED("""COMPUTED_VALUE"""),224.53)</f>
        <v>224.53</v>
      </c>
      <c r="C1421" s="2">
        <f t="shared" ca="1" si="5"/>
        <v>-8.2597173144876527E-3</v>
      </c>
    </row>
    <row r="1422" spans="1:3">
      <c r="A1422" s="3">
        <f ca="1">IFERROR(__xludf.UNSUPPORTED("""COMPUTED_VALUE"""),45527.6666666666)</f>
        <v>45527.666666666599</v>
      </c>
      <c r="B1422" s="1">
        <f ca="1">IFERROR(__xludf.UNSUPPORTED("""COMPUTED_VALUE"""),226.84)</f>
        <v>226.84</v>
      </c>
      <c r="C1422" s="2">
        <f t="shared" ca="1" si="5"/>
        <v>1.0288157484523237E-2</v>
      </c>
    </row>
    <row r="1423" spans="1:3">
      <c r="A1423" s="3">
        <f ca="1">IFERROR(__xludf.UNSUPPORTED("""COMPUTED_VALUE"""),45530.6666666666)</f>
        <v>45530.666666666599</v>
      </c>
      <c r="B1423" s="1">
        <f ca="1">IFERROR(__xludf.UNSUPPORTED("""COMPUTED_VALUE"""),227.18)</f>
        <v>227.18</v>
      </c>
      <c r="C1423" s="2">
        <f t="shared" ca="1" si="5"/>
        <v>1.4988538176688565E-3</v>
      </c>
    </row>
    <row r="1424" spans="1:3">
      <c r="A1424" s="3">
        <f ca="1">IFERROR(__xludf.UNSUPPORTED("""COMPUTED_VALUE"""),45531.6666666666)</f>
        <v>45531.666666666599</v>
      </c>
      <c r="B1424" s="1">
        <f ca="1">IFERROR(__xludf.UNSUPPORTED("""COMPUTED_VALUE"""),228.03)</f>
        <v>228.03</v>
      </c>
      <c r="C1424" s="2">
        <f t="shared" ca="1" si="5"/>
        <v>3.7415265428294492E-3</v>
      </c>
    </row>
    <row r="1425" spans="1:3">
      <c r="A1425" s="3">
        <f ca="1">IFERROR(__xludf.UNSUPPORTED("""COMPUTED_VALUE"""),45532.6666666666)</f>
        <v>45532.666666666599</v>
      </c>
      <c r="B1425" s="1">
        <f ca="1">IFERROR(__xludf.UNSUPPORTED("""COMPUTED_VALUE"""),226.49)</f>
        <v>226.49</v>
      </c>
      <c r="C1425" s="2">
        <f t="shared" ca="1" si="5"/>
        <v>-6.7534973468402933E-3</v>
      </c>
    </row>
    <row r="1426" spans="1:3">
      <c r="A1426" s="3">
        <f ca="1">IFERROR(__xludf.UNSUPPORTED("""COMPUTED_VALUE"""),45533.6666666666)</f>
        <v>45533.666666666599</v>
      </c>
      <c r="B1426" s="1">
        <f ca="1">IFERROR(__xludf.UNSUPPORTED("""COMPUTED_VALUE"""),229.79)</f>
        <v>229.79</v>
      </c>
      <c r="C1426" s="2">
        <f t="shared" ca="1" si="5"/>
        <v>1.4570179698882878E-2</v>
      </c>
    </row>
    <row r="1427" spans="1:3">
      <c r="A1427" s="3">
        <f ca="1">IFERROR(__xludf.UNSUPPORTED("""COMPUTED_VALUE"""),45534.6666666666)</f>
        <v>45534.666666666599</v>
      </c>
      <c r="B1427" s="1">
        <f ca="1">IFERROR(__xludf.UNSUPPORTED("""COMPUTED_VALUE"""),229)</f>
        <v>229</v>
      </c>
      <c r="C1427" s="2">
        <f t="shared" ca="1" si="5"/>
        <v>-3.4379215805735329E-3</v>
      </c>
    </row>
    <row r="1428" spans="1:3">
      <c r="A1428" s="3">
        <f ca="1">IFERROR(__xludf.UNSUPPORTED("""COMPUTED_VALUE"""),45538.6666666666)</f>
        <v>45538.666666666599</v>
      </c>
      <c r="B1428" s="1">
        <f ca="1">IFERROR(__xludf.UNSUPPORTED("""COMPUTED_VALUE"""),222.77)</f>
        <v>222.77</v>
      </c>
      <c r="C1428" s="2">
        <f t="shared" ca="1" si="5"/>
        <v>-2.7205240174672445E-2</v>
      </c>
    </row>
    <row r="1429" spans="1:3">
      <c r="A1429" s="3">
        <f ca="1">IFERROR(__xludf.UNSUPPORTED("""COMPUTED_VALUE"""),45539.6666666666)</f>
        <v>45539.666666666599</v>
      </c>
      <c r="B1429" s="1">
        <f ca="1">IFERROR(__xludf.UNSUPPORTED("""COMPUTED_VALUE"""),220.85)</f>
        <v>220.85</v>
      </c>
      <c r="C1429" s="2">
        <f t="shared" ca="1" si="5"/>
        <v>-8.6187547694932705E-3</v>
      </c>
    </row>
    <row r="1430" spans="1:3">
      <c r="A1430" s="3">
        <f ca="1">IFERROR(__xludf.UNSUPPORTED("""COMPUTED_VALUE"""),45540.6666666666)</f>
        <v>45540.666666666599</v>
      </c>
      <c r="B1430" s="1">
        <f ca="1">IFERROR(__xludf.UNSUPPORTED("""COMPUTED_VALUE"""),222.38)</f>
        <v>222.38</v>
      </c>
      <c r="C1430" s="2">
        <f t="shared" ca="1" si="5"/>
        <v>6.9277790355444929E-3</v>
      </c>
    </row>
    <row r="1431" spans="1:3">
      <c r="A1431" s="3">
        <f ca="1">IFERROR(__xludf.UNSUPPORTED("""COMPUTED_VALUE"""),45541.6666666666)</f>
        <v>45541.666666666599</v>
      </c>
      <c r="B1431" s="1">
        <f ca="1">IFERROR(__xludf.UNSUPPORTED("""COMPUTED_VALUE"""),220.82)</f>
        <v>220.82</v>
      </c>
      <c r="C1431" s="2">
        <f t="shared" ca="1" si="5"/>
        <v>-7.0150193362712582E-3</v>
      </c>
    </row>
    <row r="1432" spans="1:3">
      <c r="A1432" s="3">
        <f ca="1">IFERROR(__xludf.UNSUPPORTED("""COMPUTED_VALUE"""),45544.6666666666)</f>
        <v>45544.666666666599</v>
      </c>
      <c r="B1432" s="1">
        <f ca="1">IFERROR(__xludf.UNSUPPORTED("""COMPUTED_VALUE"""),220.91)</f>
        <v>220.91</v>
      </c>
      <c r="C1432" s="2">
        <f t="shared" ca="1" si="5"/>
        <v>4.0757177791868223E-4</v>
      </c>
    </row>
    <row r="1433" spans="1:3">
      <c r="A1433" s="3">
        <f ca="1">IFERROR(__xludf.UNSUPPORTED("""COMPUTED_VALUE"""),45545.6666666666)</f>
        <v>45545.666666666599</v>
      </c>
      <c r="B1433" s="1">
        <f ca="1">IFERROR(__xludf.UNSUPPORTED("""COMPUTED_VALUE"""),220.11)</f>
        <v>220.11</v>
      </c>
      <c r="C1433" s="2">
        <f t="shared" ca="1" si="5"/>
        <v>-3.6213842741387122E-3</v>
      </c>
    </row>
    <row r="1434" spans="1:3">
      <c r="A1434" s="3">
        <f ca="1">IFERROR(__xludf.UNSUPPORTED("""COMPUTED_VALUE"""),45546.6666666666)</f>
        <v>45546.666666666599</v>
      </c>
      <c r="B1434" s="1">
        <f ca="1">IFERROR(__xludf.UNSUPPORTED("""COMPUTED_VALUE"""),222.66)</f>
        <v>222.66</v>
      </c>
      <c r="C1434" s="2">
        <f t="shared" ca="1" si="5"/>
        <v>1.1585116532642692E-2</v>
      </c>
    </row>
    <row r="1435" spans="1:3">
      <c r="A1435" s="3">
        <f ca="1">IFERROR(__xludf.UNSUPPORTED("""COMPUTED_VALUE"""),45547.6666666666)</f>
        <v>45547.666666666599</v>
      </c>
      <c r="B1435" s="1">
        <f ca="1">IFERROR(__xludf.UNSUPPORTED("""COMPUTED_VALUE"""),222.77)</f>
        <v>222.77</v>
      </c>
      <c r="C1435" s="2">
        <f t="shared" ca="1" si="5"/>
        <v>4.9402676726854238E-4</v>
      </c>
    </row>
    <row r="1436" spans="1:3">
      <c r="A1436" s="3">
        <f ca="1">IFERROR(__xludf.UNSUPPORTED("""COMPUTED_VALUE"""),45548.6666666666)</f>
        <v>45548.666666666599</v>
      </c>
      <c r="B1436" s="1">
        <f ca="1">IFERROR(__xludf.UNSUPPORTED("""COMPUTED_VALUE"""),222.5)</f>
        <v>222.5</v>
      </c>
      <c r="C1436" s="2">
        <f t="shared" ca="1" si="5"/>
        <v>-1.2120123894600271E-3</v>
      </c>
    </row>
    <row r="1437" spans="1:3">
      <c r="A1437" s="3">
        <f ca="1">IFERROR(__xludf.UNSUPPORTED("""COMPUTED_VALUE"""),45551.6666666666)</f>
        <v>45551.666666666599</v>
      </c>
      <c r="B1437" s="1">
        <f ca="1">IFERROR(__xludf.UNSUPPORTED("""COMPUTED_VALUE"""),216.32)</f>
        <v>216.32</v>
      </c>
      <c r="C1437" s="2">
        <f t="shared" ca="1" si="5"/>
        <v>-2.7775280898876435E-2</v>
      </c>
    </row>
    <row r="1438" spans="1:3">
      <c r="A1438" s="3">
        <f ca="1">IFERROR(__xludf.UNSUPPORTED("""COMPUTED_VALUE"""),45552.6666666666)</f>
        <v>45552.666666666599</v>
      </c>
      <c r="B1438" s="1">
        <f ca="1">IFERROR(__xludf.UNSUPPORTED("""COMPUTED_VALUE"""),216.79)</f>
        <v>216.79</v>
      </c>
      <c r="C1438" s="2">
        <f t="shared" ca="1" si="5"/>
        <v>2.1727071005917106E-3</v>
      </c>
    </row>
    <row r="1439" spans="1:3">
      <c r="A1439" s="3">
        <f ca="1">IFERROR(__xludf.UNSUPPORTED("""COMPUTED_VALUE"""),45553.6666666666)</f>
        <v>45553.666666666599</v>
      </c>
      <c r="B1439" s="1">
        <f ca="1">IFERROR(__xludf.UNSUPPORTED("""COMPUTED_VALUE"""),220.69)</f>
        <v>220.69</v>
      </c>
      <c r="C1439" s="2">
        <f t="shared" ca="1" si="5"/>
        <v>1.7989759675261802E-2</v>
      </c>
    </row>
    <row r="1440" spans="1:3">
      <c r="A1440" s="3">
        <f ca="1">IFERROR(__xludf.UNSUPPORTED("""COMPUTED_VALUE"""),45554.6666666666)</f>
        <v>45554.666666666599</v>
      </c>
      <c r="B1440" s="1">
        <f ca="1">IFERROR(__xludf.UNSUPPORTED("""COMPUTED_VALUE"""),228.87)</f>
        <v>228.87</v>
      </c>
      <c r="C1440" s="2">
        <f t="shared" ca="1" si="5"/>
        <v>3.706556708505146E-2</v>
      </c>
    </row>
    <row r="1441" spans="1:3">
      <c r="A1441" s="3">
        <f ca="1">IFERROR(__xludf.UNSUPPORTED("""COMPUTED_VALUE"""),45555.6666666666)</f>
        <v>45555.666666666599</v>
      </c>
      <c r="B1441" s="1">
        <f ca="1">IFERROR(__xludf.UNSUPPORTED("""COMPUTED_VALUE"""),228.2)</f>
        <v>228.2</v>
      </c>
      <c r="C1441" s="2">
        <f t="shared" ca="1" si="5"/>
        <v>-2.9274260497226196E-3</v>
      </c>
    </row>
    <row r="1442" spans="1:3">
      <c r="A1442" s="3">
        <f ca="1">IFERROR(__xludf.UNSUPPORTED("""COMPUTED_VALUE"""),45558.6666666666)</f>
        <v>45558.666666666599</v>
      </c>
      <c r="B1442" s="1">
        <f ca="1">IFERROR(__xludf.UNSUPPORTED("""COMPUTED_VALUE"""),226.47)</f>
        <v>226.47</v>
      </c>
      <c r="C1442" s="2">
        <f t="shared" ca="1" si="5"/>
        <v>-7.5810692375109104E-3</v>
      </c>
    </row>
    <row r="1443" spans="1:3">
      <c r="A1443" s="3">
        <f ca="1">IFERROR(__xludf.UNSUPPORTED("""COMPUTED_VALUE"""),45559.6666666666)</f>
        <v>45559.666666666599</v>
      </c>
      <c r="B1443" s="1">
        <f ca="1">IFERROR(__xludf.UNSUPPORTED("""COMPUTED_VALUE"""),227.37)</f>
        <v>227.37</v>
      </c>
      <c r="C1443" s="2">
        <f t="shared" ca="1" si="5"/>
        <v>3.9740362961981973E-3</v>
      </c>
    </row>
    <row r="1444" spans="1:3">
      <c r="A1444" s="3">
        <f ca="1">IFERROR(__xludf.UNSUPPORTED("""COMPUTED_VALUE"""),45560.6666666666)</f>
        <v>45560.666666666599</v>
      </c>
      <c r="B1444" s="1">
        <f ca="1">IFERROR(__xludf.UNSUPPORTED("""COMPUTED_VALUE"""),226.37)</f>
        <v>226.37</v>
      </c>
      <c r="C1444" s="2">
        <f t="shared" ca="1" si="5"/>
        <v>-4.3981176056647753E-3</v>
      </c>
    </row>
    <row r="1445" spans="1:3">
      <c r="A1445" s="3">
        <f ca="1">IFERROR(__xludf.UNSUPPORTED("""COMPUTED_VALUE"""),45561.6666666666)</f>
        <v>45561.666666666599</v>
      </c>
      <c r="B1445" s="1">
        <f ca="1">IFERROR(__xludf.UNSUPPORTED("""COMPUTED_VALUE"""),227.52)</f>
        <v>227.52</v>
      </c>
      <c r="C1445" s="2">
        <f t="shared" ca="1" si="5"/>
        <v>5.0801784688784104E-3</v>
      </c>
    </row>
    <row r="1446" spans="1:3">
      <c r="A1446" s="3">
        <f ca="1">IFERROR(__xludf.UNSUPPORTED("""COMPUTED_VALUE"""),45562.6666666666)</f>
        <v>45562.666666666599</v>
      </c>
      <c r="B1446" s="1">
        <f ca="1">IFERROR(__xludf.UNSUPPORTED("""COMPUTED_VALUE"""),227.79)</f>
        <v>227.79</v>
      </c>
      <c r="C1446" s="2">
        <f t="shared" ca="1" si="5"/>
        <v>1.1867088607594137E-3</v>
      </c>
    </row>
    <row r="1447" spans="1:3">
      <c r="A1447" s="3">
        <f ca="1">IFERROR(__xludf.UNSUPPORTED("""COMPUTED_VALUE"""),45565.6666666666)</f>
        <v>45565.666666666599</v>
      </c>
      <c r="B1447" s="1">
        <f ca="1">IFERROR(__xludf.UNSUPPORTED("""COMPUTED_VALUE"""),233)</f>
        <v>233</v>
      </c>
      <c r="C1447" s="2">
        <f t="shared" ca="1" si="5"/>
        <v>2.2871943456692603E-2</v>
      </c>
    </row>
    <row r="1448" spans="1:3">
      <c r="A1448" s="3">
        <f ca="1">IFERROR(__xludf.UNSUPPORTED("""COMPUTED_VALUE"""),45566.6666666666)</f>
        <v>45566.666666666599</v>
      </c>
      <c r="B1448" s="1">
        <f ca="1">IFERROR(__xludf.UNSUPPORTED("""COMPUTED_VALUE"""),226.21)</f>
        <v>226.21</v>
      </c>
      <c r="C1448" s="2">
        <f t="shared" ca="1" si="5"/>
        <v>-2.9141630901287519E-2</v>
      </c>
    </row>
    <row r="1449" spans="1:3">
      <c r="A1449" s="3">
        <f ca="1">IFERROR(__xludf.UNSUPPORTED("""COMPUTED_VALUE"""),45567.6666666666)</f>
        <v>45567.666666666599</v>
      </c>
      <c r="B1449" s="1">
        <f ca="1">IFERROR(__xludf.UNSUPPORTED("""COMPUTED_VALUE"""),226.78)</f>
        <v>226.78</v>
      </c>
      <c r="C1449" s="2">
        <f t="shared" ca="1" si="5"/>
        <v>2.5197825029839227E-3</v>
      </c>
    </row>
    <row r="1450" spans="1:3">
      <c r="A1450" s="3">
        <f ca="1">IFERROR(__xludf.UNSUPPORTED("""COMPUTED_VALUE"""),45568.6666666666)</f>
        <v>45568.666666666599</v>
      </c>
      <c r="B1450" s="1">
        <f ca="1">IFERROR(__xludf.UNSUPPORTED("""COMPUTED_VALUE"""),225.67)</f>
        <v>225.67</v>
      </c>
      <c r="C1450" s="2">
        <f t="shared" ca="1" si="5"/>
        <v>-4.8946115177705869E-3</v>
      </c>
    </row>
    <row r="1451" spans="1:3">
      <c r="A1451" s="3">
        <f ca="1">IFERROR(__xludf.UNSUPPORTED("""COMPUTED_VALUE"""),45569.6666666666)</f>
        <v>45569.666666666599</v>
      </c>
      <c r="B1451" s="1">
        <f ca="1">IFERROR(__xludf.UNSUPPORTED("""COMPUTED_VALUE"""),226.8)</f>
        <v>226.8</v>
      </c>
      <c r="C1451" s="2">
        <f t="shared" ca="1" si="5"/>
        <v>5.0073115611291887E-3</v>
      </c>
    </row>
    <row r="1452" spans="1:3">
      <c r="A1452" s="3">
        <f ca="1">IFERROR(__xludf.UNSUPPORTED("""COMPUTED_VALUE"""),45572.6666666666)</f>
        <v>45572.666666666599</v>
      </c>
      <c r="B1452" s="1">
        <f ca="1">IFERROR(__xludf.UNSUPPORTED("""COMPUTED_VALUE"""),221.69)</f>
        <v>221.69</v>
      </c>
      <c r="C1452" s="2">
        <f t="shared" ca="1" si="5"/>
        <v>-2.2530864197530923E-2</v>
      </c>
    </row>
    <row r="1453" spans="1:3">
      <c r="A1453" s="3">
        <f ca="1">IFERROR(__xludf.UNSUPPORTED("""COMPUTED_VALUE"""),45573.6666666666)</f>
        <v>45573.666666666599</v>
      </c>
      <c r="B1453" s="1">
        <f ca="1">IFERROR(__xludf.UNSUPPORTED("""COMPUTED_VALUE"""),225.77)</f>
        <v>225.77</v>
      </c>
      <c r="C1453" s="2">
        <f t="shared" ca="1" si="5"/>
        <v>1.8404077766250224E-2</v>
      </c>
    </row>
    <row r="1454" spans="1:3">
      <c r="A1454" s="3">
        <f ca="1">IFERROR(__xludf.UNSUPPORTED("""COMPUTED_VALUE"""),45574.6666666666)</f>
        <v>45574.666666666599</v>
      </c>
      <c r="B1454" s="1">
        <f ca="1">IFERROR(__xludf.UNSUPPORTED("""COMPUTED_VALUE"""),229.54)</f>
        <v>229.54</v>
      </c>
      <c r="C1454" s="2">
        <f t="shared" ca="1" si="5"/>
        <v>1.6698409886167258E-2</v>
      </c>
    </row>
    <row r="1455" spans="1:3">
      <c r="A1455" s="3">
        <f ca="1">IFERROR(__xludf.UNSUPPORTED("""COMPUTED_VALUE"""),45575.6666666666)</f>
        <v>45575.666666666599</v>
      </c>
      <c r="B1455" s="1">
        <f ca="1">IFERROR(__xludf.UNSUPPORTED("""COMPUTED_VALUE"""),229.04)</f>
        <v>229.04</v>
      </c>
      <c r="C1455" s="2">
        <f t="shared" ca="1" si="5"/>
        <v>-2.178269582643548E-3</v>
      </c>
    </row>
    <row r="1456" spans="1:3">
      <c r="A1456" s="3">
        <f ca="1">IFERROR(__xludf.UNSUPPORTED("""COMPUTED_VALUE"""),45576.6666666666)</f>
        <v>45576.666666666599</v>
      </c>
      <c r="B1456" s="1">
        <f ca="1">IFERROR(__xludf.UNSUPPORTED("""COMPUTED_VALUE"""),227.55)</f>
        <v>227.55</v>
      </c>
      <c r="C1456" s="2">
        <f t="shared" ca="1" si="5"/>
        <v>-6.5054139015018365E-3</v>
      </c>
    </row>
    <row r="1457" spans="1:3">
      <c r="A1457" s="3">
        <f ca="1">IFERROR(__xludf.UNSUPPORTED("""COMPUTED_VALUE"""),45579.6666666666)</f>
        <v>45579.666666666599</v>
      </c>
      <c r="B1457" s="1">
        <f ca="1">IFERROR(__xludf.UNSUPPORTED("""COMPUTED_VALUE"""),231.3)</f>
        <v>231.3</v>
      </c>
      <c r="C1457" s="2">
        <f t="shared" ca="1" si="5"/>
        <v>1.6479894528675015E-2</v>
      </c>
    </row>
    <row r="1458" spans="1:3">
      <c r="A1458" s="3">
        <f ca="1">IFERROR(__xludf.UNSUPPORTED("""COMPUTED_VALUE"""),45580.6666666666)</f>
        <v>45580.666666666599</v>
      </c>
      <c r="B1458" s="1">
        <f ca="1">IFERROR(__xludf.UNSUPPORTED("""COMPUTED_VALUE"""),233.85)</f>
        <v>233.85</v>
      </c>
      <c r="C1458" s="2">
        <f t="shared" ca="1" si="5"/>
        <v>1.1024643320363091E-2</v>
      </c>
    </row>
    <row r="1459" spans="1:3">
      <c r="A1459" s="3">
        <f ca="1">IFERROR(__xludf.UNSUPPORTED("""COMPUTED_VALUE"""),45581.6666666666)</f>
        <v>45581.666666666599</v>
      </c>
      <c r="B1459" s="1">
        <f ca="1">IFERROR(__xludf.UNSUPPORTED("""COMPUTED_VALUE"""),231.78)</f>
        <v>231.78</v>
      </c>
      <c r="C1459" s="2">
        <f t="shared" ca="1" si="5"/>
        <v>-8.8518280949326199E-3</v>
      </c>
    </row>
    <row r="1460" spans="1:3">
      <c r="A1460" s="3">
        <f ca="1">IFERROR(__xludf.UNSUPPORTED("""COMPUTED_VALUE"""),45582.6666666666)</f>
        <v>45582.666666666599</v>
      </c>
      <c r="B1460" s="1">
        <f ca="1">IFERROR(__xludf.UNSUPPORTED("""COMPUTED_VALUE"""),232.15)</f>
        <v>232.15</v>
      </c>
      <c r="C1460" s="2">
        <f t="shared" ca="1" si="5"/>
        <v>1.5963413581845049E-3</v>
      </c>
    </row>
    <row r="1461" spans="1:3">
      <c r="A1461" s="3">
        <f ca="1">IFERROR(__xludf.UNSUPPORTED("""COMPUTED_VALUE"""),45583.6666666666)</f>
        <v>45583.666666666599</v>
      </c>
      <c r="B1461" s="1">
        <f ca="1">IFERROR(__xludf.UNSUPPORTED("""COMPUTED_VALUE"""),235)</f>
        <v>235</v>
      </c>
      <c r="C1461" s="2">
        <f t="shared" ca="1" si="5"/>
        <v>1.2276545337066527E-2</v>
      </c>
    </row>
    <row r="1462" spans="1:3">
      <c r="A1462" s="3">
        <f ca="1">IFERROR(__xludf.UNSUPPORTED("""COMPUTED_VALUE"""),45586.6666666666)</f>
        <v>45586.666666666599</v>
      </c>
      <c r="B1462" s="1">
        <f ca="1">IFERROR(__xludf.UNSUPPORTED("""COMPUTED_VALUE"""),236.48)</f>
        <v>236.48</v>
      </c>
      <c r="C1462" s="2">
        <f t="shared" ca="1" si="5"/>
        <v>6.2978723404254885E-3</v>
      </c>
    </row>
    <row r="1463" spans="1:3">
      <c r="A1463" s="3">
        <f ca="1">IFERROR(__xludf.UNSUPPORTED("""COMPUTED_VALUE"""),45587.6666666666)</f>
        <v>45587.666666666599</v>
      </c>
      <c r="B1463" s="1">
        <f ca="1">IFERROR(__xludf.UNSUPPORTED("""COMPUTED_VALUE"""),235.86)</f>
        <v>235.86</v>
      </c>
      <c r="C1463" s="2">
        <f t="shared" ca="1" si="5"/>
        <v>-2.6217861975641752E-3</v>
      </c>
    </row>
    <row r="1464" spans="1:3">
      <c r="A1464" s="3">
        <f ca="1">IFERROR(__xludf.UNSUPPORTED("""COMPUTED_VALUE"""),45588.6666666666)</f>
        <v>45588.666666666599</v>
      </c>
      <c r="B1464" s="1">
        <f ca="1">IFERROR(__xludf.UNSUPPORTED("""COMPUTED_VALUE"""),230.76)</f>
        <v>230.76</v>
      </c>
      <c r="C1464" s="2">
        <f t="shared" ca="1" si="5"/>
        <v>-2.1622996692953544E-2</v>
      </c>
    </row>
    <row r="1465" spans="1:3">
      <c r="A1465" s="3">
        <f ca="1">IFERROR(__xludf.UNSUPPORTED("""COMPUTED_VALUE"""),45589.6666666666)</f>
        <v>45589.666666666599</v>
      </c>
      <c r="B1465" s="1">
        <f ca="1">IFERROR(__xludf.UNSUPPORTED("""COMPUTED_VALUE"""),230.57)</f>
        <v>230.57</v>
      </c>
      <c r="C1465" s="2">
        <f t="shared" ca="1" si="5"/>
        <v>-8.2336626798404291E-4</v>
      </c>
    </row>
    <row r="1466" spans="1:3">
      <c r="A1466" s="3">
        <f ca="1">IFERROR(__xludf.UNSUPPORTED("""COMPUTED_VALUE"""),45590.6666666666)</f>
        <v>45590.666666666599</v>
      </c>
      <c r="B1466" s="1">
        <f ca="1">IFERROR(__xludf.UNSUPPORTED("""COMPUTED_VALUE"""),231.41)</f>
        <v>231.41</v>
      </c>
      <c r="C1466" s="2">
        <f t="shared" ca="1" si="5"/>
        <v>3.6431452487314196E-3</v>
      </c>
    </row>
    <row r="1467" spans="1:3">
      <c r="A1467" s="3">
        <f ca="1">IFERROR(__xludf.UNSUPPORTED("""COMPUTED_VALUE"""),45593.6666666666)</f>
        <v>45593.666666666599</v>
      </c>
      <c r="B1467" s="1">
        <f ca="1">IFERROR(__xludf.UNSUPPORTED("""COMPUTED_VALUE"""),233.4)</f>
        <v>233.4</v>
      </c>
      <c r="C1467" s="2">
        <f t="shared" ca="1" si="5"/>
        <v>8.599455511862102E-3</v>
      </c>
    </row>
    <row r="1468" spans="1:3">
      <c r="A1468" s="3">
        <f ca="1">IFERROR(__xludf.UNSUPPORTED("""COMPUTED_VALUE"""),45594.6666666666)</f>
        <v>45594.666666666599</v>
      </c>
      <c r="B1468" s="1">
        <f ca="1">IFERROR(__xludf.UNSUPPORTED("""COMPUTED_VALUE"""),233.67)</f>
        <v>233.67</v>
      </c>
      <c r="C1468" s="2">
        <f t="shared" ca="1" si="5"/>
        <v>1.1568123393315415E-3</v>
      </c>
    </row>
    <row r="1469" spans="1:3">
      <c r="A1469" s="3">
        <f ca="1">IFERROR(__xludf.UNSUPPORTED("""COMPUTED_VALUE"""),45595.6666666666)</f>
        <v>45595.666666666599</v>
      </c>
      <c r="B1469" s="1">
        <f ca="1">IFERROR(__xludf.UNSUPPORTED("""COMPUTED_VALUE"""),230.1)</f>
        <v>230.1</v>
      </c>
      <c r="C1469" s="2">
        <f t="shared" ca="1" si="5"/>
        <v>-1.5277956091924481E-2</v>
      </c>
    </row>
    <row r="1470" spans="1:3">
      <c r="A1470" s="3">
        <f ca="1">IFERROR(__xludf.UNSUPPORTED("""COMPUTED_VALUE"""),45596.6666666666)</f>
        <v>45596.666666666599</v>
      </c>
      <c r="B1470" s="1">
        <f ca="1">IFERROR(__xludf.UNSUPPORTED("""COMPUTED_VALUE"""),225.91)</f>
        <v>225.91</v>
      </c>
      <c r="C1470" s="2">
        <f t="shared" ca="1" si="5"/>
        <v>-1.8209474141677524E-2</v>
      </c>
    </row>
    <row r="1471" spans="1:3">
      <c r="A1471" s="3">
        <f ca="1">IFERROR(__xludf.UNSUPPORTED("""COMPUTED_VALUE"""),45597.6666666666)</f>
        <v>45597.666666666599</v>
      </c>
      <c r="B1471" s="1">
        <f ca="1">IFERROR(__xludf.UNSUPPORTED("""COMPUTED_VALUE"""),222.91)</f>
        <v>222.91</v>
      </c>
      <c r="C1471" s="2">
        <f t="shared" ca="1" si="5"/>
        <v>-1.3279624629277146E-2</v>
      </c>
    </row>
    <row r="1472" spans="1:3">
      <c r="A1472" s="3">
        <f ca="1">IFERROR(__xludf.UNSUPPORTED("""COMPUTED_VALUE"""),45600.6666666666)</f>
        <v>45600.666666666599</v>
      </c>
      <c r="B1472" s="1">
        <f ca="1">IFERROR(__xludf.UNSUPPORTED("""COMPUTED_VALUE"""),222.01)</f>
        <v>222.01</v>
      </c>
      <c r="C1472" s="2">
        <f t="shared" ca="1" si="5"/>
        <v>-4.0375039253510644E-3</v>
      </c>
    </row>
    <row r="1473" spans="1:3">
      <c r="A1473" s="3">
        <f ca="1">IFERROR(__xludf.UNSUPPORTED("""COMPUTED_VALUE"""),45601.6666666666)</f>
        <v>45601.666666666599</v>
      </c>
      <c r="B1473" s="1">
        <f ca="1">IFERROR(__xludf.UNSUPPORTED("""COMPUTED_VALUE"""),223.45)</f>
        <v>223.45</v>
      </c>
      <c r="C1473" s="2">
        <f t="shared" ca="1" si="5"/>
        <v>6.4861943155713605E-3</v>
      </c>
    </row>
    <row r="1474" spans="1:3">
      <c r="A1474" s="3">
        <f ca="1">IFERROR(__xludf.UNSUPPORTED("""COMPUTED_VALUE"""),45602.6666666666)</f>
        <v>45602.666666666599</v>
      </c>
      <c r="B1474" s="1">
        <f ca="1">IFERROR(__xludf.UNSUPPORTED("""COMPUTED_VALUE"""),222.72)</f>
        <v>222.72</v>
      </c>
      <c r="C1474" s="2">
        <f t="shared" ca="1" si="5"/>
        <v>-3.2669501006936221E-3</v>
      </c>
    </row>
    <row r="1475" spans="1:3">
      <c r="A1475" s="3">
        <f ca="1">IFERROR(__xludf.UNSUPPORTED("""COMPUTED_VALUE"""),45603.6666666666)</f>
        <v>45603.666666666599</v>
      </c>
      <c r="B1475" s="1">
        <f ca="1">IFERROR(__xludf.UNSUPPORTED("""COMPUTED_VALUE"""),227.48)</f>
        <v>227.48</v>
      </c>
      <c r="C1475" s="2">
        <f t="shared" ca="1" si="5"/>
        <v>2.1372126436781567E-2</v>
      </c>
    </row>
    <row r="1476" spans="1:3">
      <c r="A1476" s="3">
        <f ca="1">IFERROR(__xludf.UNSUPPORTED("""COMPUTED_VALUE"""),45604.6666666666)</f>
        <v>45604.666666666599</v>
      </c>
      <c r="B1476" s="1">
        <f ca="1">IFERROR(__xludf.UNSUPPORTED("""COMPUTED_VALUE"""),226.96)</f>
        <v>226.96</v>
      </c>
      <c r="C1476" s="2">
        <f t="shared" ca="1" si="5"/>
        <v>-2.2859152452962099E-3</v>
      </c>
    </row>
    <row r="1477" spans="1:3">
      <c r="A1477" s="3">
        <f ca="1">IFERROR(__xludf.UNSUPPORTED("""COMPUTED_VALUE"""),45607.6666666666)</f>
        <v>45607.666666666599</v>
      </c>
      <c r="B1477" s="1">
        <f ca="1">IFERROR(__xludf.UNSUPPORTED("""COMPUTED_VALUE"""),224.23)</f>
        <v>224.23</v>
      </c>
      <c r="C1477" s="2">
        <f t="shared" ca="1" si="5"/>
        <v>-1.2028551286570401E-2</v>
      </c>
    </row>
    <row r="1478" spans="1:3">
      <c r="A1478" s="3">
        <f ca="1">IFERROR(__xludf.UNSUPPORTED("""COMPUTED_VALUE"""),45608.6666666666)</f>
        <v>45608.666666666599</v>
      </c>
      <c r="B1478" s="1">
        <f ca="1">IFERROR(__xludf.UNSUPPORTED("""COMPUTED_VALUE"""),224.23)</f>
        <v>224.23</v>
      </c>
      <c r="C1478" s="2">
        <f t="shared" ca="1" si="5"/>
        <v>0</v>
      </c>
    </row>
    <row r="1479" spans="1:3">
      <c r="A1479" s="3">
        <f ca="1">IFERROR(__xludf.UNSUPPORTED("""COMPUTED_VALUE"""),45609.6666666666)</f>
        <v>45609.666666666599</v>
      </c>
      <c r="B1479" s="1">
        <f ca="1">IFERROR(__xludf.UNSUPPORTED("""COMPUTED_VALUE"""),225.12)</f>
        <v>225.12</v>
      </c>
      <c r="C1479" s="2">
        <f t="shared" ca="1" si="5"/>
        <v>3.9691388306650087E-3</v>
      </c>
    </row>
    <row r="1480" spans="1:3">
      <c r="A1480" s="3">
        <f ca="1">IFERROR(__xludf.UNSUPPORTED("""COMPUTED_VALUE"""),45610.6666666666)</f>
        <v>45610.666666666599</v>
      </c>
      <c r="B1480" s="1">
        <f ca="1">IFERROR(__xludf.UNSUPPORTED("""COMPUTED_VALUE"""),228.22)</f>
        <v>228.22</v>
      </c>
      <c r="C1480" s="2">
        <f t="shared" ca="1" si="5"/>
        <v>1.3770433546552925E-2</v>
      </c>
    </row>
    <row r="1481" spans="1:3">
      <c r="A1481" s="3">
        <f ca="1">IFERROR(__xludf.UNSUPPORTED("""COMPUTED_VALUE"""),45611.6666666666)</f>
        <v>45611.666666666599</v>
      </c>
      <c r="B1481" s="1">
        <f ca="1">IFERROR(__xludf.UNSUPPORTED("""COMPUTED_VALUE"""),225)</f>
        <v>225</v>
      </c>
      <c r="C1481" s="2">
        <f t="shared" ca="1" si="5"/>
        <v>-1.4109192884059237E-2</v>
      </c>
    </row>
    <row r="1482" spans="1:3">
      <c r="A1482" s="3">
        <f ca="1">IFERROR(__xludf.UNSUPPORTED("""COMPUTED_VALUE"""),45614.6666666666)</f>
        <v>45614.666666666599</v>
      </c>
      <c r="B1482" s="1">
        <f ca="1">IFERROR(__xludf.UNSUPPORTED("""COMPUTED_VALUE"""),228.02)</f>
        <v>228.02</v>
      </c>
      <c r="C1482" s="2">
        <f t="shared" ca="1" si="5"/>
        <v>1.3422222222222268E-2</v>
      </c>
    </row>
    <row r="1483" spans="1:3">
      <c r="A1483" s="3">
        <f ca="1">IFERROR(__xludf.UNSUPPORTED("""COMPUTED_VALUE"""),45615.6666666666)</f>
        <v>45615.666666666599</v>
      </c>
      <c r="B1483" s="1">
        <f ca="1">IFERROR(__xludf.UNSUPPORTED("""COMPUTED_VALUE"""),228.28)</f>
        <v>228.28</v>
      </c>
      <c r="C1483" s="2">
        <f t="shared" ca="1" si="5"/>
        <v>1.1402508551881015E-3</v>
      </c>
    </row>
    <row r="1484" spans="1:3">
      <c r="A1484" s="3">
        <f ca="1">IFERROR(__xludf.UNSUPPORTED("""COMPUTED_VALUE"""),45616.6666666666)</f>
        <v>45616.666666666599</v>
      </c>
      <c r="B1484" s="1">
        <f ca="1">IFERROR(__xludf.UNSUPPORTED("""COMPUTED_VALUE"""),229)</f>
        <v>229</v>
      </c>
      <c r="C1484" s="2">
        <f t="shared" ca="1" si="5"/>
        <v>3.1540213772559963E-3</v>
      </c>
    </row>
    <row r="1485" spans="1:3">
      <c r="A1485" s="3">
        <f ca="1">IFERROR(__xludf.UNSUPPORTED("""COMPUTED_VALUE"""),45617.6666666666)</f>
        <v>45617.666666666599</v>
      </c>
      <c r="B1485" s="1">
        <f ca="1">IFERROR(__xludf.UNSUPPORTED("""COMPUTED_VALUE"""),228.52)</f>
        <v>228.52</v>
      </c>
      <c r="C1485" s="2">
        <f t="shared" ca="1" si="5"/>
        <v>-2.0960698689955885E-3</v>
      </c>
    </row>
    <row r="1486" spans="1:3">
      <c r="A1486" s="3">
        <f ca="1">IFERROR(__xludf.UNSUPPORTED("""COMPUTED_VALUE"""),45618.6666666666)</f>
        <v>45618.666666666599</v>
      </c>
      <c r="B1486" s="1">
        <f ca="1">IFERROR(__xludf.UNSUPPORTED("""COMPUTED_VALUE"""),229.87)</f>
        <v>229.87</v>
      </c>
      <c r="C1486" s="2">
        <f t="shared" ca="1" si="5"/>
        <v>5.907579205321172E-3</v>
      </c>
    </row>
    <row r="1487" spans="1:3">
      <c r="A1487" s="3">
        <f ca="1">IFERROR(__xludf.UNSUPPORTED("""COMPUTED_VALUE"""),45621.6666666666)</f>
        <v>45621.666666666599</v>
      </c>
      <c r="B1487" s="1">
        <f ca="1">IFERROR(__xludf.UNSUPPORTED("""COMPUTED_VALUE"""),232.87)</f>
        <v>232.87</v>
      </c>
      <c r="C1487" s="2">
        <f t="shared" ca="1" si="5"/>
        <v>1.3050854830991429E-2</v>
      </c>
    </row>
    <row r="1488" spans="1:3">
      <c r="A1488" s="3">
        <f ca="1">IFERROR(__xludf.UNSUPPORTED("""COMPUTED_VALUE"""),45622.6666666666)</f>
        <v>45622.666666666599</v>
      </c>
      <c r="B1488" s="1">
        <f ca="1">IFERROR(__xludf.UNSUPPORTED("""COMPUTED_VALUE"""),235.06)</f>
        <v>235.06</v>
      </c>
      <c r="C1488" s="2">
        <f t="shared" ca="1" si="5"/>
        <v>9.4043887147335324E-3</v>
      </c>
    </row>
    <row r="1489" spans="1:3">
      <c r="A1489" s="3">
        <f ca="1">IFERROR(__xludf.UNSUPPORTED("""COMPUTED_VALUE"""),45623.6666666666)</f>
        <v>45623.666666666599</v>
      </c>
      <c r="B1489" s="1">
        <f ca="1">IFERROR(__xludf.UNSUPPORTED("""COMPUTED_VALUE"""),234.93)</f>
        <v>234.93</v>
      </c>
      <c r="C1489" s="2">
        <f t="shared" ca="1" si="5"/>
        <v>-5.530502850335891E-4</v>
      </c>
    </row>
    <row r="1490" spans="1:3">
      <c r="A1490" s="3">
        <f ca="1">IFERROR(__xludf.UNSUPPORTED("""COMPUTED_VALUE"""),45625.5451388888)</f>
        <v>45625.545138888803</v>
      </c>
      <c r="B1490" s="1">
        <f ca="1">IFERROR(__xludf.UNSUPPORTED("""COMPUTED_VALUE"""),237.33)</f>
        <v>237.33</v>
      </c>
      <c r="C1490" s="2">
        <f t="shared" ca="1" si="5"/>
        <v>1.0215808964372391E-2</v>
      </c>
    </row>
    <row r="1491" spans="1:3">
      <c r="A1491" s="3">
        <f ca="1">IFERROR(__xludf.UNSUPPORTED("""COMPUTED_VALUE"""),45628.6666666666)</f>
        <v>45628.666666666599</v>
      </c>
      <c r="B1491" s="1">
        <f ca="1">IFERROR(__xludf.UNSUPPORTED("""COMPUTED_VALUE"""),239.59)</f>
        <v>239.59</v>
      </c>
      <c r="C1491" s="2">
        <f t="shared" ca="1" si="5"/>
        <v>9.5226056545737615E-3</v>
      </c>
    </row>
    <row r="1492" spans="1:3">
      <c r="A1492" s="3">
        <f ca="1">IFERROR(__xludf.UNSUPPORTED("""COMPUTED_VALUE"""),45629.6666666666)</f>
        <v>45629.666666666599</v>
      </c>
      <c r="B1492" s="1">
        <f ca="1">IFERROR(__xludf.UNSUPPORTED("""COMPUTED_VALUE"""),242.65)</f>
        <v>242.65</v>
      </c>
      <c r="C1492" s="2">
        <f t="shared" ca="1" si="5"/>
        <v>1.2771818523310665E-2</v>
      </c>
    </row>
    <row r="1493" spans="1:3">
      <c r="A1493" s="3">
        <f ca="1">IFERROR(__xludf.UNSUPPORTED("""COMPUTED_VALUE"""),45630.6666666666)</f>
        <v>45630.666666666599</v>
      </c>
      <c r="B1493" s="1">
        <f ca="1">IFERROR(__xludf.UNSUPPORTED("""COMPUTED_VALUE"""),243.01)</f>
        <v>243.01</v>
      </c>
      <c r="C1493" s="2">
        <f t="shared" ca="1" si="5"/>
        <v>1.4836183803832071E-3</v>
      </c>
    </row>
    <row r="1494" spans="1:3">
      <c r="A1494" s="3">
        <f ca="1">IFERROR(__xludf.UNSUPPORTED("""COMPUTED_VALUE"""),45631.6666666666)</f>
        <v>45631.666666666599</v>
      </c>
      <c r="B1494" s="1">
        <f ca="1">IFERROR(__xludf.UNSUPPORTED("""COMPUTED_VALUE"""),243.04)</f>
        <v>243.04</v>
      </c>
      <c r="C1494" s="2">
        <f t="shared" ca="1" si="5"/>
        <v>1.2345170980618549E-4</v>
      </c>
    </row>
    <row r="1495" spans="1:3">
      <c r="A1495" s="3">
        <f ca="1">IFERROR(__xludf.UNSUPPORTED("""COMPUTED_VALUE"""),45632.6666666666)</f>
        <v>45632.666666666599</v>
      </c>
      <c r="B1495" s="1">
        <f ca="1">IFERROR(__xludf.UNSUPPORTED("""COMPUTED_VALUE"""),242.84)</f>
        <v>242.84</v>
      </c>
      <c r="C1495" s="2">
        <f t="shared" ca="1" si="5"/>
        <v>-8.2290980908487758E-4</v>
      </c>
    </row>
    <row r="1496" spans="1:3">
      <c r="A1496" s="3">
        <f ca="1">IFERROR(__xludf.UNSUPPORTED("""COMPUTED_VALUE"""),45635.6666666666)</f>
        <v>45635.666666666599</v>
      </c>
      <c r="B1496" s="1">
        <f ca="1">IFERROR(__xludf.UNSUPPORTED("""COMPUTED_VALUE"""),246.75)</f>
        <v>246.75</v>
      </c>
      <c r="C1496" s="2">
        <f t="shared" ca="1" si="5"/>
        <v>1.6101136550815336E-2</v>
      </c>
    </row>
    <row r="1497" spans="1:3">
      <c r="A1497" s="3">
        <f ca="1">IFERROR(__xludf.UNSUPPORTED("""COMPUTED_VALUE"""),45636.6666666666)</f>
        <v>45636.666666666599</v>
      </c>
      <c r="B1497" s="1">
        <f ca="1">IFERROR(__xludf.UNSUPPORTED("""COMPUTED_VALUE"""),247.77)</f>
        <v>247.77</v>
      </c>
      <c r="C1497" s="2">
        <f t="shared" ca="1" si="5"/>
        <v>4.1337386018237493E-3</v>
      </c>
    </row>
    <row r="1498" spans="1:3">
      <c r="A1498" s="3">
        <f ca="1">IFERROR(__xludf.UNSUPPORTED("""COMPUTED_VALUE"""),45637.6666666666)</f>
        <v>45637.666666666599</v>
      </c>
      <c r="B1498" s="1">
        <f ca="1">IFERROR(__xludf.UNSUPPORTED("""COMPUTED_VALUE"""),246.49)</f>
        <v>246.49</v>
      </c>
      <c r="C1498" s="2">
        <f t="shared" ca="1" si="5"/>
        <v>-5.166081446502809E-3</v>
      </c>
    </row>
    <row r="1499" spans="1:3">
      <c r="A1499" s="3">
        <f ca="1">IFERROR(__xludf.UNSUPPORTED("""COMPUTED_VALUE"""),45638.6666666666)</f>
        <v>45638.666666666599</v>
      </c>
      <c r="B1499" s="1">
        <f ca="1">IFERROR(__xludf.UNSUPPORTED("""COMPUTED_VALUE"""),247.96)</f>
        <v>247.96</v>
      </c>
      <c r="C1499" s="2">
        <f t="shared" ca="1" si="5"/>
        <v>5.9637307801533486E-3</v>
      </c>
    </row>
    <row r="1500" spans="1:3">
      <c r="A1500" s="3">
        <f ca="1">IFERROR(__xludf.UNSUPPORTED("""COMPUTED_VALUE"""),45639.6666666666)</f>
        <v>45639.666666666599</v>
      </c>
      <c r="B1500" s="1">
        <f ca="1">IFERROR(__xludf.UNSUPPORTED("""COMPUTED_VALUE"""),248.13)</f>
        <v>248.13</v>
      </c>
      <c r="C1500" s="2">
        <f t="shared" ca="1" si="5"/>
        <v>6.8559445071780724E-4</v>
      </c>
    </row>
    <row r="1501" spans="1:3">
      <c r="A1501" s="3">
        <f ca="1">IFERROR(__xludf.UNSUPPORTED("""COMPUTED_VALUE"""),45642.6666666666)</f>
        <v>45642.666666666599</v>
      </c>
      <c r="B1501" s="1">
        <f ca="1">IFERROR(__xludf.UNSUPPORTED("""COMPUTED_VALUE"""),251.04)</f>
        <v>251.04</v>
      </c>
      <c r="C1501" s="2">
        <f t="shared" ca="1" si="5"/>
        <v>1.1727723370813672E-2</v>
      </c>
    </row>
    <row r="1502" spans="1:3">
      <c r="A1502" s="3">
        <f ca="1">IFERROR(__xludf.UNSUPPORTED("""COMPUTED_VALUE"""),45643.6666666666)</f>
        <v>45643.666666666599</v>
      </c>
      <c r="B1502" s="1">
        <f ca="1">IFERROR(__xludf.UNSUPPORTED("""COMPUTED_VALUE"""),253.48)</f>
        <v>253.48</v>
      </c>
      <c r="C1502" s="2">
        <f t="shared" ca="1" si="5"/>
        <v>9.7195666029317954E-3</v>
      </c>
    </row>
    <row r="1503" spans="1:3">
      <c r="A1503" s="3">
        <f ca="1">IFERROR(__xludf.UNSUPPORTED("""COMPUTED_VALUE"""),45644.6666666666)</f>
        <v>45644.666666666599</v>
      </c>
      <c r="B1503" s="1">
        <f ca="1">IFERROR(__xludf.UNSUPPORTED("""COMPUTED_VALUE"""),248.05)</f>
        <v>248.05</v>
      </c>
      <c r="C1503" s="2">
        <f t="shared" ca="1" si="5"/>
        <v>-2.1421808426700249E-2</v>
      </c>
    </row>
    <row r="1504" spans="1:3">
      <c r="A1504" s="3">
        <f ca="1">IFERROR(__xludf.UNSUPPORTED("""COMPUTED_VALUE"""),45645.6666666666)</f>
        <v>45645.666666666599</v>
      </c>
      <c r="B1504" s="1">
        <f ca="1">IFERROR(__xludf.UNSUPPORTED("""COMPUTED_VALUE"""),249.79)</f>
        <v>249.79</v>
      </c>
      <c r="C1504" s="2">
        <f t="shared" ca="1" si="5"/>
        <v>7.0147147752468476E-3</v>
      </c>
    </row>
    <row r="1505" spans="1:3">
      <c r="A1505" s="3">
        <f ca="1">IFERROR(__xludf.UNSUPPORTED("""COMPUTED_VALUE"""),45646.6666666666)</f>
        <v>45646.666666666599</v>
      </c>
      <c r="B1505" s="1">
        <f ca="1">IFERROR(__xludf.UNSUPPORTED("""COMPUTED_VALUE"""),254.49)</f>
        <v>254.49</v>
      </c>
      <c r="C1505" s="2">
        <f t="shared" ca="1" si="5"/>
        <v>1.8815805276432271E-2</v>
      </c>
    </row>
    <row r="1506" spans="1:3">
      <c r="A1506" s="3">
        <f ca="1">IFERROR(__xludf.UNSUPPORTED("""COMPUTED_VALUE"""),45649.6666666666)</f>
        <v>45649.666666666599</v>
      </c>
      <c r="B1506" s="1">
        <f ca="1">IFERROR(__xludf.UNSUPPORTED("""COMPUTED_VALUE"""),255.27)</f>
        <v>255.27</v>
      </c>
      <c r="C1506" s="2">
        <f t="shared" ca="1" si="5"/>
        <v>3.0649534362843377E-3</v>
      </c>
    </row>
    <row r="1507" spans="1:3">
      <c r="A1507" s="3">
        <f ca="1">IFERROR(__xludf.UNSUPPORTED("""COMPUTED_VALUE"""),45650.5451388888)</f>
        <v>45650.545138888803</v>
      </c>
      <c r="B1507" s="1">
        <f ca="1">IFERROR(__xludf.UNSUPPORTED("""COMPUTED_VALUE"""),258.2)</f>
        <v>258.2</v>
      </c>
      <c r="C1507" s="2">
        <f t="shared" ca="1" si="5"/>
        <v>1.147804285658314E-2</v>
      </c>
    </row>
    <row r="1508" spans="1:3">
      <c r="A1508" s="3">
        <f ca="1">IFERROR(__xludf.UNSUPPORTED("""COMPUTED_VALUE"""),45652.6666666666)</f>
        <v>45652.666666666599</v>
      </c>
      <c r="B1508" s="1">
        <f ca="1">IFERROR(__xludf.UNSUPPORTED("""COMPUTED_VALUE"""),259.02)</f>
        <v>259.02</v>
      </c>
      <c r="C1508" s="2">
        <f t="shared" ca="1" si="5"/>
        <v>3.1758326878388583E-3</v>
      </c>
    </row>
    <row r="1509" spans="1:3">
      <c r="A1509" s="3">
        <f ca="1">IFERROR(__xludf.UNSUPPORTED("""COMPUTED_VALUE"""),45653.6666666666)</f>
        <v>45653.666666666599</v>
      </c>
      <c r="B1509" s="1">
        <f ca="1">IFERROR(__xludf.UNSUPPORTED("""COMPUTED_VALUE"""),255.59)</f>
        <v>255.59</v>
      </c>
      <c r="C1509" s="2">
        <f t="shared" ca="1" si="5"/>
        <v>-1.3242220677939846E-2</v>
      </c>
    </row>
    <row r="1510" spans="1:3">
      <c r="A1510" s="3">
        <f ca="1">IFERROR(__xludf.UNSUPPORTED("""COMPUTED_VALUE"""),45656.6666666666)</f>
        <v>45656.666666666599</v>
      </c>
      <c r="B1510" s="1">
        <f ca="1">IFERROR(__xludf.UNSUPPORTED("""COMPUTED_VALUE"""),252.2)</f>
        <v>252.2</v>
      </c>
      <c r="C1510" s="2">
        <f t="shared" ca="1" si="5"/>
        <v>-1.3263429711647618E-2</v>
      </c>
    </row>
    <row r="1511" spans="1:3">
      <c r="A1511" s="3">
        <f ca="1">IFERROR(__xludf.UNSUPPORTED("""COMPUTED_VALUE"""),45657.6666666666)</f>
        <v>45657.666666666599</v>
      </c>
      <c r="B1511" s="1">
        <f ca="1">IFERROR(__xludf.UNSUPPORTED("""COMPUTED_VALUE"""),250.42)</f>
        <v>250.42</v>
      </c>
      <c r="C1511" s="2">
        <f t="shared" ca="1" si="5"/>
        <v>-7.0578905630452066E-3</v>
      </c>
    </row>
    <row r="1512" spans="1:3">
      <c r="A1512" s="3">
        <f ca="1">IFERROR(__xludf.UNSUPPORTED("""COMPUTED_VALUE"""),45659.6666666666)</f>
        <v>45659.666666666599</v>
      </c>
      <c r="B1512" s="1">
        <f ca="1">IFERROR(__xludf.UNSUPPORTED("""COMPUTED_VALUE"""),243.85)</f>
        <v>243.85</v>
      </c>
      <c r="C1512" s="2">
        <f t="shared" ca="1" si="5"/>
        <v>-2.6235923648270879E-2</v>
      </c>
    </row>
    <row r="1513" spans="1:3">
      <c r="A1513" s="3">
        <f ca="1">IFERROR(__xludf.UNSUPPORTED("""COMPUTED_VALUE"""),45660.6666666666)</f>
        <v>45660.666666666599</v>
      </c>
      <c r="B1513" s="1">
        <f ca="1">IFERROR(__xludf.UNSUPPORTED("""COMPUTED_VALUE"""),243.36)</f>
        <v>243.36</v>
      </c>
      <c r="C1513" s="2">
        <f t="shared" ca="1" si="5"/>
        <v>-2.0094320278859165E-3</v>
      </c>
    </row>
    <row r="1514" spans="1:3">
      <c r="A1514" s="3">
        <f ca="1">IFERROR(__xludf.UNSUPPORTED("""COMPUTED_VALUE"""),45663.6666666666)</f>
        <v>45663.666666666599</v>
      </c>
      <c r="B1514" s="1">
        <f ca="1">IFERROR(__xludf.UNSUPPORTED("""COMPUTED_VALUE"""),245)</f>
        <v>245</v>
      </c>
      <c r="C1514" s="2">
        <f t="shared" ca="1" si="5"/>
        <v>6.7389875082182211E-3</v>
      </c>
    </row>
    <row r="1515" spans="1:3">
      <c r="A1515" s="3">
        <f ca="1">IFERROR(__xludf.UNSUPPORTED("""COMPUTED_VALUE"""),45664.6666666666)</f>
        <v>45664.666666666599</v>
      </c>
      <c r="B1515" s="1">
        <f ca="1">IFERROR(__xludf.UNSUPPORTED("""COMPUTED_VALUE"""),242.21)</f>
        <v>242.21</v>
      </c>
      <c r="C1515" s="2">
        <f t="shared" ca="1" si="5"/>
        <v>-1.1387755102040783E-2</v>
      </c>
    </row>
    <row r="1516" spans="1:3">
      <c r="A1516" s="3">
        <f ca="1">IFERROR(__xludf.UNSUPPORTED("""COMPUTED_VALUE"""),45665.6666666666)</f>
        <v>45665.666666666599</v>
      </c>
      <c r="B1516" s="1">
        <f ca="1">IFERROR(__xludf.UNSUPPORTED("""COMPUTED_VALUE"""),242.7)</f>
        <v>242.7</v>
      </c>
      <c r="C1516" s="2">
        <f t="shared" ca="1" si="5"/>
        <v>2.0230378597084374E-3</v>
      </c>
    </row>
    <row r="1517" spans="1:3">
      <c r="A1517" s="3">
        <f ca="1">IFERROR(__xludf.UNSUPPORTED("""COMPUTED_VALUE"""),45667.6666666666)</f>
        <v>45667.666666666599</v>
      </c>
      <c r="B1517" s="1">
        <f ca="1">IFERROR(__xludf.UNSUPPORTED("""COMPUTED_VALUE"""),236.85)</f>
        <v>236.85</v>
      </c>
      <c r="C1517" s="2">
        <f t="shared" ca="1" si="5"/>
        <v>-2.4103831891223712E-2</v>
      </c>
    </row>
    <row r="1518" spans="1:3">
      <c r="A1518" s="3">
        <f ca="1">IFERROR(__xludf.UNSUPPORTED("""COMPUTED_VALUE"""),45670.6666666666)</f>
        <v>45670.666666666599</v>
      </c>
      <c r="B1518" s="1">
        <f ca="1">IFERROR(__xludf.UNSUPPORTED("""COMPUTED_VALUE"""),234.4)</f>
        <v>234.4</v>
      </c>
      <c r="C1518" s="2">
        <f t="shared" ca="1" si="5"/>
        <v>-1.0344099641123025E-2</v>
      </c>
    </row>
    <row r="1519" spans="1:3">
      <c r="A1519" s="3">
        <f ca="1">IFERROR(__xludf.UNSUPPORTED("""COMPUTED_VALUE"""),45671.6666666666)</f>
        <v>45671.666666666599</v>
      </c>
      <c r="B1519" s="1">
        <f ca="1">IFERROR(__xludf.UNSUPPORTED("""COMPUTED_VALUE"""),233.28)</f>
        <v>233.28</v>
      </c>
      <c r="C1519" s="2">
        <f t="shared" ca="1" si="5"/>
        <v>-4.7781569965870503E-3</v>
      </c>
    </row>
    <row r="1520" spans="1:3">
      <c r="A1520" s="3">
        <f ca="1">IFERROR(__xludf.UNSUPPORTED("""COMPUTED_VALUE"""),45672.6666666666)</f>
        <v>45672.666666666599</v>
      </c>
      <c r="B1520" s="1">
        <f ca="1">IFERROR(__xludf.UNSUPPORTED("""COMPUTED_VALUE"""),237.87)</f>
        <v>237.87</v>
      </c>
      <c r="C1520" s="2">
        <f t="shared" ca="1" si="5"/>
        <v>1.967592592592594E-2</v>
      </c>
    </row>
    <row r="1521" spans="1:3">
      <c r="A1521" s="3">
        <f ca="1">IFERROR(__xludf.UNSUPPORTED("""COMPUTED_VALUE"""),45673.6666666666)</f>
        <v>45673.666666666599</v>
      </c>
      <c r="B1521" s="1">
        <f ca="1">IFERROR(__xludf.UNSUPPORTED("""COMPUTED_VALUE"""),228.26)</f>
        <v>228.26</v>
      </c>
      <c r="C1521" s="2">
        <f t="shared" ca="1" si="5"/>
        <v>-4.0400218606802089E-2</v>
      </c>
    </row>
    <row r="1522" spans="1:3">
      <c r="A1522" s="3">
        <f ca="1">IFERROR(__xludf.UNSUPPORTED("""COMPUTED_VALUE"""),45674.6666666666)</f>
        <v>45674.666666666599</v>
      </c>
      <c r="B1522" s="1">
        <f ca="1">IFERROR(__xludf.UNSUPPORTED("""COMPUTED_VALUE"""),229.98)</f>
        <v>229.98</v>
      </c>
      <c r="C1522" s="2">
        <f t="shared" ca="1" si="5"/>
        <v>7.5352668010163805E-3</v>
      </c>
    </row>
    <row r="1523" spans="1:3">
      <c r="A1523" s="3">
        <f ca="1">IFERROR(__xludf.UNSUPPORTED("""COMPUTED_VALUE"""),45678.6666666666)</f>
        <v>45678.666666666599</v>
      </c>
      <c r="B1523" s="1">
        <f ca="1">IFERROR(__xludf.UNSUPPORTED("""COMPUTED_VALUE"""),222.64)</f>
        <v>222.64</v>
      </c>
      <c r="C1523" s="2">
        <f t="shared" ca="1" si="5"/>
        <v>-3.1915818766849305E-2</v>
      </c>
    </row>
    <row r="1524" spans="1:3">
      <c r="A1524" s="3">
        <f ca="1">IFERROR(__xludf.UNSUPPORTED("""COMPUTED_VALUE"""),45679.6666666666)</f>
        <v>45679.666666666599</v>
      </c>
      <c r="B1524" s="1">
        <f ca="1">IFERROR(__xludf.UNSUPPORTED("""COMPUTED_VALUE"""),223.83)</f>
        <v>223.83</v>
      </c>
      <c r="C1524" s="2">
        <f t="shared" ca="1" si="5"/>
        <v>5.3449514911966681E-3</v>
      </c>
    </row>
    <row r="1525" spans="1:3">
      <c r="A1525" s="3">
        <f ca="1">IFERROR(__xludf.UNSUPPORTED("""COMPUTED_VALUE"""),45680.6666666666)</f>
        <v>45680.666666666599</v>
      </c>
      <c r="B1525" s="1">
        <f ca="1">IFERROR(__xludf.UNSUPPORTED("""COMPUTED_VALUE"""),223.66)</f>
        <v>223.66</v>
      </c>
      <c r="C1525" s="2">
        <f t="shared" ca="1" si="5"/>
        <v>-7.5950498145921418E-4</v>
      </c>
    </row>
    <row r="1526" spans="1:3">
      <c r="A1526" s="3">
        <f ca="1">IFERROR(__xludf.UNSUPPORTED("""COMPUTED_VALUE"""),45681.6666666666)</f>
        <v>45681.666666666599</v>
      </c>
      <c r="B1526" s="1">
        <f ca="1">IFERROR(__xludf.UNSUPPORTED("""COMPUTED_VALUE"""),222.78)</f>
        <v>222.78</v>
      </c>
      <c r="C1526" s="2">
        <f t="shared" ca="1" si="5"/>
        <v>-3.934543503532127E-3</v>
      </c>
    </row>
    <row r="1527" spans="1:3">
      <c r="A1527" s="3">
        <f ca="1">IFERROR(__xludf.UNSUPPORTED("""COMPUTED_VALUE"""),45684.6666666666)</f>
        <v>45684.666666666599</v>
      </c>
      <c r="B1527" s="1">
        <f ca="1">IFERROR(__xludf.UNSUPPORTED("""COMPUTED_VALUE"""),229.86)</f>
        <v>229.86</v>
      </c>
      <c r="C1527" s="2">
        <f t="shared" ca="1" si="5"/>
        <v>3.1780231618637279E-2</v>
      </c>
    </row>
    <row r="1528" spans="1:3">
      <c r="A1528" s="3">
        <f ca="1">IFERROR(__xludf.UNSUPPORTED("""COMPUTED_VALUE"""),45685.6666666666)</f>
        <v>45685.666666666599</v>
      </c>
      <c r="B1528" s="1">
        <f ca="1">IFERROR(__xludf.UNSUPPORTED("""COMPUTED_VALUE"""),238.26)</f>
        <v>238.26</v>
      </c>
      <c r="C1528" s="2">
        <f t="shared" ca="1" si="5"/>
        <v>3.6543983294178961E-2</v>
      </c>
    </row>
    <row r="1529" spans="1:3">
      <c r="A1529" s="3">
        <f ca="1">IFERROR(__xludf.UNSUPPORTED("""COMPUTED_VALUE"""),45686.6666666666)</f>
        <v>45686.666666666599</v>
      </c>
      <c r="B1529" s="1">
        <f ca="1">IFERROR(__xludf.UNSUPPORTED("""COMPUTED_VALUE"""),239.36)</f>
        <v>239.36</v>
      </c>
      <c r="C1529" s="2">
        <f t="shared" ca="1" si="5"/>
        <v>4.6168051708218869E-3</v>
      </c>
    </row>
    <row r="1530" spans="1:3">
      <c r="A1530" s="3">
        <f ca="1">IFERROR(__xludf.UNSUPPORTED("""COMPUTED_VALUE"""),45687.6666666666)</f>
        <v>45687.666666666599</v>
      </c>
      <c r="B1530" s="1">
        <f ca="1">IFERROR(__xludf.UNSUPPORTED("""COMPUTED_VALUE"""),237.59)</f>
        <v>237.59</v>
      </c>
      <c r="C1530" s="2">
        <f t="shared" ca="1" si="5"/>
        <v>-7.394719251336941E-3</v>
      </c>
    </row>
    <row r="1531" spans="1:3">
      <c r="A1531" s="3">
        <f ca="1">IFERROR(__xludf.UNSUPPORTED("""COMPUTED_VALUE"""),45688.6666666666)</f>
        <v>45688.666666666599</v>
      </c>
      <c r="B1531" s="1">
        <f ca="1">IFERROR(__xludf.UNSUPPORTED("""COMPUTED_VALUE"""),236)</f>
        <v>236</v>
      </c>
      <c r="C1531" s="2">
        <f t="shared" ca="1" si="5"/>
        <v>-6.6922008502041472E-3</v>
      </c>
    </row>
    <row r="1532" spans="1:3">
      <c r="A1532" s="3">
        <f ca="1">IFERROR(__xludf.UNSUPPORTED("""COMPUTED_VALUE"""),45691.6666666666)</f>
        <v>45691.666666666599</v>
      </c>
      <c r="B1532" s="1">
        <f ca="1">IFERROR(__xludf.UNSUPPORTED("""COMPUTED_VALUE"""),228.01)</f>
        <v>228.01</v>
      </c>
      <c r="C1532" s="2">
        <f t="shared" ca="1" si="5"/>
        <v>-3.3855932203389866E-2</v>
      </c>
    </row>
    <row r="1533" spans="1:3">
      <c r="A1533" s="3">
        <f ca="1">IFERROR(__xludf.UNSUPPORTED("""COMPUTED_VALUE"""),45692.6666666666)</f>
        <v>45692.666666666599</v>
      </c>
      <c r="B1533" s="1">
        <f ca="1">IFERROR(__xludf.UNSUPPORTED("""COMPUTED_VALUE"""),232.8)</f>
        <v>232.8</v>
      </c>
      <c r="C1533" s="2">
        <f t="shared" ref="C1533:C1775" ca="1" si="6">(B1533-B1532)/B1532</f>
        <v>2.1007850532871457E-2</v>
      </c>
    </row>
    <row r="1534" spans="1:3">
      <c r="A1534" s="3">
        <f ca="1">IFERROR(__xludf.UNSUPPORTED("""COMPUTED_VALUE"""),45693.6666666666)</f>
        <v>45693.666666666599</v>
      </c>
      <c r="B1534" s="1">
        <f ca="1">IFERROR(__xludf.UNSUPPORTED("""COMPUTED_VALUE"""),232.47)</f>
        <v>232.47</v>
      </c>
      <c r="C1534" s="2">
        <f t="shared" ca="1" si="6"/>
        <v>-1.41752577319593E-3</v>
      </c>
    </row>
    <row r="1535" spans="1:3">
      <c r="A1535" s="3">
        <f ca="1">IFERROR(__xludf.UNSUPPORTED("""COMPUTED_VALUE"""),45694.6666666666)</f>
        <v>45694.666666666599</v>
      </c>
      <c r="B1535" s="1">
        <f ca="1">IFERROR(__xludf.UNSUPPORTED("""COMPUTED_VALUE"""),233.22)</f>
        <v>233.22</v>
      </c>
      <c r="C1535" s="2">
        <f t="shared" ca="1" si="6"/>
        <v>3.2262227384178602E-3</v>
      </c>
    </row>
    <row r="1536" spans="1:3">
      <c r="A1536" s="3">
        <f ca="1">IFERROR(__xludf.UNSUPPORTED("""COMPUTED_VALUE"""),45695.6666666666)</f>
        <v>45695.666666666599</v>
      </c>
      <c r="B1536" s="1">
        <f ca="1">IFERROR(__xludf.UNSUPPORTED("""COMPUTED_VALUE"""),227.63)</f>
        <v>227.63</v>
      </c>
      <c r="C1536" s="2">
        <f t="shared" ca="1" si="6"/>
        <v>-2.396878483835007E-2</v>
      </c>
    </row>
    <row r="1537" spans="1:3">
      <c r="A1537" s="3">
        <f ca="1">IFERROR(__xludf.UNSUPPORTED("""COMPUTED_VALUE"""),45698.6666666666)</f>
        <v>45698.666666666599</v>
      </c>
      <c r="B1537" s="1">
        <f ca="1">IFERROR(__xludf.UNSUPPORTED("""COMPUTED_VALUE"""),227.65)</f>
        <v>227.65</v>
      </c>
      <c r="C1537" s="2">
        <f t="shared" ca="1" si="6"/>
        <v>8.7861881122919789E-5</v>
      </c>
    </row>
    <row r="1538" spans="1:3">
      <c r="A1538" s="3">
        <f ca="1">IFERROR(__xludf.UNSUPPORTED("""COMPUTED_VALUE"""),45699.6666666666)</f>
        <v>45699.666666666599</v>
      </c>
      <c r="B1538" s="1">
        <f ca="1">IFERROR(__xludf.UNSUPPORTED("""COMPUTED_VALUE"""),232.62)</f>
        <v>232.62</v>
      </c>
      <c r="C1538" s="2">
        <f t="shared" ca="1" si="6"/>
        <v>2.1831759279595866E-2</v>
      </c>
    </row>
    <row r="1539" spans="1:3">
      <c r="A1539" s="3">
        <f ca="1">IFERROR(__xludf.UNSUPPORTED("""COMPUTED_VALUE"""),45700.6666666666)</f>
        <v>45700.666666666599</v>
      </c>
      <c r="B1539" s="1">
        <f ca="1">IFERROR(__xludf.UNSUPPORTED("""COMPUTED_VALUE"""),236.87)</f>
        <v>236.87</v>
      </c>
      <c r="C1539" s="2">
        <f t="shared" ca="1" si="6"/>
        <v>1.8270140142722036E-2</v>
      </c>
    </row>
    <row r="1540" spans="1:3">
      <c r="A1540" s="3">
        <f ca="1">IFERROR(__xludf.UNSUPPORTED("""COMPUTED_VALUE"""),45701.6666666666)</f>
        <v>45701.666666666599</v>
      </c>
      <c r="B1540" s="1">
        <f ca="1">IFERROR(__xludf.UNSUPPORTED("""COMPUTED_VALUE"""),241.53)</f>
        <v>241.53</v>
      </c>
      <c r="C1540" s="2">
        <f t="shared" ca="1" si="6"/>
        <v>1.9673238485245055E-2</v>
      </c>
    </row>
    <row r="1541" spans="1:3">
      <c r="A1541" s="3">
        <f ca="1">IFERROR(__xludf.UNSUPPORTED("""COMPUTED_VALUE"""),45702.6666666666)</f>
        <v>45702.666666666599</v>
      </c>
      <c r="B1541" s="1">
        <f ca="1">IFERROR(__xludf.UNSUPPORTED("""COMPUTED_VALUE"""),244.6)</f>
        <v>244.6</v>
      </c>
      <c r="C1541" s="2">
        <f t="shared" ca="1" si="6"/>
        <v>1.2710636359872452E-2</v>
      </c>
    </row>
    <row r="1542" spans="1:3">
      <c r="A1542" s="3">
        <f ca="1">IFERROR(__xludf.UNSUPPORTED("""COMPUTED_VALUE"""),45706.6666666666)</f>
        <v>45706.666666666599</v>
      </c>
      <c r="B1542" s="1">
        <f ca="1">IFERROR(__xludf.UNSUPPORTED("""COMPUTED_VALUE"""),244.47)</f>
        <v>244.47</v>
      </c>
      <c r="C1542" s="2">
        <f t="shared" ca="1" si="6"/>
        <v>-5.3147996729352193E-4</v>
      </c>
    </row>
    <row r="1543" spans="1:3">
      <c r="A1543" s="3">
        <f ca="1">IFERROR(__xludf.UNSUPPORTED("""COMPUTED_VALUE"""),45707.6666666666)</f>
        <v>45707.666666666599</v>
      </c>
      <c r="B1543" s="1">
        <f ca="1">IFERROR(__xludf.UNSUPPORTED("""COMPUTED_VALUE"""),244.87)</f>
        <v>244.87</v>
      </c>
      <c r="C1543" s="2">
        <f t="shared" ca="1" si="6"/>
        <v>1.6361925798666736E-3</v>
      </c>
    </row>
    <row r="1544" spans="1:3">
      <c r="A1544" s="3">
        <f ca="1">IFERROR(__xludf.UNSUPPORTED("""COMPUTED_VALUE"""),45708.6666666666)</f>
        <v>45708.666666666599</v>
      </c>
      <c r="B1544" s="1">
        <f ca="1">IFERROR(__xludf.UNSUPPORTED("""COMPUTED_VALUE"""),245.83)</f>
        <v>245.83</v>
      </c>
      <c r="C1544" s="2">
        <f t="shared" ca="1" si="6"/>
        <v>3.9204475844325888E-3</v>
      </c>
    </row>
    <row r="1545" spans="1:3">
      <c r="A1545" s="3">
        <f ca="1">IFERROR(__xludf.UNSUPPORTED("""COMPUTED_VALUE"""),45709.6666666666)</f>
        <v>45709.666666666599</v>
      </c>
      <c r="B1545" s="1">
        <f ca="1">IFERROR(__xludf.UNSUPPORTED("""COMPUTED_VALUE"""),245.55)</f>
        <v>245.55</v>
      </c>
      <c r="C1545" s="2">
        <f t="shared" ca="1" si="6"/>
        <v>-1.1389984948948506E-3</v>
      </c>
    </row>
    <row r="1546" spans="1:3">
      <c r="A1546" s="3">
        <f ca="1">IFERROR(__xludf.UNSUPPORTED("""COMPUTED_VALUE"""),45712.6666666666)</f>
        <v>45712.666666666599</v>
      </c>
      <c r="B1546" s="1">
        <f ca="1">IFERROR(__xludf.UNSUPPORTED("""COMPUTED_VALUE"""),247.1)</f>
        <v>247.1</v>
      </c>
      <c r="C1546" s="2">
        <f t="shared" ca="1" si="6"/>
        <v>6.3123600081449113E-3</v>
      </c>
    </row>
    <row r="1547" spans="1:3">
      <c r="A1547" s="3">
        <f ca="1">IFERROR(__xludf.UNSUPPORTED("""COMPUTED_VALUE"""),45713.6666666666)</f>
        <v>45713.666666666599</v>
      </c>
      <c r="B1547" s="1">
        <f ca="1">IFERROR(__xludf.UNSUPPORTED("""COMPUTED_VALUE"""),247.04)</f>
        <v>247.04</v>
      </c>
      <c r="C1547" s="2">
        <f t="shared" ca="1" si="6"/>
        <v>-2.4281667341158347E-4</v>
      </c>
    </row>
    <row r="1548" spans="1:3">
      <c r="A1548" s="3">
        <f ca="1">IFERROR(__xludf.UNSUPPORTED("""COMPUTED_VALUE"""),45714.6666666666)</f>
        <v>45714.666666666599</v>
      </c>
      <c r="B1548" s="1">
        <f ca="1">IFERROR(__xludf.UNSUPPORTED("""COMPUTED_VALUE"""),240.36)</f>
        <v>240.36</v>
      </c>
      <c r="C1548" s="2">
        <f t="shared" ca="1" si="6"/>
        <v>-2.704015544041442E-2</v>
      </c>
    </row>
    <row r="1549" spans="1:3">
      <c r="A1549" s="3">
        <f ca="1">IFERROR(__xludf.UNSUPPORTED("""COMPUTED_VALUE"""),45715.6666666666)</f>
        <v>45715.666666666599</v>
      </c>
      <c r="B1549" s="1">
        <f ca="1">IFERROR(__xludf.UNSUPPORTED("""COMPUTED_VALUE"""),237.3)</f>
        <v>237.3</v>
      </c>
      <c r="C1549" s="2">
        <f t="shared" ca="1" si="6"/>
        <v>-1.273090364453321E-2</v>
      </c>
    </row>
    <row r="1550" spans="1:3">
      <c r="A1550" s="3">
        <f ca="1">IFERROR(__xludf.UNSUPPORTED("""COMPUTED_VALUE"""),45716.6666666666)</f>
        <v>45716.666666666599</v>
      </c>
      <c r="B1550" s="1">
        <f ca="1">IFERROR(__xludf.UNSUPPORTED("""COMPUTED_VALUE"""),241.84)</f>
        <v>241.84</v>
      </c>
      <c r="C1550" s="2">
        <f t="shared" ca="1" si="6"/>
        <v>1.9131900547829716E-2</v>
      </c>
    </row>
    <row r="1551" spans="1:3">
      <c r="A1551" s="3">
        <f ca="1">IFERROR(__xludf.UNSUPPORTED("""COMPUTED_VALUE"""),45719.6666666666)</f>
        <v>45719.666666666599</v>
      </c>
      <c r="B1551" s="1">
        <f ca="1">IFERROR(__xludf.UNSUPPORTED("""COMPUTED_VALUE"""),238.03)</f>
        <v>238.03</v>
      </c>
      <c r="C1551" s="2">
        <f t="shared" ca="1" si="6"/>
        <v>-1.5754217664571628E-2</v>
      </c>
    </row>
    <row r="1552" spans="1:3">
      <c r="A1552" s="3">
        <f ca="1">IFERROR(__xludf.UNSUPPORTED("""COMPUTED_VALUE"""),45720.6666666666)</f>
        <v>45720.666666666599</v>
      </c>
      <c r="B1552" s="1">
        <f ca="1">IFERROR(__xludf.UNSUPPORTED("""COMPUTED_VALUE"""),235.93)</f>
        <v>235.93</v>
      </c>
      <c r="C1552" s="2">
        <f t="shared" ca="1" si="6"/>
        <v>-8.8224173423517797E-3</v>
      </c>
    </row>
    <row r="1553" spans="1:3">
      <c r="A1553" s="3">
        <f ca="1">IFERROR(__xludf.UNSUPPORTED("""COMPUTED_VALUE"""),45721.6666666666)</f>
        <v>45721.666666666599</v>
      </c>
      <c r="B1553" s="1">
        <f ca="1">IFERROR(__xludf.UNSUPPORTED("""COMPUTED_VALUE"""),235.74)</f>
        <v>235.74</v>
      </c>
      <c r="C1553" s="2">
        <f t="shared" ca="1" si="6"/>
        <v>-8.0532361293603064E-4</v>
      </c>
    </row>
    <row r="1554" spans="1:3">
      <c r="A1554" s="3">
        <f ca="1">IFERROR(__xludf.UNSUPPORTED("""COMPUTED_VALUE"""),45722.6666666666)</f>
        <v>45722.666666666599</v>
      </c>
      <c r="B1554" s="1">
        <f ca="1">IFERROR(__xludf.UNSUPPORTED("""COMPUTED_VALUE"""),235.33)</f>
        <v>235.33</v>
      </c>
      <c r="C1554" s="2">
        <f t="shared" ca="1" si="6"/>
        <v>-1.7392042080257766E-3</v>
      </c>
    </row>
    <row r="1555" spans="1:3">
      <c r="A1555" s="3">
        <f ca="1">IFERROR(__xludf.UNSUPPORTED("""COMPUTED_VALUE"""),45723.6666666666)</f>
        <v>45723.666666666599</v>
      </c>
      <c r="B1555" s="1">
        <f ca="1">IFERROR(__xludf.UNSUPPORTED("""COMPUTED_VALUE"""),239.07)</f>
        <v>239.07</v>
      </c>
      <c r="C1555" s="2">
        <f t="shared" ca="1" si="6"/>
        <v>1.5892576382101647E-2</v>
      </c>
    </row>
    <row r="1556" spans="1:3">
      <c r="A1556" s="3">
        <f ca="1">IFERROR(__xludf.UNSUPPORTED("""COMPUTED_VALUE"""),45726.6666666666)</f>
        <v>45726.666666666599</v>
      </c>
      <c r="B1556" s="1">
        <f ca="1">IFERROR(__xludf.UNSUPPORTED("""COMPUTED_VALUE"""),227.48)</f>
        <v>227.48</v>
      </c>
      <c r="C1556" s="2">
        <f t="shared" ca="1" si="6"/>
        <v>-4.8479524825364974E-2</v>
      </c>
    </row>
    <row r="1557" spans="1:3">
      <c r="A1557" s="3">
        <f ca="1">IFERROR(__xludf.UNSUPPORTED("""COMPUTED_VALUE"""),45727.6666666666)</f>
        <v>45727.666666666599</v>
      </c>
      <c r="B1557" s="1">
        <f ca="1">IFERROR(__xludf.UNSUPPORTED("""COMPUTED_VALUE"""),220.84)</f>
        <v>220.84</v>
      </c>
      <c r="C1557" s="2">
        <f t="shared" ca="1" si="6"/>
        <v>-2.9189379286091027E-2</v>
      </c>
    </row>
    <row r="1558" spans="1:3">
      <c r="A1558" s="3">
        <f ca="1">IFERROR(__xludf.UNSUPPORTED("""COMPUTED_VALUE"""),45728.6666666666)</f>
        <v>45728.666666666599</v>
      </c>
      <c r="B1558" s="1">
        <f ca="1">IFERROR(__xludf.UNSUPPORTED("""COMPUTED_VALUE"""),216.98)</f>
        <v>216.98</v>
      </c>
      <c r="C1558" s="2">
        <f t="shared" ca="1" si="6"/>
        <v>-1.747871762361897E-2</v>
      </c>
    </row>
    <row r="1559" spans="1:3">
      <c r="A1559" s="3">
        <f ca="1">IFERROR(__xludf.UNSUPPORTED("""COMPUTED_VALUE"""),45729.6666666666)</f>
        <v>45729.666666666599</v>
      </c>
      <c r="B1559" s="1">
        <f ca="1">IFERROR(__xludf.UNSUPPORTED("""COMPUTED_VALUE"""),209.68)</f>
        <v>209.68</v>
      </c>
      <c r="C1559" s="2">
        <f t="shared" ca="1" si="6"/>
        <v>-3.3643653792976236E-2</v>
      </c>
    </row>
    <row r="1560" spans="1:3">
      <c r="A1560" s="3">
        <f ca="1">IFERROR(__xludf.UNSUPPORTED("""COMPUTED_VALUE"""),45730.6666666666)</f>
        <v>45730.666666666599</v>
      </c>
      <c r="B1560" s="1">
        <f ca="1">IFERROR(__xludf.UNSUPPORTED("""COMPUTED_VALUE"""),213.49)</f>
        <v>213.49</v>
      </c>
      <c r="C1560" s="2">
        <f t="shared" ca="1" si="6"/>
        <v>1.8170545593285015E-2</v>
      </c>
    </row>
    <row r="1561" spans="1:3">
      <c r="A1561" s="3">
        <f ca="1">IFERROR(__xludf.UNSUPPORTED("""COMPUTED_VALUE"""),45733.6666666666)</f>
        <v>45733.666666666599</v>
      </c>
      <c r="B1561" s="1">
        <f ca="1">IFERROR(__xludf.UNSUPPORTED("""COMPUTED_VALUE"""),214)</f>
        <v>214</v>
      </c>
      <c r="C1561" s="2">
        <f t="shared" ca="1" si="6"/>
        <v>2.3888706730994E-3</v>
      </c>
    </row>
    <row r="1562" spans="1:3">
      <c r="A1562" s="3">
        <f ca="1">IFERROR(__xludf.UNSUPPORTED("""COMPUTED_VALUE"""),45734.6666666666)</f>
        <v>45734.666666666599</v>
      </c>
      <c r="B1562" s="1">
        <f ca="1">IFERROR(__xludf.UNSUPPORTED("""COMPUTED_VALUE"""),212.69)</f>
        <v>212.69</v>
      </c>
      <c r="C1562" s="2">
        <f t="shared" ca="1" si="6"/>
        <v>-6.1214953271028147E-3</v>
      </c>
    </row>
    <row r="1563" spans="1:3">
      <c r="A1563" s="3">
        <f ca="1">IFERROR(__xludf.UNSUPPORTED("""COMPUTED_VALUE"""),45735.6666666666)</f>
        <v>45735.666666666599</v>
      </c>
      <c r="B1563" s="1">
        <f ca="1">IFERROR(__xludf.UNSUPPORTED("""COMPUTED_VALUE"""),215.24)</f>
        <v>215.24</v>
      </c>
      <c r="C1563" s="2">
        <f t="shared" ca="1" si="6"/>
        <v>1.1989280173021822E-2</v>
      </c>
    </row>
    <row r="1564" spans="1:3">
      <c r="A1564" s="3">
        <f ca="1">IFERROR(__xludf.UNSUPPORTED("""COMPUTED_VALUE"""),45736.6666666666)</f>
        <v>45736.666666666599</v>
      </c>
      <c r="B1564" s="1">
        <f ca="1">IFERROR(__xludf.UNSUPPORTED("""COMPUTED_VALUE"""),214.1)</f>
        <v>214.1</v>
      </c>
      <c r="C1564" s="2">
        <f t="shared" ca="1" si="6"/>
        <v>-5.2964133060770056E-3</v>
      </c>
    </row>
    <row r="1565" spans="1:3">
      <c r="A1565" s="3">
        <f ca="1">IFERROR(__xludf.UNSUPPORTED("""COMPUTED_VALUE"""),45737.6666666666)</f>
        <v>45737.666666666599</v>
      </c>
      <c r="B1565" s="1">
        <f ca="1">IFERROR(__xludf.UNSUPPORTED("""COMPUTED_VALUE"""),218.27)</f>
        <v>218.27</v>
      </c>
      <c r="C1565" s="2">
        <f t="shared" ca="1" si="6"/>
        <v>1.9476879962634357E-2</v>
      </c>
    </row>
    <row r="1566" spans="1:3">
      <c r="A1566" s="3">
        <f ca="1">IFERROR(__xludf.UNSUPPORTED("""COMPUTED_VALUE"""),45740.6666666666)</f>
        <v>45740.666666666599</v>
      </c>
      <c r="B1566" s="1">
        <f ca="1">IFERROR(__xludf.UNSUPPORTED("""COMPUTED_VALUE"""),220.73)</f>
        <v>220.73</v>
      </c>
      <c r="C1566" s="2">
        <f t="shared" ca="1" si="6"/>
        <v>1.1270444861868234E-2</v>
      </c>
    </row>
    <row r="1567" spans="1:3">
      <c r="A1567" s="3">
        <f ca="1">IFERROR(__xludf.UNSUPPORTED("""COMPUTED_VALUE"""),45741.6666666666)</f>
        <v>45741.666666666599</v>
      </c>
      <c r="B1567" s="1">
        <f ca="1">IFERROR(__xludf.UNSUPPORTED("""COMPUTED_VALUE"""),223.75)</f>
        <v>223.75</v>
      </c>
      <c r="C1567" s="2">
        <f t="shared" ca="1" si="6"/>
        <v>1.3681873782449193E-2</v>
      </c>
    </row>
    <row r="1568" spans="1:3">
      <c r="A1568" s="3">
        <f ca="1">IFERROR(__xludf.UNSUPPORTED("""COMPUTED_VALUE"""),45742.6666666666)</f>
        <v>45742.666666666599</v>
      </c>
      <c r="B1568" s="1">
        <f ca="1">IFERROR(__xludf.UNSUPPORTED("""COMPUTED_VALUE"""),221.53)</f>
        <v>221.53</v>
      </c>
      <c r="C1568" s="2">
        <f t="shared" ca="1" si="6"/>
        <v>-9.9217877094972019E-3</v>
      </c>
    </row>
    <row r="1569" spans="1:3">
      <c r="A1569" s="3">
        <f ca="1">IFERROR(__xludf.UNSUPPORTED("""COMPUTED_VALUE"""),45743.6666666666)</f>
        <v>45743.666666666599</v>
      </c>
      <c r="B1569" s="1">
        <f ca="1">IFERROR(__xludf.UNSUPPORTED("""COMPUTED_VALUE"""),223.85)</f>
        <v>223.85</v>
      </c>
      <c r="C1569" s="2">
        <f t="shared" ca="1" si="6"/>
        <v>1.0472622218209693E-2</v>
      </c>
    </row>
    <row r="1570" spans="1:3">
      <c r="A1570" s="3">
        <f ca="1">IFERROR(__xludf.UNSUPPORTED("""COMPUTED_VALUE"""),45744.6666666666)</f>
        <v>45744.666666666599</v>
      </c>
      <c r="B1570" s="1">
        <f ca="1">IFERROR(__xludf.UNSUPPORTED("""COMPUTED_VALUE"""),217.9)</f>
        <v>217.9</v>
      </c>
      <c r="C1570" s="2">
        <f t="shared" ca="1" si="6"/>
        <v>-2.6580299307571983E-2</v>
      </c>
    </row>
    <row r="1571" spans="1:3">
      <c r="A1571" s="3">
        <f ca="1">IFERROR(__xludf.UNSUPPORTED("""COMPUTED_VALUE"""),45747.6666666666)</f>
        <v>45747.666666666599</v>
      </c>
      <c r="B1571" s="1">
        <f ca="1">IFERROR(__xludf.UNSUPPORTED("""COMPUTED_VALUE"""),222.13)</f>
        <v>222.13</v>
      </c>
      <c r="C1571" s="2">
        <f t="shared" ca="1" si="6"/>
        <v>1.9412574575493297E-2</v>
      </c>
    </row>
    <row r="1572" spans="1:3">
      <c r="A1572" s="3">
        <f ca="1">IFERROR(__xludf.UNSUPPORTED("""COMPUTED_VALUE"""),45748.6666666666)</f>
        <v>45748.666666666599</v>
      </c>
      <c r="B1572" s="1">
        <f ca="1">IFERROR(__xludf.UNSUPPORTED("""COMPUTED_VALUE"""),223.19)</f>
        <v>223.19</v>
      </c>
      <c r="C1572" s="2">
        <f t="shared" ca="1" si="6"/>
        <v>4.7719803718543298E-3</v>
      </c>
    </row>
    <row r="1573" spans="1:3">
      <c r="A1573" s="3">
        <f ca="1">IFERROR(__xludf.UNSUPPORTED("""COMPUTED_VALUE"""),45749.6666666666)</f>
        <v>45749.666666666599</v>
      </c>
      <c r="B1573" s="1">
        <f ca="1">IFERROR(__xludf.UNSUPPORTED("""COMPUTED_VALUE"""),223.89)</f>
        <v>223.89</v>
      </c>
      <c r="C1573" s="2">
        <f t="shared" ca="1" si="6"/>
        <v>3.1363412339262004E-3</v>
      </c>
    </row>
    <row r="1574" spans="1:3">
      <c r="A1574" s="3">
        <f ca="1">IFERROR(__xludf.UNSUPPORTED("""COMPUTED_VALUE"""),45750.6666666666)</f>
        <v>45750.666666666599</v>
      </c>
      <c r="B1574" s="1">
        <f ca="1">IFERROR(__xludf.UNSUPPORTED("""COMPUTED_VALUE"""),203.19)</f>
        <v>203.19</v>
      </c>
      <c r="C1574" s="2">
        <f t="shared" ca="1" si="6"/>
        <v>-9.2456116843092545E-2</v>
      </c>
    </row>
    <row r="1575" spans="1:3">
      <c r="A1575" s="3">
        <f ca="1">IFERROR(__xludf.UNSUPPORTED("""COMPUTED_VALUE"""),45751.6666666666)</f>
        <v>45751.666666666599</v>
      </c>
      <c r="B1575" s="1">
        <f ca="1">IFERROR(__xludf.UNSUPPORTED("""COMPUTED_VALUE"""),188.38)</f>
        <v>188.38</v>
      </c>
      <c r="C1575" s="2">
        <f t="shared" ca="1" si="6"/>
        <v>-7.2887445248289787E-2</v>
      </c>
    </row>
    <row r="1576" spans="1:3">
      <c r="A1576" s="3">
        <f ca="1">IFERROR(__xludf.UNSUPPORTED("""COMPUTED_VALUE"""),45754.6666666666)</f>
        <v>45754.666666666599</v>
      </c>
      <c r="B1576" s="1">
        <f ca="1">IFERROR(__xludf.UNSUPPORTED("""COMPUTED_VALUE"""),181.46)</f>
        <v>181.46</v>
      </c>
      <c r="C1576" s="2">
        <f t="shared" ca="1" si="6"/>
        <v>-3.6734260537211953E-2</v>
      </c>
    </row>
    <row r="1577" spans="1:3">
      <c r="A1577" s="3">
        <f ca="1">IFERROR(__xludf.UNSUPPORTED("""COMPUTED_VALUE"""),45755.6666666666)</f>
        <v>45755.666666666599</v>
      </c>
      <c r="B1577" s="1">
        <f ca="1">IFERROR(__xludf.UNSUPPORTED("""COMPUTED_VALUE"""),172.42)</f>
        <v>172.42</v>
      </c>
      <c r="C1577" s="2">
        <f t="shared" ca="1" si="6"/>
        <v>-4.9818141739226385E-2</v>
      </c>
    </row>
    <row r="1578" spans="1:3">
      <c r="A1578" s="3">
        <f ca="1">IFERROR(__xludf.UNSUPPORTED("""COMPUTED_VALUE"""),45756.6666666666)</f>
        <v>45756.666666666599</v>
      </c>
      <c r="B1578" s="1">
        <f ca="1">IFERROR(__xludf.UNSUPPORTED("""COMPUTED_VALUE"""),198.85)</f>
        <v>198.85</v>
      </c>
      <c r="C1578" s="2">
        <f t="shared" ca="1" si="6"/>
        <v>0.15328848161466194</v>
      </c>
    </row>
    <row r="1579" spans="1:3">
      <c r="A1579" s="3">
        <f ca="1">IFERROR(__xludf.UNSUPPORTED("""COMPUTED_VALUE"""),45757.6666666666)</f>
        <v>45757.666666666599</v>
      </c>
      <c r="B1579" s="1">
        <f ca="1">IFERROR(__xludf.UNSUPPORTED("""COMPUTED_VALUE"""),190.42)</f>
        <v>190.42</v>
      </c>
      <c r="C1579" s="2">
        <f t="shared" ca="1" si="6"/>
        <v>-4.2393764143827041E-2</v>
      </c>
    </row>
    <row r="1580" spans="1:3">
      <c r="A1580" s="3">
        <f ca="1">IFERROR(__xludf.UNSUPPORTED("""COMPUTED_VALUE"""),45758.6666666666)</f>
        <v>45758.666666666599</v>
      </c>
      <c r="B1580" s="1">
        <f ca="1">IFERROR(__xludf.UNSUPPORTED("""COMPUTED_VALUE"""),198.15)</f>
        <v>198.15</v>
      </c>
      <c r="C1580" s="2">
        <f t="shared" ca="1" si="6"/>
        <v>4.059447537023432E-2</v>
      </c>
    </row>
    <row r="1581" spans="1:3">
      <c r="A1581" s="3">
        <f ca="1">IFERROR(__xludf.UNSUPPORTED("""COMPUTED_VALUE"""),45761.6666666666)</f>
        <v>45761.666666666599</v>
      </c>
      <c r="B1581" s="1">
        <f ca="1">IFERROR(__xludf.UNSUPPORTED("""COMPUTED_VALUE"""),202.52)</f>
        <v>202.52</v>
      </c>
      <c r="C1581" s="2">
        <f t="shared" ca="1" si="6"/>
        <v>2.2053999495331843E-2</v>
      </c>
    </row>
    <row r="1582" spans="1:3">
      <c r="A1582" s="3">
        <f ca="1">IFERROR(__xludf.UNSUPPORTED("""COMPUTED_VALUE"""),45762.6666666666)</f>
        <v>45762.666666666599</v>
      </c>
      <c r="B1582" s="1">
        <f ca="1">IFERROR(__xludf.UNSUPPORTED("""COMPUTED_VALUE"""),202.14)</f>
        <v>202.14</v>
      </c>
      <c r="C1582" s="2">
        <f t="shared" ca="1" si="6"/>
        <v>-1.8763578905788261E-3</v>
      </c>
    </row>
    <row r="1583" spans="1:3">
      <c r="A1583" s="3">
        <f ca="1">IFERROR(__xludf.UNSUPPORTED("""COMPUTED_VALUE"""),45763.6666666666)</f>
        <v>45763.666666666599</v>
      </c>
      <c r="B1583" s="1">
        <f ca="1">IFERROR(__xludf.UNSUPPORTED("""COMPUTED_VALUE"""),194.27)</f>
        <v>194.27</v>
      </c>
      <c r="C1583" s="2">
        <f t="shared" ca="1" si="6"/>
        <v>-3.8933412486395452E-2</v>
      </c>
    </row>
    <row r="1584" spans="1:3">
      <c r="A1584" s="3">
        <f ca="1">IFERROR(__xludf.UNSUPPORTED("""COMPUTED_VALUE"""),45764.6666666666)</f>
        <v>45764.666666666599</v>
      </c>
      <c r="B1584" s="1">
        <f ca="1">IFERROR(__xludf.UNSUPPORTED("""COMPUTED_VALUE"""),196.98)</f>
        <v>196.98</v>
      </c>
      <c r="C1584" s="2">
        <f t="shared" ca="1" si="6"/>
        <v>1.3949657692901525E-2</v>
      </c>
    </row>
    <row r="1585" spans="1:3">
      <c r="A1585" s="3">
        <f ca="1">IFERROR(__xludf.UNSUPPORTED("""COMPUTED_VALUE"""),45768.6666666666)</f>
        <v>45768.666666666599</v>
      </c>
      <c r="B1585" s="1">
        <f ca="1">IFERROR(__xludf.UNSUPPORTED("""COMPUTED_VALUE"""),193.16)</f>
        <v>193.16</v>
      </c>
      <c r="C1585" s="2">
        <f t="shared" ca="1" si="6"/>
        <v>-1.9392831759569466E-2</v>
      </c>
    </row>
    <row r="1586" spans="1:3">
      <c r="A1586" s="3">
        <f ca="1">IFERROR(__xludf.UNSUPPORTED("""COMPUTED_VALUE"""),45769.6666666666)</f>
        <v>45769.666666666599</v>
      </c>
      <c r="B1586" s="1">
        <f ca="1">IFERROR(__xludf.UNSUPPORTED("""COMPUTED_VALUE"""),199.74)</f>
        <v>199.74</v>
      </c>
      <c r="C1586" s="2">
        <f t="shared" ca="1" si="6"/>
        <v>3.4065023814454407E-2</v>
      </c>
    </row>
    <row r="1587" spans="1:3">
      <c r="A1587" s="3">
        <f ca="1">IFERROR(__xludf.UNSUPPORTED("""COMPUTED_VALUE"""),45770.6666666666)</f>
        <v>45770.666666666599</v>
      </c>
      <c r="B1587" s="1">
        <f ca="1">IFERROR(__xludf.UNSUPPORTED("""COMPUTED_VALUE"""),204.6)</f>
        <v>204.6</v>
      </c>
      <c r="C1587" s="2">
        <f t="shared" ca="1" si="6"/>
        <v>2.4331631120456519E-2</v>
      </c>
    </row>
    <row r="1588" spans="1:3">
      <c r="A1588" s="3">
        <f ca="1">IFERROR(__xludf.UNSUPPORTED("""COMPUTED_VALUE"""),45771.6666666666)</f>
        <v>45771.666666666599</v>
      </c>
      <c r="B1588" s="1">
        <f ca="1">IFERROR(__xludf.UNSUPPORTED("""COMPUTED_VALUE"""),208.37)</f>
        <v>208.37</v>
      </c>
      <c r="C1588" s="2">
        <f t="shared" ca="1" si="6"/>
        <v>1.8426197458455574E-2</v>
      </c>
    </row>
    <row r="1589" spans="1:3">
      <c r="A1589" s="3">
        <f ca="1">IFERROR(__xludf.UNSUPPORTED("""COMPUTED_VALUE"""),45772.6666666666)</f>
        <v>45772.666666666599</v>
      </c>
      <c r="B1589" s="1">
        <f ca="1">IFERROR(__xludf.UNSUPPORTED("""COMPUTED_VALUE"""),209.28)</f>
        <v>209.28</v>
      </c>
      <c r="C1589" s="2">
        <f t="shared" ca="1" si="6"/>
        <v>4.3672313672793424E-3</v>
      </c>
    </row>
    <row r="1590" spans="1:3">
      <c r="A1590" s="3">
        <f ca="1">IFERROR(__xludf.UNSUPPORTED("""COMPUTED_VALUE"""),45775.6666666666)</f>
        <v>45775.666666666599</v>
      </c>
      <c r="B1590" s="1">
        <f ca="1">IFERROR(__xludf.UNSUPPORTED("""COMPUTED_VALUE"""),210.14)</f>
        <v>210.14</v>
      </c>
      <c r="C1590" s="2">
        <f t="shared" ca="1" si="6"/>
        <v>4.1093272171253119E-3</v>
      </c>
    </row>
    <row r="1591" spans="1:3">
      <c r="A1591" s="3">
        <f ca="1">IFERROR(__xludf.UNSUPPORTED("""COMPUTED_VALUE"""),45776.6666666666)</f>
        <v>45776.666666666599</v>
      </c>
      <c r="B1591" s="1">
        <f ca="1">IFERROR(__xludf.UNSUPPORTED("""COMPUTED_VALUE"""),211.21)</f>
        <v>211.21</v>
      </c>
      <c r="C1591" s="2">
        <f t="shared" ca="1" si="6"/>
        <v>5.091843532882943E-3</v>
      </c>
    </row>
    <row r="1592" spans="1:3">
      <c r="A1592" s="3">
        <f ca="1">IFERROR(__xludf.UNSUPPORTED("""COMPUTED_VALUE"""),45777.6666666666)</f>
        <v>45777.666666666599</v>
      </c>
      <c r="B1592" s="1">
        <f ca="1">IFERROR(__xludf.UNSUPPORTED("""COMPUTED_VALUE"""),212.5)</f>
        <v>212.5</v>
      </c>
      <c r="C1592" s="2">
        <f t="shared" ca="1" si="6"/>
        <v>6.1076653567539033E-3</v>
      </c>
    </row>
    <row r="1593" spans="1:3">
      <c r="A1593" s="3">
        <f ca="1">IFERROR(__xludf.UNSUPPORTED("""COMPUTED_VALUE"""),45778.6666666666)</f>
        <v>45778.666666666599</v>
      </c>
      <c r="B1593" s="1">
        <f ca="1">IFERROR(__xludf.UNSUPPORTED("""COMPUTED_VALUE"""),213.32)</f>
        <v>213.32</v>
      </c>
      <c r="C1593" s="2">
        <f t="shared" ca="1" si="6"/>
        <v>3.8588235294117327E-3</v>
      </c>
    </row>
    <row r="1594" spans="1:3">
      <c r="A1594" s="3">
        <f ca="1">IFERROR(__xludf.UNSUPPORTED("""COMPUTED_VALUE"""),45779.6666666666)</f>
        <v>45779.666666666599</v>
      </c>
      <c r="B1594" s="1">
        <f ca="1">IFERROR(__xludf.UNSUPPORTED("""COMPUTED_VALUE"""),205.35)</f>
        <v>205.35</v>
      </c>
      <c r="C1594" s="2">
        <f t="shared" ca="1" si="6"/>
        <v>-3.7361710106881676E-2</v>
      </c>
    </row>
    <row r="1595" spans="1:3">
      <c r="A1595" s="3">
        <f ca="1">IFERROR(__xludf.UNSUPPORTED("""COMPUTED_VALUE"""),45782.6666666666)</f>
        <v>45782.666666666599</v>
      </c>
      <c r="B1595" s="1">
        <f ca="1">IFERROR(__xludf.UNSUPPORTED("""COMPUTED_VALUE"""),198.89)</f>
        <v>198.89</v>
      </c>
      <c r="C1595" s="2">
        <f t="shared" ca="1" si="6"/>
        <v>-3.1458485512539609E-2</v>
      </c>
    </row>
    <row r="1596" spans="1:3">
      <c r="A1596" s="3">
        <f ca="1">IFERROR(__xludf.UNSUPPORTED("""COMPUTED_VALUE"""),45783.6666666666)</f>
        <v>45783.666666666599</v>
      </c>
      <c r="B1596" s="1">
        <f ca="1">IFERROR(__xludf.UNSUPPORTED("""COMPUTED_VALUE"""),198.51)</f>
        <v>198.51</v>
      </c>
      <c r="C1596" s="2">
        <f t="shared" ca="1" si="6"/>
        <v>-1.9106038513751092E-3</v>
      </c>
    </row>
    <row r="1597" spans="1:3">
      <c r="A1597" s="3">
        <f ca="1">IFERROR(__xludf.UNSUPPORTED("""COMPUTED_VALUE"""),45784.6666666666)</f>
        <v>45784.666666666599</v>
      </c>
      <c r="B1597" s="1">
        <f ca="1">IFERROR(__xludf.UNSUPPORTED("""COMPUTED_VALUE"""),196.25)</f>
        <v>196.25</v>
      </c>
      <c r="C1597" s="2">
        <f t="shared" ca="1" si="6"/>
        <v>-1.1384816885799159E-2</v>
      </c>
    </row>
    <row r="1598" spans="1:3">
      <c r="A1598" s="3">
        <f ca="1">IFERROR(__xludf.UNSUPPORTED("""COMPUTED_VALUE"""),45785.6666666666)</f>
        <v>45785.666666666599</v>
      </c>
      <c r="B1598" s="1">
        <f ca="1">IFERROR(__xludf.UNSUPPORTED("""COMPUTED_VALUE"""),197.49)</f>
        <v>197.49</v>
      </c>
      <c r="C1598" s="2">
        <f t="shared" ca="1" si="6"/>
        <v>6.3184713375796639E-3</v>
      </c>
    </row>
    <row r="1599" spans="1:3">
      <c r="A1599" s="3">
        <f ca="1">IFERROR(__xludf.UNSUPPORTED("""COMPUTED_VALUE"""),45786.6666666666)</f>
        <v>45786.666666666599</v>
      </c>
      <c r="B1599" s="1">
        <f ca="1">IFERROR(__xludf.UNSUPPORTED("""COMPUTED_VALUE"""),198.53)</f>
        <v>198.53</v>
      </c>
      <c r="C1599" s="2">
        <f t="shared" ca="1" si="6"/>
        <v>5.2660894222491868E-3</v>
      </c>
    </row>
    <row r="1600" spans="1:3">
      <c r="A1600" s="3">
        <f ca="1">IFERROR(__xludf.UNSUPPORTED("""COMPUTED_VALUE"""),45789.6666666666)</f>
        <v>45789.666666666599</v>
      </c>
      <c r="B1600" s="1">
        <f ca="1">IFERROR(__xludf.UNSUPPORTED("""COMPUTED_VALUE"""),210.79)</f>
        <v>210.79</v>
      </c>
      <c r="C1600" s="2">
        <f t="shared" ca="1" si="6"/>
        <v>6.1753891099581883E-2</v>
      </c>
    </row>
    <row r="1601" spans="1:3">
      <c r="A1601" s="3">
        <f ca="1">IFERROR(__xludf.UNSUPPORTED("""COMPUTED_VALUE"""),45790.6666666666)</f>
        <v>45790.666666666599</v>
      </c>
      <c r="B1601" s="1">
        <f ca="1">IFERROR(__xludf.UNSUPPORTED("""COMPUTED_VALUE"""),212.93)</f>
        <v>212.93</v>
      </c>
      <c r="C1601" s="2">
        <f t="shared" ca="1" si="6"/>
        <v>1.0152284263959461E-2</v>
      </c>
    </row>
    <row r="1602" spans="1:3">
      <c r="A1602" s="3">
        <f ca="1">IFERROR(__xludf.UNSUPPORTED("""COMPUTED_VALUE"""),45791.6666666666)</f>
        <v>45791.666666666599</v>
      </c>
      <c r="B1602" s="1">
        <f ca="1">IFERROR(__xludf.UNSUPPORTED("""COMPUTED_VALUE"""),212.33)</f>
        <v>212.33</v>
      </c>
      <c r="C1602" s="2">
        <f t="shared" ca="1" si="6"/>
        <v>-2.8178274550321432E-3</v>
      </c>
    </row>
    <row r="1603" spans="1:3">
      <c r="A1603" s="3">
        <f ca="1">IFERROR(__xludf.UNSUPPORTED("""COMPUTED_VALUE"""),45792.6666666666)</f>
        <v>45792.666666666599</v>
      </c>
      <c r="B1603" s="1">
        <f ca="1">IFERROR(__xludf.UNSUPPORTED("""COMPUTED_VALUE"""),211.45)</f>
        <v>211.45</v>
      </c>
      <c r="C1603" s="2">
        <f t="shared" ca="1" si="6"/>
        <v>-4.144492064239739E-3</v>
      </c>
    </row>
    <row r="1604" spans="1:3">
      <c r="A1604" s="3">
        <f ca="1">IFERROR(__xludf.UNSUPPORTED("""COMPUTED_VALUE"""),45793.6666666666)</f>
        <v>45793.666666666599</v>
      </c>
      <c r="B1604" s="1">
        <f ca="1">IFERROR(__xludf.UNSUPPORTED("""COMPUTED_VALUE"""),211.26)</f>
        <v>211.26</v>
      </c>
      <c r="C1604" s="2">
        <f t="shared" ca="1" si="6"/>
        <v>-8.9855757862377739E-4</v>
      </c>
    </row>
    <row r="1605" spans="1:3">
      <c r="A1605" s="3">
        <f ca="1">IFERROR(__xludf.UNSUPPORTED("""COMPUTED_VALUE"""),45796.6666666666)</f>
        <v>45796.666666666599</v>
      </c>
      <c r="B1605" s="1">
        <f ca="1">IFERROR(__xludf.UNSUPPORTED("""COMPUTED_VALUE"""),208.78)</f>
        <v>208.78</v>
      </c>
      <c r="C1605" s="2">
        <f t="shared" ca="1" si="6"/>
        <v>-1.1739089273880478E-2</v>
      </c>
    </row>
    <row r="1606" spans="1:3">
      <c r="A1606" s="3">
        <f ca="1">IFERROR(__xludf.UNSUPPORTED("""COMPUTED_VALUE"""),45797.6666666666)</f>
        <v>45797.666666666599</v>
      </c>
      <c r="B1606" s="1">
        <f ca="1">IFERROR(__xludf.UNSUPPORTED("""COMPUTED_VALUE"""),206.86)</f>
        <v>206.86</v>
      </c>
      <c r="C1606" s="2">
        <f t="shared" ca="1" si="6"/>
        <v>-9.1962831688858493E-3</v>
      </c>
    </row>
    <row r="1607" spans="1:3">
      <c r="A1607" s="3">
        <f ca="1">IFERROR(__xludf.UNSUPPORTED("""COMPUTED_VALUE"""),45798.6666666666)</f>
        <v>45798.666666666599</v>
      </c>
      <c r="B1607" s="1">
        <f ca="1">IFERROR(__xludf.UNSUPPORTED("""COMPUTED_VALUE"""),202.09)</f>
        <v>202.09</v>
      </c>
      <c r="C1607" s="2">
        <f t="shared" ca="1" si="6"/>
        <v>-2.3059073769699363E-2</v>
      </c>
    </row>
    <row r="1608" spans="1:3">
      <c r="A1608" s="3">
        <f ca="1">IFERROR(__xludf.UNSUPPORTED("""COMPUTED_VALUE"""),45799.6666666666)</f>
        <v>45799.666666666599</v>
      </c>
      <c r="B1608" s="1">
        <f ca="1">IFERROR(__xludf.UNSUPPORTED("""COMPUTED_VALUE"""),202.09)</f>
        <v>202.09</v>
      </c>
      <c r="C1608" s="2">
        <f t="shared" ca="1" si="6"/>
        <v>0</v>
      </c>
    </row>
    <row r="1609" spans="1:3">
      <c r="A1609" s="3">
        <f ca="1">IFERROR(__xludf.UNSUPPORTED("""COMPUTED_VALUE"""),45800.6666666666)</f>
        <v>45800.666666666599</v>
      </c>
      <c r="B1609" s="1">
        <f ca="1">IFERROR(__xludf.UNSUPPORTED("""COMPUTED_VALUE"""),195.27)</f>
        <v>195.27</v>
      </c>
      <c r="C1609" s="2">
        <f t="shared" ca="1" si="6"/>
        <v>-3.374734029392841E-2</v>
      </c>
    </row>
    <row r="1610" spans="1:3">
      <c r="A1610" s="3">
        <f ca="1">IFERROR(__xludf.UNSUPPORTED("""COMPUTED_VALUE"""),45804.6666666666)</f>
        <v>45804.666666666599</v>
      </c>
      <c r="B1610" s="1">
        <f ca="1">IFERROR(__xludf.UNSUPPORTED("""COMPUTED_VALUE"""),200.21)</f>
        <v>200.21</v>
      </c>
      <c r="C1610" s="2">
        <f t="shared" ca="1" si="6"/>
        <v>2.5298304911148654E-2</v>
      </c>
    </row>
    <row r="1611" spans="1:3">
      <c r="A1611" s="3">
        <f ca="1">IFERROR(__xludf.UNSUPPORTED("""COMPUTED_VALUE"""),45805.6666666666)</f>
        <v>45805.666666666599</v>
      </c>
      <c r="B1611" s="1">
        <f ca="1">IFERROR(__xludf.UNSUPPORTED("""COMPUTED_VALUE"""),200.42)</f>
        <v>200.42</v>
      </c>
      <c r="C1611" s="2">
        <f t="shared" ca="1" si="6"/>
        <v>1.0488986564106664E-3</v>
      </c>
    </row>
    <row r="1612" spans="1:3">
      <c r="A1612" s="3">
        <f ca="1">IFERROR(__xludf.UNSUPPORTED("""COMPUTED_VALUE"""),45806.6666666666)</f>
        <v>45806.666666666599</v>
      </c>
      <c r="B1612" s="1">
        <f ca="1">IFERROR(__xludf.UNSUPPORTED("""COMPUTED_VALUE"""),199.95)</f>
        <v>199.95</v>
      </c>
      <c r="C1612" s="2">
        <f t="shared" ca="1" si="6"/>
        <v>-2.3450753417822517E-3</v>
      </c>
    </row>
    <row r="1613" spans="1:3">
      <c r="A1613" s="3">
        <f ca="1">IFERROR(__xludf.UNSUPPORTED("""COMPUTED_VALUE"""),45807.6666666666)</f>
        <v>45807.666666666599</v>
      </c>
      <c r="B1613" s="1">
        <f ca="1">IFERROR(__xludf.UNSUPPORTED("""COMPUTED_VALUE"""),200.85)</f>
        <v>200.85</v>
      </c>
      <c r="C1613" s="2">
        <f t="shared" ca="1" si="6"/>
        <v>4.5011252813203584E-3</v>
      </c>
    </row>
    <row r="1614" spans="1:3">
      <c r="A1614" s="3">
        <f ca="1">IFERROR(__xludf.UNSUPPORTED("""COMPUTED_VALUE"""),45810.6666666666)</f>
        <v>45810.666666666599</v>
      </c>
      <c r="B1614" s="1">
        <f ca="1">IFERROR(__xludf.UNSUPPORTED("""COMPUTED_VALUE"""),201.7)</f>
        <v>201.7</v>
      </c>
      <c r="C1614" s="2">
        <f t="shared" ca="1" si="6"/>
        <v>4.2320139407517766E-3</v>
      </c>
    </row>
    <row r="1615" spans="1:3">
      <c r="A1615" s="3">
        <f ca="1">IFERROR(__xludf.UNSUPPORTED("""COMPUTED_VALUE"""),45811.6666666666)</f>
        <v>45811.666666666599</v>
      </c>
      <c r="B1615" s="1">
        <f ca="1">IFERROR(__xludf.UNSUPPORTED("""COMPUTED_VALUE"""),203.27)</f>
        <v>203.27</v>
      </c>
      <c r="C1615" s="2">
        <f t="shared" ca="1" si="6"/>
        <v>7.7838373822509748E-3</v>
      </c>
    </row>
    <row r="1616" spans="1:3">
      <c r="A1616" s="3">
        <f ca="1">IFERROR(__xludf.UNSUPPORTED("""COMPUTED_VALUE"""),45812.6666666666)</f>
        <v>45812.666666666599</v>
      </c>
      <c r="B1616" s="1">
        <f ca="1">IFERROR(__xludf.UNSUPPORTED("""COMPUTED_VALUE"""),202.82)</f>
        <v>202.82</v>
      </c>
      <c r="C1616" s="2">
        <f t="shared" ca="1" si="6"/>
        <v>-2.2138042996999903E-3</v>
      </c>
    </row>
    <row r="1617" spans="1:3">
      <c r="A1617" s="3">
        <f ca="1">IFERROR(__xludf.UNSUPPORTED("""COMPUTED_VALUE"""),45813.6666666666)</f>
        <v>45813.666666666599</v>
      </c>
      <c r="B1617" s="1">
        <f ca="1">IFERROR(__xludf.UNSUPPORTED("""COMPUTED_VALUE"""),200.63)</f>
        <v>200.63</v>
      </c>
      <c r="C1617" s="2">
        <f t="shared" ca="1" si="6"/>
        <v>-1.0797751701015669E-2</v>
      </c>
    </row>
    <row r="1618" spans="1:3">
      <c r="A1618" s="3">
        <f ca="1">IFERROR(__xludf.UNSUPPORTED("""COMPUTED_VALUE"""),45814.6666666666)</f>
        <v>45814.666666666599</v>
      </c>
      <c r="B1618" s="1">
        <f ca="1">IFERROR(__xludf.UNSUPPORTED("""COMPUTED_VALUE"""),203.92)</f>
        <v>203.92</v>
      </c>
      <c r="C1618" s="2">
        <f t="shared" ca="1" si="6"/>
        <v>1.6398345212580333E-2</v>
      </c>
    </row>
    <row r="1619" spans="1:3">
      <c r="A1619" s="3">
        <f ca="1">IFERROR(__xludf.UNSUPPORTED("""COMPUTED_VALUE"""),45817.6666666666)</f>
        <v>45817.666666666599</v>
      </c>
      <c r="B1619" s="1">
        <f ca="1">IFERROR(__xludf.UNSUPPORTED("""COMPUTED_VALUE"""),201.45)</f>
        <v>201.45</v>
      </c>
      <c r="C1619" s="2">
        <f t="shared" ca="1" si="6"/>
        <v>-1.2112593173793641E-2</v>
      </c>
    </row>
    <row r="1620" spans="1:3">
      <c r="A1620" s="3">
        <f ca="1">IFERROR(__xludf.UNSUPPORTED("""COMPUTED_VALUE"""),45818.6666666666)</f>
        <v>45818.666666666599</v>
      </c>
      <c r="B1620" s="1">
        <f ca="1">IFERROR(__xludf.UNSUPPORTED("""COMPUTED_VALUE"""),202.67)</f>
        <v>202.67</v>
      </c>
      <c r="C1620" s="2">
        <f t="shared" ca="1" si="6"/>
        <v>6.0560933234053062E-3</v>
      </c>
    </row>
    <row r="1621" spans="1:3">
      <c r="A1621" s="3">
        <f ca="1">IFERROR(__xludf.UNSUPPORTED("""COMPUTED_VALUE"""),45819.6666666666)</f>
        <v>45819.666666666599</v>
      </c>
      <c r="B1621" s="1">
        <f ca="1">IFERROR(__xludf.UNSUPPORTED("""COMPUTED_VALUE"""),198.78)</f>
        <v>198.78</v>
      </c>
      <c r="C1621" s="2">
        <f t="shared" ca="1" si="6"/>
        <v>-1.9193763260472622E-2</v>
      </c>
    </row>
    <row r="1622" spans="1:3">
      <c r="A1622" s="3">
        <f ca="1">IFERROR(__xludf.UNSUPPORTED("""COMPUTED_VALUE"""),45820.6666666666)</f>
        <v>45820.666666666599</v>
      </c>
      <c r="B1622" s="1">
        <f ca="1">IFERROR(__xludf.UNSUPPORTED("""COMPUTED_VALUE"""),199.2)</f>
        <v>199.2</v>
      </c>
      <c r="C1622" s="2">
        <f t="shared" ca="1" si="6"/>
        <v>2.112888620585509E-3</v>
      </c>
    </row>
    <row r="1623" spans="1:3">
      <c r="A1623" s="3">
        <f ca="1">IFERROR(__xludf.UNSUPPORTED("""COMPUTED_VALUE"""),45821.6666666666)</f>
        <v>45821.666666666599</v>
      </c>
      <c r="B1623" s="1">
        <f ca="1">IFERROR(__xludf.UNSUPPORTED("""COMPUTED_VALUE"""),196.45)</f>
        <v>196.45</v>
      </c>
      <c r="C1623" s="2">
        <f t="shared" ca="1" si="6"/>
        <v>-1.3805220883534136E-2</v>
      </c>
    </row>
    <row r="1624" spans="1:3">
      <c r="A1624" s="3">
        <f ca="1">IFERROR(__xludf.UNSUPPORTED("""COMPUTED_VALUE"""),45824.6666666666)</f>
        <v>45824.666666666599</v>
      </c>
      <c r="B1624" s="1">
        <f ca="1">IFERROR(__xludf.UNSUPPORTED("""COMPUTED_VALUE"""),198.42)</f>
        <v>198.42</v>
      </c>
      <c r="C1624" s="2">
        <f t="shared" ca="1" si="6"/>
        <v>1.0027996945787727E-2</v>
      </c>
    </row>
    <row r="1625" spans="1:3">
      <c r="A1625" s="3">
        <f ca="1">IFERROR(__xludf.UNSUPPORTED("""COMPUTED_VALUE"""),45825.6666666666)</f>
        <v>45825.666666666599</v>
      </c>
      <c r="B1625" s="1">
        <f ca="1">IFERROR(__xludf.UNSUPPORTED("""COMPUTED_VALUE"""),195.64)</f>
        <v>195.64</v>
      </c>
      <c r="C1625" s="2">
        <f t="shared" ca="1" si="6"/>
        <v>-1.4010684406813835E-2</v>
      </c>
    </row>
    <row r="1626" spans="1:3">
      <c r="A1626" s="3">
        <f ca="1">IFERROR(__xludf.UNSUPPORTED("""COMPUTED_VALUE"""),45826.6666666666)</f>
        <v>45826.666666666599</v>
      </c>
      <c r="B1626" s="1">
        <f ca="1">IFERROR(__xludf.UNSUPPORTED("""COMPUTED_VALUE"""),196.58)</f>
        <v>196.58</v>
      </c>
      <c r="C1626" s="2">
        <f t="shared" ca="1" si="6"/>
        <v>4.8047434062565234E-3</v>
      </c>
    </row>
    <row r="1627" spans="1:3">
      <c r="A1627" s="3">
        <f ca="1">IFERROR(__xludf.UNSUPPORTED("""COMPUTED_VALUE"""),45828.6666666666)</f>
        <v>45828.666666666599</v>
      </c>
      <c r="B1627" s="1">
        <f ca="1">IFERROR(__xludf.UNSUPPORTED("""COMPUTED_VALUE"""),201)</f>
        <v>201</v>
      </c>
      <c r="C1627" s="2">
        <f t="shared" ca="1" si="6"/>
        <v>2.2484484688167602E-2</v>
      </c>
    </row>
    <row r="1628" spans="1:3">
      <c r="A1628" s="3">
        <f ca="1">IFERROR(__xludf.UNSUPPORTED("""COMPUTED_VALUE"""),45831.6666666666)</f>
        <v>45831.666666666599</v>
      </c>
      <c r="B1628" s="1">
        <f ca="1">IFERROR(__xludf.UNSUPPORTED("""COMPUTED_VALUE"""),201.5)</f>
        <v>201.5</v>
      </c>
      <c r="C1628" s="2">
        <f t="shared" ca="1" si="6"/>
        <v>2.4875621890547263E-3</v>
      </c>
    </row>
    <row r="1629" spans="1:3">
      <c r="A1629" s="3">
        <f ca="1">IFERROR(__xludf.UNSUPPORTED("""COMPUTED_VALUE"""),45832.6666666666)</f>
        <v>45832.666666666599</v>
      </c>
      <c r="B1629" s="1">
        <f ca="1">IFERROR(__xludf.UNSUPPORTED("""COMPUTED_VALUE"""),200.3)</f>
        <v>200.3</v>
      </c>
      <c r="C1629" s="2">
        <f t="shared" ca="1" si="6"/>
        <v>-5.9553349875929957E-3</v>
      </c>
    </row>
    <row r="1630" spans="1:3">
      <c r="A1630" s="3">
        <f ca="1">IFERROR(__xludf.UNSUPPORTED("""COMPUTED_VALUE"""),45833.6666666666)</f>
        <v>45833.666666666599</v>
      </c>
      <c r="B1630" s="1">
        <f ca="1">IFERROR(__xludf.UNSUPPORTED("""COMPUTED_VALUE"""),201.56)</f>
        <v>201.56</v>
      </c>
      <c r="C1630" s="2">
        <f t="shared" ca="1" si="6"/>
        <v>6.2905641537693005E-3</v>
      </c>
    </row>
    <row r="1631" spans="1:3">
      <c r="A1631" s="3">
        <f ca="1">IFERROR(__xludf.UNSUPPORTED("""COMPUTED_VALUE"""),45834.6666666666)</f>
        <v>45834.666666666599</v>
      </c>
      <c r="B1631" s="1">
        <f ca="1">IFERROR(__xludf.UNSUPPORTED("""COMPUTED_VALUE"""),201)</f>
        <v>201</v>
      </c>
      <c r="C1631" s="2">
        <f t="shared" ca="1" si="6"/>
        <v>-2.7783290335384116E-3</v>
      </c>
    </row>
    <row r="1632" spans="1:3">
      <c r="A1632" s="3">
        <f ca="1">IFERROR(__xludf.UNSUPPORTED("""COMPUTED_VALUE"""),45835.6666666666)</f>
        <v>45835.666666666599</v>
      </c>
      <c r="B1632" s="1">
        <f ca="1">IFERROR(__xludf.UNSUPPORTED("""COMPUTED_VALUE"""),201.08)</f>
        <v>201.08</v>
      </c>
      <c r="C1632" s="2">
        <f t="shared" ca="1" si="6"/>
        <v>3.9800995024881844E-4</v>
      </c>
    </row>
    <row r="1633" spans="1:3">
      <c r="A1633" s="3">
        <f ca="1">IFERROR(__xludf.UNSUPPORTED("""COMPUTED_VALUE"""),45838.6666666666)</f>
        <v>45838.666666666599</v>
      </c>
      <c r="B1633" s="1">
        <f ca="1">IFERROR(__xludf.UNSUPPORTED("""COMPUTED_VALUE"""),205.17)</f>
        <v>205.17</v>
      </c>
      <c r="C1633" s="2">
        <f t="shared" ca="1" si="6"/>
        <v>2.0340163119156429E-2</v>
      </c>
    </row>
    <row r="1634" spans="1:3">
      <c r="A1634" s="3">
        <f ca="1">IFERROR(__xludf.UNSUPPORTED("""COMPUTED_VALUE"""),45839.6666666666)</f>
        <v>45839.666666666599</v>
      </c>
      <c r="B1634" s="1">
        <f ca="1">IFERROR(__xludf.UNSUPPORTED("""COMPUTED_VALUE"""),207.82)</f>
        <v>207.82</v>
      </c>
      <c r="C1634" s="2">
        <f t="shared" ca="1" si="6"/>
        <v>1.2916118340888072E-2</v>
      </c>
    </row>
    <row r="1635" spans="1:3">
      <c r="A1635" s="3">
        <f ca="1">IFERROR(__xludf.UNSUPPORTED("""COMPUTED_VALUE"""),45840.6666666666)</f>
        <v>45840.666666666599</v>
      </c>
      <c r="B1635" s="1">
        <f ca="1">IFERROR(__xludf.UNSUPPORTED("""COMPUTED_VALUE"""),212.44)</f>
        <v>212.44</v>
      </c>
      <c r="C1635" s="2">
        <f t="shared" ca="1" si="6"/>
        <v>2.2230776633625274E-2</v>
      </c>
    </row>
    <row r="1636" spans="1:3">
      <c r="A1636" s="3">
        <f ca="1">IFERROR(__xludf.UNSUPPORTED("""COMPUTED_VALUE"""),45841.5451388888)</f>
        <v>45841.545138888803</v>
      </c>
      <c r="B1636" s="1">
        <f ca="1">IFERROR(__xludf.UNSUPPORTED("""COMPUTED_VALUE"""),213.55)</f>
        <v>213.55</v>
      </c>
      <c r="C1636" s="2">
        <f t="shared" ca="1" si="6"/>
        <v>5.2250047072115125E-3</v>
      </c>
    </row>
    <row r="1637" spans="1:3">
      <c r="A1637" s="3">
        <f ca="1">IFERROR(__xludf.UNSUPPORTED("""COMPUTED_VALUE"""),45845.6666666666)</f>
        <v>45845.666666666599</v>
      </c>
      <c r="B1637" s="1">
        <f ca="1">IFERROR(__xludf.UNSUPPORTED("""COMPUTED_VALUE"""),209.95)</f>
        <v>209.95</v>
      </c>
      <c r="C1637" s="2">
        <f t="shared" ca="1" si="6"/>
        <v>-1.6857878716928225E-2</v>
      </c>
    </row>
    <row r="1638" spans="1:3">
      <c r="A1638" s="3">
        <f ca="1">IFERROR(__xludf.UNSUPPORTED("""COMPUTED_VALUE"""),45846.6666666666)</f>
        <v>45846.666666666599</v>
      </c>
      <c r="B1638" s="1">
        <f ca="1">IFERROR(__xludf.UNSUPPORTED("""COMPUTED_VALUE"""),210.01)</f>
        <v>210.01</v>
      </c>
      <c r="C1638" s="2">
        <f t="shared" ca="1" si="6"/>
        <v>2.8578232912599322E-4</v>
      </c>
    </row>
    <row r="1639" spans="1:3">
      <c r="A1639" s="3">
        <f ca="1">IFERROR(__xludf.UNSUPPORTED("""COMPUTED_VALUE"""),45847.6666666666)</f>
        <v>45847.666666666599</v>
      </c>
      <c r="B1639" s="1">
        <f ca="1">IFERROR(__xludf.UNSUPPORTED("""COMPUTED_VALUE"""),211.14)</f>
        <v>211.14</v>
      </c>
      <c r="C1639" s="2">
        <f t="shared" ca="1" si="6"/>
        <v>5.3806961573258198E-3</v>
      </c>
    </row>
    <row r="1640" spans="1:3">
      <c r="A1640" s="3">
        <f ca="1">IFERROR(__xludf.UNSUPPORTED("""COMPUTED_VALUE"""),45848.6666666666)</f>
        <v>45848.666666666599</v>
      </c>
      <c r="B1640" s="1">
        <f ca="1">IFERROR(__xludf.UNSUPPORTED("""COMPUTED_VALUE"""),212.41)</f>
        <v>212.41</v>
      </c>
      <c r="C1640" s="2">
        <f t="shared" ca="1" si="6"/>
        <v>6.0149663730226875E-3</v>
      </c>
    </row>
    <row r="1641" spans="1:3">
      <c r="A1641" s="3">
        <f ca="1">IFERROR(__xludf.UNSUPPORTED("""COMPUTED_VALUE"""),45849.6666666666)</f>
        <v>45849.666666666599</v>
      </c>
      <c r="B1641" s="1">
        <f ca="1">IFERROR(__xludf.UNSUPPORTED("""COMPUTED_VALUE"""),211.16)</f>
        <v>211.16</v>
      </c>
      <c r="C1641" s="2">
        <f t="shared" ca="1" si="6"/>
        <v>-5.8848453462642999E-3</v>
      </c>
    </row>
    <row r="1642" spans="1:3">
      <c r="A1642" s="3">
        <f ca="1">IFERROR(__xludf.UNSUPPORTED("""COMPUTED_VALUE"""),45852.6666666666)</f>
        <v>45852.666666666599</v>
      </c>
      <c r="B1642" s="1">
        <f ca="1">IFERROR(__xludf.UNSUPPORTED("""COMPUTED_VALUE"""),208.62)</f>
        <v>208.62</v>
      </c>
      <c r="C1642" s="2">
        <f t="shared" ca="1" si="6"/>
        <v>-1.202879333207043E-2</v>
      </c>
    </row>
    <row r="1643" spans="1:3">
      <c r="A1643" s="3">
        <f ca="1">IFERROR(__xludf.UNSUPPORTED("""COMPUTED_VALUE"""),45853.6666666666)</f>
        <v>45853.666666666599</v>
      </c>
      <c r="B1643" s="1">
        <f ca="1">IFERROR(__xludf.UNSUPPORTED("""COMPUTED_VALUE"""),209.11)</f>
        <v>209.11</v>
      </c>
      <c r="C1643" s="2">
        <f t="shared" ca="1" si="6"/>
        <v>2.3487680951011845E-3</v>
      </c>
    </row>
    <row r="1644" spans="1:3">
      <c r="A1644" s="3">
        <f ca="1">IFERROR(__xludf.UNSUPPORTED("""COMPUTED_VALUE"""),45854.6666666666)</f>
        <v>45854.666666666599</v>
      </c>
      <c r="B1644" s="1">
        <f ca="1">IFERROR(__xludf.UNSUPPORTED("""COMPUTED_VALUE"""),210.16)</f>
        <v>210.16</v>
      </c>
      <c r="C1644" s="2">
        <f t="shared" ca="1" si="6"/>
        <v>5.0212806656782689E-3</v>
      </c>
    </row>
    <row r="1645" spans="1:3">
      <c r="A1645" s="3">
        <f ca="1">IFERROR(__xludf.UNSUPPORTED("""COMPUTED_VALUE"""),45855.6666666666)</f>
        <v>45855.666666666599</v>
      </c>
      <c r="B1645" s="1">
        <f ca="1">IFERROR(__xludf.UNSUPPORTED("""COMPUTED_VALUE"""),210.02)</f>
        <v>210.02</v>
      </c>
      <c r="C1645" s="2">
        <f t="shared" ca="1" si="6"/>
        <v>-6.6615911686327735E-4</v>
      </c>
    </row>
    <row r="1646" spans="1:3">
      <c r="A1646" s="3">
        <f ca="1">IFERROR(__xludf.UNSUPPORTED("""COMPUTED_VALUE"""),45856.6666666666)</f>
        <v>45856.666666666599</v>
      </c>
      <c r="B1646" s="1">
        <f ca="1">IFERROR(__xludf.UNSUPPORTED("""COMPUTED_VALUE"""),211.18)</f>
        <v>211.18</v>
      </c>
      <c r="C1646" s="2">
        <f t="shared" ca="1" si="6"/>
        <v>5.5232834968098115E-3</v>
      </c>
    </row>
    <row r="1647" spans="1:3">
      <c r="A1647" s="3">
        <f ca="1">IFERROR(__xludf.UNSUPPORTED("""COMPUTED_VALUE"""),45859.6666666666)</f>
        <v>45859.666666666599</v>
      </c>
      <c r="B1647" s="1">
        <f ca="1">IFERROR(__xludf.UNSUPPORTED("""COMPUTED_VALUE"""),212.48)</f>
        <v>212.48</v>
      </c>
      <c r="C1647" s="2">
        <f t="shared" ca="1" si="6"/>
        <v>6.155885974050492E-3</v>
      </c>
    </row>
    <row r="1648" spans="1:3">
      <c r="A1648" s="3">
        <f ca="1">IFERROR(__xludf.UNSUPPORTED("""COMPUTED_VALUE"""),45860.6666666666)</f>
        <v>45860.666666666599</v>
      </c>
      <c r="B1648" s="1">
        <f ca="1">IFERROR(__xludf.UNSUPPORTED("""COMPUTED_VALUE"""),214.4)</f>
        <v>214.4</v>
      </c>
      <c r="C1648" s="2">
        <f t="shared" ca="1" si="6"/>
        <v>9.0361445783133289E-3</v>
      </c>
    </row>
    <row r="1649" spans="1:3">
      <c r="A1649" s="3">
        <f ca="1">IFERROR(__xludf.UNSUPPORTED("""COMPUTED_VALUE"""),45861.6666666666)</f>
        <v>45861.666666666599</v>
      </c>
      <c r="B1649" s="1">
        <f ca="1">IFERROR(__xludf.UNSUPPORTED("""COMPUTED_VALUE"""),214.15)</f>
        <v>214.15</v>
      </c>
      <c r="C1649" s="2">
        <f t="shared" ca="1" si="6"/>
        <v>-1.1660447761194029E-3</v>
      </c>
    </row>
    <row r="1650" spans="1:3">
      <c r="A1650" s="3">
        <f ca="1">IFERROR(__xludf.UNSUPPORTED("""COMPUTED_VALUE"""),45862.6666666666)</f>
        <v>45862.666666666599</v>
      </c>
      <c r="B1650" s="1">
        <f ca="1">IFERROR(__xludf.UNSUPPORTED("""COMPUTED_VALUE"""),213.76)</f>
        <v>213.76</v>
      </c>
      <c r="C1650" s="2">
        <f t="shared" ca="1" si="6"/>
        <v>-1.8211533971515983E-3</v>
      </c>
    </row>
    <row r="1651" spans="1:3">
      <c r="A1651" s="3">
        <f ca="1">IFERROR(__xludf.UNSUPPORTED("""COMPUTED_VALUE"""),45863.6666666666)</f>
        <v>45863.666666666599</v>
      </c>
      <c r="B1651" s="1">
        <f ca="1">IFERROR(__xludf.UNSUPPORTED("""COMPUTED_VALUE"""),213.88)</f>
        <v>213.88</v>
      </c>
      <c r="C1651" s="2">
        <f t="shared" ca="1" si="6"/>
        <v>5.6137724550900337E-4</v>
      </c>
    </row>
    <row r="1652" spans="1:3">
      <c r="A1652" s="3">
        <f ca="1">IFERROR(__xludf.UNSUPPORTED("""COMPUTED_VALUE"""),45866.6666666666)</f>
        <v>45866.666666666599</v>
      </c>
      <c r="B1652" s="1">
        <f ca="1">IFERROR(__xludf.UNSUPPORTED("""COMPUTED_VALUE"""),214.05)</f>
        <v>214.05</v>
      </c>
      <c r="C1652" s="2">
        <f t="shared" ca="1" si="6"/>
        <v>7.9483822704327618E-4</v>
      </c>
    </row>
    <row r="1653" spans="1:3">
      <c r="A1653" s="3">
        <f ca="1">IFERROR(__xludf.UNSUPPORTED("""COMPUTED_VALUE"""),45867.6666666666)</f>
        <v>45867.666666666599</v>
      </c>
      <c r="B1653" s="1">
        <f ca="1">IFERROR(__xludf.UNSUPPORTED("""COMPUTED_VALUE"""),211.27)</f>
        <v>211.27</v>
      </c>
      <c r="C1653" s="2">
        <f t="shared" ca="1" si="6"/>
        <v>-1.298761971501986E-2</v>
      </c>
    </row>
    <row r="1654" spans="1:3">
      <c r="A1654" s="3">
        <f ca="1">IFERROR(__xludf.UNSUPPORTED("""COMPUTED_VALUE"""),45868.6666666666)</f>
        <v>45868.666666666599</v>
      </c>
      <c r="B1654" s="1">
        <f ca="1">IFERROR(__xludf.UNSUPPORTED("""COMPUTED_VALUE"""),209.05)</f>
        <v>209.05</v>
      </c>
      <c r="C1654" s="2">
        <f t="shared" ca="1" si="6"/>
        <v>-1.0507880910683007E-2</v>
      </c>
    </row>
    <row r="1655" spans="1:3">
      <c r="A1655" s="3">
        <f ca="1">IFERROR(__xludf.UNSUPPORTED("""COMPUTED_VALUE"""),45869.6666666666)</f>
        <v>45869.666666666599</v>
      </c>
      <c r="B1655" s="1">
        <f ca="1">IFERROR(__xludf.UNSUPPORTED("""COMPUTED_VALUE"""),207.57)</f>
        <v>207.57</v>
      </c>
      <c r="C1655" s="2">
        <f t="shared" ca="1" si="6"/>
        <v>-7.0796460176992017E-3</v>
      </c>
    </row>
    <row r="1656" spans="1:3">
      <c r="A1656" s="3">
        <f ca="1">IFERROR(__xludf.UNSUPPORTED("""COMPUTED_VALUE"""),45870.6666666666)</f>
        <v>45870.666666666599</v>
      </c>
      <c r="B1656" s="1">
        <f ca="1">IFERROR(__xludf.UNSUPPORTED("""COMPUTED_VALUE"""),202.38)</f>
        <v>202.38</v>
      </c>
      <c r="C1656" s="2">
        <f t="shared" ca="1" si="6"/>
        <v>-2.5003613238907346E-2</v>
      </c>
    </row>
    <row r="1657" spans="1:3">
      <c r="A1657" s="3">
        <f ca="1">IFERROR(__xludf.UNSUPPORTED("""COMPUTED_VALUE"""),45873.6666666666)</f>
        <v>45873.666666666599</v>
      </c>
      <c r="B1657" s="1">
        <f ca="1">IFERROR(__xludf.UNSUPPORTED("""COMPUTED_VALUE"""),203.35)</f>
        <v>203.35</v>
      </c>
      <c r="C1657" s="2">
        <f t="shared" ca="1" si="6"/>
        <v>4.7929637315940257E-3</v>
      </c>
    </row>
    <row r="1658" spans="1:3">
      <c r="A1658" s="3">
        <f ca="1">IFERROR(__xludf.UNSUPPORTED("""COMPUTED_VALUE"""),45874.6666666666)</f>
        <v>45874.666666666599</v>
      </c>
      <c r="B1658" s="1">
        <f ca="1">IFERROR(__xludf.UNSUPPORTED("""COMPUTED_VALUE"""),202.92)</f>
        <v>202.92</v>
      </c>
      <c r="C1658" s="2">
        <f t="shared" ca="1" si="6"/>
        <v>-2.114580772067897E-3</v>
      </c>
    </row>
    <row r="1659" spans="1:3">
      <c r="A1659" s="3">
        <f ca="1">IFERROR(__xludf.UNSUPPORTED("""COMPUTED_VALUE"""),45875.6666666666)</f>
        <v>45875.666666666599</v>
      </c>
      <c r="B1659" s="1">
        <f ca="1">IFERROR(__xludf.UNSUPPORTED("""COMPUTED_VALUE"""),213.25)</f>
        <v>213.25</v>
      </c>
      <c r="C1659" s="2">
        <f t="shared" ca="1" si="6"/>
        <v>5.0906761285235629E-2</v>
      </c>
    </row>
    <row r="1660" spans="1:3">
      <c r="A1660" s="3">
        <f ca="1">IFERROR(__xludf.UNSUPPORTED("""COMPUTED_VALUE"""),45876.6666666666)</f>
        <v>45876.666666666599</v>
      </c>
      <c r="B1660" s="1">
        <f ca="1">IFERROR(__xludf.UNSUPPORTED("""COMPUTED_VALUE"""),220.03)</f>
        <v>220.03</v>
      </c>
      <c r="C1660" s="2">
        <f t="shared" ca="1" si="6"/>
        <v>3.1793669402110203E-2</v>
      </c>
    </row>
    <row r="1661" spans="1:3">
      <c r="A1661" s="3">
        <f ca="1">IFERROR(__xludf.UNSUPPORTED("""COMPUTED_VALUE"""),45877.6666666666)</f>
        <v>45877.666666666599</v>
      </c>
      <c r="B1661" s="1">
        <f ca="1">IFERROR(__xludf.UNSUPPORTED("""COMPUTED_VALUE"""),229.35)</f>
        <v>229.35</v>
      </c>
      <c r="C1661" s="2">
        <f t="shared" ca="1" si="6"/>
        <v>4.2357860291778363E-2</v>
      </c>
    </row>
    <row r="1662" spans="1:3">
      <c r="A1662" s="3">
        <f ca="1">IFERROR(__xludf.UNSUPPORTED("""COMPUTED_VALUE"""),45880.6666666666)</f>
        <v>45880.666666666599</v>
      </c>
      <c r="B1662" s="1">
        <f ca="1">IFERROR(__xludf.UNSUPPORTED("""COMPUTED_VALUE"""),227.18)</f>
        <v>227.18</v>
      </c>
      <c r="C1662" s="2">
        <f t="shared" ca="1" si="6"/>
        <v>-9.4615216917374647E-3</v>
      </c>
    </row>
    <row r="1663" spans="1:3">
      <c r="A1663" s="3">
        <f ca="1">IFERROR(__xludf.UNSUPPORTED("""COMPUTED_VALUE"""),45881.6666666666)</f>
        <v>45881.666666666599</v>
      </c>
      <c r="B1663" s="1">
        <f ca="1">IFERROR(__xludf.UNSUPPORTED("""COMPUTED_VALUE"""),229.65)</f>
        <v>229.65</v>
      </c>
      <c r="C1663" s="2">
        <f t="shared" ca="1" si="6"/>
        <v>1.0872435953869173E-2</v>
      </c>
    </row>
    <row r="1664" spans="1:3">
      <c r="A1664" s="3">
        <f ca="1">IFERROR(__xludf.UNSUPPORTED("""COMPUTED_VALUE"""),45882.6666666666)</f>
        <v>45882.666666666599</v>
      </c>
      <c r="B1664" s="1">
        <f ca="1">IFERROR(__xludf.UNSUPPORTED("""COMPUTED_VALUE"""),233.33)</f>
        <v>233.33</v>
      </c>
      <c r="C1664" s="2">
        <f t="shared" ca="1" si="6"/>
        <v>1.6024384933594631E-2</v>
      </c>
    </row>
    <row r="1665" spans="1:3">
      <c r="A1665" s="3">
        <f ca="1">IFERROR(__xludf.UNSUPPORTED("""COMPUTED_VALUE"""),45883.6666666666)</f>
        <v>45883.666666666599</v>
      </c>
      <c r="B1665" s="1">
        <f ca="1">IFERROR(__xludf.UNSUPPORTED("""COMPUTED_VALUE"""),232.78)</f>
        <v>232.78</v>
      </c>
      <c r="C1665" s="2">
        <f t="shared" ca="1" si="6"/>
        <v>-2.3571765310933497E-3</v>
      </c>
    </row>
    <row r="1666" spans="1:3">
      <c r="A1666" s="3">
        <f ca="1">IFERROR(__xludf.UNSUPPORTED("""COMPUTED_VALUE"""),45884.6666666666)</f>
        <v>45884.666666666599</v>
      </c>
      <c r="B1666" s="1">
        <f ca="1">IFERROR(__xludf.UNSUPPORTED("""COMPUTED_VALUE"""),231.59)</f>
        <v>231.59</v>
      </c>
      <c r="C1666" s="2">
        <f t="shared" ca="1" si="6"/>
        <v>-5.1121230346249579E-3</v>
      </c>
    </row>
    <row r="1667" spans="1:3">
      <c r="A1667" s="3">
        <f ca="1">IFERROR(__xludf.UNSUPPORTED("""COMPUTED_VALUE"""),45887.6666666666)</f>
        <v>45887.666666666599</v>
      </c>
      <c r="B1667" s="1">
        <f ca="1">IFERROR(__xludf.UNSUPPORTED("""COMPUTED_VALUE"""),230.89)</f>
        <v>230.89</v>
      </c>
      <c r="C1667" s="2">
        <f t="shared" ca="1" si="6"/>
        <v>-3.02258301308354E-3</v>
      </c>
    </row>
    <row r="1668" spans="1:3">
      <c r="A1668" s="3">
        <f ca="1">IFERROR(__xludf.UNSUPPORTED("""COMPUTED_VALUE"""),45888.6666666666)</f>
        <v>45888.666666666599</v>
      </c>
      <c r="B1668" s="1">
        <f ca="1">IFERROR(__xludf.UNSUPPORTED("""COMPUTED_VALUE"""),230.56)</f>
        <v>230.56</v>
      </c>
      <c r="C1668" s="2">
        <f t="shared" ca="1" si="6"/>
        <v>-1.429252024773633E-3</v>
      </c>
    </row>
    <row r="1669" spans="1:3">
      <c r="A1669" s="3">
        <f ca="1">IFERROR(__xludf.UNSUPPORTED("""COMPUTED_VALUE"""),45889.6666666666)</f>
        <v>45889.666666666599</v>
      </c>
      <c r="B1669" s="1">
        <f ca="1">IFERROR(__xludf.UNSUPPORTED("""COMPUTED_VALUE"""),226.01)</f>
        <v>226.01</v>
      </c>
      <c r="C1669" s="2">
        <f t="shared" ca="1" si="6"/>
        <v>-1.9734559333796024E-2</v>
      </c>
    </row>
    <row r="1670" spans="1:3">
      <c r="A1670" s="3">
        <f ca="1">IFERROR(__xludf.UNSUPPORTED("""COMPUTED_VALUE"""),45890.6666666666)</f>
        <v>45890.666666666599</v>
      </c>
      <c r="B1670" s="1">
        <f ca="1">IFERROR(__xludf.UNSUPPORTED("""COMPUTED_VALUE"""),224.9)</f>
        <v>224.9</v>
      </c>
      <c r="C1670" s="2">
        <f t="shared" ca="1" si="6"/>
        <v>-4.9112871111897053E-3</v>
      </c>
    </row>
    <row r="1671" spans="1:3">
      <c r="A1671" s="3">
        <f ca="1">IFERROR(__xludf.UNSUPPORTED("""COMPUTED_VALUE"""),45891.6666666666)</f>
        <v>45891.666666666599</v>
      </c>
      <c r="B1671" s="1">
        <f ca="1">IFERROR(__xludf.UNSUPPORTED("""COMPUTED_VALUE"""),227.76)</f>
        <v>227.76</v>
      </c>
      <c r="C1671" s="2">
        <f t="shared" ca="1" si="6"/>
        <v>1.2716763005780281E-2</v>
      </c>
    </row>
    <row r="1672" spans="1:3">
      <c r="A1672" s="3">
        <f ca="1">IFERROR(__xludf.UNSUPPORTED("""COMPUTED_VALUE"""),45894.6666666666)</f>
        <v>45894.666666666599</v>
      </c>
      <c r="B1672" s="1">
        <f ca="1">IFERROR(__xludf.UNSUPPORTED("""COMPUTED_VALUE"""),227.16)</f>
        <v>227.16</v>
      </c>
      <c r="C1672" s="2">
        <f t="shared" ca="1" si="6"/>
        <v>-2.6343519494204178E-3</v>
      </c>
    </row>
    <row r="1673" spans="1:3">
      <c r="A1673" s="3">
        <f ca="1">IFERROR(__xludf.UNSUPPORTED("""COMPUTED_VALUE"""),45895.6666666666)</f>
        <v>45895.666666666599</v>
      </c>
      <c r="B1673" s="1">
        <f ca="1">IFERROR(__xludf.UNSUPPORTED("""COMPUTED_VALUE"""),229.31)</f>
        <v>229.31</v>
      </c>
      <c r="C1673" s="2">
        <f t="shared" ca="1" si="6"/>
        <v>9.4646944884663048E-3</v>
      </c>
    </row>
    <row r="1674" spans="1:3">
      <c r="A1674" s="3">
        <f ca="1">IFERROR(__xludf.UNSUPPORTED("""COMPUTED_VALUE"""),45896.6666666666)</f>
        <v>45896.666666666599</v>
      </c>
      <c r="B1674" s="1">
        <f ca="1">IFERROR(__xludf.UNSUPPORTED("""COMPUTED_VALUE"""),230.49)</f>
        <v>230.49</v>
      </c>
      <c r="C1674" s="2">
        <f t="shared" ca="1" si="6"/>
        <v>5.1458723998081494E-3</v>
      </c>
    </row>
    <row r="1675" spans="1:3">
      <c r="A1675" s="3">
        <f ca="1">IFERROR(__xludf.UNSUPPORTED("""COMPUTED_VALUE"""),45897.6666666666)</f>
        <v>45897.666666666599</v>
      </c>
      <c r="B1675" s="1">
        <f ca="1">IFERROR(__xludf.UNSUPPORTED("""COMPUTED_VALUE"""),232.56)</f>
        <v>232.56</v>
      </c>
      <c r="C1675" s="2">
        <f t="shared" ca="1" si="6"/>
        <v>8.9808668488871243E-3</v>
      </c>
    </row>
    <row r="1676" spans="1:3">
      <c r="A1676" s="3">
        <f ca="1">IFERROR(__xludf.UNSUPPORTED("""COMPUTED_VALUE"""),45898.6666666666)</f>
        <v>45898.666666666599</v>
      </c>
      <c r="B1676" s="1">
        <f ca="1">IFERROR(__xludf.UNSUPPORTED("""COMPUTED_VALUE"""),232.14)</f>
        <v>232.14</v>
      </c>
      <c r="C1676" s="2">
        <f t="shared" ca="1" si="6"/>
        <v>-1.8059855521156516E-3</v>
      </c>
    </row>
    <row r="1677" spans="1:3">
      <c r="A1677" s="3">
        <f ca="1">IFERROR(__xludf.UNSUPPORTED("""COMPUTED_VALUE"""),45902.6666666666)</f>
        <v>45902.666666666599</v>
      </c>
      <c r="B1677" s="1">
        <f ca="1">IFERROR(__xludf.UNSUPPORTED("""COMPUTED_VALUE"""),229.72)</f>
        <v>229.72</v>
      </c>
      <c r="C1677" s="2">
        <f t="shared" ca="1" si="6"/>
        <v>-1.0424743689153044E-2</v>
      </c>
    </row>
    <row r="1678" spans="1:3">
      <c r="A1678" s="3">
        <f ca="1">IFERROR(__xludf.UNSUPPORTED("""COMPUTED_VALUE"""),45903.6666666666)</f>
        <v>45903.666666666599</v>
      </c>
      <c r="B1678" s="1">
        <f ca="1">IFERROR(__xludf.UNSUPPORTED("""COMPUTED_VALUE"""),238.47)</f>
        <v>238.47</v>
      </c>
      <c r="C1678" s="2">
        <f t="shared" ca="1" si="6"/>
        <v>3.8089848511231067E-2</v>
      </c>
    </row>
    <row r="1679" spans="1:3">
      <c r="A1679" s="3">
        <f ca="1">IFERROR(__xludf.UNSUPPORTED("""COMPUTED_VALUE"""),45904.6666666666)</f>
        <v>45904.666666666599</v>
      </c>
      <c r="B1679" s="1">
        <f ca="1">IFERROR(__xludf.UNSUPPORTED("""COMPUTED_VALUE"""),239.78)</f>
        <v>239.78</v>
      </c>
      <c r="C1679" s="2">
        <f t="shared" ca="1" si="6"/>
        <v>5.4933534616513702E-3</v>
      </c>
    </row>
    <row r="1680" spans="1:3">
      <c r="A1680" s="3">
        <f ca="1">IFERROR(__xludf.UNSUPPORTED("""COMPUTED_VALUE"""),45905.6666666666)</f>
        <v>45905.666666666599</v>
      </c>
      <c r="B1680" s="1">
        <f ca="1">IFERROR(__xludf.UNSUPPORTED("""COMPUTED_VALUE"""),239.69)</f>
        <v>239.69</v>
      </c>
      <c r="C1680" s="2">
        <f t="shared" ca="1" si="6"/>
        <v>-3.7534406539329137E-4</v>
      </c>
    </row>
    <row r="1681" spans="1:3">
      <c r="A1681" s="3">
        <f ca="1">IFERROR(__xludf.UNSUPPORTED("""COMPUTED_VALUE"""),45908.6666666666)</f>
        <v>45908.666666666599</v>
      </c>
      <c r="B1681" s="1">
        <f ca="1">IFERROR(__xludf.UNSUPPORTED("""COMPUTED_VALUE"""),237.88)</f>
        <v>237.88</v>
      </c>
      <c r="C1681" s="2">
        <f t="shared" ca="1" si="6"/>
        <v>-7.5514205849222006E-3</v>
      </c>
    </row>
    <row r="1682" spans="1:3">
      <c r="A1682" s="3">
        <f ca="1">IFERROR(__xludf.UNSUPPORTED("""COMPUTED_VALUE"""),45909.6666666666)</f>
        <v>45909.666666666599</v>
      </c>
      <c r="B1682" s="1">
        <f ca="1">IFERROR(__xludf.UNSUPPORTED("""COMPUTED_VALUE"""),234.35)</f>
        <v>234.35</v>
      </c>
      <c r="C1682" s="2">
        <f t="shared" ca="1" si="6"/>
        <v>-1.4839414831007236E-2</v>
      </c>
    </row>
    <row r="1683" spans="1:3">
      <c r="A1683" s="3">
        <f ca="1">IFERROR(__xludf.UNSUPPORTED("""COMPUTED_VALUE"""),45910.6666666666)</f>
        <v>45910.666666666599</v>
      </c>
      <c r="B1683" s="1">
        <f ca="1">IFERROR(__xludf.UNSUPPORTED("""COMPUTED_VALUE"""),226.79)</f>
        <v>226.79</v>
      </c>
      <c r="C1683" s="2">
        <f t="shared" ca="1" si="6"/>
        <v>-3.2259441007040764E-2</v>
      </c>
    </row>
    <row r="1684" spans="1:3">
      <c r="A1684" s="3">
        <f ca="1">IFERROR(__xludf.UNSUPPORTED("""COMPUTED_VALUE"""),45911.6666666666)</f>
        <v>45911.666666666599</v>
      </c>
      <c r="B1684" s="1">
        <f ca="1">IFERROR(__xludf.UNSUPPORTED("""COMPUTED_VALUE"""),230.03)</f>
        <v>230.03</v>
      </c>
      <c r="C1684" s="2">
        <f t="shared" ca="1" si="6"/>
        <v>1.4286344195070371E-2</v>
      </c>
    </row>
    <row r="1685" spans="1:3">
      <c r="A1685" s="3">
        <f ca="1">IFERROR(__xludf.UNSUPPORTED("""COMPUTED_VALUE"""),45912.6666666666)</f>
        <v>45912.666666666599</v>
      </c>
      <c r="B1685" s="1">
        <f ca="1">IFERROR(__xludf.UNSUPPORTED("""COMPUTED_VALUE"""),234.07)</f>
        <v>234.07</v>
      </c>
      <c r="C1685" s="2">
        <f t="shared" ca="1" si="6"/>
        <v>1.7562926574794559E-2</v>
      </c>
    </row>
    <row r="1686" spans="1:3">
      <c r="A1686" s="3">
        <f ca="1">IFERROR(__xludf.UNSUPPORTED("""COMPUTED_VALUE"""),45915.6666666666)</f>
        <v>45915.666666666599</v>
      </c>
      <c r="B1686" s="1">
        <f ca="1">IFERROR(__xludf.UNSUPPORTED("""COMPUTED_VALUE"""),236.7)</f>
        <v>236.7</v>
      </c>
      <c r="C1686" s="2">
        <f t="shared" ca="1" si="6"/>
        <v>1.1235955056179756E-2</v>
      </c>
    </row>
    <row r="1687" spans="1:3">
      <c r="A1687" s="3">
        <f ca="1">IFERROR(__xludf.UNSUPPORTED("""COMPUTED_VALUE"""),45916.6666666666)</f>
        <v>45916.666666666599</v>
      </c>
      <c r="B1687" s="1">
        <f ca="1">IFERROR(__xludf.UNSUPPORTED("""COMPUTED_VALUE"""),238.15)</f>
        <v>238.15</v>
      </c>
      <c r="C1687" s="2">
        <f t="shared" ca="1" si="6"/>
        <v>6.1258977608788217E-3</v>
      </c>
    </row>
    <row r="1688" spans="1:3">
      <c r="A1688" s="3">
        <f ca="1">IFERROR(__xludf.UNSUPPORTED("""COMPUTED_VALUE"""),45917.6666666666)</f>
        <v>45917.666666666599</v>
      </c>
      <c r="B1688" s="1">
        <f ca="1">IFERROR(__xludf.UNSUPPORTED("""COMPUTED_VALUE"""),238.99)</f>
        <v>238.99</v>
      </c>
      <c r="C1688" s="2">
        <f t="shared" ca="1" si="6"/>
        <v>3.5271887465882991E-3</v>
      </c>
    </row>
    <row r="1689" spans="1:3">
      <c r="A1689" s="3">
        <f ca="1">IFERROR(__xludf.UNSUPPORTED("""COMPUTED_VALUE"""),45918.6666666666)</f>
        <v>45918.666666666599</v>
      </c>
      <c r="B1689" s="1">
        <f ca="1">IFERROR(__xludf.UNSUPPORTED("""COMPUTED_VALUE"""),237.88)</f>
        <v>237.88</v>
      </c>
      <c r="C1689" s="2">
        <f t="shared" ca="1" si="6"/>
        <v>-4.6445457968953248E-3</v>
      </c>
    </row>
    <row r="1690" spans="1:3">
      <c r="A1690" s="3">
        <f ca="1">IFERROR(__xludf.UNSUPPORTED("""COMPUTED_VALUE"""),45919.6666666666)</f>
        <v>45919.666666666599</v>
      </c>
      <c r="B1690" s="1">
        <f ca="1">IFERROR(__xludf.UNSUPPORTED("""COMPUTED_VALUE"""),245.5)</f>
        <v>245.5</v>
      </c>
      <c r="C1690" s="2">
        <f t="shared" ca="1" si="6"/>
        <v>3.2032957793845657E-2</v>
      </c>
    </row>
    <row r="1691" spans="1:3">
      <c r="A1691" s="3">
        <f ca="1">IFERROR(__xludf.UNSUPPORTED("""COMPUTED_VALUE"""),45922.6666666666)</f>
        <v>45922.666666666599</v>
      </c>
      <c r="B1691" s="1">
        <f ca="1">IFERROR(__xludf.UNSUPPORTED("""COMPUTED_VALUE"""),256.08)</f>
        <v>256.08</v>
      </c>
      <c r="C1691" s="2">
        <f t="shared" ca="1" si="6"/>
        <v>4.3095723014256557E-2</v>
      </c>
    </row>
    <row r="1692" spans="1:3">
      <c r="A1692" s="3">
        <f ca="1">IFERROR(__xludf.UNSUPPORTED("""COMPUTED_VALUE"""),45923.6666666666)</f>
        <v>45923.666666666599</v>
      </c>
      <c r="B1692" s="1">
        <f ca="1">IFERROR(__xludf.UNSUPPORTED("""COMPUTED_VALUE"""),254.43)</f>
        <v>254.43</v>
      </c>
      <c r="C1692" s="2">
        <f t="shared" ca="1" si="6"/>
        <v>-6.4432989690720761E-3</v>
      </c>
    </row>
    <row r="1693" spans="1:3">
      <c r="A1693" s="3">
        <f ca="1">IFERROR(__xludf.UNSUPPORTED("""COMPUTED_VALUE"""),45924.6666666666)</f>
        <v>45924.666666666599</v>
      </c>
      <c r="B1693" s="1">
        <f ca="1">IFERROR(__xludf.UNSUPPORTED("""COMPUTED_VALUE"""),252.31)</f>
        <v>252.31</v>
      </c>
      <c r="C1693" s="2">
        <f t="shared" ca="1" si="6"/>
        <v>-8.332350744802125E-3</v>
      </c>
    </row>
    <row r="1694" spans="1:3">
      <c r="A1694" s="3">
        <f ca="1">IFERROR(__xludf.UNSUPPORTED("""COMPUTED_VALUE"""),45925.6666666666)</f>
        <v>45925.666666666599</v>
      </c>
      <c r="B1694" s="1">
        <f ca="1">IFERROR(__xludf.UNSUPPORTED("""COMPUTED_VALUE"""),256.87)</f>
        <v>256.87</v>
      </c>
      <c r="C1694" s="2">
        <f t="shared" ca="1" si="6"/>
        <v>1.8073005429828395E-2</v>
      </c>
    </row>
    <row r="1695" spans="1:3">
      <c r="A1695" s="3">
        <f ca="1">IFERROR(__xludf.UNSUPPORTED("""COMPUTED_VALUE"""),45926.6666666666)</f>
        <v>45926.666666666599</v>
      </c>
      <c r="B1695" s="1">
        <f ca="1">IFERROR(__xludf.UNSUPPORTED("""COMPUTED_VALUE"""),255.46)</f>
        <v>255.46</v>
      </c>
      <c r="C1695" s="2">
        <f t="shared" ca="1" si="6"/>
        <v>-5.4891579398139E-3</v>
      </c>
    </row>
    <row r="1696" spans="1:3">
      <c r="A1696" s="3">
        <f ca="1">IFERROR(__xludf.UNSUPPORTED("""COMPUTED_VALUE"""),45929.6666666666)</f>
        <v>45929.666666666599</v>
      </c>
      <c r="B1696" s="1">
        <f ca="1">IFERROR(__xludf.UNSUPPORTED("""COMPUTED_VALUE"""),254.43)</f>
        <v>254.43</v>
      </c>
      <c r="C1696" s="2">
        <f t="shared" ca="1" si="6"/>
        <v>-4.0319423784545569E-3</v>
      </c>
    </row>
    <row r="1697" spans="1:3">
      <c r="A1697" s="3">
        <f ca="1">IFERROR(__xludf.UNSUPPORTED("""COMPUTED_VALUE"""),45930.6666666666)</f>
        <v>45930.666666666599</v>
      </c>
      <c r="B1697" s="1">
        <f ca="1">IFERROR(__xludf.UNSUPPORTED("""COMPUTED_VALUE"""),254.63)</f>
        <v>254.63</v>
      </c>
      <c r="C1697" s="2">
        <f t="shared" ca="1" si="6"/>
        <v>7.8607082498128613E-4</v>
      </c>
    </row>
    <row r="1698" spans="1:3">
      <c r="A1698" s="3">
        <f ca="1">IFERROR(__xludf.UNSUPPORTED("""COMPUTED_VALUE"""),45931.6666666666)</f>
        <v>45931.666666666599</v>
      </c>
      <c r="B1698" s="1">
        <f ca="1">IFERROR(__xludf.UNSUPPORTED("""COMPUTED_VALUE"""),255.45)</f>
        <v>255.45</v>
      </c>
      <c r="C1698" s="2">
        <f t="shared" ca="1" si="6"/>
        <v>3.2203589522051337E-3</v>
      </c>
    </row>
    <row r="1699" spans="1:3">
      <c r="A1699" s="3">
        <f ca="1">IFERROR(__xludf.UNSUPPORTED("""COMPUTED_VALUE"""),45932.6666666666)</f>
        <v>45932.666666666599</v>
      </c>
      <c r="B1699" s="1">
        <f ca="1">IFERROR(__xludf.UNSUPPORTED("""COMPUTED_VALUE"""),257.13)</f>
        <v>257.13</v>
      </c>
      <c r="C1699" s="2">
        <f t="shared" ca="1" si="6"/>
        <v>6.5766294773928636E-3</v>
      </c>
    </row>
    <row r="1700" spans="1:3">
      <c r="A1700" s="3">
        <f ca="1">IFERROR(__xludf.UNSUPPORTED("""COMPUTED_VALUE"""),45933.6666666666)</f>
        <v>45933.666666666599</v>
      </c>
      <c r="B1700" s="1">
        <f ca="1">IFERROR(__xludf.UNSUPPORTED("""COMPUTED_VALUE"""),258.02)</f>
        <v>258.02</v>
      </c>
      <c r="C1700" s="2">
        <f t="shared" ca="1" si="6"/>
        <v>3.461284175319824E-3</v>
      </c>
    </row>
    <row r="1701" spans="1:3">
      <c r="A1701" s="3">
        <f ca="1">IFERROR(__xludf.UNSUPPORTED("""COMPUTED_VALUE"""),45936.6666666666)</f>
        <v>45936.666666666599</v>
      </c>
      <c r="B1701" s="1">
        <f ca="1">IFERROR(__xludf.UNSUPPORTED("""COMPUTED_VALUE"""),256.69)</f>
        <v>256.69</v>
      </c>
      <c r="C1701" s="2">
        <f t="shared" ca="1" si="6"/>
        <v>-5.1546391752576703E-3</v>
      </c>
    </row>
    <row r="1702" spans="1:3">
      <c r="A1702" s="3">
        <f ca="1">IFERROR(__xludf.UNSUPPORTED("""COMPUTED_VALUE"""),45937.6666666666)</f>
        <v>45937.666666666599</v>
      </c>
      <c r="B1702" s="1">
        <f ca="1">IFERROR(__xludf.UNSUPPORTED("""COMPUTED_VALUE"""),256.48)</f>
        <v>256.48</v>
      </c>
      <c r="C1702" s="2">
        <f t="shared" ca="1" si="6"/>
        <v>-8.1810744477766781E-4</v>
      </c>
    </row>
    <row r="1703" spans="1:3">
      <c r="A1703" s="3">
        <f ca="1">IFERROR(__xludf.UNSUPPORTED("""COMPUTED_VALUE"""),45938.6666666666)</f>
        <v>45938.666666666599</v>
      </c>
      <c r="B1703" s="1">
        <f ca="1">IFERROR(__xludf.UNSUPPORTED("""COMPUTED_VALUE"""),258.06)</f>
        <v>258.06</v>
      </c>
      <c r="C1703" s="2">
        <f t="shared" ca="1" si="6"/>
        <v>6.1603243917653771E-3</v>
      </c>
    </row>
    <row r="1704" spans="1:3">
      <c r="A1704" s="3">
        <f ca="1">IFERROR(__xludf.UNSUPPORTED("""COMPUTED_VALUE"""),45939.6666666666)</f>
        <v>45939.666666666599</v>
      </c>
      <c r="B1704" s="1">
        <f ca="1">IFERROR(__xludf.UNSUPPORTED("""COMPUTED_VALUE"""),254.04)</f>
        <v>254.04</v>
      </c>
      <c r="C1704" s="2">
        <f t="shared" ca="1" si="6"/>
        <v>-1.5577772611020732E-2</v>
      </c>
    </row>
    <row r="1705" spans="1:3">
      <c r="A1705" s="3">
        <f ca="1">IFERROR(__xludf.UNSUPPORTED("""COMPUTED_VALUE"""),45940.6666666666)</f>
        <v>45940.666666666599</v>
      </c>
      <c r="B1705" s="1">
        <f ca="1">IFERROR(__xludf.UNSUPPORTED("""COMPUTED_VALUE"""),245.27)</f>
        <v>245.27</v>
      </c>
      <c r="C1705" s="2">
        <f t="shared" ca="1" si="6"/>
        <v>-3.4522122500393569E-2</v>
      </c>
    </row>
    <row r="1706" spans="1:3">
      <c r="A1706" s="3">
        <f ca="1">IFERROR(__xludf.UNSUPPORTED("""COMPUTED_VALUE"""),45943.6666666666)</f>
        <v>45943.666666666599</v>
      </c>
      <c r="B1706" s="1">
        <f ca="1">IFERROR(__xludf.UNSUPPORTED("""COMPUTED_VALUE"""),247.66)</f>
        <v>247.66</v>
      </c>
      <c r="C1706" s="2">
        <f t="shared" ca="1" si="6"/>
        <v>9.7443633546703077E-3</v>
      </c>
    </row>
    <row r="1707" spans="1:3">
      <c r="A1707" s="3">
        <f ca="1">IFERROR(__xludf.UNSUPPORTED("""COMPUTED_VALUE"""),45944.6666666666)</f>
        <v>45944.666666666599</v>
      </c>
      <c r="B1707" s="1">
        <f ca="1">IFERROR(__xludf.UNSUPPORTED("""COMPUTED_VALUE"""),247.77)</f>
        <v>247.77</v>
      </c>
      <c r="C1707" s="2">
        <f t="shared" ca="1" si="6"/>
        <v>4.4415731244453545E-4</v>
      </c>
    </row>
    <row r="1708" spans="1:3">
      <c r="A1708" s="3">
        <f ca="1">IFERROR(__xludf.UNSUPPORTED("""COMPUTED_VALUE"""),45945.6666666666)</f>
        <v>45945.666666666599</v>
      </c>
      <c r="B1708" s="1">
        <f ca="1">IFERROR(__xludf.UNSUPPORTED("""COMPUTED_VALUE"""),249.34)</f>
        <v>249.34</v>
      </c>
      <c r="C1708" s="2">
        <f t="shared" ca="1" si="6"/>
        <v>6.336521774226069E-3</v>
      </c>
    </row>
    <row r="1709" spans="1:3">
      <c r="A1709" s="3">
        <f ca="1">IFERROR(__xludf.UNSUPPORTED("""COMPUTED_VALUE"""),45946.6666666666)</f>
        <v>45946.666666666599</v>
      </c>
      <c r="B1709" s="1">
        <f ca="1">IFERROR(__xludf.UNSUPPORTED("""COMPUTED_VALUE"""),247.45)</f>
        <v>247.45</v>
      </c>
      <c r="C1709" s="2">
        <f t="shared" ca="1" si="6"/>
        <v>-7.5800112296463256E-3</v>
      </c>
    </row>
    <row r="1710" spans="1:3">
      <c r="A1710" s="3">
        <f ca="1">IFERROR(__xludf.UNSUPPORTED("""COMPUTED_VALUE"""),45947.6666666666)</f>
        <v>45947.666666666599</v>
      </c>
      <c r="B1710" s="1">
        <f ca="1">IFERROR(__xludf.UNSUPPORTED("""COMPUTED_VALUE"""),252.29)</f>
        <v>252.29</v>
      </c>
      <c r="C1710" s="2">
        <f t="shared" ca="1" si="6"/>
        <v>1.9559506971105287E-2</v>
      </c>
    </row>
    <row r="1711" spans="1:3">
      <c r="A1711" s="3">
        <f ca="1">IFERROR(__xludf.UNSUPPORTED("""COMPUTED_VALUE"""),45950.6666666666)</f>
        <v>45950.666666666599</v>
      </c>
      <c r="B1711" s="1">
        <f ca="1">IFERROR(__xludf.UNSUPPORTED("""COMPUTED_VALUE"""),262.24)</f>
        <v>262.24</v>
      </c>
      <c r="C1711" s="2">
        <f t="shared" ca="1" si="6"/>
        <v>3.943874113123793E-2</v>
      </c>
    </row>
    <row r="1712" spans="1:3">
      <c r="A1712" s="3">
        <f ca="1">IFERROR(__xludf.UNSUPPORTED("""COMPUTED_VALUE"""),45951.6666666666)</f>
        <v>45951.666666666599</v>
      </c>
      <c r="B1712" s="1">
        <f ca="1">IFERROR(__xludf.UNSUPPORTED("""COMPUTED_VALUE"""),262.77)</f>
        <v>262.77</v>
      </c>
      <c r="C1712" s="2">
        <f t="shared" ca="1" si="6"/>
        <v>2.0210494203781754E-3</v>
      </c>
    </row>
    <row r="1713" spans="1:3">
      <c r="A1713" s="3">
        <f ca="1">IFERROR(__xludf.UNSUPPORTED("""COMPUTED_VALUE"""),45952.6666666666)</f>
        <v>45952.666666666599</v>
      </c>
      <c r="B1713" s="1">
        <f ca="1">IFERROR(__xludf.UNSUPPORTED("""COMPUTED_VALUE"""),258.45)</f>
        <v>258.45</v>
      </c>
      <c r="C1713" s="2">
        <f t="shared" ca="1" si="6"/>
        <v>-1.6440232903299438E-2</v>
      </c>
    </row>
    <row r="1714" spans="1:3">
      <c r="A1714" s="3">
        <f ca="1">IFERROR(__xludf.UNSUPPORTED("""COMPUTED_VALUE"""),45953.6666666666)</f>
        <v>45953.666666666599</v>
      </c>
      <c r="B1714" s="1">
        <f ca="1">IFERROR(__xludf.UNSUPPORTED("""COMPUTED_VALUE"""),259.58)</f>
        <v>259.58</v>
      </c>
      <c r="C1714" s="2">
        <f t="shared" ca="1" si="6"/>
        <v>4.3722189978719116E-3</v>
      </c>
    </row>
    <row r="1715" spans="1:3">
      <c r="A1715" s="3">
        <f ca="1">IFERROR(__xludf.UNSUPPORTED("""COMPUTED_VALUE"""),45954.6666666666)</f>
        <v>45954.666666666599</v>
      </c>
      <c r="B1715" s="1">
        <f ca="1">IFERROR(__xludf.UNSUPPORTED("""COMPUTED_VALUE"""),262.82)</f>
        <v>262.82</v>
      </c>
      <c r="C1715" s="2">
        <f t="shared" ca="1" si="6"/>
        <v>1.2481701209646388E-2</v>
      </c>
    </row>
    <row r="1716" spans="1:3">
      <c r="A1716" s="3">
        <f ca="1">IFERROR(__xludf.UNSUPPORTED("""COMPUTED_VALUE"""),45957.6666666666)</f>
        <v>45957.666666666599</v>
      </c>
      <c r="B1716" s="1">
        <f ca="1">IFERROR(__xludf.UNSUPPORTED("""COMPUTED_VALUE"""),268.81)</f>
        <v>268.81</v>
      </c>
      <c r="C1716" s="2">
        <f t="shared" ca="1" si="6"/>
        <v>2.2791263982954148E-2</v>
      </c>
    </row>
    <row r="1717" spans="1:3">
      <c r="A1717" s="3">
        <f ca="1">IFERROR(__xludf.UNSUPPORTED("""COMPUTED_VALUE"""),45958.6666666666)</f>
        <v>45958.666666666599</v>
      </c>
      <c r="B1717" s="1">
        <f ca="1">IFERROR(__xludf.UNSUPPORTED("""COMPUTED_VALUE"""),269)</f>
        <v>269</v>
      </c>
      <c r="C1717" s="2">
        <f t="shared" ca="1" si="6"/>
        <v>7.0681894274765718E-4</v>
      </c>
    </row>
    <row r="1718" spans="1:3">
      <c r="A1718" s="3">
        <f ca="1">IFERROR(__xludf.UNSUPPORTED("""COMPUTED_VALUE"""),45959.6666666666)</f>
        <v>45959.666666666599</v>
      </c>
      <c r="B1718" s="1">
        <f ca="1">IFERROR(__xludf.UNSUPPORTED("""COMPUTED_VALUE"""),269.7)</f>
        <v>269.7</v>
      </c>
      <c r="C1718" s="2">
        <f t="shared" ca="1" si="6"/>
        <v>2.6022304832713332E-3</v>
      </c>
    </row>
    <row r="1719" spans="1:3">
      <c r="A1719" s="3">
        <f ca="1">IFERROR(__xludf.UNSUPPORTED("""COMPUTED_VALUE"""),45960.6666666666)</f>
        <v>45960.666666666599</v>
      </c>
      <c r="B1719" s="1">
        <f ca="1">IFERROR(__xludf.UNSUPPORTED("""COMPUTED_VALUE"""),271.4)</f>
        <v>271.39999999999998</v>
      </c>
      <c r="C1719" s="2">
        <f t="shared" ca="1" si="6"/>
        <v>6.3032999629217233E-3</v>
      </c>
    </row>
    <row r="1720" spans="1:3">
      <c r="A1720" s="3">
        <f ca="1">IFERROR(__xludf.UNSUPPORTED("""COMPUTED_VALUE"""),45961.6666666666)</f>
        <v>45961.666666666599</v>
      </c>
      <c r="B1720" s="1">
        <f ca="1">IFERROR(__xludf.UNSUPPORTED("""COMPUTED_VALUE"""),270.37)</f>
        <v>270.37</v>
      </c>
      <c r="C1720" s="2">
        <f t="shared" ca="1" si="6"/>
        <v>-3.7951363301399147E-3</v>
      </c>
    </row>
    <row r="1721" spans="1:3">
      <c r="A1721" s="3">
        <f ca="1">IFERROR(__xludf.UNSUPPORTED("""COMPUTED_VALUE"""),45964.6666666666)</f>
        <v>45964.666666666599</v>
      </c>
      <c r="B1721" s="1">
        <f ca="1">IFERROR(__xludf.UNSUPPORTED("""COMPUTED_VALUE"""),269.05)</f>
        <v>269.05</v>
      </c>
      <c r="C1721" s="2">
        <f t="shared" ca="1" si="6"/>
        <v>-4.8821984687650007E-3</v>
      </c>
    </row>
    <row r="1722" spans="1:3">
      <c r="A1722" s="3">
        <f ca="1">IFERROR(__xludf.UNSUPPORTED("""COMPUTED_VALUE"""),45965.6666666666)</f>
        <v>45965.666666666599</v>
      </c>
      <c r="B1722" s="1">
        <f ca="1">IFERROR(__xludf.UNSUPPORTED("""COMPUTED_VALUE"""),270.04)</f>
        <v>270.04000000000002</v>
      </c>
      <c r="C1722" s="2">
        <f t="shared" ca="1" si="6"/>
        <v>3.6796134547482217E-3</v>
      </c>
    </row>
    <row r="1723" spans="1:3">
      <c r="A1723" s="3">
        <f ca="1">IFERROR(__xludf.UNSUPPORTED("""COMPUTED_VALUE"""),45966.6666666666)</f>
        <v>45966.666666666599</v>
      </c>
      <c r="B1723" s="1">
        <f ca="1">IFERROR(__xludf.UNSUPPORTED("""COMPUTED_VALUE"""),270.14)</f>
        <v>270.14</v>
      </c>
      <c r="C1723" s="2">
        <f t="shared" ca="1" si="6"/>
        <v>3.7031550881338278E-4</v>
      </c>
    </row>
    <row r="1724" spans="1:3">
      <c r="A1724" s="3">
        <f ca="1">IFERROR(__xludf.UNSUPPORTED("""COMPUTED_VALUE"""),45967.6666666666)</f>
        <v>45967.666666666599</v>
      </c>
      <c r="B1724" s="1">
        <f ca="1">IFERROR(__xludf.UNSUPPORTED("""COMPUTED_VALUE"""),269.77)</f>
        <v>269.77</v>
      </c>
      <c r="C1724" s="2">
        <f t="shared" ca="1" si="6"/>
        <v>-1.3696601762049477E-3</v>
      </c>
    </row>
    <row r="1725" spans="1:3">
      <c r="A1725" s="3">
        <f ca="1">IFERROR(__xludf.UNSUPPORTED("""COMPUTED_VALUE"""),45968.6666666666)</f>
        <v>45968.666666666599</v>
      </c>
      <c r="B1725" s="1">
        <f ca="1">IFERROR(__xludf.UNSUPPORTED("""COMPUTED_VALUE"""),268.47)</f>
        <v>268.47000000000003</v>
      </c>
      <c r="C1725" s="2">
        <f t="shared" ca="1" si="6"/>
        <v>-4.8189198205877398E-3</v>
      </c>
    </row>
    <row r="1726" spans="1:3">
      <c r="A1726" s="3">
        <f ca="1">IFERROR(__xludf.UNSUPPORTED("""COMPUTED_VALUE"""),45971.6666666666)</f>
        <v>45971.666666666599</v>
      </c>
      <c r="B1726" s="1">
        <f ca="1">IFERROR(__xludf.UNSUPPORTED("""COMPUTED_VALUE"""),269.43)</f>
        <v>269.43</v>
      </c>
      <c r="C1726" s="2">
        <f t="shared" ca="1" si="6"/>
        <v>3.5758185272096676E-3</v>
      </c>
    </row>
    <row r="1727" spans="1:3">
      <c r="A1727" s="3">
        <f ca="1">IFERROR(__xludf.UNSUPPORTED("""COMPUTED_VALUE"""),45972.6666666666)</f>
        <v>45972.666666666599</v>
      </c>
      <c r="B1727" s="1">
        <f ca="1">IFERROR(__xludf.UNSUPPORTED("""COMPUTED_VALUE"""),275.25)</f>
        <v>275.25</v>
      </c>
      <c r="C1727" s="2">
        <f t="shared" ca="1" si="6"/>
        <v>2.1601158000222668E-2</v>
      </c>
    </row>
    <row r="1728" spans="1:3">
      <c r="A1728" s="3">
        <f ca="1">IFERROR(__xludf.UNSUPPORTED("""COMPUTED_VALUE"""),45973.6666666666)</f>
        <v>45973.666666666599</v>
      </c>
      <c r="B1728" s="1">
        <f ca="1">IFERROR(__xludf.UNSUPPORTED("""COMPUTED_VALUE"""),273.47)</f>
        <v>273.47000000000003</v>
      </c>
      <c r="C1728" s="2">
        <f t="shared" ca="1" si="6"/>
        <v>-6.4668483197092563E-3</v>
      </c>
    </row>
    <row r="1729" spans="1:3">
      <c r="A1729" s="3">
        <f ca="1">IFERROR(__xludf.UNSUPPORTED("""COMPUTED_VALUE"""),45974.6666666666)</f>
        <v>45974.666666666599</v>
      </c>
      <c r="B1729" s="1">
        <f ca="1">IFERROR(__xludf.UNSUPPORTED("""COMPUTED_VALUE"""),272.95)</f>
        <v>272.95</v>
      </c>
      <c r="C1729" s="2">
        <f t="shared" ca="1" si="6"/>
        <v>-1.9014882802502601E-3</v>
      </c>
    </row>
    <row r="1730" spans="1:3">
      <c r="A1730" s="3">
        <f ca="1">IFERROR(__xludf.UNSUPPORTED("""COMPUTED_VALUE"""),45975.6666666666)</f>
        <v>45975.666666666599</v>
      </c>
      <c r="B1730" s="1">
        <f ca="1">IFERROR(__xludf.UNSUPPORTED("""COMPUTED_VALUE"""),272.41)</f>
        <v>272.41000000000003</v>
      </c>
      <c r="C1730" s="2">
        <f t="shared" ca="1" si="6"/>
        <v>-1.9783843194722977E-3</v>
      </c>
    </row>
    <row r="1731" spans="1:3">
      <c r="A1731" s="3">
        <f ca="1">IFERROR(__xludf.UNSUPPORTED("""COMPUTED_VALUE"""),45978.6666666666)</f>
        <v>45978.666666666599</v>
      </c>
      <c r="B1731" s="1">
        <f ca="1">IFERROR(__xludf.UNSUPPORTED("""COMPUTED_VALUE"""),267.46)</f>
        <v>267.45999999999998</v>
      </c>
      <c r="C1731" s="2">
        <f t="shared" ca="1" si="6"/>
        <v>-1.8171139091810305E-2</v>
      </c>
    </row>
    <row r="1732" spans="1:3">
      <c r="A1732" s="3">
        <f ca="1">IFERROR(__xludf.UNSUPPORTED("""COMPUTED_VALUE"""),45979.6666666666)</f>
        <v>45979.666666666599</v>
      </c>
      <c r="B1732" s="1">
        <f ca="1">IFERROR(__xludf.UNSUPPORTED("""COMPUTED_VALUE"""),267.44)</f>
        <v>267.44</v>
      </c>
      <c r="C1732" s="2">
        <f t="shared" ca="1" si="6"/>
        <v>-7.477753682786888E-5</v>
      </c>
    </row>
    <row r="1733" spans="1:3">
      <c r="A1733" s="3">
        <f ca="1">IFERROR(__xludf.UNSUPPORTED("""COMPUTED_VALUE"""),45980.6666666666)</f>
        <v>45980.666666666599</v>
      </c>
      <c r="B1733" s="1">
        <f ca="1">IFERROR(__xludf.UNSUPPORTED("""COMPUTED_VALUE"""),268.56)</f>
        <v>268.56</v>
      </c>
      <c r="C1733" s="2">
        <f t="shared" ca="1" si="6"/>
        <v>4.1878552198624163E-3</v>
      </c>
    </row>
    <row r="1734" spans="1:3">
      <c r="A1734" s="3">
        <f ca="1">IFERROR(__xludf.UNSUPPORTED("""COMPUTED_VALUE"""),45981.6666666666)</f>
        <v>45981.666666666599</v>
      </c>
      <c r="B1734" s="1">
        <f ca="1">IFERROR(__xludf.UNSUPPORTED("""COMPUTED_VALUE"""),266.25)</f>
        <v>266.25</v>
      </c>
      <c r="C1734" s="2">
        <f t="shared" ca="1" si="6"/>
        <v>-8.6014298480786497E-3</v>
      </c>
    </row>
    <row r="1735" spans="1:3">
      <c r="A1735" s="3">
        <f ca="1">IFERROR(__xludf.UNSUPPORTED("""COMPUTED_VALUE"""),45982.6666666666)</f>
        <v>45982.666666666599</v>
      </c>
      <c r="B1735" s="1">
        <f ca="1">IFERROR(__xludf.UNSUPPORTED("""COMPUTED_VALUE"""),271.49)</f>
        <v>271.49</v>
      </c>
      <c r="C1735" s="2">
        <f t="shared" ca="1" si="6"/>
        <v>1.9680751173708953E-2</v>
      </c>
    </row>
    <row r="1736" spans="1:3">
      <c r="A1736" s="3">
        <f ca="1">IFERROR(__xludf.UNSUPPORTED("""COMPUTED_VALUE"""),45985.6666666666)</f>
        <v>45985.666666666599</v>
      </c>
      <c r="B1736" s="1">
        <f ca="1">IFERROR(__xludf.UNSUPPORTED("""COMPUTED_VALUE"""),275.92)</f>
        <v>275.92</v>
      </c>
      <c r="C1736" s="2">
        <f t="shared" ca="1" si="6"/>
        <v>1.6317359755423796E-2</v>
      </c>
    </row>
    <row r="1737" spans="1:3">
      <c r="A1737" s="3">
        <f ca="1">IFERROR(__xludf.UNSUPPORTED("""COMPUTED_VALUE"""),45986.6666666666)</f>
        <v>45986.666666666599</v>
      </c>
      <c r="B1737" s="1">
        <f ca="1">IFERROR(__xludf.UNSUPPORTED("""COMPUTED_VALUE"""),276.97)</f>
        <v>276.97000000000003</v>
      </c>
      <c r="C1737" s="2">
        <f t="shared" ca="1" si="6"/>
        <v>3.8054508553204236E-3</v>
      </c>
    </row>
    <row r="1738" spans="1:3">
      <c r="A1738" s="3">
        <f ca="1">IFERROR(__xludf.UNSUPPORTED("""COMPUTED_VALUE"""),45987.6666666666)</f>
        <v>45987.666666666599</v>
      </c>
      <c r="B1738" s="1">
        <f ca="1">IFERROR(__xludf.UNSUPPORTED("""COMPUTED_VALUE"""),277.55)</f>
        <v>277.55</v>
      </c>
      <c r="C1738" s="2">
        <f t="shared" ca="1" si="6"/>
        <v>2.094089612593364E-3</v>
      </c>
    </row>
    <row r="1739" spans="1:3">
      <c r="A1739" s="3">
        <f ca="1">IFERROR(__xludf.UNSUPPORTED("""COMPUTED_VALUE"""),45989.5451388888)</f>
        <v>45989.545138888803</v>
      </c>
      <c r="B1739" s="1">
        <f ca="1">IFERROR(__xludf.UNSUPPORTED("""COMPUTED_VALUE"""),278.85)</f>
        <v>278.85000000000002</v>
      </c>
      <c r="C1739" s="2">
        <f t="shared" ca="1" si="6"/>
        <v>4.6838407494145607E-3</v>
      </c>
    </row>
    <row r="1740" spans="1:3">
      <c r="A1740" s="3">
        <f ca="1">IFERROR(__xludf.UNSUPPORTED("""COMPUTED_VALUE"""),45992.6666666666)</f>
        <v>45992.666666666599</v>
      </c>
      <c r="B1740" s="1">
        <f ca="1">IFERROR(__xludf.UNSUPPORTED("""COMPUTED_VALUE"""),283.1)</f>
        <v>283.10000000000002</v>
      </c>
      <c r="C1740" s="2">
        <f t="shared" ca="1" si="6"/>
        <v>1.5241169087322932E-2</v>
      </c>
    </row>
    <row r="1741" spans="1:3">
      <c r="A1741" s="3">
        <f ca="1">IFERROR(__xludf.UNSUPPORTED("""COMPUTED_VALUE"""),45993.6666666666)</f>
        <v>45993.666666666599</v>
      </c>
      <c r="B1741" s="1">
        <f ca="1">IFERROR(__xludf.UNSUPPORTED("""COMPUTED_VALUE"""),286.19)</f>
        <v>286.19</v>
      </c>
      <c r="C1741" s="2">
        <f t="shared" ca="1" si="6"/>
        <v>1.0914871070293094E-2</v>
      </c>
    </row>
    <row r="1742" spans="1:3">
      <c r="A1742" s="3">
        <f ca="1">IFERROR(__xludf.UNSUPPORTED("""COMPUTED_VALUE"""),45994.6666666666)</f>
        <v>45994.666666666599</v>
      </c>
      <c r="B1742" s="1">
        <f ca="1">IFERROR(__xludf.UNSUPPORTED("""COMPUTED_VALUE"""),284.15)</f>
        <v>284.14999999999998</v>
      </c>
      <c r="C1742" s="2">
        <f t="shared" ca="1" si="6"/>
        <v>-7.1281316607848645E-3</v>
      </c>
    </row>
    <row r="1743" spans="1:3">
      <c r="A1743" s="3">
        <f ca="1">IFERROR(__xludf.UNSUPPORTED("""COMPUTED_VALUE"""),45995.6666666666)</f>
        <v>45995.666666666599</v>
      </c>
      <c r="B1743" s="1">
        <f ca="1">IFERROR(__xludf.UNSUPPORTED("""COMPUTED_VALUE"""),280.7)</f>
        <v>280.7</v>
      </c>
      <c r="C1743" s="2">
        <f t="shared" ca="1" si="6"/>
        <v>-1.2141474573288716E-2</v>
      </c>
    </row>
    <row r="1744" spans="1:3">
      <c r="A1744" s="3">
        <f ca="1">IFERROR(__xludf.UNSUPPORTED("""COMPUTED_VALUE"""),45996.6666666666)</f>
        <v>45996.666666666599</v>
      </c>
      <c r="B1744" s="1">
        <f ca="1">IFERROR(__xludf.UNSUPPORTED("""COMPUTED_VALUE"""),278.78)</f>
        <v>278.77999999999997</v>
      </c>
      <c r="C1744" s="2">
        <f t="shared" ca="1" si="6"/>
        <v>-6.8400427502672461E-3</v>
      </c>
    </row>
    <row r="1745" spans="1:3">
      <c r="A1745" s="3">
        <f ca="1">IFERROR(__xludf.UNSUPPORTED("""COMPUTED_VALUE"""),45999.6666666666)</f>
        <v>45999.666666666599</v>
      </c>
      <c r="B1745" s="1">
        <f ca="1">IFERROR(__xludf.UNSUPPORTED("""COMPUTED_VALUE"""),277.89)</f>
        <v>277.89</v>
      </c>
      <c r="C1745" s="2">
        <f t="shared" ca="1" si="6"/>
        <v>-3.1924815266517917E-3</v>
      </c>
    </row>
    <row r="1746" spans="1:3">
      <c r="A1746" s="3">
        <f ca="1">IFERROR(__xludf.UNSUPPORTED("""COMPUTED_VALUE"""),46000.6666666666)</f>
        <v>46000.666666666599</v>
      </c>
      <c r="B1746" s="1">
        <f ca="1">IFERROR(__xludf.UNSUPPORTED("""COMPUTED_VALUE"""),277.18)</f>
        <v>277.18</v>
      </c>
      <c r="C1746" s="2">
        <f t="shared" ca="1" si="6"/>
        <v>-2.5549677930115497E-3</v>
      </c>
    </row>
    <row r="1747" spans="1:3">
      <c r="A1747" s="3">
        <f ca="1">IFERROR(__xludf.UNSUPPORTED("""COMPUTED_VALUE"""),46001.6666666666)</f>
        <v>46001.666666666599</v>
      </c>
      <c r="B1747" s="1">
        <f ca="1">IFERROR(__xludf.UNSUPPORTED("""COMPUTED_VALUE"""),278.78)</f>
        <v>278.77999999999997</v>
      </c>
      <c r="C1747" s="2">
        <f t="shared" ca="1" si="6"/>
        <v>5.7724222526876609E-3</v>
      </c>
    </row>
    <row r="1748" spans="1:3">
      <c r="A1748" s="3">
        <f ca="1">IFERROR(__xludf.UNSUPPORTED("""COMPUTED_VALUE"""),46002.6666666666)</f>
        <v>46002.666666666599</v>
      </c>
      <c r="B1748" s="1">
        <f ca="1">IFERROR(__xludf.UNSUPPORTED("""COMPUTED_VALUE"""),278.03)</f>
        <v>278.02999999999997</v>
      </c>
      <c r="C1748" s="2">
        <f t="shared" ca="1" si="6"/>
        <v>-2.6902934213358207E-3</v>
      </c>
    </row>
    <row r="1749" spans="1:3">
      <c r="A1749" s="3">
        <f ca="1">IFERROR(__xludf.UNSUPPORTED("""COMPUTED_VALUE"""),46003.6666666666)</f>
        <v>46003.666666666599</v>
      </c>
      <c r="B1749" s="1">
        <f ca="1">IFERROR(__xludf.UNSUPPORTED("""COMPUTED_VALUE"""),278.28)</f>
        <v>278.27999999999997</v>
      </c>
      <c r="C1749" s="2">
        <f t="shared" ca="1" si="6"/>
        <v>8.9918354134445929E-4</v>
      </c>
    </row>
    <row r="1750" spans="1:3">
      <c r="A1750" s="3">
        <f ca="1">IFERROR(__xludf.UNSUPPORTED("""COMPUTED_VALUE"""),46006.6666666666)</f>
        <v>46006.666666666599</v>
      </c>
      <c r="B1750" s="1">
        <f ca="1">IFERROR(__xludf.UNSUPPORTED("""COMPUTED_VALUE"""),274.11)</f>
        <v>274.11</v>
      </c>
      <c r="C1750" s="2">
        <f t="shared" ca="1" si="6"/>
        <v>-1.498490728762383E-2</v>
      </c>
    </row>
    <row r="1751" spans="1:3">
      <c r="A1751" s="3">
        <f ca="1">IFERROR(__xludf.UNSUPPORTED("""COMPUTED_VALUE"""),46007.6666666666)</f>
        <v>46007.666666666599</v>
      </c>
      <c r="B1751" s="1">
        <f ca="1">IFERROR(__xludf.UNSUPPORTED("""COMPUTED_VALUE"""),274.61)</f>
        <v>274.61</v>
      </c>
      <c r="C1751" s="2">
        <f t="shared" ca="1" si="6"/>
        <v>1.8240852212615373E-3</v>
      </c>
    </row>
    <row r="1752" spans="1:3">
      <c r="A1752" s="3">
        <f ca="1">IFERROR(__xludf.UNSUPPORTED("""COMPUTED_VALUE"""),46008.6666666666)</f>
        <v>46008.666666666599</v>
      </c>
      <c r="B1752" s="1">
        <f ca="1">IFERROR(__xludf.UNSUPPORTED("""COMPUTED_VALUE"""),271.84)</f>
        <v>271.83999999999997</v>
      </c>
      <c r="C1752" s="2">
        <f t="shared" ca="1" si="6"/>
        <v>-1.0087032518845048E-2</v>
      </c>
    </row>
    <row r="1753" spans="1:3">
      <c r="A1753" s="3">
        <f ca="1">IFERROR(__xludf.UNSUPPORTED("""COMPUTED_VALUE"""),46009.6666666666)</f>
        <v>46009.666666666599</v>
      </c>
      <c r="B1753" s="1">
        <f ca="1">IFERROR(__xludf.UNSUPPORTED("""COMPUTED_VALUE"""),272.19)</f>
        <v>272.19</v>
      </c>
      <c r="C1753" s="2">
        <f t="shared" ca="1" si="6"/>
        <v>1.287522071807029E-3</v>
      </c>
    </row>
    <row r="1754" spans="1:3">
      <c r="A1754" s="3">
        <f ca="1">IFERROR(__xludf.UNSUPPORTED("""COMPUTED_VALUE"""),46010.6666666666)</f>
        <v>46010.666666666599</v>
      </c>
      <c r="B1754" s="1">
        <f ca="1">IFERROR(__xludf.UNSUPPORTED("""COMPUTED_VALUE"""),273.67)</f>
        <v>273.67</v>
      </c>
      <c r="C1754" s="2">
        <f t="shared" ca="1" si="6"/>
        <v>5.4373783019215187E-3</v>
      </c>
    </row>
    <row r="1755" spans="1:3">
      <c r="A1755" s="3">
        <f ca="1">IFERROR(__xludf.UNSUPPORTED("""COMPUTED_VALUE"""),46013.6666666666)</f>
        <v>46013.666666666599</v>
      </c>
      <c r="B1755" s="1">
        <f ca="1">IFERROR(__xludf.UNSUPPORTED("""COMPUTED_VALUE"""),270.97)</f>
        <v>270.97000000000003</v>
      </c>
      <c r="C1755" s="2">
        <f t="shared" ca="1" si="6"/>
        <v>-9.8658968831073501E-3</v>
      </c>
    </row>
    <row r="1756" spans="1:3">
      <c r="A1756" s="3">
        <f ca="1">IFERROR(__xludf.UNSUPPORTED("""COMPUTED_VALUE"""),46014.6666666666)</f>
        <v>46014.666666666599</v>
      </c>
      <c r="B1756" s="1">
        <f ca="1">IFERROR(__xludf.UNSUPPORTED("""COMPUTED_VALUE"""),272.36)</f>
        <v>272.36</v>
      </c>
      <c r="C1756" s="2">
        <f t="shared" ca="1" si="6"/>
        <v>5.129719157102211E-3</v>
      </c>
    </row>
    <row r="1757" spans="1:3">
      <c r="A1757" s="3">
        <f ca="1">IFERROR(__xludf.UNSUPPORTED("""COMPUTED_VALUE"""),46015.5451388888)</f>
        <v>46015.545138888803</v>
      </c>
      <c r="B1757" s="1">
        <f ca="1">IFERROR(__xludf.UNSUPPORTED("""COMPUTED_VALUE"""),273.81)</f>
        <v>273.81</v>
      </c>
      <c r="C1757" s="2">
        <f t="shared" ca="1" si="6"/>
        <v>5.323836099280322E-3</v>
      </c>
    </row>
    <row r="1758" spans="1:3">
      <c r="A1758" s="3">
        <f ca="1">IFERROR(__xludf.UNSUPPORTED("""COMPUTED_VALUE"""),46017.6666666666)</f>
        <v>46017.666666666599</v>
      </c>
      <c r="B1758" s="1">
        <f ca="1">IFERROR(__xludf.UNSUPPORTED("""COMPUTED_VALUE"""),273.4)</f>
        <v>273.39999999999998</v>
      </c>
      <c r="C1758" s="2">
        <f t="shared" ca="1" si="6"/>
        <v>-1.4973887001936562E-3</v>
      </c>
    </row>
    <row r="1759" spans="1:3">
      <c r="A1759" s="3">
        <f ca="1">IFERROR(__xludf.UNSUPPORTED("""COMPUTED_VALUE"""),46020.6666666666)</f>
        <v>46020.666666666599</v>
      </c>
      <c r="B1759" s="1">
        <f ca="1">IFERROR(__xludf.UNSUPPORTED("""COMPUTED_VALUE"""),273.76)</f>
        <v>273.76</v>
      </c>
      <c r="C1759" s="2">
        <f t="shared" ca="1" si="6"/>
        <v>1.3167520117045124E-3</v>
      </c>
    </row>
    <row r="1760" spans="1:3">
      <c r="A1760" s="3">
        <f ca="1">IFERROR(__xludf.UNSUPPORTED("""COMPUTED_VALUE"""),46021.6666666666)</f>
        <v>46021.666666666599</v>
      </c>
      <c r="B1760" s="1">
        <f ca="1">IFERROR(__xludf.UNSUPPORTED("""COMPUTED_VALUE"""),273.08)</f>
        <v>273.08</v>
      </c>
      <c r="C1760" s="2">
        <f t="shared" ca="1" si="6"/>
        <v>-2.4839275277615679E-3</v>
      </c>
    </row>
    <row r="1761" spans="1:3">
      <c r="A1761" s="3">
        <f ca="1">IFERROR(__xludf.UNSUPPORTED("""COMPUTED_VALUE"""),46022.6666666666)</f>
        <v>46022.666666666599</v>
      </c>
      <c r="B1761" s="1">
        <f ca="1">IFERROR(__xludf.UNSUPPORTED("""COMPUTED_VALUE"""),271.86)</f>
        <v>271.86</v>
      </c>
      <c r="C1761" s="2">
        <f t="shared" ca="1" si="6"/>
        <v>-4.4675552951514959E-3</v>
      </c>
    </row>
    <row r="1762" spans="1:3">
      <c r="A1762" s="3">
        <f ca="1">IFERROR(__xludf.UNSUPPORTED("""COMPUTED_VALUE"""),46024.6666666666)</f>
        <v>46024.666666666599</v>
      </c>
      <c r="B1762" s="1">
        <f ca="1">IFERROR(__xludf.UNSUPPORTED("""COMPUTED_VALUE"""),271.01)</f>
        <v>271.01</v>
      </c>
      <c r="C1762" s="2">
        <f t="shared" ca="1" si="6"/>
        <v>-3.1266092841904757E-3</v>
      </c>
    </row>
    <row r="1763" spans="1:3">
      <c r="A1763" s="3">
        <f ca="1">IFERROR(__xludf.UNSUPPORTED("""COMPUTED_VALUE"""),46027.6666666666)</f>
        <v>46027.666666666599</v>
      </c>
      <c r="B1763" s="1">
        <f ca="1">IFERROR(__xludf.UNSUPPORTED("""COMPUTED_VALUE"""),267.26)</f>
        <v>267.26</v>
      </c>
      <c r="C1763" s="2">
        <f t="shared" ca="1" si="6"/>
        <v>-1.3837127781262684E-2</v>
      </c>
    </row>
    <row r="1764" spans="1:3">
      <c r="A1764" s="3">
        <f ca="1">IFERROR(__xludf.UNSUPPORTED("""COMPUTED_VALUE"""),46028.6666666666)</f>
        <v>46028.666666666599</v>
      </c>
      <c r="B1764" s="1">
        <f ca="1">IFERROR(__xludf.UNSUPPORTED("""COMPUTED_VALUE"""),262.36)</f>
        <v>262.36</v>
      </c>
      <c r="C1764" s="2">
        <f t="shared" ca="1" si="6"/>
        <v>-1.8334206390780428E-2</v>
      </c>
    </row>
    <row r="1765" spans="1:3">
      <c r="A1765" s="3">
        <f ca="1">IFERROR(__xludf.UNSUPPORTED("""COMPUTED_VALUE"""),46029.6666666666)</f>
        <v>46029.666666666599</v>
      </c>
      <c r="B1765" s="1">
        <f ca="1">IFERROR(__xludf.UNSUPPORTED("""COMPUTED_VALUE"""),260.33)</f>
        <v>260.33</v>
      </c>
      <c r="C1765" s="2">
        <f t="shared" ca="1" si="6"/>
        <v>-7.7374599786553949E-3</v>
      </c>
    </row>
    <row r="1766" spans="1:3">
      <c r="A1766" s="3">
        <f ca="1">IFERROR(__xludf.UNSUPPORTED("""COMPUTED_VALUE"""),46030.6666666666)</f>
        <v>46030.666666666599</v>
      </c>
      <c r="B1766" s="1">
        <f ca="1">IFERROR(__xludf.UNSUPPORTED("""COMPUTED_VALUE"""),259.04)</f>
        <v>259.04000000000002</v>
      </c>
      <c r="C1766" s="2">
        <f t="shared" ca="1" si="6"/>
        <v>-4.9552491069026379E-3</v>
      </c>
    </row>
    <row r="1767" spans="1:3">
      <c r="A1767" s="3">
        <f ca="1">IFERROR(__xludf.UNSUPPORTED("""COMPUTED_VALUE"""),46031.6666666666)</f>
        <v>46031.666666666599</v>
      </c>
      <c r="B1767" s="1">
        <f ca="1">IFERROR(__xludf.UNSUPPORTED("""COMPUTED_VALUE"""),259.37)</f>
        <v>259.37</v>
      </c>
      <c r="C1767" s="2">
        <f t="shared" ca="1" si="6"/>
        <v>1.273934527486041E-3</v>
      </c>
    </row>
    <row r="1768" spans="1:3">
      <c r="A1768" s="3">
        <f ca="1">IFERROR(__xludf.UNSUPPORTED("""COMPUTED_VALUE"""),46034.6666666666)</f>
        <v>46034.666666666599</v>
      </c>
      <c r="B1768" s="1">
        <f ca="1">IFERROR(__xludf.UNSUPPORTED("""COMPUTED_VALUE"""),260.25)</f>
        <v>260.25</v>
      </c>
      <c r="C1768" s="2">
        <f t="shared" ca="1" si="6"/>
        <v>3.3928364884142168E-3</v>
      </c>
    </row>
    <row r="1769" spans="1:3">
      <c r="A1769" s="3">
        <f ca="1">IFERROR(__xludf.UNSUPPORTED("""COMPUTED_VALUE"""),46035.6666666666)</f>
        <v>46035.666666666599</v>
      </c>
      <c r="B1769" s="1">
        <f ca="1">IFERROR(__xludf.UNSUPPORTED("""COMPUTED_VALUE"""),261.05)</f>
        <v>261.05</v>
      </c>
      <c r="C1769" s="2">
        <f t="shared" ca="1" si="6"/>
        <v>3.0739673390970659E-3</v>
      </c>
    </row>
    <row r="1770" spans="1:3">
      <c r="A1770" s="3">
        <f ca="1">IFERROR(__xludf.UNSUPPORTED("""COMPUTED_VALUE"""),46036.6666666666)</f>
        <v>46036.666666666599</v>
      </c>
      <c r="B1770" s="1">
        <f ca="1">IFERROR(__xludf.UNSUPPORTED("""COMPUTED_VALUE"""),259.96)</f>
        <v>259.95999999999998</v>
      </c>
      <c r="C1770" s="2">
        <f t="shared" ca="1" si="6"/>
        <v>-4.1754453169892047E-3</v>
      </c>
    </row>
    <row r="1771" spans="1:3">
      <c r="A1771" s="3">
        <f ca="1">IFERROR(__xludf.UNSUPPORTED("""COMPUTED_VALUE"""),46037.6666666666)</f>
        <v>46037.666666666599</v>
      </c>
      <c r="B1771" s="1">
        <f ca="1">IFERROR(__xludf.UNSUPPORTED("""COMPUTED_VALUE"""),258.21)</f>
        <v>258.20999999999998</v>
      </c>
      <c r="C1771" s="2">
        <f t="shared" ca="1" si="6"/>
        <v>-6.7318048930604711E-3</v>
      </c>
    </row>
    <row r="1772" spans="1:3">
      <c r="A1772" s="3">
        <f ca="1">IFERROR(__xludf.UNSUPPORTED("""COMPUTED_VALUE"""),46038.6666666666)</f>
        <v>46038.666666666599</v>
      </c>
      <c r="B1772" s="1">
        <f ca="1">IFERROR(__xludf.UNSUPPORTED("""COMPUTED_VALUE"""),255.53)</f>
        <v>255.53</v>
      </c>
      <c r="C1772" s="2">
        <f t="shared" ca="1" si="6"/>
        <v>-1.0379148754889348E-2</v>
      </c>
    </row>
    <row r="1773" spans="1:3">
      <c r="A1773" s="3">
        <f ca="1">IFERROR(__xludf.UNSUPPORTED("""COMPUTED_VALUE"""),46042.6666666666)</f>
        <v>46042.666666666599</v>
      </c>
      <c r="B1773" s="1">
        <f ca="1">IFERROR(__xludf.UNSUPPORTED("""COMPUTED_VALUE"""),246.7)</f>
        <v>246.7</v>
      </c>
      <c r="C1773" s="2">
        <f t="shared" ca="1" si="6"/>
        <v>-3.4555629475991126E-2</v>
      </c>
    </row>
    <row r="1774" spans="1:3">
      <c r="A1774" s="3">
        <f ca="1">IFERROR(__xludf.UNSUPPORTED("""COMPUTED_VALUE"""),46043.6666666666)</f>
        <v>46043.666666666599</v>
      </c>
      <c r="B1774" s="1">
        <f ca="1">IFERROR(__xludf.UNSUPPORTED("""COMPUTED_VALUE"""),247.65)</f>
        <v>247.65</v>
      </c>
      <c r="C1774" s="2">
        <f t="shared" ca="1" si="6"/>
        <v>3.850830968788071E-3</v>
      </c>
    </row>
    <row r="1775" spans="1:3">
      <c r="A1775" s="3">
        <f ca="1">IFERROR(__xludf.UNSUPPORTED("""COMPUTED_VALUE"""),46044.6666666666)</f>
        <v>46044.666666666599</v>
      </c>
      <c r="B1775" s="1">
        <f ca="1">IFERROR(__xludf.UNSUPPORTED("""COMPUTED_VALUE"""),248.35)</f>
        <v>248.35</v>
      </c>
      <c r="C1775" s="2">
        <f t="shared" ca="1" si="6"/>
        <v>2.826569755703568E-3</v>
      </c>
    </row>
    <row r="1776" spans="1:3"/>
    <row r="1777"/>
    <row r="1778"/>
    <row r="1779"/>
    <row r="1780"/>
    <row r="1781"/>
    <row r="1782"/>
    <row r="1783"/>
    <row r="1784"/>
    <row r="1785"/>
    <row r="1786"/>
    <row r="1787"/>
    <row r="1788"/>
    <row r="1789"/>
    <row r="1790"/>
    <row r="1791"/>
    <row r="1792"/>
    <row r="1793"/>
    <row r="1794"/>
    <row r="1795"/>
    <row r="1796"/>
    <row r="1797"/>
    <row r="1798"/>
    <row r="1799"/>
    <row r="1800"/>
    <row r="1801"/>
    <row r="1802"/>
    <row r="1803"/>
    <row r="1804"/>
    <row r="1805"/>
    <row r="1806"/>
    <row r="1807"/>
    <row r="1808"/>
    <row r="1809"/>
    <row r="1810"/>
    <row r="1811"/>
    <row r="1812"/>
    <row r="1813"/>
    <row r="1814"/>
    <row r="1815"/>
    <row r="1816"/>
    <row r="1817"/>
    <row r="1818"/>
    <row r="1819"/>
    <row r="1820"/>
    <row r="1821"/>
    <row r="1822"/>
    <row r="1823"/>
    <row r="1824"/>
    <row r="1825"/>
    <row r="1826"/>
    <row r="1827"/>
    <row r="1828"/>
    <row r="1829"/>
    <row r="1830"/>
    <row r="1831"/>
    <row r="1832"/>
    <row r="1833"/>
    <row r="1834"/>
    <row r="1835"/>
    <row r="1836"/>
    <row r="1837"/>
    <row r="1838"/>
    <row r="1839"/>
    <row r="1840"/>
    <row r="1841"/>
    <row r="1842"/>
    <row r="1843"/>
    <row r="1844"/>
    <row r="1845"/>
    <row r="1846"/>
    <row r="1847"/>
    <row r="1848"/>
    <row r="1849"/>
    <row r="1850"/>
    <row r="1851"/>
    <row r="1852"/>
    <row r="1853"/>
    <row r="1854"/>
    <row r="1855"/>
    <row r="1856"/>
    <row r="1857"/>
    <row r="1858"/>
    <row r="1859"/>
    <row r="1860"/>
    <row r="1861"/>
    <row r="1862"/>
    <row r="1863"/>
    <row r="1864"/>
    <row r="1865"/>
    <row r="1866"/>
    <row r="1867"/>
    <row r="1868"/>
    <row r="1869"/>
    <row r="1870"/>
    <row r="1871"/>
    <row r="1872"/>
    <row r="1873"/>
    <row r="1874"/>
    <row r="1875"/>
    <row r="1876"/>
    <row r="1877"/>
    <row r="1878"/>
    <row r="1879"/>
    <row r="1880"/>
    <row r="1881"/>
    <row r="1882"/>
    <row r="1883"/>
    <row r="1884"/>
    <row r="1885"/>
    <row r="1886"/>
    <row r="1887"/>
    <row r="1888"/>
    <row r="1889"/>
    <row r="1890"/>
    <row r="1891"/>
    <row r="1892"/>
    <row r="1893"/>
    <row r="1894"/>
    <row r="1895"/>
    <row r="1896"/>
    <row r="1897"/>
    <row r="1898"/>
    <row r="1899"/>
    <row r="1900"/>
    <row r="1901"/>
    <row r="1902"/>
    <row r="1903"/>
    <row r="1904"/>
    <row r="1905"/>
    <row r="1906"/>
    <row r="1907"/>
    <row r="1908"/>
    <row r="1909"/>
    <row r="1910"/>
    <row r="1911"/>
    <row r="1912"/>
    <row r="1913"/>
    <row r="1914"/>
    <row r="1915"/>
    <row r="1916"/>
    <row r="1917"/>
    <row r="1918"/>
    <row r="1919"/>
    <row r="1920"/>
    <row r="1921"/>
    <row r="1922"/>
    <row r="1923"/>
    <row r="1924"/>
    <row r="1925"/>
    <row r="1926"/>
    <row r="1927"/>
    <row r="1928"/>
    <row r="1929"/>
    <row r="1930"/>
    <row r="1931"/>
    <row r="1932"/>
    <row r="1933"/>
    <row r="1934"/>
    <row r="1935"/>
    <row r="1936"/>
    <row r="1937"/>
    <row r="1938"/>
    <row r="1939"/>
    <row r="1940"/>
    <row r="1941"/>
    <row r="1942"/>
    <row r="1943"/>
    <row r="1944"/>
    <row r="1945"/>
    <row r="1946"/>
    <row r="1947"/>
    <row r="1948"/>
    <row r="1949"/>
    <row r="1950"/>
    <row r="1951"/>
    <row r="1952"/>
    <row r="1953"/>
    <row r="1954"/>
    <row r="1955"/>
    <row r="1956"/>
    <row r="1957"/>
    <row r="1958"/>
    <row r="1959"/>
    <row r="1960"/>
    <row r="1961"/>
    <row r="1962"/>
    <row r="1963"/>
    <row r="1964"/>
    <row r="1965"/>
    <row r="1966"/>
    <row r="1967"/>
    <row r="1968"/>
    <row r="1969"/>
    <row r="1970"/>
    <row r="1971"/>
    <row r="1972"/>
    <row r="1973"/>
    <row r="1974"/>
    <row r="1975"/>
    <row r="1976"/>
    <row r="1977"/>
    <row r="1978"/>
    <row r="1979"/>
    <row r="1980"/>
    <row r="1981"/>
    <row r="1982"/>
    <row r="1983"/>
    <row r="1984"/>
    <row r="1985"/>
    <row r="1986"/>
    <row r="1987"/>
    <row r="1988"/>
    <row r="1989"/>
    <row r="1990"/>
    <row r="1991"/>
    <row r="1992"/>
    <row r="1993"/>
    <row r="1994"/>
    <row r="1995"/>
    <row r="1996"/>
    <row r="1997"/>
    <row r="1998"/>
    <row r="1999"/>
    <row r="2000"/>
    <row r="2001"/>
    <row r="2002"/>
    <row r="2003"/>
    <row r="2004"/>
    <row r="2005"/>
    <row r="2006"/>
    <row r="2007"/>
    <row r="2008"/>
    <row r="2009"/>
    <row r="2010"/>
    <row r="2011"/>
    <row r="2012"/>
    <row r="2013"/>
    <row r="2014"/>
    <row r="2015"/>
    <row r="2016"/>
    <row r="2017"/>
    <row r="2018"/>
    <row r="2019"/>
    <row r="2020"/>
    <row r="2021"/>
    <row r="2022"/>
    <row r="2023"/>
    <row r="2024"/>
    <row r="2025"/>
    <row r="2026"/>
    <row r="2027"/>
    <row r="2028"/>
    <row r="2029"/>
    <row r="2030"/>
    <row r="2031"/>
    <row r="2032"/>
    <row r="2033"/>
    <row r="2034"/>
    <row r="2035"/>
    <row r="2036"/>
    <row r="2037"/>
    <row r="2038"/>
    <row r="2039"/>
    <row r="2040"/>
    <row r="2041"/>
    <row r="2042"/>
    <row r="2043"/>
    <row r="2044"/>
    <row r="2045"/>
    <row r="2046"/>
    <row r="2047"/>
    <row r="2048"/>
    <row r="2049"/>
    <row r="2050"/>
    <row r="2051"/>
    <row r="2052"/>
    <row r="2053"/>
    <row r="2054"/>
    <row r="2055"/>
    <row r="2056"/>
    <row r="2057"/>
    <row r="2058"/>
    <row r="2059"/>
    <row r="2060"/>
    <row r="2061"/>
    <row r="2062"/>
    <row r="2063"/>
    <row r="2064"/>
    <row r="2065"/>
    <row r="2066"/>
    <row r="2067"/>
    <row r="2068"/>
    <row r="2069"/>
    <row r="2070"/>
    <row r="2071"/>
    <row r="2072"/>
    <row r="2073"/>
    <row r="2074"/>
    <row r="2075"/>
    <row r="2076"/>
    <row r="2077"/>
    <row r="2078"/>
    <row r="2079"/>
    <row r="2080"/>
    <row r="2081"/>
    <row r="2082"/>
    <row r="2083"/>
    <row r="2084"/>
    <row r="2085"/>
    <row r="2086"/>
    <row r="2087"/>
    <row r="2088"/>
    <row r="2089"/>
    <row r="2090"/>
    <row r="2091"/>
    <row r="2092"/>
    <row r="2093"/>
    <row r="2094"/>
    <row r="2095"/>
    <row r="2096"/>
    <row r="2097"/>
    <row r="2098"/>
    <row r="2099"/>
    <row r="2100"/>
    <row r="2101"/>
    <row r="2102"/>
    <row r="2103"/>
    <row r="2104"/>
    <row r="2105"/>
    <row r="2106"/>
    <row r="2107"/>
    <row r="2108"/>
    <row r="2109"/>
    <row r="2110"/>
    <row r="2111"/>
    <row r="2112"/>
    <row r="2113"/>
    <row r="2114"/>
    <row r="2115"/>
    <row r="2116"/>
    <row r="2117"/>
    <row r="2118"/>
    <row r="2119"/>
    <row r="2120"/>
    <row r="2121"/>
    <row r="2122"/>
    <row r="2123"/>
    <row r="2124"/>
    <row r="2125"/>
    <row r="2126"/>
    <row r="2127"/>
    <row r="2128"/>
    <row r="2129"/>
    <row r="2130"/>
    <row r="2131"/>
    <row r="2132"/>
    <row r="2133"/>
    <row r="2134"/>
    <row r="2135"/>
    <row r="2136"/>
    <row r="2137"/>
    <row r="2138"/>
    <row r="2139"/>
    <row r="2140"/>
    <row r="2141"/>
    <row r="2142"/>
    <row r="2143"/>
    <row r="2144"/>
    <row r="2145"/>
    <row r="2146"/>
    <row r="2147"/>
    <row r="2148"/>
    <row r="2149"/>
    <row r="2150"/>
    <row r="2151"/>
    <row r="2152"/>
    <row r="2153"/>
    <row r="2154"/>
    <row r="2155"/>
    <row r="2156"/>
    <row r="2157"/>
    <row r="2158"/>
    <row r="2159"/>
    <row r="2160"/>
    <row r="2161"/>
    <row r="2162"/>
    <row r="2163"/>
    <row r="2164"/>
    <row r="2165"/>
    <row r="2166"/>
    <row r="2167"/>
    <row r="2168"/>
    <row r="2169"/>
    <row r="2170"/>
    <row r="2171"/>
    <row r="2172"/>
    <row r="2173"/>
    <row r="2174"/>
    <row r="2175"/>
    <row r="2176"/>
    <row r="2177"/>
    <row r="2178"/>
    <row r="2179"/>
    <row r="2180"/>
    <row r="2181"/>
    <row r="2182"/>
    <row r="2183"/>
    <row r="2184"/>
    <row r="2185"/>
    <row r="2186"/>
    <row r="2187"/>
    <row r="2188"/>
    <row r="2189"/>
    <row r="2190"/>
    <row r="2191"/>
    <row r="2192"/>
    <row r="2193"/>
    <row r="2194"/>
    <row r="2195"/>
    <row r="2196"/>
    <row r="2197"/>
    <row r="2198"/>
    <row r="2199"/>
    <row r="2200"/>
    <row r="2201"/>
    <row r="2202"/>
    <row r="2203"/>
    <row r="2204"/>
    <row r="2205"/>
    <row r="2206"/>
    <row r="2207"/>
    <row r="2208"/>
    <row r="2209"/>
    <row r="2210"/>
    <row r="2211"/>
    <row r="2212"/>
    <row r="2213"/>
    <row r="2214"/>
    <row r="2215"/>
    <row r="2216"/>
    <row r="2217"/>
    <row r="2218"/>
    <row r="2219"/>
    <row r="2220"/>
    <row r="2221"/>
    <row r="2222"/>
    <row r="2223"/>
    <row r="2224"/>
    <row r="2225"/>
    <row r="2226"/>
    <row r="2227"/>
    <row r="2228"/>
    <row r="2229"/>
    <row r="2230"/>
    <row r="2231"/>
    <row r="2232"/>
    <row r="2233"/>
    <row r="2234"/>
    <row r="2235"/>
    <row r="2236"/>
    <row r="2237"/>
    <row r="2238"/>
    <row r="2239"/>
    <row r="2240"/>
    <row r="2241"/>
    <row r="2242"/>
    <row r="2243"/>
    <row r="2244"/>
    <row r="2245"/>
    <row r="2246"/>
    <row r="2247"/>
    <row r="2248"/>
    <row r="2249"/>
    <row r="2250"/>
    <row r="2251"/>
    <row r="2252"/>
    <row r="2253"/>
    <row r="2254"/>
    <row r="2255"/>
    <row r="2256"/>
    <row r="2257"/>
    <row r="2258"/>
    <row r="2259"/>
    <row r="2260"/>
    <row r="2261"/>
    <row r="2262"/>
    <row r="2263"/>
    <row r="2264"/>
    <row r="2265"/>
    <row r="2266"/>
    <row r="2267"/>
    <row r="2268"/>
    <row r="2269"/>
    <row r="2270"/>
    <row r="2271"/>
    <row r="2272"/>
    <row r="2273"/>
    <row r="2274"/>
    <row r="2275"/>
    <row r="2276"/>
    <row r="2277"/>
    <row r="2278"/>
    <row r="2279"/>
    <row r="2280"/>
    <row r="2281"/>
    <row r="2282"/>
    <row r="2283"/>
    <row r="2284"/>
    <row r="2285"/>
    <row r="2286"/>
    <row r="2287"/>
    <row r="2288"/>
    <row r="2289"/>
    <row r="2290"/>
    <row r="2291"/>
    <row r="2292"/>
    <row r="2293"/>
    <row r="2294"/>
    <row r="2295"/>
    <row r="2296"/>
    <row r="2297"/>
    <row r="2298"/>
    <row r="2299"/>
    <row r="2300"/>
    <row r="2301"/>
    <row r="2302"/>
    <row r="2303"/>
    <row r="2304"/>
    <row r="2305"/>
    <row r="2306"/>
    <row r="2307"/>
    <row r="2308"/>
    <row r="2309"/>
    <row r="2310"/>
    <row r="2311"/>
    <row r="2312"/>
    <row r="2313"/>
    <row r="2314"/>
    <row r="2315"/>
    <row r="2316"/>
    <row r="2317"/>
    <row r="2318"/>
    <row r="2319"/>
    <row r="2320"/>
    <row r="2321"/>
    <row r="2322"/>
    <row r="2323"/>
    <row r="2324"/>
    <row r="2325"/>
    <row r="2326"/>
    <row r="2327"/>
    <row r="2328"/>
    <row r="2329"/>
    <row r="2330"/>
    <row r="2331"/>
    <row r="2332"/>
    <row r="2333"/>
    <row r="2334"/>
    <row r="2335"/>
    <row r="2336"/>
    <row r="2337"/>
    <row r="2338"/>
    <row r="2339"/>
    <row r="2340"/>
    <row r="2341"/>
    <row r="2342"/>
    <row r="2343"/>
    <row r="2344"/>
    <row r="2345"/>
    <row r="2346"/>
    <row r="2347"/>
    <row r="2348"/>
    <row r="2349"/>
    <row r="2350"/>
    <row r="2351"/>
    <row r="2352"/>
    <row r="2353"/>
    <row r="2354"/>
    <row r="2355"/>
    <row r="2356"/>
    <row r="2357"/>
    <row r="2358"/>
    <row r="2359"/>
    <row r="2360"/>
    <row r="2361"/>
    <row r="2362"/>
    <row r="2363"/>
    <row r="2364"/>
    <row r="2365"/>
    <row r="2366"/>
    <row r="2367"/>
    <row r="2368"/>
    <row r="2369"/>
    <row r="2370"/>
    <row r="2371"/>
    <row r="2372"/>
    <row r="2373"/>
    <row r="2374"/>
    <row r="2375"/>
    <row r="2376"/>
    <row r="2377"/>
    <row r="2378"/>
    <row r="2379"/>
    <row r="2380"/>
    <row r="2381"/>
    <row r="2382"/>
    <row r="2383"/>
    <row r="2384"/>
    <row r="2385"/>
    <row r="2386"/>
    <row r="2387"/>
    <row r="2388"/>
    <row r="2389"/>
    <row r="2390"/>
    <row r="2391"/>
    <row r="2392"/>
    <row r="2393"/>
    <row r="2394"/>
    <row r="2395"/>
    <row r="2396"/>
    <row r="2397"/>
    <row r="2398"/>
    <row r="2399"/>
    <row r="2400"/>
    <row r="2401"/>
    <row r="2402"/>
    <row r="2403"/>
    <row r="2404"/>
    <row r="2405"/>
    <row r="2406"/>
    <row r="2407"/>
    <row r="2408"/>
    <row r="2409"/>
    <row r="2410"/>
    <row r="2411"/>
    <row r="2412"/>
    <row r="2413"/>
    <row r="2414"/>
    <row r="2415"/>
    <row r="2416"/>
    <row r="2417"/>
    <row r="2418"/>
    <row r="2419"/>
    <row r="2420"/>
    <row r="2421"/>
    <row r="2422"/>
    <row r="2423"/>
    <row r="2424"/>
    <row r="2425"/>
    <row r="2426"/>
    <row r="2427"/>
    <row r="2428"/>
    <row r="2429"/>
    <row r="2430"/>
    <row r="2431"/>
    <row r="2432"/>
    <row r="2433"/>
    <row r="2434"/>
    <row r="2435"/>
    <row r="2436"/>
    <row r="2437"/>
    <row r="2438"/>
    <row r="2439"/>
    <row r="2440"/>
    <row r="2441"/>
    <row r="2442"/>
    <row r="2443"/>
    <row r="2444"/>
    <row r="2445"/>
    <row r="2446"/>
    <row r="2447"/>
    <row r="2448"/>
    <row r="2449"/>
    <row r="2450"/>
    <row r="2451"/>
    <row r="2452"/>
    <row r="2453"/>
    <row r="2454"/>
    <row r="2455"/>
    <row r="2456"/>
    <row r="2457"/>
    <row r="2458"/>
    <row r="2459"/>
    <row r="2460"/>
    <row r="2461"/>
    <row r="2462"/>
    <row r="2463"/>
    <row r="2464"/>
    <row r="2465"/>
    <row r="2466"/>
    <row r="2467"/>
    <row r="2468"/>
    <row r="2469"/>
    <row r="2470"/>
    <row r="2471"/>
    <row r="2472"/>
    <row r="2473"/>
    <row r="2474"/>
    <row r="2475"/>
    <row r="2476"/>
    <row r="2477"/>
    <row r="2478"/>
    <row r="2479"/>
    <row r="2480"/>
    <row r="2481"/>
    <row r="2482"/>
    <row r="2483"/>
    <row r="2484"/>
    <row r="2485"/>
    <row r="2486"/>
    <row r="2487"/>
    <row r="2488"/>
    <row r="2489"/>
    <row r="2490"/>
    <row r="2491"/>
    <row r="2492"/>
    <row r="2493"/>
    <row r="2494"/>
    <row r="2495"/>
    <row r="2496"/>
    <row r="2497"/>
    <row r="2498"/>
    <row r="2499"/>
    <row r="2500"/>
    <row r="2501"/>
    <row r="2502"/>
    <row r="2503"/>
    <row r="2504"/>
    <row r="2505"/>
    <row r="2506"/>
    <row r="2507"/>
    <row r="2508"/>
    <row r="2509"/>
    <row r="2510"/>
    <row r="2511"/>
    <row r="2512"/>
    <row r="2513"/>
    <row r="2514"/>
    <row r="2515"/>
    <row r="2516"/>
    <row r="2517"/>
    <row r="2518"/>
    <row r="2519"/>
    <row r="2520"/>
    <row r="2521"/>
    <row r="2522"/>
    <row r="2523"/>
    <row r="2524"/>
    <row r="2525"/>
    <row r="2526"/>
    <row r="2527"/>
    <row r="2528"/>
    <row r="2529"/>
    <row r="2530"/>
    <row r="2531"/>
    <row r="2532"/>
    <row r="2533"/>
    <row r="2534"/>
    <row r="2535"/>
    <row r="2536"/>
    <row r="2537"/>
    <row r="2538"/>
    <row r="2539"/>
    <row r="2540"/>
    <row r="2541"/>
    <row r="2542"/>
    <row r="2543"/>
    <row r="2544"/>
    <row r="2545"/>
    <row r="2546"/>
    <row r="2547"/>
    <row r="2548"/>
    <row r="2549"/>
    <row r="2550"/>
    <row r="2551"/>
    <row r="2552"/>
    <row r="2553"/>
    <row r="2554"/>
    <row r="2555"/>
    <row r="2556"/>
    <row r="2557"/>
    <row r="2558"/>
    <row r="2559"/>
    <row r="2560"/>
    <row r="2561"/>
    <row r="2562"/>
    <row r="2563"/>
    <row r="2564"/>
    <row r="2565"/>
    <row r="2566"/>
    <row r="2567"/>
    <row r="2568"/>
    <row r="2569"/>
    <row r="2570"/>
    <row r="2571"/>
    <row r="2572"/>
    <row r="2573"/>
    <row r="2574"/>
    <row r="2575"/>
    <row r="2576"/>
    <row r="2577"/>
    <row r="2578"/>
    <row r="2579"/>
    <row r="2580"/>
    <row r="2581"/>
    <row r="2582"/>
    <row r="2583"/>
    <row r="2584"/>
    <row r="2585"/>
    <row r="2586"/>
    <row r="2587"/>
    <row r="2588"/>
    <row r="2589"/>
    <row r="2590"/>
    <row r="2591"/>
    <row r="2592"/>
    <row r="2593"/>
    <row r="2594"/>
    <row r="2595"/>
    <row r="2596"/>
    <row r="2597"/>
    <row r="2598"/>
    <row r="2599"/>
    <row r="2600"/>
    <row r="2601"/>
    <row r="2602"/>
    <row r="2603"/>
    <row r="2604"/>
    <row r="2605"/>
    <row r="2606"/>
    <row r="2607"/>
    <row r="2608"/>
    <row r="2609"/>
    <row r="2610"/>
    <row r="2611"/>
    <row r="2612"/>
    <row r="2613"/>
    <row r="2614"/>
    <row r="2615"/>
    <row r="2616"/>
    <row r="2617"/>
    <row r="2618"/>
    <row r="2619"/>
    <row r="2620"/>
    <row r="2621"/>
    <row r="2622"/>
    <row r="2623"/>
    <row r="2624"/>
    <row r="2625"/>
    <row r="2626"/>
    <row r="2627"/>
    <row r="2628"/>
    <row r="2629"/>
    <row r="2630"/>
    <row r="2631"/>
    <row r="2632"/>
    <row r="2633"/>
    <row r="2634"/>
    <row r="2635"/>
    <row r="2636"/>
    <row r="2637"/>
    <row r="2638"/>
    <row r="2639"/>
    <row r="2640"/>
    <row r="2641"/>
    <row r="2642"/>
    <row r="2643"/>
    <row r="2644"/>
    <row r="2645"/>
    <row r="2646"/>
    <row r="2647"/>
    <row r="2648"/>
    <row r="2649"/>
    <row r="2650"/>
    <row r="2651"/>
    <row r="2652"/>
    <row r="2653"/>
    <row r="2654"/>
    <row r="2655"/>
    <row r="2656"/>
    <row r="2657"/>
    <row r="2658"/>
    <row r="2659"/>
    <row r="2660"/>
    <row r="2661"/>
    <row r="2662"/>
    <row r="2663"/>
    <row r="2664"/>
    <row r="2665"/>
    <row r="2666"/>
    <row r="2667"/>
    <row r="2668"/>
    <row r="2669"/>
    <row r="2670"/>
    <row r="2671"/>
    <row r="2672"/>
    <row r="2673"/>
    <row r="2674"/>
    <row r="2675"/>
    <row r="2676"/>
    <row r="2677"/>
    <row r="2678"/>
    <row r="2679"/>
    <row r="2680"/>
    <row r="2681"/>
    <row r="2682"/>
    <row r="2683"/>
    <row r="2684"/>
    <row r="2685"/>
    <row r="2686"/>
    <row r="2687"/>
    <row r="2688"/>
    <row r="2689"/>
    <row r="2690"/>
    <row r="2691"/>
    <row r="2692"/>
    <row r="2693"/>
    <row r="2694"/>
    <row r="2695"/>
    <row r="2696"/>
    <row r="2697"/>
    <row r="2698"/>
    <row r="2699"/>
    <row r="2700"/>
    <row r="2701"/>
    <row r="2702"/>
    <row r="2703"/>
    <row r="2704"/>
    <row r="2705"/>
    <row r="2706"/>
    <row r="2707"/>
    <row r="2708"/>
    <row r="2709"/>
    <row r="2710"/>
    <row r="2711"/>
    <row r="2712"/>
    <row r="2713"/>
    <row r="2714"/>
    <row r="2715"/>
    <row r="2716"/>
    <row r="2717"/>
    <row r="2718"/>
    <row r="2719"/>
    <row r="2720"/>
    <row r="2721"/>
    <row r="2722"/>
    <row r="2723"/>
    <row r="2724"/>
    <row r="2725"/>
    <row r="2726"/>
    <row r="2727"/>
    <row r="2728"/>
    <row r="2729"/>
    <row r="2730"/>
    <row r="2731"/>
    <row r="2732"/>
    <row r="2733"/>
    <row r="2734"/>
    <row r="2735"/>
    <row r="2736"/>
    <row r="2737"/>
    <row r="2738"/>
    <row r="2739"/>
    <row r="2740"/>
    <row r="2741"/>
    <row r="2742"/>
    <row r="2743"/>
    <row r="2744"/>
    <row r="2745"/>
    <row r="2746"/>
    <row r="2747"/>
    <row r="2748"/>
    <row r="2749"/>
    <row r="2750"/>
    <row r="2751"/>
    <row r="2752"/>
    <row r="2753"/>
    <row r="2754"/>
    <row r="2755"/>
    <row r="2756"/>
    <row r="2757"/>
    <row r="2758"/>
    <row r="2759"/>
    <row r="2760"/>
    <row r="2761"/>
    <row r="2762"/>
    <row r="2763"/>
    <row r="2764"/>
    <row r="2765"/>
    <row r="2766"/>
    <row r="2767"/>
    <row r="2768"/>
    <row r="2769"/>
    <row r="2770"/>
    <row r="2771"/>
    <row r="2772"/>
    <row r="2773"/>
    <row r="2774"/>
    <row r="2775"/>
    <row r="2776"/>
    <row r="2777"/>
    <row r="2778"/>
    <row r="2779"/>
    <row r="2780"/>
    <row r="2781"/>
    <row r="2782"/>
    <row r="2783"/>
    <row r="2784"/>
    <row r="2785"/>
    <row r="2786"/>
    <row r="2787"/>
    <row r="2788"/>
    <row r="2789"/>
    <row r="2790"/>
    <row r="2791"/>
    <row r="2792"/>
    <row r="2793"/>
    <row r="2794"/>
    <row r="2795"/>
    <row r="2796"/>
    <row r="2797"/>
    <row r="2798"/>
    <row r="2799"/>
    <row r="2800"/>
    <row r="2801"/>
    <row r="2802"/>
    <row r="2803"/>
    <row r="2804"/>
    <row r="2805"/>
    <row r="2806"/>
    <row r="2807"/>
    <row r="2808"/>
    <row r="2809"/>
    <row r="2810"/>
    <row r="2811"/>
    <row r="2812"/>
    <row r="2813"/>
    <row r="2814"/>
    <row r="2815"/>
    <row r="2816"/>
    <row r="2817"/>
    <row r="2818"/>
    <row r="2819"/>
    <row r="2820"/>
    <row r="2821"/>
    <row r="2822"/>
    <row r="2823"/>
    <row r="2824"/>
    <row r="2825"/>
    <row r="2826"/>
    <row r="2827"/>
    <row r="2828"/>
    <row r="2829"/>
    <row r="2830"/>
    <row r="2831"/>
    <row r="2832"/>
    <row r="2833"/>
    <row r="2834"/>
    <row r="2835"/>
    <row r="2836"/>
    <row r="2837"/>
    <row r="2838"/>
    <row r="2839"/>
    <row r="2840"/>
    <row r="2841"/>
    <row r="2842"/>
    <row r="2843"/>
    <row r="2844"/>
    <row r="2845"/>
    <row r="2846"/>
    <row r="2847"/>
    <row r="2848"/>
    <row r="2849"/>
    <row r="2850"/>
    <row r="2851"/>
    <row r="2852"/>
    <row r="2853"/>
    <row r="2854"/>
    <row r="2855"/>
    <row r="2856"/>
    <row r="2857"/>
    <row r="2858"/>
    <row r="2859"/>
    <row r="2860"/>
    <row r="2861"/>
    <row r="2862"/>
    <row r="2863"/>
    <row r="2864"/>
    <row r="2865"/>
    <row r="2866"/>
    <row r="2867"/>
    <row r="2868"/>
    <row r="2869"/>
    <row r="2870"/>
    <row r="2871"/>
    <row r="2872"/>
    <row r="2873"/>
    <row r="2874"/>
    <row r="2875"/>
    <row r="2876"/>
    <row r="2877"/>
    <row r="2878"/>
    <row r="2879"/>
    <row r="2880"/>
    <row r="2881"/>
    <row r="2882"/>
    <row r="2883"/>
    <row r="2884"/>
    <row r="2885"/>
    <row r="2886"/>
    <row r="2887"/>
    <row r="2888"/>
    <row r="2889"/>
    <row r="2890"/>
    <row r="2891"/>
    <row r="2892"/>
    <row r="2893"/>
    <row r="2894"/>
    <row r="2895"/>
    <row r="2896"/>
    <row r="2897"/>
    <row r="2898"/>
    <row r="2899"/>
    <row r="2900"/>
    <row r="2901"/>
    <row r="2902"/>
    <row r="2903"/>
    <row r="2904"/>
    <row r="2905"/>
    <row r="2906"/>
    <row r="2907"/>
    <row r="2908"/>
    <row r="2909"/>
    <row r="2910"/>
    <row r="2911"/>
    <row r="2912"/>
    <row r="2913"/>
    <row r="2914"/>
    <row r="2915"/>
    <row r="2916"/>
    <row r="2917"/>
    <row r="2918"/>
    <row r="2919"/>
    <row r="2920"/>
    <row r="2921"/>
    <row r="2922"/>
    <row r="2923"/>
    <row r="2924"/>
    <row r="2925"/>
    <row r="2926"/>
    <row r="2927"/>
    <row r="2928"/>
    <row r="2929"/>
    <row r="2930"/>
    <row r="2931"/>
    <row r="2932"/>
    <row r="2933"/>
    <row r="2934"/>
    <row r="2935"/>
    <row r="2936"/>
    <row r="2937"/>
    <row r="2938"/>
    <row r="2939"/>
    <row r="2940"/>
    <row r="2941"/>
    <row r="2942"/>
    <row r="2943"/>
    <row r="2944"/>
    <row r="2945"/>
    <row r="2946"/>
    <row r="2947"/>
    <row r="2948"/>
    <row r="2949"/>
    <row r="2950"/>
    <row r="2951"/>
    <row r="2952"/>
    <row r="2953"/>
    <row r="2954"/>
    <row r="2955"/>
    <row r="2956"/>
    <row r="2957"/>
    <row r="2958"/>
    <row r="2959"/>
    <row r="2960"/>
    <row r="2961"/>
    <row r="2962"/>
    <row r="2963"/>
    <row r="2964"/>
    <row r="2965"/>
    <row r="2966"/>
    <row r="2967"/>
    <row r="2968"/>
    <row r="2969"/>
    <row r="2970"/>
    <row r="2971"/>
    <row r="2972"/>
    <row r="2973"/>
    <row r="2974"/>
    <row r="2975"/>
    <row r="2976"/>
    <row r="2977"/>
    <row r="2978"/>
    <row r="2979"/>
    <row r="2980"/>
    <row r="2981"/>
    <row r="2982"/>
    <row r="2983"/>
    <row r="2984"/>
    <row r="2985"/>
    <row r="2986"/>
    <row r="2987"/>
    <row r="2988"/>
    <row r="2989"/>
    <row r="2990"/>
    <row r="2991"/>
    <row r="2992"/>
    <row r="2993"/>
    <row r="2994"/>
    <row r="2995"/>
    <row r="2996"/>
    <row r="2997"/>
    <row r="2998"/>
    <row r="2999"/>
    <row r="3000"/>
    <row r="3001"/>
    <row r="3002"/>
    <row r="3003"/>
    <row r="3004"/>
    <row r="3005"/>
    <row r="3006"/>
    <row r="3007"/>
    <row r="3008"/>
    <row r="3009"/>
    <row r="3010"/>
    <row r="3011"/>
    <row r="3012"/>
    <row r="3013"/>
    <row r="3014"/>
    <row r="3015"/>
    <row r="3016"/>
    <row r="3017"/>
    <row r="3018"/>
    <row r="3019"/>
    <row r="3020"/>
    <row r="3021"/>
    <row r="3022"/>
    <row r="3023"/>
    <row r="3024"/>
    <row r="3025"/>
    <row r="3026"/>
    <row r="3027"/>
    <row r="3028"/>
    <row r="3029"/>
    <row r="3030"/>
    <row r="3031"/>
    <row r="3032"/>
    <row r="3033"/>
    <row r="3034"/>
    <row r="3035"/>
    <row r="3036"/>
    <row r="3037"/>
    <row r="3038"/>
    <row r="3039"/>
    <row r="3040"/>
    <row r="3041"/>
    <row r="3042"/>
    <row r="3043"/>
    <row r="3044"/>
    <row r="3045"/>
    <row r="3046"/>
    <row r="3047"/>
    <row r="3048"/>
    <row r="3049"/>
    <row r="3050"/>
    <row r="3051"/>
    <row r="3052"/>
    <row r="3053"/>
    <row r="3054"/>
    <row r="3055"/>
    <row r="3056"/>
    <row r="3057"/>
    <row r="3058"/>
    <row r="3059"/>
    <row r="3060"/>
    <row r="3061"/>
    <row r="3062"/>
    <row r="3063"/>
    <row r="3064"/>
    <row r="3065"/>
    <row r="3066"/>
    <row r="3067"/>
    <row r="3068"/>
    <row r="3069"/>
    <row r="3070"/>
    <row r="3071"/>
    <row r="3072"/>
    <row r="3073"/>
    <row r="3074"/>
    <row r="3075"/>
    <row r="3076"/>
    <row r="3077"/>
    <row r="3078"/>
    <row r="3079"/>
    <row r="3080"/>
    <row r="3081"/>
    <row r="3082"/>
    <row r="3083"/>
    <row r="3084"/>
    <row r="3085"/>
    <row r="3086"/>
    <row r="3087"/>
    <row r="3088"/>
    <row r="3089"/>
    <row r="3090"/>
    <row r="3091"/>
    <row r="3092"/>
    <row r="3093"/>
    <row r="3094"/>
    <row r="3095"/>
    <row r="3096"/>
    <row r="3097"/>
    <row r="3098"/>
    <row r="3099"/>
    <row r="3100"/>
    <row r="3101"/>
    <row r="3102"/>
    <row r="3103"/>
    <row r="3104"/>
    <row r="3105"/>
    <row r="3106"/>
    <row r="3107"/>
    <row r="3108"/>
    <row r="3109"/>
    <row r="3110"/>
    <row r="3111"/>
    <row r="3112"/>
    <row r="3113"/>
    <row r="3114"/>
    <row r="3115"/>
    <row r="3116"/>
    <row r="3117"/>
    <row r="3118"/>
    <row r="3119"/>
    <row r="3120"/>
    <row r="3121"/>
    <row r="3122"/>
    <row r="3123"/>
    <row r="3124"/>
    <row r="3125"/>
    <row r="3126"/>
    <row r="3127"/>
    <row r="3128"/>
    <row r="3129"/>
    <row r="3130"/>
    <row r="3131"/>
    <row r="3132"/>
    <row r="3133"/>
    <row r="3134"/>
    <row r="3135"/>
    <row r="3136"/>
    <row r="3137"/>
    <row r="3138"/>
    <row r="3139"/>
    <row r="3140"/>
    <row r="3141"/>
    <row r="3142"/>
    <row r="3143"/>
    <row r="3144"/>
    <row r="3145"/>
    <row r="3146"/>
    <row r="3147"/>
    <row r="3148"/>
    <row r="3149"/>
    <row r="3150"/>
    <row r="3151"/>
    <row r="3152"/>
    <row r="3153"/>
    <row r="3154"/>
    <row r="3155"/>
    <row r="3156"/>
    <row r="3157"/>
    <row r="3158"/>
    <row r="3159"/>
    <row r="3160"/>
    <row r="3161"/>
    <row r="3162"/>
    <row r="3163"/>
    <row r="3164"/>
    <row r="3165"/>
    <row r="3166"/>
    <row r="3167"/>
    <row r="3168"/>
    <row r="3169"/>
    <row r="3170"/>
    <row r="3171"/>
    <row r="3172"/>
    <row r="3173"/>
    <row r="3174"/>
    <row r="3175"/>
    <row r="3176"/>
    <row r="3177"/>
    <row r="3178"/>
    <row r="3179"/>
    <row r="3180"/>
    <row r="3181"/>
    <row r="3182"/>
    <row r="3183"/>
    <row r="3184"/>
    <row r="3185"/>
    <row r="3186"/>
    <row r="3187"/>
    <row r="3188"/>
    <row r="3189"/>
    <row r="3190"/>
    <row r="3191"/>
    <row r="3192"/>
    <row r="3193"/>
    <row r="3194"/>
    <row r="3195"/>
    <row r="3196"/>
    <row r="3197"/>
    <row r="3198"/>
    <row r="3199"/>
    <row r="3200"/>
    <row r="3201"/>
    <row r="3202"/>
    <row r="3203"/>
    <row r="3204"/>
    <row r="3205"/>
    <row r="3206"/>
    <row r="3207"/>
    <row r="3208"/>
    <row r="3209"/>
    <row r="3210"/>
    <row r="3211"/>
    <row r="3212"/>
    <row r="3213"/>
    <row r="3214"/>
    <row r="3215"/>
    <row r="3216"/>
    <row r="3217"/>
    <row r="3218"/>
    <row r="3219"/>
    <row r="3220"/>
    <row r="3221"/>
    <row r="3222"/>
    <row r="3223"/>
    <row r="3224"/>
    <row r="3225"/>
    <row r="3226"/>
    <row r="3227"/>
    <row r="3228"/>
    <row r="3229"/>
    <row r="3230"/>
    <row r="3231"/>
    <row r="3232"/>
    <row r="3233"/>
    <row r="3234"/>
    <row r="3235"/>
    <row r="3236"/>
    <row r="3237"/>
    <row r="3238"/>
    <row r="3239"/>
    <row r="3240"/>
    <row r="3241"/>
    <row r="3242"/>
    <row r="3243"/>
    <row r="3244"/>
    <row r="3245"/>
    <row r="3246"/>
    <row r="3247"/>
    <row r="3248"/>
    <row r="3249"/>
    <row r="3250"/>
    <row r="3251"/>
    <row r="3252"/>
    <row r="3253"/>
    <row r="3254"/>
    <row r="3255"/>
    <row r="3256"/>
    <row r="3257"/>
    <row r="3258"/>
    <row r="3259"/>
    <row r="3260"/>
    <row r="3261"/>
    <row r="3262"/>
    <row r="3263"/>
    <row r="3264"/>
    <row r="3265"/>
    <row r="3266"/>
    <row r="3267"/>
    <row r="3268"/>
    <row r="3269"/>
    <row r="3270"/>
    <row r="3271"/>
    <row r="3272"/>
    <row r="3273"/>
    <row r="3274"/>
    <row r="3275"/>
    <row r="3276"/>
    <row r="3277"/>
    <row r="3278"/>
    <row r="3279"/>
    <row r="3280"/>
    <row r="3281"/>
    <row r="3282"/>
    <row r="3283"/>
    <row r="3284"/>
    <row r="3285"/>
    <row r="3286"/>
    <row r="3287"/>
    <row r="3288"/>
    <row r="3289"/>
    <row r="3290"/>
    <row r="3291"/>
    <row r="3292"/>
    <row r="3293"/>
    <row r="3294"/>
    <row r="3295"/>
    <row r="3296"/>
    <row r="3297"/>
    <row r="3298"/>
    <row r="3299"/>
    <row r="3300"/>
    <row r="3301"/>
    <row r="3302"/>
    <row r="3303"/>
    <row r="3304"/>
    <row r="3305"/>
    <row r="3306"/>
    <row r="3307"/>
    <row r="3308"/>
    <row r="3309"/>
    <row r="3310"/>
    <row r="3311"/>
    <row r="3312"/>
    <row r="3313"/>
    <row r="3314"/>
    <row r="3315"/>
    <row r="3316"/>
    <row r="3317"/>
    <row r="3318"/>
    <row r="3319"/>
    <row r="3320"/>
    <row r="3321"/>
    <row r="3322"/>
    <row r="3323"/>
    <row r="3324"/>
    <row r="3325"/>
    <row r="3326"/>
    <row r="3327"/>
    <row r="3328"/>
    <row r="3329"/>
    <row r="3330"/>
    <row r="3331"/>
    <row r="3332"/>
    <row r="3333"/>
    <row r="3334"/>
    <row r="3335"/>
    <row r="3336"/>
    <row r="3337"/>
    <row r="3338"/>
    <row r="3339"/>
    <row r="3340"/>
    <row r="3341"/>
    <row r="3342"/>
    <row r="3343"/>
    <row r="3344"/>
    <row r="3345"/>
    <row r="3346"/>
    <row r="3347"/>
    <row r="3348"/>
    <row r="3349"/>
    <row r="3350"/>
    <row r="3351"/>
    <row r="3352"/>
    <row r="3353"/>
    <row r="3354"/>
    <row r="3355"/>
    <row r="3356"/>
    <row r="3357"/>
    <row r="3358"/>
    <row r="3359"/>
    <row r="3360"/>
    <row r="3361"/>
    <row r="3362"/>
    <row r="3363"/>
    <row r="3364"/>
    <row r="3365"/>
    <row r="3366"/>
    <row r="3367"/>
    <row r="3368"/>
    <row r="3369"/>
    <row r="3370"/>
    <row r="3371"/>
    <row r="3372"/>
    <row r="3373"/>
    <row r="3374"/>
    <row r="3375"/>
    <row r="3376"/>
    <row r="3377"/>
    <row r="3378"/>
    <row r="3379"/>
    <row r="3380"/>
    <row r="3381"/>
    <row r="3382"/>
    <row r="3383"/>
    <row r="3384"/>
    <row r="3385"/>
    <row r="3386"/>
    <row r="3387"/>
    <row r="3388"/>
    <row r="3389"/>
    <row r="3390"/>
    <row r="3391"/>
    <row r="3392"/>
    <row r="3393"/>
    <row r="3394"/>
    <row r="3395"/>
    <row r="3396"/>
    <row r="3397"/>
    <row r="3398"/>
    <row r="3399"/>
    <row r="3400"/>
    <row r="3401"/>
    <row r="3402"/>
    <row r="3403"/>
    <row r="3404"/>
    <row r="3405"/>
    <row r="3406"/>
    <row r="3407"/>
    <row r="3408"/>
    <row r="3409"/>
    <row r="3410"/>
    <row r="3411"/>
    <row r="3412"/>
    <row r="3413"/>
    <row r="3414"/>
    <row r="3415"/>
    <row r="3416"/>
    <row r="3417"/>
    <row r="3418"/>
    <row r="3419"/>
    <row r="3420"/>
    <row r="3421"/>
    <row r="3422"/>
    <row r="3423"/>
    <row r="3424"/>
    <row r="3425"/>
    <row r="3426"/>
    <row r="3427"/>
    <row r="3428"/>
    <row r="3429"/>
    <row r="3430"/>
    <row r="3431"/>
    <row r="3432"/>
    <row r="3433"/>
    <row r="3434"/>
    <row r="3435"/>
    <row r="3436"/>
    <row r="3437"/>
    <row r="3438"/>
    <row r="3439"/>
    <row r="3440"/>
    <row r="3441"/>
    <row r="3442"/>
    <row r="3443"/>
    <row r="3444"/>
    <row r="3445"/>
    <row r="3446"/>
    <row r="3447"/>
    <row r="3448"/>
    <row r="3449"/>
    <row r="3450"/>
    <row r="3451"/>
    <row r="3452"/>
    <row r="3453"/>
    <row r="3454"/>
    <row r="3455"/>
    <row r="3456"/>
    <row r="3457"/>
    <row r="3458"/>
    <row r="3459"/>
    <row r="3460"/>
    <row r="3461"/>
    <row r="3462"/>
    <row r="3463"/>
    <row r="3464"/>
    <row r="3465"/>
    <row r="3466"/>
    <row r="3467"/>
    <row r="3468"/>
    <row r="3469"/>
    <row r="3470"/>
    <row r="3471"/>
    <row r="3472"/>
    <row r="3473"/>
    <row r="3474"/>
    <row r="3475"/>
    <row r="3476"/>
    <row r="3477"/>
    <row r="3478"/>
    <row r="3479"/>
    <row r="3480"/>
    <row r="3481"/>
    <row r="3482"/>
    <row r="3483"/>
    <row r="3484"/>
    <row r="3485"/>
    <row r="3486"/>
    <row r="3487"/>
    <row r="3488"/>
    <row r="3489"/>
    <row r="3490"/>
    <row r="3491"/>
    <row r="3492"/>
    <row r="3493"/>
    <row r="3494"/>
    <row r="3495"/>
    <row r="3496"/>
    <row r="3497"/>
    <row r="3498"/>
    <row r="3499"/>
    <row r="3500"/>
    <row r="3501"/>
    <row r="3502"/>
    <row r="3503"/>
    <row r="3504"/>
    <row r="3505"/>
    <row r="3506"/>
    <row r="3507"/>
    <row r="3508"/>
    <row r="3509"/>
    <row r="3510"/>
    <row r="3511"/>
    <row r="3512"/>
    <row r="3513"/>
    <row r="3514"/>
    <row r="3515"/>
    <row r="3516"/>
    <row r="3517"/>
    <row r="3518"/>
    <row r="3519"/>
    <row r="3520"/>
    <row r="3521"/>
    <row r="3522"/>
    <row r="3523"/>
    <row r="3524"/>
    <row r="3525"/>
    <row r="3526"/>
    <row r="3527"/>
    <row r="3528"/>
    <row r="3529"/>
    <row r="3530"/>
    <row r="3531"/>
    <row r="3532"/>
    <row r="3533"/>
    <row r="3534"/>
    <row r="3535"/>
    <row r="3536"/>
    <row r="3537"/>
    <row r="3538"/>
    <row r="3539"/>
    <row r="3540"/>
    <row r="3541"/>
    <row r="3542"/>
    <row r="3543"/>
    <row r="3544"/>
    <row r="3545"/>
    <row r="3546"/>
    <row r="3547"/>
    <row r="3548"/>
    <row r="3549"/>
    <row r="3550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H2273"/>
  <sheetViews>
    <sheetView workbookViewId="0"/>
  </sheetViews>
  <sheetFormatPr defaultColWidth="12.5703125" defaultRowHeight="15.75" customHeight="1"/>
  <sheetData>
    <row r="1" spans="1:8">
      <c r="A1" s="1" t="str">
        <f ca="1">IFERROR(__xludf.UNSUPPORTED(GOOGLEFINANCE("MSFT", "price", "01/01/2019", "01/22/2026", "DAILY")),"Date")</f>
        <v>Date</v>
      </c>
      <c r="B1" s="1" t="str">
        <f ca="1">IFERROR(__xludf.UNSUPPORTED("""COMPUTED_VALUE"""),"Close")</f>
        <v>Close</v>
      </c>
      <c r="C1" s="2" t="s">
        <v>13</v>
      </c>
      <c r="E1" s="1" t="s">
        <v>14</v>
      </c>
      <c r="F1" s="2" t="s">
        <v>15</v>
      </c>
      <c r="G1" s="2" t="s">
        <v>16</v>
      </c>
      <c r="H1" s="2" t="s">
        <v>17</v>
      </c>
    </row>
    <row r="2" spans="1:8">
      <c r="A2" s="3">
        <f ca="1">IFERROR(__xludf.UNSUPPORTED("""COMPUTED_VALUE"""),43467.6666666666)</f>
        <v>43467.666666666599</v>
      </c>
      <c r="B2" s="1">
        <f ca="1">IFERROR(__xludf.UNSUPPORTED("""COMPUTED_VALUE"""),101.12)</f>
        <v>101.12</v>
      </c>
      <c r="C2" s="2"/>
      <c r="E2" s="2">
        <f ca="1">AVERAGE(C3:C1773)</f>
        <v>1.0041431051934263E-3</v>
      </c>
      <c r="F2" s="2">
        <f ca="1">_xlfn.STDEV.S(C3:C1773)</f>
        <v>1.7861536035188447E-2</v>
      </c>
      <c r="G2" s="2">
        <f ca="1">E2*252</f>
        <v>0.25304406250874345</v>
      </c>
      <c r="H2" s="2">
        <f ca="1">F2*SQRT(252)</f>
        <v>0.2835430942963636</v>
      </c>
    </row>
    <row r="3" spans="1:8">
      <c r="A3" s="3">
        <f ca="1">IFERROR(__xludf.UNSUPPORTED("""COMPUTED_VALUE"""),43468.6666666666)</f>
        <v>43468.666666666599</v>
      </c>
      <c r="B3" s="1">
        <f ca="1">IFERROR(__xludf.UNSUPPORTED("""COMPUTED_VALUE"""),97.4)</f>
        <v>97.4</v>
      </c>
      <c r="C3" s="2">
        <f t="shared" ref="C3:C257" ca="1" si="0">(B3-B2)/B2</f>
        <v>-3.6787974683544292E-2</v>
      </c>
      <c r="F3" s="2"/>
      <c r="G3" s="2"/>
      <c r="H3" s="2"/>
    </row>
    <row r="4" spans="1:8">
      <c r="A4" s="3">
        <f ca="1">IFERROR(__xludf.UNSUPPORTED("""COMPUTED_VALUE"""),43469.6666666666)</f>
        <v>43469.666666666599</v>
      </c>
      <c r="B4" s="1">
        <f ca="1">IFERROR(__xludf.UNSUPPORTED("""COMPUTED_VALUE"""),101.93)</f>
        <v>101.93</v>
      </c>
      <c r="C4" s="2">
        <f t="shared" ca="1" si="0"/>
        <v>4.6509240246406583E-2</v>
      </c>
      <c r="F4" s="2"/>
      <c r="G4" s="2"/>
      <c r="H4" s="2"/>
    </row>
    <row r="5" spans="1:8">
      <c r="A5" s="3">
        <f ca="1">IFERROR(__xludf.UNSUPPORTED("""COMPUTED_VALUE"""),43472.6666666666)</f>
        <v>43472.666666666599</v>
      </c>
      <c r="B5" s="1">
        <f ca="1">IFERROR(__xludf.UNSUPPORTED("""COMPUTED_VALUE"""),102.06)</f>
        <v>102.06</v>
      </c>
      <c r="C5" s="2">
        <f t="shared" ca="1" si="0"/>
        <v>1.2753850681840031E-3</v>
      </c>
      <c r="F5" s="2"/>
      <c r="G5" s="2"/>
      <c r="H5" s="2"/>
    </row>
    <row r="6" spans="1:8">
      <c r="A6" s="3">
        <f ca="1">IFERROR(__xludf.UNSUPPORTED("""COMPUTED_VALUE"""),43473.6666666666)</f>
        <v>43473.666666666599</v>
      </c>
      <c r="B6" s="1">
        <f ca="1">IFERROR(__xludf.UNSUPPORTED("""COMPUTED_VALUE"""),102.8)</f>
        <v>102.8</v>
      </c>
      <c r="C6" s="2">
        <f t="shared" ca="1" si="0"/>
        <v>7.25063688026646E-3</v>
      </c>
      <c r="F6" s="2"/>
      <c r="G6" s="2"/>
      <c r="H6" s="2"/>
    </row>
    <row r="7" spans="1:8">
      <c r="A7" s="3">
        <f ca="1">IFERROR(__xludf.UNSUPPORTED("""COMPUTED_VALUE"""),43474.6666666666)</f>
        <v>43474.666666666599</v>
      </c>
      <c r="B7" s="1">
        <f ca="1">IFERROR(__xludf.UNSUPPORTED("""COMPUTED_VALUE"""),104.27)</f>
        <v>104.27</v>
      </c>
      <c r="C7" s="2">
        <f t="shared" ca="1" si="0"/>
        <v>1.4299610894941623E-2</v>
      </c>
      <c r="F7" s="2"/>
      <c r="G7" s="2"/>
      <c r="H7" s="2"/>
    </row>
    <row r="8" spans="1:8">
      <c r="A8" s="3">
        <f ca="1">IFERROR(__xludf.UNSUPPORTED("""COMPUTED_VALUE"""),43475.6666666666)</f>
        <v>43475.666666666599</v>
      </c>
      <c r="B8" s="1">
        <f ca="1">IFERROR(__xludf.UNSUPPORTED("""COMPUTED_VALUE"""),103.6)</f>
        <v>103.6</v>
      </c>
      <c r="C8" s="2">
        <f t="shared" ca="1" si="0"/>
        <v>-6.4256257792270231E-3</v>
      </c>
      <c r="F8" s="2"/>
      <c r="G8" s="2"/>
      <c r="H8" s="2"/>
    </row>
    <row r="9" spans="1:8">
      <c r="A9" s="3">
        <f ca="1">IFERROR(__xludf.UNSUPPORTED("""COMPUTED_VALUE"""),43476.6666666666)</f>
        <v>43476.666666666599</v>
      </c>
      <c r="B9" s="1">
        <f ca="1">IFERROR(__xludf.UNSUPPORTED("""COMPUTED_VALUE"""),102.8)</f>
        <v>102.8</v>
      </c>
      <c r="C9" s="2">
        <f t="shared" ca="1" si="0"/>
        <v>-7.7220077220076953E-3</v>
      </c>
      <c r="F9" s="2"/>
      <c r="G9" s="2"/>
      <c r="H9" s="2"/>
    </row>
    <row r="10" spans="1:8">
      <c r="A10" s="3">
        <f ca="1">IFERROR(__xludf.UNSUPPORTED("""COMPUTED_VALUE"""),43479.6666666666)</f>
        <v>43479.666666666599</v>
      </c>
      <c r="B10" s="1">
        <f ca="1">IFERROR(__xludf.UNSUPPORTED("""COMPUTED_VALUE"""),102.05)</f>
        <v>102.05</v>
      </c>
      <c r="C10" s="2">
        <f t="shared" ca="1" si="0"/>
        <v>-7.2957198443579768E-3</v>
      </c>
      <c r="F10" s="2"/>
      <c r="G10" s="2"/>
      <c r="H10" s="2"/>
    </row>
    <row r="11" spans="1:8">
      <c r="A11" s="3">
        <f ca="1">IFERROR(__xludf.UNSUPPORTED("""COMPUTED_VALUE"""),43480.6666666666)</f>
        <v>43480.666666666599</v>
      </c>
      <c r="B11" s="1">
        <f ca="1">IFERROR(__xludf.UNSUPPORTED("""COMPUTED_VALUE"""),105.01)</f>
        <v>105.01</v>
      </c>
      <c r="C11" s="2">
        <f t="shared" ca="1" si="0"/>
        <v>2.9005389514943733E-2</v>
      </c>
      <c r="F11" s="2"/>
      <c r="G11" s="2"/>
      <c r="H11" s="2"/>
    </row>
    <row r="12" spans="1:8">
      <c r="A12" s="3">
        <f ca="1">IFERROR(__xludf.UNSUPPORTED("""COMPUTED_VALUE"""),43481.6666666666)</f>
        <v>43481.666666666599</v>
      </c>
      <c r="B12" s="1">
        <f ca="1">IFERROR(__xludf.UNSUPPORTED("""COMPUTED_VALUE"""),105.38)</f>
        <v>105.38</v>
      </c>
      <c r="C12" s="2">
        <f t="shared" ca="1" si="0"/>
        <v>3.5234739548613498E-3</v>
      </c>
      <c r="F12" s="2"/>
      <c r="G12" s="2"/>
      <c r="H12" s="2"/>
    </row>
    <row r="13" spans="1:8">
      <c r="A13" s="3">
        <f ca="1">IFERROR(__xludf.UNSUPPORTED("""COMPUTED_VALUE"""),43482.6666666666)</f>
        <v>43482.666666666599</v>
      </c>
      <c r="B13" s="1">
        <f ca="1">IFERROR(__xludf.UNSUPPORTED("""COMPUTED_VALUE"""),106.12)</f>
        <v>106.12</v>
      </c>
      <c r="C13" s="2">
        <f t="shared" ca="1" si="0"/>
        <v>7.0222053520593011E-3</v>
      </c>
      <c r="F13" s="2"/>
      <c r="G13" s="2"/>
      <c r="H13" s="2"/>
    </row>
    <row r="14" spans="1:8">
      <c r="A14" s="3">
        <f ca="1">IFERROR(__xludf.UNSUPPORTED("""COMPUTED_VALUE"""),43483.6666666666)</f>
        <v>43483.666666666599</v>
      </c>
      <c r="B14" s="1">
        <f ca="1">IFERROR(__xludf.UNSUPPORTED("""COMPUTED_VALUE"""),107.71)</f>
        <v>107.71</v>
      </c>
      <c r="C14" s="2">
        <f t="shared" ca="1" si="0"/>
        <v>1.4983038070109207E-2</v>
      </c>
      <c r="F14" s="2"/>
      <c r="G14" s="2"/>
      <c r="H14" s="2"/>
    </row>
    <row r="15" spans="1:8">
      <c r="A15" s="3">
        <f ca="1">IFERROR(__xludf.UNSUPPORTED("""COMPUTED_VALUE"""),43487.6666666666)</f>
        <v>43487.666666666599</v>
      </c>
      <c r="B15" s="1">
        <f ca="1">IFERROR(__xludf.UNSUPPORTED("""COMPUTED_VALUE"""),105.68)</f>
        <v>105.68</v>
      </c>
      <c r="C15" s="2">
        <f t="shared" ca="1" si="0"/>
        <v>-1.884690372295968E-2</v>
      </c>
      <c r="F15" s="2"/>
      <c r="G15" s="2"/>
      <c r="H15" s="2"/>
    </row>
    <row r="16" spans="1:8">
      <c r="A16" s="3">
        <f ca="1">IFERROR(__xludf.UNSUPPORTED("""COMPUTED_VALUE"""),43488.6666666666)</f>
        <v>43488.666666666599</v>
      </c>
      <c r="B16" s="1">
        <f ca="1">IFERROR(__xludf.UNSUPPORTED("""COMPUTED_VALUE"""),106.71)</f>
        <v>106.71</v>
      </c>
      <c r="C16" s="2">
        <f t="shared" ca="1" si="0"/>
        <v>9.7464042392125926E-3</v>
      </c>
      <c r="F16" s="2"/>
      <c r="G16" s="2"/>
      <c r="H16" s="2"/>
    </row>
    <row r="17" spans="1:3">
      <c r="A17" s="3">
        <f ca="1">IFERROR(__xludf.UNSUPPORTED("""COMPUTED_VALUE"""),43489.6666666666)</f>
        <v>43489.666666666599</v>
      </c>
      <c r="B17" s="1">
        <f ca="1">IFERROR(__xludf.UNSUPPORTED("""COMPUTED_VALUE"""),106.2)</f>
        <v>106.2</v>
      </c>
      <c r="C17" s="2">
        <f t="shared" ca="1" si="0"/>
        <v>-4.7793084059599934E-3</v>
      </c>
    </row>
    <row r="18" spans="1:3">
      <c r="A18" s="3">
        <f ca="1">IFERROR(__xludf.UNSUPPORTED("""COMPUTED_VALUE"""),43490.6666666666)</f>
        <v>43490.666666666599</v>
      </c>
      <c r="B18" s="1">
        <f ca="1">IFERROR(__xludf.UNSUPPORTED("""COMPUTED_VALUE"""),107.17)</f>
        <v>107.17</v>
      </c>
      <c r="C18" s="2">
        <f t="shared" ca="1" si="0"/>
        <v>9.1337099811675971E-3</v>
      </c>
    </row>
    <row r="19" spans="1:3">
      <c r="A19" s="3">
        <f ca="1">IFERROR(__xludf.UNSUPPORTED("""COMPUTED_VALUE"""),43493.6666666666)</f>
        <v>43493.666666666599</v>
      </c>
      <c r="B19" s="1">
        <f ca="1">IFERROR(__xludf.UNSUPPORTED("""COMPUTED_VALUE"""),105.08)</f>
        <v>105.08</v>
      </c>
      <c r="C19" s="2">
        <f t="shared" ca="1" si="0"/>
        <v>-1.9501726229355261E-2</v>
      </c>
    </row>
    <row r="20" spans="1:3">
      <c r="A20" s="3">
        <f ca="1">IFERROR(__xludf.UNSUPPORTED("""COMPUTED_VALUE"""),43494.6666666666)</f>
        <v>43494.666666666599</v>
      </c>
      <c r="B20" s="1">
        <f ca="1">IFERROR(__xludf.UNSUPPORTED("""COMPUTED_VALUE"""),102.94)</f>
        <v>102.94</v>
      </c>
      <c r="C20" s="2">
        <f t="shared" ca="1" si="0"/>
        <v>-2.0365435858393611E-2</v>
      </c>
    </row>
    <row r="21" spans="1:3">
      <c r="A21" s="3">
        <f ca="1">IFERROR(__xludf.UNSUPPORTED("""COMPUTED_VALUE"""),43495.6666666666)</f>
        <v>43495.666666666599</v>
      </c>
      <c r="B21" s="1">
        <f ca="1">IFERROR(__xludf.UNSUPPORTED("""COMPUTED_VALUE"""),106.38)</f>
        <v>106.38</v>
      </c>
      <c r="C21" s="2">
        <f t="shared" ca="1" si="0"/>
        <v>3.3417524771711657E-2</v>
      </c>
    </row>
    <row r="22" spans="1:3">
      <c r="A22" s="3">
        <f ca="1">IFERROR(__xludf.UNSUPPORTED("""COMPUTED_VALUE"""),43496.6666666666)</f>
        <v>43496.666666666599</v>
      </c>
      <c r="B22" s="1">
        <f ca="1">IFERROR(__xludf.UNSUPPORTED("""COMPUTED_VALUE"""),104.43)</f>
        <v>104.43</v>
      </c>
      <c r="C22" s="2">
        <f t="shared" ca="1" si="0"/>
        <v>-1.8330513254371017E-2</v>
      </c>
    </row>
    <row r="23" spans="1:3">
      <c r="A23" s="3">
        <f ca="1">IFERROR(__xludf.UNSUPPORTED("""COMPUTED_VALUE"""),43497.6666666666)</f>
        <v>43497.666666666599</v>
      </c>
      <c r="B23" s="1">
        <f ca="1">IFERROR(__xludf.UNSUPPORTED("""COMPUTED_VALUE"""),102.78)</f>
        <v>102.78</v>
      </c>
      <c r="C23" s="2">
        <f t="shared" ca="1" si="0"/>
        <v>-1.5800057454754435E-2</v>
      </c>
    </row>
    <row r="24" spans="1:3">
      <c r="A24" s="3">
        <f ca="1">IFERROR(__xludf.UNSUPPORTED("""COMPUTED_VALUE"""),43500.6666666666)</f>
        <v>43500.666666666599</v>
      </c>
      <c r="B24" s="1">
        <f ca="1">IFERROR(__xludf.UNSUPPORTED("""COMPUTED_VALUE"""),105.74)</f>
        <v>105.74</v>
      </c>
      <c r="C24" s="2">
        <f t="shared" ca="1" si="0"/>
        <v>2.8799377310760786E-2</v>
      </c>
    </row>
    <row r="25" spans="1:3">
      <c r="A25" s="3">
        <f ca="1">IFERROR(__xludf.UNSUPPORTED("""COMPUTED_VALUE"""),43501.6666666666)</f>
        <v>43501.666666666599</v>
      </c>
      <c r="B25" s="1">
        <f ca="1">IFERROR(__xludf.UNSUPPORTED("""COMPUTED_VALUE"""),107.22)</f>
        <v>107.22</v>
      </c>
      <c r="C25" s="2">
        <f t="shared" ca="1" si="0"/>
        <v>1.3996595422735049E-2</v>
      </c>
    </row>
    <row r="26" spans="1:3">
      <c r="A26" s="3">
        <f ca="1">IFERROR(__xludf.UNSUPPORTED("""COMPUTED_VALUE"""),43502.6666666666)</f>
        <v>43502.666666666599</v>
      </c>
      <c r="B26" s="1">
        <f ca="1">IFERROR(__xludf.UNSUPPORTED("""COMPUTED_VALUE"""),106.03)</f>
        <v>106.03</v>
      </c>
      <c r="C26" s="2">
        <f t="shared" ca="1" si="0"/>
        <v>-1.1098675620220088E-2</v>
      </c>
    </row>
    <row r="27" spans="1:3">
      <c r="A27" s="3">
        <f ca="1">IFERROR(__xludf.UNSUPPORTED("""COMPUTED_VALUE"""),43503.6666666666)</f>
        <v>43503.666666666599</v>
      </c>
      <c r="B27" s="1">
        <f ca="1">IFERROR(__xludf.UNSUPPORTED("""COMPUTED_VALUE"""),105.27)</f>
        <v>105.27</v>
      </c>
      <c r="C27" s="2">
        <f t="shared" ca="1" si="0"/>
        <v>-7.1677827030086306E-3</v>
      </c>
    </row>
    <row r="28" spans="1:3">
      <c r="A28" s="3">
        <f ca="1">IFERROR(__xludf.UNSUPPORTED("""COMPUTED_VALUE"""),43504.6666666666)</f>
        <v>43504.666666666599</v>
      </c>
      <c r="B28" s="1">
        <f ca="1">IFERROR(__xludf.UNSUPPORTED("""COMPUTED_VALUE"""),105.67)</f>
        <v>105.67</v>
      </c>
      <c r="C28" s="2">
        <f t="shared" ca="1" si="0"/>
        <v>3.7997530160540104E-3</v>
      </c>
    </row>
    <row r="29" spans="1:3">
      <c r="A29" s="3">
        <f ca="1">IFERROR(__xludf.UNSUPPORTED("""COMPUTED_VALUE"""),43507.6666666666)</f>
        <v>43507.666666666599</v>
      </c>
      <c r="B29" s="1">
        <f ca="1">IFERROR(__xludf.UNSUPPORTED("""COMPUTED_VALUE"""),105.25)</f>
        <v>105.25</v>
      </c>
      <c r="C29" s="2">
        <f t="shared" ca="1" si="0"/>
        <v>-3.9746380240371125E-3</v>
      </c>
    </row>
    <row r="30" spans="1:3">
      <c r="A30" s="3">
        <f ca="1">IFERROR(__xludf.UNSUPPORTED("""COMPUTED_VALUE"""),43508.6666666666)</f>
        <v>43508.666666666599</v>
      </c>
      <c r="B30" s="1">
        <f ca="1">IFERROR(__xludf.UNSUPPORTED("""COMPUTED_VALUE"""),106.89)</f>
        <v>106.89</v>
      </c>
      <c r="C30" s="2">
        <f t="shared" ca="1" si="0"/>
        <v>1.5581947743467939E-2</v>
      </c>
    </row>
    <row r="31" spans="1:3">
      <c r="A31" s="3">
        <f ca="1">IFERROR(__xludf.UNSUPPORTED("""COMPUTED_VALUE"""),43509.6666666666)</f>
        <v>43509.666666666599</v>
      </c>
      <c r="B31" s="1">
        <f ca="1">IFERROR(__xludf.UNSUPPORTED("""COMPUTED_VALUE"""),106.81)</f>
        <v>106.81</v>
      </c>
      <c r="C31" s="2">
        <f t="shared" ca="1" si="0"/>
        <v>-7.4843296847224526E-4</v>
      </c>
    </row>
    <row r="32" spans="1:3">
      <c r="A32" s="3">
        <f ca="1">IFERROR(__xludf.UNSUPPORTED("""COMPUTED_VALUE"""),43510.6666666666)</f>
        <v>43510.666666666599</v>
      </c>
      <c r="B32" s="1">
        <f ca="1">IFERROR(__xludf.UNSUPPORTED("""COMPUTED_VALUE"""),106.9)</f>
        <v>106.9</v>
      </c>
      <c r="C32" s="2">
        <f t="shared" ca="1" si="0"/>
        <v>8.4261773242208981E-4</v>
      </c>
    </row>
    <row r="33" spans="1:3">
      <c r="A33" s="3">
        <f ca="1">IFERROR(__xludf.UNSUPPORTED("""COMPUTED_VALUE"""),43511.6666666666)</f>
        <v>43511.666666666599</v>
      </c>
      <c r="B33" s="1">
        <f ca="1">IFERROR(__xludf.UNSUPPORTED("""COMPUTED_VALUE"""),108.22)</f>
        <v>108.22</v>
      </c>
      <c r="C33" s="2">
        <f t="shared" ca="1" si="0"/>
        <v>1.2347988774555596E-2</v>
      </c>
    </row>
    <row r="34" spans="1:3">
      <c r="A34" s="3">
        <f ca="1">IFERROR(__xludf.UNSUPPORTED("""COMPUTED_VALUE"""),43515.6666666666)</f>
        <v>43515.666666666599</v>
      </c>
      <c r="B34" s="1">
        <f ca="1">IFERROR(__xludf.UNSUPPORTED("""COMPUTED_VALUE"""),108.17)</f>
        <v>108.17</v>
      </c>
      <c r="C34" s="2">
        <f t="shared" ca="1" si="0"/>
        <v>-4.6202180742928442E-4</v>
      </c>
    </row>
    <row r="35" spans="1:3">
      <c r="A35" s="3">
        <f ca="1">IFERROR(__xludf.UNSUPPORTED("""COMPUTED_VALUE"""),43516.6666666666)</f>
        <v>43516.666666666599</v>
      </c>
      <c r="B35" s="1">
        <f ca="1">IFERROR(__xludf.UNSUPPORTED("""COMPUTED_VALUE"""),107.15)</f>
        <v>107.15</v>
      </c>
      <c r="C35" s="2">
        <f t="shared" ca="1" si="0"/>
        <v>-9.4296015531108064E-3</v>
      </c>
    </row>
    <row r="36" spans="1:3">
      <c r="A36" s="3">
        <f ca="1">IFERROR(__xludf.UNSUPPORTED("""COMPUTED_VALUE"""),43517.6666666666)</f>
        <v>43517.666666666599</v>
      </c>
      <c r="B36" s="1">
        <f ca="1">IFERROR(__xludf.UNSUPPORTED("""COMPUTED_VALUE"""),109.41)</f>
        <v>109.41</v>
      </c>
      <c r="C36" s="2">
        <f t="shared" ca="1" si="0"/>
        <v>2.1091927204852923E-2</v>
      </c>
    </row>
    <row r="37" spans="1:3">
      <c r="A37" s="3">
        <f ca="1">IFERROR(__xludf.UNSUPPORTED("""COMPUTED_VALUE"""),43518.6666666666)</f>
        <v>43518.666666666599</v>
      </c>
      <c r="B37" s="1">
        <f ca="1">IFERROR(__xludf.UNSUPPORTED("""COMPUTED_VALUE"""),110.97)</f>
        <v>110.97</v>
      </c>
      <c r="C37" s="2">
        <f t="shared" ca="1" si="0"/>
        <v>1.4258294488620805E-2</v>
      </c>
    </row>
    <row r="38" spans="1:3">
      <c r="A38" s="3">
        <f ca="1">IFERROR(__xludf.UNSUPPORTED("""COMPUTED_VALUE"""),43521.6666666666)</f>
        <v>43521.666666666599</v>
      </c>
      <c r="B38" s="1">
        <f ca="1">IFERROR(__xludf.UNSUPPORTED("""COMPUTED_VALUE"""),111.59)</f>
        <v>111.59</v>
      </c>
      <c r="C38" s="2">
        <f t="shared" ca="1" si="0"/>
        <v>5.5870956114265529E-3</v>
      </c>
    </row>
    <row r="39" spans="1:3">
      <c r="A39" s="3">
        <f ca="1">IFERROR(__xludf.UNSUPPORTED("""COMPUTED_VALUE"""),43522.6666666666)</f>
        <v>43522.666666666599</v>
      </c>
      <c r="B39" s="1">
        <f ca="1">IFERROR(__xludf.UNSUPPORTED("""COMPUTED_VALUE"""),112.36)</f>
        <v>112.36</v>
      </c>
      <c r="C39" s="2">
        <f t="shared" ca="1" si="0"/>
        <v>6.9002598799175197E-3</v>
      </c>
    </row>
    <row r="40" spans="1:3">
      <c r="A40" s="3">
        <f ca="1">IFERROR(__xludf.UNSUPPORTED("""COMPUTED_VALUE"""),43523.6666666666)</f>
        <v>43523.666666666599</v>
      </c>
      <c r="B40" s="1">
        <f ca="1">IFERROR(__xludf.UNSUPPORTED("""COMPUTED_VALUE"""),112.17)</f>
        <v>112.17</v>
      </c>
      <c r="C40" s="2">
        <f t="shared" ca="1" si="0"/>
        <v>-1.6909932360270356E-3</v>
      </c>
    </row>
    <row r="41" spans="1:3">
      <c r="A41" s="3">
        <f ca="1">IFERROR(__xludf.UNSUPPORTED("""COMPUTED_VALUE"""),43524.6666666666)</f>
        <v>43524.666666666599</v>
      </c>
      <c r="B41" s="1">
        <f ca="1">IFERROR(__xludf.UNSUPPORTED("""COMPUTED_VALUE"""),112.03)</f>
        <v>112.03</v>
      </c>
      <c r="C41" s="2">
        <f t="shared" ca="1" si="0"/>
        <v>-1.2481055540697207E-3</v>
      </c>
    </row>
    <row r="42" spans="1:3">
      <c r="A42" s="3">
        <f ca="1">IFERROR(__xludf.UNSUPPORTED("""COMPUTED_VALUE"""),43525.6666666666)</f>
        <v>43525.666666666599</v>
      </c>
      <c r="B42" s="1">
        <f ca="1">IFERROR(__xludf.UNSUPPORTED("""COMPUTED_VALUE"""),112.53)</f>
        <v>112.53</v>
      </c>
      <c r="C42" s="2">
        <f t="shared" ca="1" si="0"/>
        <v>4.4630902436847272E-3</v>
      </c>
    </row>
    <row r="43" spans="1:3">
      <c r="A43" s="3">
        <f ca="1">IFERROR(__xludf.UNSUPPORTED("""COMPUTED_VALUE"""),43528.6666666666)</f>
        <v>43528.666666666599</v>
      </c>
      <c r="B43" s="1">
        <f ca="1">IFERROR(__xludf.UNSUPPORTED("""COMPUTED_VALUE"""),112.26)</f>
        <v>112.26</v>
      </c>
      <c r="C43" s="2">
        <f t="shared" ca="1" si="0"/>
        <v>-2.3993601706211324E-3</v>
      </c>
    </row>
    <row r="44" spans="1:3">
      <c r="A44" s="3">
        <f ca="1">IFERROR(__xludf.UNSUPPORTED("""COMPUTED_VALUE"""),43529.6666666666)</f>
        <v>43529.666666666599</v>
      </c>
      <c r="B44" s="1">
        <f ca="1">IFERROR(__xludf.UNSUPPORTED("""COMPUTED_VALUE"""),111.7)</f>
        <v>111.7</v>
      </c>
      <c r="C44" s="2">
        <f t="shared" ca="1" si="0"/>
        <v>-4.988419739889562E-3</v>
      </c>
    </row>
    <row r="45" spans="1:3">
      <c r="A45" s="3">
        <f ca="1">IFERROR(__xludf.UNSUPPORTED("""COMPUTED_VALUE"""),43530.6666666666)</f>
        <v>43530.666666666599</v>
      </c>
      <c r="B45" s="1">
        <f ca="1">IFERROR(__xludf.UNSUPPORTED("""COMPUTED_VALUE"""),111.75)</f>
        <v>111.75</v>
      </c>
      <c r="C45" s="2">
        <f t="shared" ca="1" si="0"/>
        <v>4.4762757385852421E-4</v>
      </c>
    </row>
    <row r="46" spans="1:3">
      <c r="A46" s="3">
        <f ca="1">IFERROR(__xludf.UNSUPPORTED("""COMPUTED_VALUE"""),43531.6666666666)</f>
        <v>43531.666666666599</v>
      </c>
      <c r="B46" s="1">
        <f ca="1">IFERROR(__xludf.UNSUPPORTED("""COMPUTED_VALUE"""),110.39)</f>
        <v>110.39</v>
      </c>
      <c r="C46" s="2">
        <f t="shared" ca="1" si="0"/>
        <v>-1.2170022371364648E-2</v>
      </c>
    </row>
    <row r="47" spans="1:3">
      <c r="A47" s="3">
        <f ca="1">IFERROR(__xludf.UNSUPPORTED("""COMPUTED_VALUE"""),43532.6666666666)</f>
        <v>43532.666666666599</v>
      </c>
      <c r="B47" s="1">
        <f ca="1">IFERROR(__xludf.UNSUPPORTED("""COMPUTED_VALUE"""),110.51)</f>
        <v>110.51</v>
      </c>
      <c r="C47" s="2">
        <f t="shared" ca="1" si="0"/>
        <v>1.0870549868647935E-3</v>
      </c>
    </row>
    <row r="48" spans="1:3">
      <c r="A48" s="3">
        <f ca="1">IFERROR(__xludf.UNSUPPORTED("""COMPUTED_VALUE"""),43535.6666666666)</f>
        <v>43535.666666666599</v>
      </c>
      <c r="B48" s="1">
        <f ca="1">IFERROR(__xludf.UNSUPPORTED("""COMPUTED_VALUE"""),112.83)</f>
        <v>112.83</v>
      </c>
      <c r="C48" s="2">
        <f t="shared" ca="1" si="0"/>
        <v>2.0993575242059481E-2</v>
      </c>
    </row>
    <row r="49" spans="1:3">
      <c r="A49" s="3">
        <f ca="1">IFERROR(__xludf.UNSUPPORTED("""COMPUTED_VALUE"""),43536.6666666666)</f>
        <v>43536.666666666599</v>
      </c>
      <c r="B49" s="1">
        <f ca="1">IFERROR(__xludf.UNSUPPORTED("""COMPUTED_VALUE"""),113.62)</f>
        <v>113.62</v>
      </c>
      <c r="C49" s="2">
        <f t="shared" ca="1" si="0"/>
        <v>7.0016839493043182E-3</v>
      </c>
    </row>
    <row r="50" spans="1:3">
      <c r="A50" s="3">
        <f ca="1">IFERROR(__xludf.UNSUPPORTED("""COMPUTED_VALUE"""),43537.6666666666)</f>
        <v>43537.666666666599</v>
      </c>
      <c r="B50" s="1">
        <f ca="1">IFERROR(__xludf.UNSUPPORTED("""COMPUTED_VALUE"""),114.5)</f>
        <v>114.5</v>
      </c>
      <c r="C50" s="2">
        <f t="shared" ca="1" si="0"/>
        <v>7.7451152966026707E-3</v>
      </c>
    </row>
    <row r="51" spans="1:3">
      <c r="A51" s="3">
        <f ca="1">IFERROR(__xludf.UNSUPPORTED("""COMPUTED_VALUE"""),43538.6666666666)</f>
        <v>43538.666666666599</v>
      </c>
      <c r="B51" s="1">
        <f ca="1">IFERROR(__xludf.UNSUPPORTED("""COMPUTED_VALUE"""),114.59)</f>
        <v>114.59</v>
      </c>
      <c r="C51" s="2">
        <f t="shared" ca="1" si="0"/>
        <v>7.8602620087339225E-4</v>
      </c>
    </row>
    <row r="52" spans="1:3">
      <c r="A52" s="3">
        <f ca="1">IFERROR(__xludf.UNSUPPORTED("""COMPUTED_VALUE"""),43539.6666666666)</f>
        <v>43539.666666666599</v>
      </c>
      <c r="B52" s="1">
        <f ca="1">IFERROR(__xludf.UNSUPPORTED("""COMPUTED_VALUE"""),115.91)</f>
        <v>115.91</v>
      </c>
      <c r="C52" s="2">
        <f t="shared" ca="1" si="0"/>
        <v>1.1519329784448844E-2</v>
      </c>
    </row>
    <row r="53" spans="1:3">
      <c r="A53" s="3">
        <f ca="1">IFERROR(__xludf.UNSUPPORTED("""COMPUTED_VALUE"""),43542.6666666666)</f>
        <v>43542.666666666599</v>
      </c>
      <c r="B53" s="1">
        <f ca="1">IFERROR(__xludf.UNSUPPORTED("""COMPUTED_VALUE"""),117.57)</f>
        <v>117.57</v>
      </c>
      <c r="C53" s="2">
        <f t="shared" ca="1" si="0"/>
        <v>1.4321456302303482E-2</v>
      </c>
    </row>
    <row r="54" spans="1:3">
      <c r="A54" s="3">
        <f ca="1">IFERROR(__xludf.UNSUPPORTED("""COMPUTED_VALUE"""),43543.6666666666)</f>
        <v>43543.666666666599</v>
      </c>
      <c r="B54" s="1">
        <f ca="1">IFERROR(__xludf.UNSUPPORTED("""COMPUTED_VALUE"""),117.65)</f>
        <v>117.65</v>
      </c>
      <c r="C54" s="2">
        <f t="shared" ca="1" si="0"/>
        <v>6.8044569192831934E-4</v>
      </c>
    </row>
    <row r="55" spans="1:3">
      <c r="A55" s="3">
        <f ca="1">IFERROR(__xludf.UNSUPPORTED("""COMPUTED_VALUE"""),43544.6666666666)</f>
        <v>43544.666666666599</v>
      </c>
      <c r="B55" s="1">
        <f ca="1">IFERROR(__xludf.UNSUPPORTED("""COMPUTED_VALUE"""),117.52)</f>
        <v>117.52</v>
      </c>
      <c r="C55" s="2">
        <f t="shared" ca="1" si="0"/>
        <v>-1.1049723756906898E-3</v>
      </c>
    </row>
    <row r="56" spans="1:3">
      <c r="A56" s="3">
        <f ca="1">IFERROR(__xludf.UNSUPPORTED("""COMPUTED_VALUE"""),43545.6666666666)</f>
        <v>43545.666666666599</v>
      </c>
      <c r="B56" s="1">
        <f ca="1">IFERROR(__xludf.UNSUPPORTED("""COMPUTED_VALUE"""),120.22)</f>
        <v>120.22</v>
      </c>
      <c r="C56" s="2">
        <f t="shared" ca="1" si="0"/>
        <v>2.2974812797821674E-2</v>
      </c>
    </row>
    <row r="57" spans="1:3">
      <c r="A57" s="3">
        <f ca="1">IFERROR(__xludf.UNSUPPORTED("""COMPUTED_VALUE"""),43546.6666666666)</f>
        <v>43546.666666666599</v>
      </c>
      <c r="B57" s="1">
        <f ca="1">IFERROR(__xludf.UNSUPPORTED("""COMPUTED_VALUE"""),117.05)</f>
        <v>117.05</v>
      </c>
      <c r="C57" s="2">
        <f t="shared" ca="1" si="0"/>
        <v>-2.6368324737980384E-2</v>
      </c>
    </row>
    <row r="58" spans="1:3">
      <c r="A58" s="3">
        <f ca="1">IFERROR(__xludf.UNSUPPORTED("""COMPUTED_VALUE"""),43549.6666666666)</f>
        <v>43549.666666666599</v>
      </c>
      <c r="B58" s="1">
        <f ca="1">IFERROR(__xludf.UNSUPPORTED("""COMPUTED_VALUE"""),117.66)</f>
        <v>117.66</v>
      </c>
      <c r="C58" s="2">
        <f t="shared" ca="1" si="0"/>
        <v>5.2114480991029425E-3</v>
      </c>
    </row>
    <row r="59" spans="1:3">
      <c r="A59" s="3">
        <f ca="1">IFERROR(__xludf.UNSUPPORTED("""COMPUTED_VALUE"""),43550.6666666666)</f>
        <v>43550.666666666599</v>
      </c>
      <c r="B59" s="1">
        <f ca="1">IFERROR(__xludf.UNSUPPORTED("""COMPUTED_VALUE"""),117.91)</f>
        <v>117.91</v>
      </c>
      <c r="C59" s="2">
        <f t="shared" ca="1" si="0"/>
        <v>2.1247662757096718E-3</v>
      </c>
    </row>
    <row r="60" spans="1:3">
      <c r="A60" s="3">
        <f ca="1">IFERROR(__xludf.UNSUPPORTED("""COMPUTED_VALUE"""),43551.6666666666)</f>
        <v>43551.666666666599</v>
      </c>
      <c r="B60" s="1">
        <f ca="1">IFERROR(__xludf.UNSUPPORTED("""COMPUTED_VALUE"""),116.77)</f>
        <v>116.77</v>
      </c>
      <c r="C60" s="2">
        <f t="shared" ca="1" si="0"/>
        <v>-9.6683911457891656E-3</v>
      </c>
    </row>
    <row r="61" spans="1:3">
      <c r="A61" s="3">
        <f ca="1">IFERROR(__xludf.UNSUPPORTED("""COMPUTED_VALUE"""),43552.6666666666)</f>
        <v>43552.666666666599</v>
      </c>
      <c r="B61" s="1">
        <f ca="1">IFERROR(__xludf.UNSUPPORTED("""COMPUTED_VALUE"""),116.93)</f>
        <v>116.93</v>
      </c>
      <c r="C61" s="2">
        <f t="shared" ca="1" si="0"/>
        <v>1.3702149524707614E-3</v>
      </c>
    </row>
    <row r="62" spans="1:3">
      <c r="A62" s="3">
        <f ca="1">IFERROR(__xludf.UNSUPPORTED("""COMPUTED_VALUE"""),43553.6666666666)</f>
        <v>43553.666666666599</v>
      </c>
      <c r="B62" s="1">
        <f ca="1">IFERROR(__xludf.UNSUPPORTED("""COMPUTED_VALUE"""),117.94)</f>
        <v>117.94</v>
      </c>
      <c r="C62" s="2">
        <f t="shared" ca="1" si="0"/>
        <v>8.6376464551440255E-3</v>
      </c>
    </row>
    <row r="63" spans="1:3">
      <c r="A63" s="3">
        <f ca="1">IFERROR(__xludf.UNSUPPORTED("""COMPUTED_VALUE"""),43556.6666666666)</f>
        <v>43556.666666666599</v>
      </c>
      <c r="B63" s="1">
        <f ca="1">IFERROR(__xludf.UNSUPPORTED("""COMPUTED_VALUE"""),119.02)</f>
        <v>119.02</v>
      </c>
      <c r="C63" s="2">
        <f t="shared" ca="1" si="0"/>
        <v>9.1571985755468741E-3</v>
      </c>
    </row>
    <row r="64" spans="1:3">
      <c r="A64" s="3">
        <f ca="1">IFERROR(__xludf.UNSUPPORTED("""COMPUTED_VALUE"""),43557.6666666666)</f>
        <v>43557.666666666599</v>
      </c>
      <c r="B64" s="1">
        <f ca="1">IFERROR(__xludf.UNSUPPORTED("""COMPUTED_VALUE"""),119.19)</f>
        <v>119.19</v>
      </c>
      <c r="C64" s="2">
        <f t="shared" ca="1" si="0"/>
        <v>1.4283313728785222E-3</v>
      </c>
    </row>
    <row r="65" spans="1:3">
      <c r="A65" s="3">
        <f ca="1">IFERROR(__xludf.UNSUPPORTED("""COMPUTED_VALUE"""),43558.6666666666)</f>
        <v>43558.666666666599</v>
      </c>
      <c r="B65" s="1">
        <f ca="1">IFERROR(__xludf.UNSUPPORTED("""COMPUTED_VALUE"""),119.97)</f>
        <v>119.97</v>
      </c>
      <c r="C65" s="2">
        <f t="shared" ca="1" si="0"/>
        <v>6.5441731688900169E-3</v>
      </c>
    </row>
    <row r="66" spans="1:3">
      <c r="A66" s="3">
        <f ca="1">IFERROR(__xludf.UNSUPPORTED("""COMPUTED_VALUE"""),43559.6666666666)</f>
        <v>43559.666666666599</v>
      </c>
      <c r="B66" s="1">
        <f ca="1">IFERROR(__xludf.UNSUPPORTED("""COMPUTED_VALUE"""),119.36)</f>
        <v>119.36</v>
      </c>
      <c r="C66" s="2">
        <f t="shared" ca="1" si="0"/>
        <v>-5.0846044844544422E-3</v>
      </c>
    </row>
    <row r="67" spans="1:3">
      <c r="A67" s="3">
        <f ca="1">IFERROR(__xludf.UNSUPPORTED("""COMPUTED_VALUE"""),43560.6666666666)</f>
        <v>43560.666666666599</v>
      </c>
      <c r="B67" s="1">
        <f ca="1">IFERROR(__xludf.UNSUPPORTED("""COMPUTED_VALUE"""),119.89)</f>
        <v>119.89</v>
      </c>
      <c r="C67" s="2">
        <f t="shared" ca="1" si="0"/>
        <v>4.4403485254691788E-3</v>
      </c>
    </row>
    <row r="68" spans="1:3">
      <c r="A68" s="3">
        <f ca="1">IFERROR(__xludf.UNSUPPORTED("""COMPUTED_VALUE"""),43563.6666666666)</f>
        <v>43563.666666666599</v>
      </c>
      <c r="B68" s="1">
        <f ca="1">IFERROR(__xludf.UNSUPPORTED("""COMPUTED_VALUE"""),119.93)</f>
        <v>119.93</v>
      </c>
      <c r="C68" s="2">
        <f t="shared" ca="1" si="0"/>
        <v>3.3363916923852076E-4</v>
      </c>
    </row>
    <row r="69" spans="1:3">
      <c r="A69" s="3">
        <f ca="1">IFERROR(__xludf.UNSUPPORTED("""COMPUTED_VALUE"""),43564.6666666666)</f>
        <v>43564.666666666599</v>
      </c>
      <c r="B69" s="1">
        <f ca="1">IFERROR(__xludf.UNSUPPORTED("""COMPUTED_VALUE"""),119.28)</f>
        <v>119.28</v>
      </c>
      <c r="C69" s="2">
        <f t="shared" ca="1" si="0"/>
        <v>-5.4198282331360433E-3</v>
      </c>
    </row>
    <row r="70" spans="1:3">
      <c r="A70" s="3">
        <f ca="1">IFERROR(__xludf.UNSUPPORTED("""COMPUTED_VALUE"""),43565.6666666666)</f>
        <v>43565.666666666599</v>
      </c>
      <c r="B70" s="1">
        <f ca="1">IFERROR(__xludf.UNSUPPORTED("""COMPUTED_VALUE"""),120.19)</f>
        <v>120.19</v>
      </c>
      <c r="C70" s="2">
        <f t="shared" ca="1" si="0"/>
        <v>7.6291079812206286E-3</v>
      </c>
    </row>
    <row r="71" spans="1:3">
      <c r="A71" s="3">
        <f ca="1">IFERROR(__xludf.UNSUPPORTED("""COMPUTED_VALUE"""),43566.6666666666)</f>
        <v>43566.666666666599</v>
      </c>
      <c r="B71" s="1">
        <f ca="1">IFERROR(__xludf.UNSUPPORTED("""COMPUTED_VALUE"""),120.33)</f>
        <v>120.33</v>
      </c>
      <c r="C71" s="2">
        <f t="shared" ca="1" si="0"/>
        <v>1.1648223645894049E-3</v>
      </c>
    </row>
    <row r="72" spans="1:3">
      <c r="A72" s="3">
        <f ca="1">IFERROR(__xludf.UNSUPPORTED("""COMPUTED_VALUE"""),43567.6666666666)</f>
        <v>43567.666666666599</v>
      </c>
      <c r="B72" s="1">
        <f ca="1">IFERROR(__xludf.UNSUPPORTED("""COMPUTED_VALUE"""),120.95)</f>
        <v>120.95</v>
      </c>
      <c r="C72" s="2">
        <f t="shared" ca="1" si="0"/>
        <v>5.1524972990941954E-3</v>
      </c>
    </row>
    <row r="73" spans="1:3">
      <c r="A73" s="3">
        <f ca="1">IFERROR(__xludf.UNSUPPORTED("""COMPUTED_VALUE"""),43570.6666666666)</f>
        <v>43570.666666666599</v>
      </c>
      <c r="B73" s="1">
        <f ca="1">IFERROR(__xludf.UNSUPPORTED("""COMPUTED_VALUE"""),121.05)</f>
        <v>121.05</v>
      </c>
      <c r="C73" s="2">
        <f t="shared" ca="1" si="0"/>
        <v>8.2678792889619114E-4</v>
      </c>
    </row>
    <row r="74" spans="1:3">
      <c r="A74" s="3">
        <f ca="1">IFERROR(__xludf.UNSUPPORTED("""COMPUTED_VALUE"""),43571.6666666666)</f>
        <v>43571.666666666599</v>
      </c>
      <c r="B74" s="1">
        <f ca="1">IFERROR(__xludf.UNSUPPORTED("""COMPUTED_VALUE"""),120.77)</f>
        <v>120.77</v>
      </c>
      <c r="C74" s="2">
        <f t="shared" ca="1" si="0"/>
        <v>-2.3130937629078988E-3</v>
      </c>
    </row>
    <row r="75" spans="1:3">
      <c r="A75" s="3">
        <f ca="1">IFERROR(__xludf.UNSUPPORTED("""COMPUTED_VALUE"""),43572.6666666666)</f>
        <v>43572.666666666599</v>
      </c>
      <c r="B75" s="1">
        <f ca="1">IFERROR(__xludf.UNSUPPORTED("""COMPUTED_VALUE"""),121.77)</f>
        <v>121.77</v>
      </c>
      <c r="C75" s="2">
        <f t="shared" ca="1" si="0"/>
        <v>8.280202036929701E-3</v>
      </c>
    </row>
    <row r="76" spans="1:3">
      <c r="A76" s="3">
        <f ca="1">IFERROR(__xludf.UNSUPPORTED("""COMPUTED_VALUE"""),43573.6666666666)</f>
        <v>43573.666666666599</v>
      </c>
      <c r="B76" s="1">
        <f ca="1">IFERROR(__xludf.UNSUPPORTED("""COMPUTED_VALUE"""),123.37)</f>
        <v>123.37</v>
      </c>
      <c r="C76" s="2">
        <f t="shared" ca="1" si="0"/>
        <v>1.3139525334647356E-2</v>
      </c>
    </row>
    <row r="77" spans="1:3">
      <c r="A77" s="3">
        <f ca="1">IFERROR(__xludf.UNSUPPORTED("""COMPUTED_VALUE"""),43577.6666666666)</f>
        <v>43577.666666666599</v>
      </c>
      <c r="B77" s="1">
        <f ca="1">IFERROR(__xludf.UNSUPPORTED("""COMPUTED_VALUE"""),123.76)</f>
        <v>123.76</v>
      </c>
      <c r="C77" s="2">
        <f t="shared" ca="1" si="0"/>
        <v>3.1612223393045354E-3</v>
      </c>
    </row>
    <row r="78" spans="1:3">
      <c r="A78" s="3">
        <f ca="1">IFERROR(__xludf.UNSUPPORTED("""COMPUTED_VALUE"""),43578.6666666666)</f>
        <v>43578.666666666599</v>
      </c>
      <c r="B78" s="1">
        <f ca="1">IFERROR(__xludf.UNSUPPORTED("""COMPUTED_VALUE"""),125.44)</f>
        <v>125.44</v>
      </c>
      <c r="C78" s="2">
        <f t="shared" ca="1" si="0"/>
        <v>1.3574660633484103E-2</v>
      </c>
    </row>
    <row r="79" spans="1:3">
      <c r="A79" s="3">
        <f ca="1">IFERROR(__xludf.UNSUPPORTED("""COMPUTED_VALUE"""),43579.6666666666)</f>
        <v>43579.666666666599</v>
      </c>
      <c r="B79" s="1">
        <f ca="1">IFERROR(__xludf.UNSUPPORTED("""COMPUTED_VALUE"""),125.01)</f>
        <v>125.01</v>
      </c>
      <c r="C79" s="2">
        <f t="shared" ca="1" si="0"/>
        <v>-3.4279336734693291E-3</v>
      </c>
    </row>
    <row r="80" spans="1:3">
      <c r="A80" s="3">
        <f ca="1">IFERROR(__xludf.UNSUPPORTED("""COMPUTED_VALUE"""),43580.6666666666)</f>
        <v>43580.666666666599</v>
      </c>
      <c r="B80" s="1">
        <f ca="1">IFERROR(__xludf.UNSUPPORTED("""COMPUTED_VALUE"""),129.15)</f>
        <v>129.15</v>
      </c>
      <c r="C80" s="2">
        <f t="shared" ca="1" si="0"/>
        <v>3.3117350611951049E-2</v>
      </c>
    </row>
    <row r="81" spans="1:3">
      <c r="A81" s="3">
        <f ca="1">IFERROR(__xludf.UNSUPPORTED("""COMPUTED_VALUE"""),43581.6666666666)</f>
        <v>43581.666666666599</v>
      </c>
      <c r="B81" s="1">
        <f ca="1">IFERROR(__xludf.UNSUPPORTED("""COMPUTED_VALUE"""),129.89)</f>
        <v>129.88999999999999</v>
      </c>
      <c r="C81" s="2">
        <f t="shared" ca="1" si="0"/>
        <v>5.72977158342997E-3</v>
      </c>
    </row>
    <row r="82" spans="1:3">
      <c r="A82" s="3">
        <f ca="1">IFERROR(__xludf.UNSUPPORTED("""COMPUTED_VALUE"""),43584.6666666666)</f>
        <v>43584.666666666599</v>
      </c>
      <c r="B82" s="1">
        <f ca="1">IFERROR(__xludf.UNSUPPORTED("""COMPUTED_VALUE"""),129.77)</f>
        <v>129.77000000000001</v>
      </c>
      <c r="C82" s="2">
        <f t="shared" ca="1" si="0"/>
        <v>-9.2385864962642346E-4</v>
      </c>
    </row>
    <row r="83" spans="1:3">
      <c r="A83" s="3">
        <f ca="1">IFERROR(__xludf.UNSUPPORTED("""COMPUTED_VALUE"""),43585.6666666666)</f>
        <v>43585.666666666599</v>
      </c>
      <c r="B83" s="1">
        <f ca="1">IFERROR(__xludf.UNSUPPORTED("""COMPUTED_VALUE"""),130.6)</f>
        <v>130.6</v>
      </c>
      <c r="C83" s="2">
        <f t="shared" ca="1" si="0"/>
        <v>6.3959312630036524E-3</v>
      </c>
    </row>
    <row r="84" spans="1:3">
      <c r="A84" s="3">
        <f ca="1">IFERROR(__xludf.UNSUPPORTED("""COMPUTED_VALUE"""),43586.6666666666)</f>
        <v>43586.666666666599</v>
      </c>
      <c r="B84" s="1">
        <f ca="1">IFERROR(__xludf.UNSUPPORTED("""COMPUTED_VALUE"""),127.88)</f>
        <v>127.88</v>
      </c>
      <c r="C84" s="2">
        <f t="shared" ca="1" si="0"/>
        <v>-2.0826952526799381E-2</v>
      </c>
    </row>
    <row r="85" spans="1:3">
      <c r="A85" s="3">
        <f ca="1">IFERROR(__xludf.UNSUPPORTED("""COMPUTED_VALUE"""),43587.6666666666)</f>
        <v>43587.666666666599</v>
      </c>
      <c r="B85" s="1">
        <f ca="1">IFERROR(__xludf.UNSUPPORTED("""COMPUTED_VALUE"""),126.21)</f>
        <v>126.21</v>
      </c>
      <c r="C85" s="2">
        <f t="shared" ca="1" si="0"/>
        <v>-1.3059117923052876E-2</v>
      </c>
    </row>
    <row r="86" spans="1:3">
      <c r="A86" s="3">
        <f ca="1">IFERROR(__xludf.UNSUPPORTED("""COMPUTED_VALUE"""),43588.6666666666)</f>
        <v>43588.666666666599</v>
      </c>
      <c r="B86" s="1">
        <f ca="1">IFERROR(__xludf.UNSUPPORTED("""COMPUTED_VALUE"""),128.9)</f>
        <v>128.9</v>
      </c>
      <c r="C86" s="2">
        <f t="shared" ca="1" si="0"/>
        <v>2.1313683543300942E-2</v>
      </c>
    </row>
    <row r="87" spans="1:3">
      <c r="A87" s="3">
        <f ca="1">IFERROR(__xludf.UNSUPPORTED("""COMPUTED_VALUE"""),43591.6666666666)</f>
        <v>43591.666666666599</v>
      </c>
      <c r="B87" s="1">
        <f ca="1">IFERROR(__xludf.UNSUPPORTED("""COMPUTED_VALUE"""),128.15)</f>
        <v>128.15</v>
      </c>
      <c r="C87" s="2">
        <f t="shared" ca="1" si="0"/>
        <v>-5.8184639255236615E-3</v>
      </c>
    </row>
    <row r="88" spans="1:3">
      <c r="A88" s="3">
        <f ca="1">IFERROR(__xludf.UNSUPPORTED("""COMPUTED_VALUE"""),43592.6666666666)</f>
        <v>43592.666666666599</v>
      </c>
      <c r="B88" s="1">
        <f ca="1">IFERROR(__xludf.UNSUPPORTED("""COMPUTED_VALUE"""),125.52)</f>
        <v>125.52</v>
      </c>
      <c r="C88" s="2">
        <f t="shared" ca="1" si="0"/>
        <v>-2.0522824814670382E-2</v>
      </c>
    </row>
    <row r="89" spans="1:3">
      <c r="A89" s="3">
        <f ca="1">IFERROR(__xludf.UNSUPPORTED("""COMPUTED_VALUE"""),43593.6666666666)</f>
        <v>43593.666666666599</v>
      </c>
      <c r="B89" s="1">
        <f ca="1">IFERROR(__xludf.UNSUPPORTED("""COMPUTED_VALUE"""),125.51)</f>
        <v>125.51</v>
      </c>
      <c r="C89" s="2">
        <f t="shared" ca="1" si="0"/>
        <v>-7.9668578712483313E-5</v>
      </c>
    </row>
    <row r="90" spans="1:3">
      <c r="A90" s="3">
        <f ca="1">IFERROR(__xludf.UNSUPPORTED("""COMPUTED_VALUE"""),43594.6666666666)</f>
        <v>43594.666666666599</v>
      </c>
      <c r="B90" s="1">
        <f ca="1">IFERROR(__xludf.UNSUPPORTED("""COMPUTED_VALUE"""),125.5)</f>
        <v>125.5</v>
      </c>
      <c r="C90" s="2">
        <f t="shared" ca="1" si="0"/>
        <v>-7.9674926300733935E-5</v>
      </c>
    </row>
    <row r="91" spans="1:3">
      <c r="A91" s="3">
        <f ca="1">IFERROR(__xludf.UNSUPPORTED("""COMPUTED_VALUE"""),43595.6666666666)</f>
        <v>43595.666666666599</v>
      </c>
      <c r="B91" s="1">
        <f ca="1">IFERROR(__xludf.UNSUPPORTED("""COMPUTED_VALUE"""),127.13)</f>
        <v>127.13</v>
      </c>
      <c r="C91" s="2">
        <f t="shared" ca="1" si="0"/>
        <v>1.2988047808764905E-2</v>
      </c>
    </row>
    <row r="92" spans="1:3">
      <c r="A92" s="3">
        <f ca="1">IFERROR(__xludf.UNSUPPORTED("""COMPUTED_VALUE"""),43598.6666666666)</f>
        <v>43598.666666666599</v>
      </c>
      <c r="B92" s="1">
        <f ca="1">IFERROR(__xludf.UNSUPPORTED("""COMPUTED_VALUE"""),123.35)</f>
        <v>123.35</v>
      </c>
      <c r="C92" s="2">
        <f t="shared" ca="1" si="0"/>
        <v>-2.9733343821285309E-2</v>
      </c>
    </row>
    <row r="93" spans="1:3">
      <c r="A93" s="3">
        <f ca="1">IFERROR(__xludf.UNSUPPORTED("""COMPUTED_VALUE"""),43599.6666666666)</f>
        <v>43599.666666666599</v>
      </c>
      <c r="B93" s="1">
        <f ca="1">IFERROR(__xludf.UNSUPPORTED("""COMPUTED_VALUE"""),124.73)</f>
        <v>124.73</v>
      </c>
      <c r="C93" s="2">
        <f t="shared" ca="1" si="0"/>
        <v>1.1187677340899958E-2</v>
      </c>
    </row>
    <row r="94" spans="1:3">
      <c r="A94" s="3">
        <f ca="1">IFERROR(__xludf.UNSUPPORTED("""COMPUTED_VALUE"""),43600.6666666666)</f>
        <v>43600.666666666599</v>
      </c>
      <c r="B94" s="1">
        <f ca="1">IFERROR(__xludf.UNSUPPORTED("""COMPUTED_VALUE"""),126.02)</f>
        <v>126.02</v>
      </c>
      <c r="C94" s="2">
        <f t="shared" ca="1" si="0"/>
        <v>1.0342339453218889E-2</v>
      </c>
    </row>
    <row r="95" spans="1:3">
      <c r="A95" s="3">
        <f ca="1">IFERROR(__xludf.UNSUPPORTED("""COMPUTED_VALUE"""),43601.6666666666)</f>
        <v>43601.666666666599</v>
      </c>
      <c r="B95" s="1">
        <f ca="1">IFERROR(__xludf.UNSUPPORTED("""COMPUTED_VALUE"""),128.93)</f>
        <v>128.93</v>
      </c>
      <c r="C95" s="2">
        <f t="shared" ca="1" si="0"/>
        <v>2.3091572766227669E-2</v>
      </c>
    </row>
    <row r="96" spans="1:3">
      <c r="A96" s="3">
        <f ca="1">IFERROR(__xludf.UNSUPPORTED("""COMPUTED_VALUE"""),43602.6666666666)</f>
        <v>43602.666666666599</v>
      </c>
      <c r="B96" s="1">
        <f ca="1">IFERROR(__xludf.UNSUPPORTED("""COMPUTED_VALUE"""),128.07)</f>
        <v>128.07</v>
      </c>
      <c r="C96" s="2">
        <f t="shared" ca="1" si="0"/>
        <v>-6.6702862018150439E-3</v>
      </c>
    </row>
    <row r="97" spans="1:3">
      <c r="A97" s="3">
        <f ca="1">IFERROR(__xludf.UNSUPPORTED("""COMPUTED_VALUE"""),43605.6666666666)</f>
        <v>43605.666666666599</v>
      </c>
      <c r="B97" s="1">
        <f ca="1">IFERROR(__xludf.UNSUPPORTED("""COMPUTED_VALUE"""),126.22)</f>
        <v>126.22</v>
      </c>
      <c r="C97" s="2">
        <f t="shared" ca="1" si="0"/>
        <v>-1.4445225267431829E-2</v>
      </c>
    </row>
    <row r="98" spans="1:3">
      <c r="A98" s="3">
        <f ca="1">IFERROR(__xludf.UNSUPPORTED("""COMPUTED_VALUE"""),43606.6666666666)</f>
        <v>43606.666666666599</v>
      </c>
      <c r="B98" s="1">
        <f ca="1">IFERROR(__xludf.UNSUPPORTED("""COMPUTED_VALUE"""),126.9)</f>
        <v>126.9</v>
      </c>
      <c r="C98" s="2">
        <f t="shared" ca="1" si="0"/>
        <v>5.387418792584431E-3</v>
      </c>
    </row>
    <row r="99" spans="1:3">
      <c r="A99" s="3">
        <f ca="1">IFERROR(__xludf.UNSUPPORTED("""COMPUTED_VALUE"""),43607.6666666666)</f>
        <v>43607.666666666599</v>
      </c>
      <c r="B99" s="1">
        <f ca="1">IFERROR(__xludf.UNSUPPORTED("""COMPUTED_VALUE"""),127.67)</f>
        <v>127.67</v>
      </c>
      <c r="C99" s="2">
        <f t="shared" ca="1" si="0"/>
        <v>6.0677698975570996E-3</v>
      </c>
    </row>
    <row r="100" spans="1:3">
      <c r="A100" s="3">
        <f ca="1">IFERROR(__xludf.UNSUPPORTED("""COMPUTED_VALUE"""),43608.6666666666)</f>
        <v>43608.666666666599</v>
      </c>
      <c r="B100" s="1">
        <f ca="1">IFERROR(__xludf.UNSUPPORTED("""COMPUTED_VALUE"""),126.18)</f>
        <v>126.18</v>
      </c>
      <c r="C100" s="2">
        <f t="shared" ca="1" si="0"/>
        <v>-1.1670713558392691E-2</v>
      </c>
    </row>
    <row r="101" spans="1:3">
      <c r="A101" s="3">
        <f ca="1">IFERROR(__xludf.UNSUPPORTED("""COMPUTED_VALUE"""),43609.6666666666)</f>
        <v>43609.666666666599</v>
      </c>
      <c r="B101" s="1">
        <f ca="1">IFERROR(__xludf.UNSUPPORTED("""COMPUTED_VALUE"""),126.24)</f>
        <v>126.24</v>
      </c>
      <c r="C101" s="2">
        <f t="shared" ca="1" si="0"/>
        <v>4.7551117451250641E-4</v>
      </c>
    </row>
    <row r="102" spans="1:3">
      <c r="A102" s="3">
        <f ca="1">IFERROR(__xludf.UNSUPPORTED("""COMPUTED_VALUE"""),43613.6666666666)</f>
        <v>43613.666666666599</v>
      </c>
      <c r="B102" s="1">
        <f ca="1">IFERROR(__xludf.UNSUPPORTED("""COMPUTED_VALUE"""),126.16)</f>
        <v>126.16</v>
      </c>
      <c r="C102" s="2">
        <f t="shared" ca="1" si="0"/>
        <v>-6.3371356147020198E-4</v>
      </c>
    </row>
    <row r="103" spans="1:3">
      <c r="A103" s="3">
        <f ca="1">IFERROR(__xludf.UNSUPPORTED("""COMPUTED_VALUE"""),43614.6666666666)</f>
        <v>43614.666666666599</v>
      </c>
      <c r="B103" s="1">
        <f ca="1">IFERROR(__xludf.UNSUPPORTED("""COMPUTED_VALUE"""),124.94)</f>
        <v>124.94</v>
      </c>
      <c r="C103" s="2">
        <f t="shared" ca="1" si="0"/>
        <v>-9.670259987317683E-3</v>
      </c>
    </row>
    <row r="104" spans="1:3">
      <c r="A104" s="3">
        <f ca="1">IFERROR(__xludf.UNSUPPORTED("""COMPUTED_VALUE"""),43615.6666666666)</f>
        <v>43615.666666666599</v>
      </c>
      <c r="B104" s="1">
        <f ca="1">IFERROR(__xludf.UNSUPPORTED("""COMPUTED_VALUE"""),125.73)</f>
        <v>125.73</v>
      </c>
      <c r="C104" s="2">
        <f t="shared" ca="1" si="0"/>
        <v>6.323035056827327E-3</v>
      </c>
    </row>
    <row r="105" spans="1:3">
      <c r="A105" s="3">
        <f ca="1">IFERROR(__xludf.UNSUPPORTED("""COMPUTED_VALUE"""),43616.6666666666)</f>
        <v>43616.666666666599</v>
      </c>
      <c r="B105" s="1">
        <f ca="1">IFERROR(__xludf.UNSUPPORTED("""COMPUTED_VALUE"""),123.68)</f>
        <v>123.68</v>
      </c>
      <c r="C105" s="2">
        <f t="shared" ca="1" si="0"/>
        <v>-1.6304780084307621E-2</v>
      </c>
    </row>
    <row r="106" spans="1:3">
      <c r="A106" s="3">
        <f ca="1">IFERROR(__xludf.UNSUPPORTED("""COMPUTED_VALUE"""),43619.6666666666)</f>
        <v>43619.666666666599</v>
      </c>
      <c r="B106" s="1">
        <f ca="1">IFERROR(__xludf.UNSUPPORTED("""COMPUTED_VALUE"""),119.84)</f>
        <v>119.84</v>
      </c>
      <c r="C106" s="2">
        <f t="shared" ca="1" si="0"/>
        <v>-3.1047865459249702E-2</v>
      </c>
    </row>
    <row r="107" spans="1:3">
      <c r="A107" s="3">
        <f ca="1">IFERROR(__xludf.UNSUPPORTED("""COMPUTED_VALUE"""),43620.6666666666)</f>
        <v>43620.666666666599</v>
      </c>
      <c r="B107" s="1">
        <f ca="1">IFERROR(__xludf.UNSUPPORTED("""COMPUTED_VALUE"""),123.16)</f>
        <v>123.16</v>
      </c>
      <c r="C107" s="2">
        <f t="shared" ca="1" si="0"/>
        <v>2.7703604806408488E-2</v>
      </c>
    </row>
    <row r="108" spans="1:3">
      <c r="A108" s="3">
        <f ca="1">IFERROR(__xludf.UNSUPPORTED("""COMPUTED_VALUE"""),43621.6666666666)</f>
        <v>43621.666666666599</v>
      </c>
      <c r="B108" s="1">
        <f ca="1">IFERROR(__xludf.UNSUPPORTED("""COMPUTED_VALUE"""),125.83)</f>
        <v>125.83</v>
      </c>
      <c r="C108" s="2">
        <f t="shared" ca="1" si="0"/>
        <v>2.1679116596297513E-2</v>
      </c>
    </row>
    <row r="109" spans="1:3">
      <c r="A109" s="3">
        <f ca="1">IFERROR(__xludf.UNSUPPORTED("""COMPUTED_VALUE"""),43622.6666666666)</f>
        <v>43622.666666666599</v>
      </c>
      <c r="B109" s="1">
        <f ca="1">IFERROR(__xludf.UNSUPPORTED("""COMPUTED_VALUE"""),127.82)</f>
        <v>127.82</v>
      </c>
      <c r="C109" s="2">
        <f t="shared" ca="1" si="0"/>
        <v>1.5814988476515895E-2</v>
      </c>
    </row>
    <row r="110" spans="1:3">
      <c r="A110" s="3">
        <f ca="1">IFERROR(__xludf.UNSUPPORTED("""COMPUTED_VALUE"""),43623.6666666666)</f>
        <v>43623.666666666599</v>
      </c>
      <c r="B110" s="1">
        <f ca="1">IFERROR(__xludf.UNSUPPORTED("""COMPUTED_VALUE"""),131.4)</f>
        <v>131.4</v>
      </c>
      <c r="C110" s="2">
        <f t="shared" ca="1" si="0"/>
        <v>2.800813644187148E-2</v>
      </c>
    </row>
    <row r="111" spans="1:3">
      <c r="A111" s="3">
        <f ca="1">IFERROR(__xludf.UNSUPPORTED("""COMPUTED_VALUE"""),43626.6666666666)</f>
        <v>43626.666666666599</v>
      </c>
      <c r="B111" s="1">
        <f ca="1">IFERROR(__xludf.UNSUPPORTED("""COMPUTED_VALUE"""),132.6)</f>
        <v>132.6</v>
      </c>
      <c r="C111" s="2">
        <f t="shared" ca="1" si="0"/>
        <v>9.1324200913241137E-3</v>
      </c>
    </row>
    <row r="112" spans="1:3">
      <c r="A112" s="3">
        <f ca="1">IFERROR(__xludf.UNSUPPORTED("""COMPUTED_VALUE"""),43627.6666666666)</f>
        <v>43627.666666666599</v>
      </c>
      <c r="B112" s="1">
        <f ca="1">IFERROR(__xludf.UNSUPPORTED("""COMPUTED_VALUE"""),132.1)</f>
        <v>132.1</v>
      </c>
      <c r="C112" s="2">
        <f t="shared" ca="1" si="0"/>
        <v>-3.770739064856712E-3</v>
      </c>
    </row>
    <row r="113" spans="1:3">
      <c r="A113" s="3">
        <f ca="1">IFERROR(__xludf.UNSUPPORTED("""COMPUTED_VALUE"""),43628.6666666666)</f>
        <v>43628.666666666599</v>
      </c>
      <c r="B113" s="1">
        <f ca="1">IFERROR(__xludf.UNSUPPORTED("""COMPUTED_VALUE"""),131.49)</f>
        <v>131.49</v>
      </c>
      <c r="C113" s="2">
        <f t="shared" ca="1" si="0"/>
        <v>-4.617713853141448E-3</v>
      </c>
    </row>
    <row r="114" spans="1:3">
      <c r="A114" s="3">
        <f ca="1">IFERROR(__xludf.UNSUPPORTED("""COMPUTED_VALUE"""),43629.6666666666)</f>
        <v>43629.666666666599</v>
      </c>
      <c r="B114" s="1">
        <f ca="1">IFERROR(__xludf.UNSUPPORTED("""COMPUTED_VALUE"""),132.32)</f>
        <v>132.32</v>
      </c>
      <c r="C114" s="2">
        <f t="shared" ca="1" si="0"/>
        <v>6.3122670925544458E-3</v>
      </c>
    </row>
    <row r="115" spans="1:3">
      <c r="A115" s="3">
        <f ca="1">IFERROR(__xludf.UNSUPPORTED("""COMPUTED_VALUE"""),43630.6666666666)</f>
        <v>43630.666666666599</v>
      </c>
      <c r="B115" s="1">
        <f ca="1">IFERROR(__xludf.UNSUPPORTED("""COMPUTED_VALUE"""),132.45)</f>
        <v>132.44999999999999</v>
      </c>
      <c r="C115" s="2">
        <f t="shared" ca="1" si="0"/>
        <v>9.8246674727928856E-4</v>
      </c>
    </row>
    <row r="116" spans="1:3">
      <c r="A116" s="3">
        <f ca="1">IFERROR(__xludf.UNSUPPORTED("""COMPUTED_VALUE"""),43633.6666666666)</f>
        <v>43633.666666666599</v>
      </c>
      <c r="B116" s="1">
        <f ca="1">IFERROR(__xludf.UNSUPPORTED("""COMPUTED_VALUE"""),132.85)</f>
        <v>132.85</v>
      </c>
      <c r="C116" s="2">
        <f t="shared" ca="1" si="0"/>
        <v>3.0200075500189183E-3</v>
      </c>
    </row>
    <row r="117" spans="1:3">
      <c r="A117" s="3">
        <f ca="1">IFERROR(__xludf.UNSUPPORTED("""COMPUTED_VALUE"""),43634.6666666666)</f>
        <v>43634.666666666599</v>
      </c>
      <c r="B117" s="1">
        <f ca="1">IFERROR(__xludf.UNSUPPORTED("""COMPUTED_VALUE"""),135.16)</f>
        <v>135.16</v>
      </c>
      <c r="C117" s="2">
        <f t="shared" ca="1" si="0"/>
        <v>1.7388031614602954E-2</v>
      </c>
    </row>
    <row r="118" spans="1:3">
      <c r="A118" s="3">
        <f ca="1">IFERROR(__xludf.UNSUPPORTED("""COMPUTED_VALUE"""),43635.6666666666)</f>
        <v>43635.666666666599</v>
      </c>
      <c r="B118" s="1">
        <f ca="1">IFERROR(__xludf.UNSUPPORTED("""COMPUTED_VALUE"""),135.69)</f>
        <v>135.69</v>
      </c>
      <c r="C118" s="2">
        <f t="shared" ca="1" si="0"/>
        <v>3.9212784847588132E-3</v>
      </c>
    </row>
    <row r="119" spans="1:3">
      <c r="A119" s="3">
        <f ca="1">IFERROR(__xludf.UNSUPPORTED("""COMPUTED_VALUE"""),43636.6666666666)</f>
        <v>43636.666666666599</v>
      </c>
      <c r="B119" s="1">
        <f ca="1">IFERROR(__xludf.UNSUPPORTED("""COMPUTED_VALUE"""),136.95)</f>
        <v>136.94999999999999</v>
      </c>
      <c r="C119" s="2">
        <f t="shared" ca="1" si="0"/>
        <v>9.2858722087109657E-3</v>
      </c>
    </row>
    <row r="120" spans="1:3">
      <c r="A120" s="3">
        <f ca="1">IFERROR(__xludf.UNSUPPORTED("""COMPUTED_VALUE"""),43637.6666666666)</f>
        <v>43637.666666666599</v>
      </c>
      <c r="B120" s="1">
        <f ca="1">IFERROR(__xludf.UNSUPPORTED("""COMPUTED_VALUE"""),136.97)</f>
        <v>136.97</v>
      </c>
      <c r="C120" s="2">
        <f t="shared" ca="1" si="0"/>
        <v>1.4603870025564245E-4</v>
      </c>
    </row>
    <row r="121" spans="1:3">
      <c r="A121" s="3">
        <f ca="1">IFERROR(__xludf.UNSUPPORTED("""COMPUTED_VALUE"""),43640.6666666666)</f>
        <v>43640.666666666599</v>
      </c>
      <c r="B121" s="1">
        <f ca="1">IFERROR(__xludf.UNSUPPORTED("""COMPUTED_VALUE"""),137.78)</f>
        <v>137.78</v>
      </c>
      <c r="C121" s="2">
        <f t="shared" ca="1" si="0"/>
        <v>5.9137037307439751E-3</v>
      </c>
    </row>
    <row r="122" spans="1:3">
      <c r="A122" s="3">
        <f ca="1">IFERROR(__xludf.UNSUPPORTED("""COMPUTED_VALUE"""),43641.6666666666)</f>
        <v>43641.666666666599</v>
      </c>
      <c r="B122" s="1">
        <f ca="1">IFERROR(__xludf.UNSUPPORTED("""COMPUTED_VALUE"""),133.43)</f>
        <v>133.43</v>
      </c>
      <c r="C122" s="2">
        <f t="shared" ca="1" si="0"/>
        <v>-3.1572071418202889E-2</v>
      </c>
    </row>
    <row r="123" spans="1:3">
      <c r="A123" s="3">
        <f ca="1">IFERROR(__xludf.UNSUPPORTED("""COMPUTED_VALUE"""),43642.6666666666)</f>
        <v>43642.666666666599</v>
      </c>
      <c r="B123" s="1">
        <f ca="1">IFERROR(__xludf.UNSUPPORTED("""COMPUTED_VALUE"""),133.93)</f>
        <v>133.93</v>
      </c>
      <c r="C123" s="2">
        <f t="shared" ca="1" si="0"/>
        <v>3.7472832196657423E-3</v>
      </c>
    </row>
    <row r="124" spans="1:3">
      <c r="A124" s="3">
        <f ca="1">IFERROR(__xludf.UNSUPPORTED("""COMPUTED_VALUE"""),43643.6666666666)</f>
        <v>43643.666666666599</v>
      </c>
      <c r="B124" s="1">
        <f ca="1">IFERROR(__xludf.UNSUPPORTED("""COMPUTED_VALUE"""),134.15)</f>
        <v>134.15</v>
      </c>
      <c r="C124" s="2">
        <f t="shared" ca="1" si="0"/>
        <v>1.6426491450757773E-3</v>
      </c>
    </row>
    <row r="125" spans="1:3">
      <c r="A125" s="3">
        <f ca="1">IFERROR(__xludf.UNSUPPORTED("""COMPUTED_VALUE"""),43644.6666666666)</f>
        <v>43644.666666666599</v>
      </c>
      <c r="B125" s="1">
        <f ca="1">IFERROR(__xludf.UNSUPPORTED("""COMPUTED_VALUE"""),133.96)</f>
        <v>133.96</v>
      </c>
      <c r="C125" s="2">
        <f t="shared" ca="1" si="0"/>
        <v>-1.4163250093179108E-3</v>
      </c>
    </row>
    <row r="126" spans="1:3">
      <c r="A126" s="3">
        <f ca="1">IFERROR(__xludf.UNSUPPORTED("""COMPUTED_VALUE"""),43647.6666666666)</f>
        <v>43647.666666666599</v>
      </c>
      <c r="B126" s="1">
        <f ca="1">IFERROR(__xludf.UNSUPPORTED("""COMPUTED_VALUE"""),135.68)</f>
        <v>135.68</v>
      </c>
      <c r="C126" s="2">
        <f t="shared" ca="1" si="0"/>
        <v>1.2839653627948632E-2</v>
      </c>
    </row>
    <row r="127" spans="1:3">
      <c r="A127" s="3">
        <f ca="1">IFERROR(__xludf.UNSUPPORTED("""COMPUTED_VALUE"""),43648.6666666666)</f>
        <v>43648.666666666599</v>
      </c>
      <c r="B127" s="1">
        <f ca="1">IFERROR(__xludf.UNSUPPORTED("""COMPUTED_VALUE"""),136.58)</f>
        <v>136.58000000000001</v>
      </c>
      <c r="C127" s="2">
        <f t="shared" ca="1" si="0"/>
        <v>6.633254716981174E-3</v>
      </c>
    </row>
    <row r="128" spans="1:3">
      <c r="A128" s="3">
        <f ca="1">IFERROR(__xludf.UNSUPPORTED("""COMPUTED_VALUE"""),43649.5416666666)</f>
        <v>43649.541666666599</v>
      </c>
      <c r="B128" s="1">
        <f ca="1">IFERROR(__xludf.UNSUPPORTED("""COMPUTED_VALUE"""),137.46)</f>
        <v>137.46</v>
      </c>
      <c r="C128" s="2">
        <f t="shared" ca="1" si="0"/>
        <v>6.4431102650460929E-3</v>
      </c>
    </row>
    <row r="129" spans="1:3">
      <c r="A129" s="3">
        <f ca="1">IFERROR(__xludf.UNSUPPORTED("""COMPUTED_VALUE"""),43651.6666666666)</f>
        <v>43651.666666666599</v>
      </c>
      <c r="B129" s="1">
        <f ca="1">IFERROR(__xludf.UNSUPPORTED("""COMPUTED_VALUE"""),137.06)</f>
        <v>137.06</v>
      </c>
      <c r="C129" s="2">
        <f t="shared" ca="1" si="0"/>
        <v>-2.9099374363451597E-3</v>
      </c>
    </row>
    <row r="130" spans="1:3">
      <c r="A130" s="3">
        <f ca="1">IFERROR(__xludf.UNSUPPORTED("""COMPUTED_VALUE"""),43654.6666666666)</f>
        <v>43654.666666666599</v>
      </c>
      <c r="B130" s="1">
        <f ca="1">IFERROR(__xludf.UNSUPPORTED("""COMPUTED_VALUE"""),136.96)</f>
        <v>136.96</v>
      </c>
      <c r="C130" s="2">
        <f t="shared" ca="1" si="0"/>
        <v>-7.2960747118046342E-4</v>
      </c>
    </row>
    <row r="131" spans="1:3">
      <c r="A131" s="3">
        <f ca="1">IFERROR(__xludf.UNSUPPORTED("""COMPUTED_VALUE"""),43655.6666666666)</f>
        <v>43655.666666666599</v>
      </c>
      <c r="B131" s="1">
        <f ca="1">IFERROR(__xludf.UNSUPPORTED("""COMPUTED_VALUE"""),136.46)</f>
        <v>136.46</v>
      </c>
      <c r="C131" s="2">
        <f t="shared" ca="1" si="0"/>
        <v>-3.6507009345794392E-3</v>
      </c>
    </row>
    <row r="132" spans="1:3">
      <c r="A132" s="3">
        <f ca="1">IFERROR(__xludf.UNSUPPORTED("""COMPUTED_VALUE"""),43656.6666666666)</f>
        <v>43656.666666666599</v>
      </c>
      <c r="B132" s="1">
        <f ca="1">IFERROR(__xludf.UNSUPPORTED("""COMPUTED_VALUE"""),137.85)</f>
        <v>137.85</v>
      </c>
      <c r="C132" s="2">
        <f t="shared" ca="1" si="0"/>
        <v>1.0186135131173869E-2</v>
      </c>
    </row>
    <row r="133" spans="1:3">
      <c r="A133" s="3">
        <f ca="1">IFERROR(__xludf.UNSUPPORTED("""COMPUTED_VALUE"""),43657.6666666666)</f>
        <v>43657.666666666599</v>
      </c>
      <c r="B133" s="1">
        <f ca="1">IFERROR(__xludf.UNSUPPORTED("""COMPUTED_VALUE"""),138.4)</f>
        <v>138.4</v>
      </c>
      <c r="C133" s="2">
        <f t="shared" ca="1" si="0"/>
        <v>3.9898440333696874E-3</v>
      </c>
    </row>
    <row r="134" spans="1:3">
      <c r="A134" s="3">
        <f ca="1">IFERROR(__xludf.UNSUPPORTED("""COMPUTED_VALUE"""),43658.6666666666)</f>
        <v>43658.666666666599</v>
      </c>
      <c r="B134" s="1">
        <f ca="1">IFERROR(__xludf.UNSUPPORTED("""COMPUTED_VALUE"""),138.9)</f>
        <v>138.9</v>
      </c>
      <c r="C134" s="2">
        <f t="shared" ca="1" si="0"/>
        <v>3.6127167630057803E-3</v>
      </c>
    </row>
    <row r="135" spans="1:3">
      <c r="A135" s="3">
        <f ca="1">IFERROR(__xludf.UNSUPPORTED("""COMPUTED_VALUE"""),43661.6666666666)</f>
        <v>43661.666666666599</v>
      </c>
      <c r="B135" s="1">
        <f ca="1">IFERROR(__xludf.UNSUPPORTED("""COMPUTED_VALUE"""),138.9)</f>
        <v>138.9</v>
      </c>
      <c r="C135" s="2">
        <f t="shared" ca="1" si="0"/>
        <v>0</v>
      </c>
    </row>
    <row r="136" spans="1:3">
      <c r="A136" s="3">
        <f ca="1">IFERROR(__xludf.UNSUPPORTED("""COMPUTED_VALUE"""),43662.6666666666)</f>
        <v>43662.666666666599</v>
      </c>
      <c r="B136" s="1">
        <f ca="1">IFERROR(__xludf.UNSUPPORTED("""COMPUTED_VALUE"""),137.08)</f>
        <v>137.08000000000001</v>
      </c>
      <c r="C136" s="2">
        <f t="shared" ca="1" si="0"/>
        <v>-1.3102951763858842E-2</v>
      </c>
    </row>
    <row r="137" spans="1:3">
      <c r="A137" s="3">
        <f ca="1">IFERROR(__xludf.UNSUPPORTED("""COMPUTED_VALUE"""),43663.6666666666)</f>
        <v>43663.666666666599</v>
      </c>
      <c r="B137" s="1">
        <f ca="1">IFERROR(__xludf.UNSUPPORTED("""COMPUTED_VALUE"""),136.27)</f>
        <v>136.27000000000001</v>
      </c>
      <c r="C137" s="2">
        <f t="shared" ca="1" si="0"/>
        <v>-5.9089582725415975E-3</v>
      </c>
    </row>
    <row r="138" spans="1:3">
      <c r="A138" s="3">
        <f ca="1">IFERROR(__xludf.UNSUPPORTED("""COMPUTED_VALUE"""),43664.6666666666)</f>
        <v>43664.666666666599</v>
      </c>
      <c r="B138" s="1">
        <f ca="1">IFERROR(__xludf.UNSUPPORTED("""COMPUTED_VALUE"""),136.42)</f>
        <v>136.41999999999999</v>
      </c>
      <c r="C138" s="2">
        <f t="shared" ca="1" si="0"/>
        <v>1.1007558523517813E-3</v>
      </c>
    </row>
    <row r="139" spans="1:3">
      <c r="A139" s="3">
        <f ca="1">IFERROR(__xludf.UNSUPPORTED("""COMPUTED_VALUE"""),43665.6666666666)</f>
        <v>43665.666666666599</v>
      </c>
      <c r="B139" s="1">
        <f ca="1">IFERROR(__xludf.UNSUPPORTED("""COMPUTED_VALUE"""),136.62)</f>
        <v>136.62</v>
      </c>
      <c r="C139" s="2">
        <f t="shared" ca="1" si="0"/>
        <v>1.4660606949128945E-3</v>
      </c>
    </row>
    <row r="140" spans="1:3">
      <c r="A140" s="3">
        <f ca="1">IFERROR(__xludf.UNSUPPORTED("""COMPUTED_VALUE"""),43668.6666666666)</f>
        <v>43668.666666666599</v>
      </c>
      <c r="B140" s="1">
        <f ca="1">IFERROR(__xludf.UNSUPPORTED("""COMPUTED_VALUE"""),138.43)</f>
        <v>138.43</v>
      </c>
      <c r="C140" s="2">
        <f t="shared" ca="1" si="0"/>
        <v>1.3248426291904569E-2</v>
      </c>
    </row>
    <row r="141" spans="1:3">
      <c r="A141" s="3">
        <f ca="1">IFERROR(__xludf.UNSUPPORTED("""COMPUTED_VALUE"""),43669.6666666666)</f>
        <v>43669.666666666599</v>
      </c>
      <c r="B141" s="1">
        <f ca="1">IFERROR(__xludf.UNSUPPORTED("""COMPUTED_VALUE"""),139.29)</f>
        <v>139.29</v>
      </c>
      <c r="C141" s="2">
        <f t="shared" ca="1" si="0"/>
        <v>6.2125261865201556E-3</v>
      </c>
    </row>
    <row r="142" spans="1:3">
      <c r="A142" s="3">
        <f ca="1">IFERROR(__xludf.UNSUPPORTED("""COMPUTED_VALUE"""),43670.6666666666)</f>
        <v>43670.666666666599</v>
      </c>
      <c r="B142" s="1">
        <f ca="1">IFERROR(__xludf.UNSUPPORTED("""COMPUTED_VALUE"""),140.72)</f>
        <v>140.72</v>
      </c>
      <c r="C142" s="2">
        <f t="shared" ca="1" si="0"/>
        <v>1.0266350778950441E-2</v>
      </c>
    </row>
    <row r="143" spans="1:3">
      <c r="A143" s="3">
        <f ca="1">IFERROR(__xludf.UNSUPPORTED("""COMPUTED_VALUE"""),43671.6666666666)</f>
        <v>43671.666666666599</v>
      </c>
      <c r="B143" s="1">
        <f ca="1">IFERROR(__xludf.UNSUPPORTED("""COMPUTED_VALUE"""),140.19)</f>
        <v>140.19</v>
      </c>
      <c r="C143" s="2">
        <f t="shared" ca="1" si="0"/>
        <v>-3.7663445139283764E-3</v>
      </c>
    </row>
    <row r="144" spans="1:3">
      <c r="A144" s="3">
        <f ca="1">IFERROR(__xludf.UNSUPPORTED("""COMPUTED_VALUE"""),43672.6666666666)</f>
        <v>43672.666666666599</v>
      </c>
      <c r="B144" s="1">
        <f ca="1">IFERROR(__xludf.UNSUPPORTED("""COMPUTED_VALUE"""),141.34)</f>
        <v>141.34</v>
      </c>
      <c r="C144" s="2">
        <f t="shared" ca="1" si="0"/>
        <v>8.2031528639703675E-3</v>
      </c>
    </row>
    <row r="145" spans="1:3">
      <c r="A145" s="3">
        <f ca="1">IFERROR(__xludf.UNSUPPORTED("""COMPUTED_VALUE"""),43675.6666666666)</f>
        <v>43675.666666666599</v>
      </c>
      <c r="B145" s="1">
        <f ca="1">IFERROR(__xludf.UNSUPPORTED("""COMPUTED_VALUE"""),141.03)</f>
        <v>141.03</v>
      </c>
      <c r="C145" s="2">
        <f t="shared" ca="1" si="0"/>
        <v>-2.1932927692090158E-3</v>
      </c>
    </row>
    <row r="146" spans="1:3">
      <c r="A146" s="3">
        <f ca="1">IFERROR(__xludf.UNSUPPORTED("""COMPUTED_VALUE"""),43676.6666666666)</f>
        <v>43676.666666666599</v>
      </c>
      <c r="B146" s="1">
        <f ca="1">IFERROR(__xludf.UNSUPPORTED("""COMPUTED_VALUE"""),140.35)</f>
        <v>140.35</v>
      </c>
      <c r="C146" s="2">
        <f t="shared" ca="1" si="0"/>
        <v>-4.8216691484081883E-3</v>
      </c>
    </row>
    <row r="147" spans="1:3">
      <c r="A147" s="3">
        <f ca="1">IFERROR(__xludf.UNSUPPORTED("""COMPUTED_VALUE"""),43677.6666666666)</f>
        <v>43677.666666666599</v>
      </c>
      <c r="B147" s="1">
        <f ca="1">IFERROR(__xludf.UNSUPPORTED("""COMPUTED_VALUE"""),136.27)</f>
        <v>136.27000000000001</v>
      </c>
      <c r="C147" s="2">
        <f t="shared" ca="1" si="0"/>
        <v>-2.9070181688635441E-2</v>
      </c>
    </row>
    <row r="148" spans="1:3">
      <c r="A148" s="3">
        <f ca="1">IFERROR(__xludf.UNSUPPORTED("""COMPUTED_VALUE"""),43678.6666666666)</f>
        <v>43678.666666666599</v>
      </c>
      <c r="B148" s="1">
        <f ca="1">IFERROR(__xludf.UNSUPPORTED("""COMPUTED_VALUE"""),138.06)</f>
        <v>138.06</v>
      </c>
      <c r="C148" s="2">
        <f t="shared" ca="1" si="0"/>
        <v>1.3135686504733192E-2</v>
      </c>
    </row>
    <row r="149" spans="1:3">
      <c r="A149" s="3">
        <f ca="1">IFERROR(__xludf.UNSUPPORTED("""COMPUTED_VALUE"""),43679.6666666666)</f>
        <v>43679.666666666599</v>
      </c>
      <c r="B149" s="1">
        <f ca="1">IFERROR(__xludf.UNSUPPORTED("""COMPUTED_VALUE"""),136.9)</f>
        <v>136.9</v>
      </c>
      <c r="C149" s="2">
        <f t="shared" ca="1" si="0"/>
        <v>-8.4021439953643091E-3</v>
      </c>
    </row>
    <row r="150" spans="1:3">
      <c r="A150" s="3">
        <f ca="1">IFERROR(__xludf.UNSUPPORTED("""COMPUTED_VALUE"""),43682.6666666666)</f>
        <v>43682.666666666599</v>
      </c>
      <c r="B150" s="1">
        <f ca="1">IFERROR(__xludf.UNSUPPORTED("""COMPUTED_VALUE"""),132.21)</f>
        <v>132.21</v>
      </c>
      <c r="C150" s="2">
        <f t="shared" ca="1" si="0"/>
        <v>-3.4258582907231536E-2</v>
      </c>
    </row>
    <row r="151" spans="1:3">
      <c r="A151" s="3">
        <f ca="1">IFERROR(__xludf.UNSUPPORTED("""COMPUTED_VALUE"""),43683.6666666666)</f>
        <v>43683.666666666599</v>
      </c>
      <c r="B151" s="1">
        <f ca="1">IFERROR(__xludf.UNSUPPORTED("""COMPUTED_VALUE"""),134.69)</f>
        <v>134.69</v>
      </c>
      <c r="C151" s="2">
        <f t="shared" ca="1" si="0"/>
        <v>1.8758036457151423E-2</v>
      </c>
    </row>
    <row r="152" spans="1:3">
      <c r="A152" s="3">
        <f ca="1">IFERROR(__xludf.UNSUPPORTED("""COMPUTED_VALUE"""),43684.6666666666)</f>
        <v>43684.666666666599</v>
      </c>
      <c r="B152" s="1">
        <f ca="1">IFERROR(__xludf.UNSUPPORTED("""COMPUTED_VALUE"""),135.28)</f>
        <v>135.28</v>
      </c>
      <c r="C152" s="2">
        <f t="shared" ca="1" si="0"/>
        <v>4.3804291335659915E-3</v>
      </c>
    </row>
    <row r="153" spans="1:3">
      <c r="A153" s="3">
        <f ca="1">IFERROR(__xludf.UNSUPPORTED("""COMPUTED_VALUE"""),43685.6666666666)</f>
        <v>43685.666666666599</v>
      </c>
      <c r="B153" s="1">
        <f ca="1">IFERROR(__xludf.UNSUPPORTED("""COMPUTED_VALUE"""),138.89)</f>
        <v>138.88999999999999</v>
      </c>
      <c r="C153" s="2">
        <f t="shared" ca="1" si="0"/>
        <v>2.6685393258426858E-2</v>
      </c>
    </row>
    <row r="154" spans="1:3">
      <c r="A154" s="3">
        <f ca="1">IFERROR(__xludf.UNSUPPORTED("""COMPUTED_VALUE"""),43686.6666666666)</f>
        <v>43686.666666666599</v>
      </c>
      <c r="B154" s="1">
        <f ca="1">IFERROR(__xludf.UNSUPPORTED("""COMPUTED_VALUE"""),137.71)</f>
        <v>137.71</v>
      </c>
      <c r="C154" s="2">
        <f t="shared" ca="1" si="0"/>
        <v>-8.4959320325435853E-3</v>
      </c>
    </row>
    <row r="155" spans="1:3">
      <c r="A155" s="3">
        <f ca="1">IFERROR(__xludf.UNSUPPORTED("""COMPUTED_VALUE"""),43689.6666666666)</f>
        <v>43689.666666666599</v>
      </c>
      <c r="B155" s="1">
        <f ca="1">IFERROR(__xludf.UNSUPPORTED("""COMPUTED_VALUE"""),135.79)</f>
        <v>135.79</v>
      </c>
      <c r="C155" s="2">
        <f t="shared" ca="1" si="0"/>
        <v>-1.3942342604023062E-2</v>
      </c>
    </row>
    <row r="156" spans="1:3">
      <c r="A156" s="3">
        <f ca="1">IFERROR(__xludf.UNSUPPORTED("""COMPUTED_VALUE"""),43690.6666666666)</f>
        <v>43690.666666666599</v>
      </c>
      <c r="B156" s="1">
        <f ca="1">IFERROR(__xludf.UNSUPPORTED("""COMPUTED_VALUE"""),138.6)</f>
        <v>138.6</v>
      </c>
      <c r="C156" s="2">
        <f t="shared" ca="1" si="0"/>
        <v>2.0693718241402183E-2</v>
      </c>
    </row>
    <row r="157" spans="1:3">
      <c r="A157" s="3">
        <f ca="1">IFERROR(__xludf.UNSUPPORTED("""COMPUTED_VALUE"""),43691.6666666666)</f>
        <v>43691.666666666599</v>
      </c>
      <c r="B157" s="1">
        <f ca="1">IFERROR(__xludf.UNSUPPORTED("""COMPUTED_VALUE"""),133.98)</f>
        <v>133.97999999999999</v>
      </c>
      <c r="C157" s="2">
        <f t="shared" ca="1" si="0"/>
        <v>-3.3333333333333368E-2</v>
      </c>
    </row>
    <row r="158" spans="1:3">
      <c r="A158" s="3">
        <f ca="1">IFERROR(__xludf.UNSUPPORTED("""COMPUTED_VALUE"""),43692.6666666666)</f>
        <v>43692.666666666599</v>
      </c>
      <c r="B158" s="1">
        <f ca="1">IFERROR(__xludf.UNSUPPORTED("""COMPUTED_VALUE"""),133.68)</f>
        <v>133.68</v>
      </c>
      <c r="C158" s="2">
        <f t="shared" ca="1" si="0"/>
        <v>-2.2391401701745257E-3</v>
      </c>
    </row>
    <row r="159" spans="1:3">
      <c r="A159" s="3">
        <f ca="1">IFERROR(__xludf.UNSUPPORTED("""COMPUTED_VALUE"""),43693.6666666666)</f>
        <v>43693.666666666599</v>
      </c>
      <c r="B159" s="1">
        <f ca="1">IFERROR(__xludf.UNSUPPORTED("""COMPUTED_VALUE"""),136.13)</f>
        <v>136.13</v>
      </c>
      <c r="C159" s="2">
        <f t="shared" ca="1" si="0"/>
        <v>1.8327348892878431E-2</v>
      </c>
    </row>
    <row r="160" spans="1:3">
      <c r="A160" s="3">
        <f ca="1">IFERROR(__xludf.UNSUPPORTED("""COMPUTED_VALUE"""),43696.6666666666)</f>
        <v>43696.666666666599</v>
      </c>
      <c r="B160" s="1">
        <f ca="1">IFERROR(__xludf.UNSUPPORTED("""COMPUTED_VALUE"""),138.41)</f>
        <v>138.41</v>
      </c>
      <c r="C160" s="2">
        <f t="shared" ca="1" si="0"/>
        <v>1.674869609931684E-2</v>
      </c>
    </row>
    <row r="161" spans="1:3">
      <c r="A161" s="3">
        <f ca="1">IFERROR(__xludf.UNSUPPORTED("""COMPUTED_VALUE"""),43697.6666666666)</f>
        <v>43697.666666666599</v>
      </c>
      <c r="B161" s="1">
        <f ca="1">IFERROR(__xludf.UNSUPPORTED("""COMPUTED_VALUE"""),137.26)</f>
        <v>137.26</v>
      </c>
      <c r="C161" s="2">
        <f t="shared" ca="1" si="0"/>
        <v>-8.3086482190593575E-3</v>
      </c>
    </row>
    <row r="162" spans="1:3">
      <c r="A162" s="3">
        <f ca="1">IFERROR(__xludf.UNSUPPORTED("""COMPUTED_VALUE"""),43698.6666666666)</f>
        <v>43698.666666666599</v>
      </c>
      <c r="B162" s="1">
        <f ca="1">IFERROR(__xludf.UNSUPPORTED("""COMPUTED_VALUE"""),138.79)</f>
        <v>138.79</v>
      </c>
      <c r="C162" s="2">
        <f t="shared" ca="1" si="0"/>
        <v>1.1146728835786109E-2</v>
      </c>
    </row>
    <row r="163" spans="1:3">
      <c r="A163" s="3">
        <f ca="1">IFERROR(__xludf.UNSUPPORTED("""COMPUTED_VALUE"""),43699.6666666666)</f>
        <v>43699.666666666599</v>
      </c>
      <c r="B163" s="1">
        <f ca="1">IFERROR(__xludf.UNSUPPORTED("""COMPUTED_VALUE"""),137.78)</f>
        <v>137.78</v>
      </c>
      <c r="C163" s="2">
        <f t="shared" ca="1" si="0"/>
        <v>-7.2771813531233584E-3</v>
      </c>
    </row>
    <row r="164" spans="1:3">
      <c r="A164" s="3">
        <f ca="1">IFERROR(__xludf.UNSUPPORTED("""COMPUTED_VALUE"""),43700.6666666666)</f>
        <v>43700.666666666599</v>
      </c>
      <c r="B164" s="1">
        <f ca="1">IFERROR(__xludf.UNSUPPORTED("""COMPUTED_VALUE"""),133.39)</f>
        <v>133.38999999999999</v>
      </c>
      <c r="C164" s="2">
        <f t="shared" ca="1" si="0"/>
        <v>-3.1862389316301455E-2</v>
      </c>
    </row>
    <row r="165" spans="1:3">
      <c r="A165" s="3">
        <f ca="1">IFERROR(__xludf.UNSUPPORTED("""COMPUTED_VALUE"""),43703.6666666666)</f>
        <v>43703.666666666599</v>
      </c>
      <c r="B165" s="1">
        <f ca="1">IFERROR(__xludf.UNSUPPORTED("""COMPUTED_VALUE"""),135.45)</f>
        <v>135.44999999999999</v>
      </c>
      <c r="C165" s="2">
        <f t="shared" ca="1" si="0"/>
        <v>1.5443436539470744E-2</v>
      </c>
    </row>
    <row r="166" spans="1:3">
      <c r="A166" s="3">
        <f ca="1">IFERROR(__xludf.UNSUPPORTED("""COMPUTED_VALUE"""),43704.6666666666)</f>
        <v>43704.666666666599</v>
      </c>
      <c r="B166" s="1">
        <f ca="1">IFERROR(__xludf.UNSUPPORTED("""COMPUTED_VALUE"""),135.74)</f>
        <v>135.74</v>
      </c>
      <c r="C166" s="2">
        <f t="shared" ca="1" si="0"/>
        <v>2.141011443337176E-3</v>
      </c>
    </row>
    <row r="167" spans="1:3">
      <c r="A167" s="3">
        <f ca="1">IFERROR(__xludf.UNSUPPORTED("""COMPUTED_VALUE"""),43705.6666666666)</f>
        <v>43705.666666666599</v>
      </c>
      <c r="B167" s="1">
        <f ca="1">IFERROR(__xludf.UNSUPPORTED("""COMPUTED_VALUE"""),135.56)</f>
        <v>135.56</v>
      </c>
      <c r="C167" s="2">
        <f t="shared" ca="1" si="0"/>
        <v>-1.3260645351407603E-3</v>
      </c>
    </row>
    <row r="168" spans="1:3">
      <c r="A168" s="3">
        <f ca="1">IFERROR(__xludf.UNSUPPORTED("""COMPUTED_VALUE"""),43706.6666666666)</f>
        <v>43706.666666666599</v>
      </c>
      <c r="B168" s="1">
        <f ca="1">IFERROR(__xludf.UNSUPPORTED("""COMPUTED_VALUE"""),138.12)</f>
        <v>138.12</v>
      </c>
      <c r="C168" s="2">
        <f t="shared" ca="1" si="0"/>
        <v>1.8884626733549736E-2</v>
      </c>
    </row>
    <row r="169" spans="1:3">
      <c r="A169" s="3">
        <f ca="1">IFERROR(__xludf.UNSUPPORTED("""COMPUTED_VALUE"""),43707.6666666666)</f>
        <v>43707.666666666599</v>
      </c>
      <c r="B169" s="1">
        <f ca="1">IFERROR(__xludf.UNSUPPORTED("""COMPUTED_VALUE"""),137.86)</f>
        <v>137.86000000000001</v>
      </c>
      <c r="C169" s="2">
        <f t="shared" ca="1" si="0"/>
        <v>-1.882421083116065E-3</v>
      </c>
    </row>
    <row r="170" spans="1:3">
      <c r="A170" s="3">
        <f ca="1">IFERROR(__xludf.UNSUPPORTED("""COMPUTED_VALUE"""),43711.6666666666)</f>
        <v>43711.666666666599</v>
      </c>
      <c r="B170" s="1">
        <f ca="1">IFERROR(__xludf.UNSUPPORTED("""COMPUTED_VALUE"""),136.04)</f>
        <v>136.04</v>
      </c>
      <c r="C170" s="2">
        <f t="shared" ca="1" si="0"/>
        <v>-1.3201798926447275E-2</v>
      </c>
    </row>
    <row r="171" spans="1:3">
      <c r="A171" s="3">
        <f ca="1">IFERROR(__xludf.UNSUPPORTED("""COMPUTED_VALUE"""),43712.6666666666)</f>
        <v>43712.666666666599</v>
      </c>
      <c r="B171" s="1">
        <f ca="1">IFERROR(__xludf.UNSUPPORTED("""COMPUTED_VALUE"""),137.63)</f>
        <v>137.63</v>
      </c>
      <c r="C171" s="2">
        <f t="shared" ca="1" si="0"/>
        <v>1.1687738900323459E-2</v>
      </c>
    </row>
    <row r="172" spans="1:3">
      <c r="A172" s="3">
        <f ca="1">IFERROR(__xludf.UNSUPPORTED("""COMPUTED_VALUE"""),43713.6666666666)</f>
        <v>43713.666666666599</v>
      </c>
      <c r="B172" s="1">
        <f ca="1">IFERROR(__xludf.UNSUPPORTED("""COMPUTED_VALUE"""),140.05)</f>
        <v>140.05000000000001</v>
      </c>
      <c r="C172" s="2">
        <f t="shared" ca="1" si="0"/>
        <v>1.7583375717503569E-2</v>
      </c>
    </row>
    <row r="173" spans="1:3">
      <c r="A173" s="3">
        <f ca="1">IFERROR(__xludf.UNSUPPORTED("""COMPUTED_VALUE"""),43714.6666666666)</f>
        <v>43714.666666666599</v>
      </c>
      <c r="B173" s="1">
        <f ca="1">IFERROR(__xludf.UNSUPPORTED("""COMPUTED_VALUE"""),139.1)</f>
        <v>139.1</v>
      </c>
      <c r="C173" s="2">
        <f t="shared" ca="1" si="0"/>
        <v>-6.7832916815424278E-3</v>
      </c>
    </row>
    <row r="174" spans="1:3">
      <c r="A174" s="3">
        <f ca="1">IFERROR(__xludf.UNSUPPORTED("""COMPUTED_VALUE"""),43717.6666666666)</f>
        <v>43717.666666666599</v>
      </c>
      <c r="B174" s="1">
        <f ca="1">IFERROR(__xludf.UNSUPPORTED("""COMPUTED_VALUE"""),137.52)</f>
        <v>137.52000000000001</v>
      </c>
      <c r="C174" s="2">
        <f t="shared" ca="1" si="0"/>
        <v>-1.135873472322059E-2</v>
      </c>
    </row>
    <row r="175" spans="1:3">
      <c r="A175" s="3">
        <f ca="1">IFERROR(__xludf.UNSUPPORTED("""COMPUTED_VALUE"""),43718.6666666666)</f>
        <v>43718.666666666599</v>
      </c>
      <c r="B175" s="1">
        <f ca="1">IFERROR(__xludf.UNSUPPORTED("""COMPUTED_VALUE"""),136.08)</f>
        <v>136.08000000000001</v>
      </c>
      <c r="C175" s="2">
        <f t="shared" ca="1" si="0"/>
        <v>-1.0471204188481659E-2</v>
      </c>
    </row>
    <row r="176" spans="1:3">
      <c r="A176" s="3">
        <f ca="1">IFERROR(__xludf.UNSUPPORTED("""COMPUTED_VALUE"""),43719.6666666666)</f>
        <v>43719.666666666599</v>
      </c>
      <c r="B176" s="1">
        <f ca="1">IFERROR(__xludf.UNSUPPORTED("""COMPUTED_VALUE"""),136.12)</f>
        <v>136.12</v>
      </c>
      <c r="C176" s="2">
        <f t="shared" ca="1" si="0"/>
        <v>2.9394473838912434E-4</v>
      </c>
    </row>
    <row r="177" spans="1:3">
      <c r="A177" s="3">
        <f ca="1">IFERROR(__xludf.UNSUPPORTED("""COMPUTED_VALUE"""),43720.6666666666)</f>
        <v>43720.666666666599</v>
      </c>
      <c r="B177" s="1">
        <f ca="1">IFERROR(__xludf.UNSUPPORTED("""COMPUTED_VALUE"""),137.52)</f>
        <v>137.52000000000001</v>
      </c>
      <c r="C177" s="2">
        <f t="shared" ca="1" si="0"/>
        <v>1.028504260946228E-2</v>
      </c>
    </row>
    <row r="178" spans="1:3">
      <c r="A178" s="3">
        <f ca="1">IFERROR(__xludf.UNSUPPORTED("""COMPUTED_VALUE"""),43721.6666666666)</f>
        <v>43721.666666666599</v>
      </c>
      <c r="B178" s="1">
        <f ca="1">IFERROR(__xludf.UNSUPPORTED("""COMPUTED_VALUE"""),137.32)</f>
        <v>137.32</v>
      </c>
      <c r="C178" s="2">
        <f t="shared" ca="1" si="0"/>
        <v>-1.4543339150670232E-3</v>
      </c>
    </row>
    <row r="179" spans="1:3">
      <c r="A179" s="3">
        <f ca="1">IFERROR(__xludf.UNSUPPORTED("""COMPUTED_VALUE"""),43724.6666666666)</f>
        <v>43724.666666666599</v>
      </c>
      <c r="B179" s="1">
        <f ca="1">IFERROR(__xludf.UNSUPPORTED("""COMPUTED_VALUE"""),136.33)</f>
        <v>136.33000000000001</v>
      </c>
      <c r="C179" s="2">
        <f t="shared" ca="1" si="0"/>
        <v>-7.2094378094959269E-3</v>
      </c>
    </row>
    <row r="180" spans="1:3">
      <c r="A180" s="3">
        <f ca="1">IFERROR(__xludf.UNSUPPORTED("""COMPUTED_VALUE"""),43725.6666666666)</f>
        <v>43725.666666666599</v>
      </c>
      <c r="B180" s="1">
        <f ca="1">IFERROR(__xludf.UNSUPPORTED("""COMPUTED_VALUE"""),137.39)</f>
        <v>137.38999999999999</v>
      </c>
      <c r="C180" s="2">
        <f t="shared" ca="1" si="0"/>
        <v>7.7752512286362041E-3</v>
      </c>
    </row>
    <row r="181" spans="1:3">
      <c r="A181" s="3">
        <f ca="1">IFERROR(__xludf.UNSUPPORTED("""COMPUTED_VALUE"""),43726.6666666666)</f>
        <v>43726.666666666599</v>
      </c>
      <c r="B181" s="1">
        <f ca="1">IFERROR(__xludf.UNSUPPORTED("""COMPUTED_VALUE"""),138.52)</f>
        <v>138.52000000000001</v>
      </c>
      <c r="C181" s="2">
        <f t="shared" ca="1" si="0"/>
        <v>8.2247616274839803E-3</v>
      </c>
    </row>
    <row r="182" spans="1:3">
      <c r="A182" s="3">
        <f ca="1">IFERROR(__xludf.UNSUPPORTED("""COMPUTED_VALUE"""),43727.6666666666)</f>
        <v>43727.666666666599</v>
      </c>
      <c r="B182" s="1">
        <f ca="1">IFERROR(__xludf.UNSUPPORTED("""COMPUTED_VALUE"""),141.07)</f>
        <v>141.07</v>
      </c>
      <c r="C182" s="2">
        <f t="shared" ca="1" si="0"/>
        <v>1.84088940225237E-2</v>
      </c>
    </row>
    <row r="183" spans="1:3">
      <c r="A183" s="3">
        <f ca="1">IFERROR(__xludf.UNSUPPORTED("""COMPUTED_VALUE"""),43728.6666666666)</f>
        <v>43728.666666666599</v>
      </c>
      <c r="B183" s="1">
        <f ca="1">IFERROR(__xludf.UNSUPPORTED("""COMPUTED_VALUE"""),139.44)</f>
        <v>139.44</v>
      </c>
      <c r="C183" s="2">
        <f t="shared" ca="1" si="0"/>
        <v>-1.1554547387821617E-2</v>
      </c>
    </row>
    <row r="184" spans="1:3">
      <c r="A184" s="3">
        <f ca="1">IFERROR(__xludf.UNSUPPORTED("""COMPUTED_VALUE"""),43731.6666666666)</f>
        <v>43731.666666666599</v>
      </c>
      <c r="B184" s="1">
        <f ca="1">IFERROR(__xludf.UNSUPPORTED("""COMPUTED_VALUE"""),139.14)</f>
        <v>139.13999999999999</v>
      </c>
      <c r="C184" s="2">
        <f t="shared" ca="1" si="0"/>
        <v>-2.1514629948365706E-3</v>
      </c>
    </row>
    <row r="185" spans="1:3">
      <c r="A185" s="3">
        <f ca="1">IFERROR(__xludf.UNSUPPORTED("""COMPUTED_VALUE"""),43732.6666666666)</f>
        <v>43732.666666666599</v>
      </c>
      <c r="B185" s="1">
        <f ca="1">IFERROR(__xludf.UNSUPPORTED("""COMPUTED_VALUE"""),137.38)</f>
        <v>137.38</v>
      </c>
      <c r="C185" s="2">
        <f t="shared" ca="1" si="0"/>
        <v>-1.2649130372286842E-2</v>
      </c>
    </row>
    <row r="186" spans="1:3">
      <c r="A186" s="3">
        <f ca="1">IFERROR(__xludf.UNSUPPORTED("""COMPUTED_VALUE"""),43733.6666666666)</f>
        <v>43733.666666666599</v>
      </c>
      <c r="B186" s="1">
        <f ca="1">IFERROR(__xludf.UNSUPPORTED("""COMPUTED_VALUE"""),139.36)</f>
        <v>139.36000000000001</v>
      </c>
      <c r="C186" s="2">
        <f t="shared" ca="1" si="0"/>
        <v>1.4412578250109319E-2</v>
      </c>
    </row>
    <row r="187" spans="1:3">
      <c r="A187" s="3">
        <f ca="1">IFERROR(__xludf.UNSUPPORTED("""COMPUTED_VALUE"""),43734.6666666666)</f>
        <v>43734.666666666599</v>
      </c>
      <c r="B187" s="1">
        <f ca="1">IFERROR(__xludf.UNSUPPORTED("""COMPUTED_VALUE"""),139.54)</f>
        <v>139.54</v>
      </c>
      <c r="C187" s="2">
        <f t="shared" ca="1" si="0"/>
        <v>1.2916188289321066E-3</v>
      </c>
    </row>
    <row r="188" spans="1:3">
      <c r="A188" s="3">
        <f ca="1">IFERROR(__xludf.UNSUPPORTED("""COMPUTED_VALUE"""),43735.6666666666)</f>
        <v>43735.666666666599</v>
      </c>
      <c r="B188" s="1">
        <f ca="1">IFERROR(__xludf.UNSUPPORTED("""COMPUTED_VALUE"""),137.73)</f>
        <v>137.72999999999999</v>
      </c>
      <c r="C188" s="2">
        <f t="shared" ca="1" si="0"/>
        <v>-1.2971191056327951E-2</v>
      </c>
    </row>
    <row r="189" spans="1:3">
      <c r="A189" s="3">
        <f ca="1">IFERROR(__xludf.UNSUPPORTED("""COMPUTED_VALUE"""),43738.6666666666)</f>
        <v>43738.666666666599</v>
      </c>
      <c r="B189" s="1">
        <f ca="1">IFERROR(__xludf.UNSUPPORTED("""COMPUTED_VALUE"""),139.03)</f>
        <v>139.03</v>
      </c>
      <c r="C189" s="2">
        <f t="shared" ca="1" si="0"/>
        <v>9.4387569883105458E-3</v>
      </c>
    </row>
    <row r="190" spans="1:3">
      <c r="A190" s="3">
        <f ca="1">IFERROR(__xludf.UNSUPPORTED("""COMPUTED_VALUE"""),43739.6666666666)</f>
        <v>43739.666666666599</v>
      </c>
      <c r="B190" s="1">
        <f ca="1">IFERROR(__xludf.UNSUPPORTED("""COMPUTED_VALUE"""),137.07)</f>
        <v>137.07</v>
      </c>
      <c r="C190" s="2">
        <f t="shared" ca="1" si="0"/>
        <v>-1.4097676760411479E-2</v>
      </c>
    </row>
    <row r="191" spans="1:3">
      <c r="A191" s="3">
        <f ca="1">IFERROR(__xludf.UNSUPPORTED("""COMPUTED_VALUE"""),43740.6666666666)</f>
        <v>43740.666666666599</v>
      </c>
      <c r="B191" s="1">
        <f ca="1">IFERROR(__xludf.UNSUPPORTED("""COMPUTED_VALUE"""),134.65)</f>
        <v>134.65</v>
      </c>
      <c r="C191" s="2">
        <f t="shared" ca="1" si="0"/>
        <v>-1.7655212665061558E-2</v>
      </c>
    </row>
    <row r="192" spans="1:3">
      <c r="A192" s="3">
        <f ca="1">IFERROR(__xludf.UNSUPPORTED("""COMPUTED_VALUE"""),43741.6666666666)</f>
        <v>43741.666666666599</v>
      </c>
      <c r="B192" s="1">
        <f ca="1">IFERROR(__xludf.UNSUPPORTED("""COMPUTED_VALUE"""),136.28)</f>
        <v>136.28</v>
      </c>
      <c r="C192" s="2">
        <f t="shared" ca="1" si="0"/>
        <v>1.2105458596360901E-2</v>
      </c>
    </row>
    <row r="193" spans="1:3">
      <c r="A193" s="3">
        <f ca="1">IFERROR(__xludf.UNSUPPORTED("""COMPUTED_VALUE"""),43742.6666666666)</f>
        <v>43742.666666666599</v>
      </c>
      <c r="B193" s="1">
        <f ca="1">IFERROR(__xludf.UNSUPPORTED("""COMPUTED_VALUE"""),138.12)</f>
        <v>138.12</v>
      </c>
      <c r="C193" s="2">
        <f t="shared" ca="1" si="0"/>
        <v>1.3501614323451741E-2</v>
      </c>
    </row>
    <row r="194" spans="1:3">
      <c r="A194" s="3">
        <f ca="1">IFERROR(__xludf.UNSUPPORTED("""COMPUTED_VALUE"""),43745.6666666666)</f>
        <v>43745.666666666599</v>
      </c>
      <c r="B194" s="1">
        <f ca="1">IFERROR(__xludf.UNSUPPORTED("""COMPUTED_VALUE"""),137.12)</f>
        <v>137.12</v>
      </c>
      <c r="C194" s="2">
        <f t="shared" ca="1" si="0"/>
        <v>-7.2400810889081957E-3</v>
      </c>
    </row>
    <row r="195" spans="1:3">
      <c r="A195" s="3">
        <f ca="1">IFERROR(__xludf.UNSUPPORTED("""COMPUTED_VALUE"""),43746.6666666666)</f>
        <v>43746.666666666599</v>
      </c>
      <c r="B195" s="1">
        <f ca="1">IFERROR(__xludf.UNSUPPORTED("""COMPUTED_VALUE"""),135.67)</f>
        <v>135.66999999999999</v>
      </c>
      <c r="C195" s="2">
        <f t="shared" ca="1" si="0"/>
        <v>-1.0574679113185655E-2</v>
      </c>
    </row>
    <row r="196" spans="1:3">
      <c r="A196" s="3">
        <f ca="1">IFERROR(__xludf.UNSUPPORTED("""COMPUTED_VALUE"""),43747.6666666666)</f>
        <v>43747.666666666599</v>
      </c>
      <c r="B196" s="1">
        <f ca="1">IFERROR(__xludf.UNSUPPORTED("""COMPUTED_VALUE"""),138.24)</f>
        <v>138.24</v>
      </c>
      <c r="C196" s="2">
        <f t="shared" ca="1" si="0"/>
        <v>1.8943023512935961E-2</v>
      </c>
    </row>
    <row r="197" spans="1:3">
      <c r="A197" s="3">
        <f ca="1">IFERROR(__xludf.UNSUPPORTED("""COMPUTED_VALUE"""),43748.6666666666)</f>
        <v>43748.666666666599</v>
      </c>
      <c r="B197" s="1">
        <f ca="1">IFERROR(__xludf.UNSUPPORTED("""COMPUTED_VALUE"""),139.1)</f>
        <v>139.1</v>
      </c>
      <c r="C197" s="2">
        <f t="shared" ca="1" si="0"/>
        <v>6.2210648148147071E-3</v>
      </c>
    </row>
    <row r="198" spans="1:3">
      <c r="A198" s="3">
        <f ca="1">IFERROR(__xludf.UNSUPPORTED("""COMPUTED_VALUE"""),43749.6666666666)</f>
        <v>43749.666666666599</v>
      </c>
      <c r="B198" s="1">
        <f ca="1">IFERROR(__xludf.UNSUPPORTED("""COMPUTED_VALUE"""),139.68)</f>
        <v>139.68</v>
      </c>
      <c r="C198" s="2">
        <f t="shared" ca="1" si="0"/>
        <v>4.1696621135874374E-3</v>
      </c>
    </row>
    <row r="199" spans="1:3">
      <c r="A199" s="3">
        <f ca="1">IFERROR(__xludf.UNSUPPORTED("""COMPUTED_VALUE"""),43752.6666666666)</f>
        <v>43752.666666666599</v>
      </c>
      <c r="B199" s="1">
        <f ca="1">IFERROR(__xludf.UNSUPPORTED("""COMPUTED_VALUE"""),139.55)</f>
        <v>139.55000000000001</v>
      </c>
      <c r="C199" s="2">
        <f t="shared" ca="1" si="0"/>
        <v>-9.3069873997705791E-4</v>
      </c>
    </row>
    <row r="200" spans="1:3">
      <c r="A200" s="3">
        <f ca="1">IFERROR(__xludf.UNSUPPORTED("""COMPUTED_VALUE"""),43753.6666666666)</f>
        <v>43753.666666666599</v>
      </c>
      <c r="B200" s="1">
        <f ca="1">IFERROR(__xludf.UNSUPPORTED("""COMPUTED_VALUE"""),141.57)</f>
        <v>141.57</v>
      </c>
      <c r="C200" s="2">
        <f t="shared" ca="1" si="0"/>
        <v>1.4475098530992344E-2</v>
      </c>
    </row>
    <row r="201" spans="1:3">
      <c r="A201" s="3">
        <f ca="1">IFERROR(__xludf.UNSUPPORTED("""COMPUTED_VALUE"""),43754.6666666666)</f>
        <v>43754.666666666599</v>
      </c>
      <c r="B201" s="1">
        <f ca="1">IFERROR(__xludf.UNSUPPORTED("""COMPUTED_VALUE"""),140.41)</f>
        <v>140.41</v>
      </c>
      <c r="C201" s="2">
        <f t="shared" ca="1" si="0"/>
        <v>-8.1938263756445341E-3</v>
      </c>
    </row>
    <row r="202" spans="1:3">
      <c r="A202" s="3">
        <f ca="1">IFERROR(__xludf.UNSUPPORTED("""COMPUTED_VALUE"""),43755.6666666666)</f>
        <v>43755.666666666599</v>
      </c>
      <c r="B202" s="1">
        <f ca="1">IFERROR(__xludf.UNSUPPORTED("""COMPUTED_VALUE"""),139.69)</f>
        <v>139.69</v>
      </c>
      <c r="C202" s="2">
        <f t="shared" ca="1" si="0"/>
        <v>-5.1278398974431939E-3</v>
      </c>
    </row>
    <row r="203" spans="1:3">
      <c r="A203" s="3">
        <f ca="1">IFERROR(__xludf.UNSUPPORTED("""COMPUTED_VALUE"""),43756.6666666666)</f>
        <v>43756.666666666599</v>
      </c>
      <c r="B203" s="1">
        <f ca="1">IFERROR(__xludf.UNSUPPORTED("""COMPUTED_VALUE"""),137.41)</f>
        <v>137.41</v>
      </c>
      <c r="C203" s="2">
        <f t="shared" ca="1" si="0"/>
        <v>-1.6321855537261086E-2</v>
      </c>
    </row>
    <row r="204" spans="1:3">
      <c r="A204" s="3">
        <f ca="1">IFERROR(__xludf.UNSUPPORTED("""COMPUTED_VALUE"""),43759.6666666666)</f>
        <v>43759.666666666599</v>
      </c>
      <c r="B204" s="1">
        <f ca="1">IFERROR(__xludf.UNSUPPORTED("""COMPUTED_VALUE"""),138.43)</f>
        <v>138.43</v>
      </c>
      <c r="C204" s="2">
        <f t="shared" ca="1" si="0"/>
        <v>7.4230405356233917E-3</v>
      </c>
    </row>
    <row r="205" spans="1:3">
      <c r="A205" s="3">
        <f ca="1">IFERROR(__xludf.UNSUPPORTED("""COMPUTED_VALUE"""),43760.6666666666)</f>
        <v>43760.666666666599</v>
      </c>
      <c r="B205" s="1">
        <f ca="1">IFERROR(__xludf.UNSUPPORTED("""COMPUTED_VALUE"""),136.37)</f>
        <v>136.37</v>
      </c>
      <c r="C205" s="2">
        <f t="shared" ca="1" si="0"/>
        <v>-1.4881167377013669E-2</v>
      </c>
    </row>
    <row r="206" spans="1:3">
      <c r="A206" s="3">
        <f ca="1">IFERROR(__xludf.UNSUPPORTED("""COMPUTED_VALUE"""),43761.6666666666)</f>
        <v>43761.666666666599</v>
      </c>
      <c r="B206" s="1">
        <f ca="1">IFERROR(__xludf.UNSUPPORTED("""COMPUTED_VALUE"""),137.24)</f>
        <v>137.24</v>
      </c>
      <c r="C206" s="2">
        <f t="shared" ca="1" si="0"/>
        <v>6.3797022805602739E-3</v>
      </c>
    </row>
    <row r="207" spans="1:3">
      <c r="A207" s="3">
        <f ca="1">IFERROR(__xludf.UNSUPPORTED("""COMPUTED_VALUE"""),43762.6666666666)</f>
        <v>43762.666666666599</v>
      </c>
      <c r="B207" s="1">
        <f ca="1">IFERROR(__xludf.UNSUPPORTED("""COMPUTED_VALUE"""),139.94)</f>
        <v>139.94</v>
      </c>
      <c r="C207" s="2">
        <f t="shared" ca="1" si="0"/>
        <v>1.9673564558437689E-2</v>
      </c>
    </row>
    <row r="208" spans="1:3">
      <c r="A208" s="3">
        <f ca="1">IFERROR(__xludf.UNSUPPORTED("""COMPUTED_VALUE"""),43763.6666666666)</f>
        <v>43763.666666666599</v>
      </c>
      <c r="B208" s="1">
        <f ca="1">IFERROR(__xludf.UNSUPPORTED("""COMPUTED_VALUE"""),140.73)</f>
        <v>140.72999999999999</v>
      </c>
      <c r="C208" s="2">
        <f t="shared" ca="1" si="0"/>
        <v>5.6452765470915538E-3</v>
      </c>
    </row>
    <row r="209" spans="1:3">
      <c r="A209" s="3">
        <f ca="1">IFERROR(__xludf.UNSUPPORTED("""COMPUTED_VALUE"""),43766.6666666666)</f>
        <v>43766.666666666599</v>
      </c>
      <c r="B209" s="1">
        <f ca="1">IFERROR(__xludf.UNSUPPORTED("""COMPUTED_VALUE"""),144.19)</f>
        <v>144.19</v>
      </c>
      <c r="C209" s="2">
        <f t="shared" ca="1" si="0"/>
        <v>2.4586086832942573E-2</v>
      </c>
    </row>
    <row r="210" spans="1:3">
      <c r="A210" s="3">
        <f ca="1">IFERROR(__xludf.UNSUPPORTED("""COMPUTED_VALUE"""),43767.6666666666)</f>
        <v>43767.666666666599</v>
      </c>
      <c r="B210" s="1">
        <f ca="1">IFERROR(__xludf.UNSUPPORTED("""COMPUTED_VALUE"""),142.83)</f>
        <v>142.83000000000001</v>
      </c>
      <c r="C210" s="2">
        <f t="shared" ca="1" si="0"/>
        <v>-9.4319994451764009E-3</v>
      </c>
    </row>
    <row r="211" spans="1:3">
      <c r="A211" s="3">
        <f ca="1">IFERROR(__xludf.UNSUPPORTED("""COMPUTED_VALUE"""),43768.6666666666)</f>
        <v>43768.666666666599</v>
      </c>
      <c r="B211" s="1">
        <f ca="1">IFERROR(__xludf.UNSUPPORTED("""COMPUTED_VALUE"""),144.61)</f>
        <v>144.61000000000001</v>
      </c>
      <c r="C211" s="2">
        <f t="shared" ca="1" si="0"/>
        <v>1.2462367849891486E-2</v>
      </c>
    </row>
    <row r="212" spans="1:3">
      <c r="A212" s="3">
        <f ca="1">IFERROR(__xludf.UNSUPPORTED("""COMPUTED_VALUE"""),43769.6666666666)</f>
        <v>43769.666666666599</v>
      </c>
      <c r="B212" s="1">
        <f ca="1">IFERROR(__xludf.UNSUPPORTED("""COMPUTED_VALUE"""),143.37)</f>
        <v>143.37</v>
      </c>
      <c r="C212" s="2">
        <f t="shared" ca="1" si="0"/>
        <v>-8.5747873591038581E-3</v>
      </c>
    </row>
    <row r="213" spans="1:3">
      <c r="A213" s="3">
        <f ca="1">IFERROR(__xludf.UNSUPPORTED("""COMPUTED_VALUE"""),43770.6666666666)</f>
        <v>43770.666666666599</v>
      </c>
      <c r="B213" s="1">
        <f ca="1">IFERROR(__xludf.UNSUPPORTED("""COMPUTED_VALUE"""),143.72)</f>
        <v>143.72</v>
      </c>
      <c r="C213" s="2">
        <f t="shared" ca="1" si="0"/>
        <v>2.4412359628931735E-3</v>
      </c>
    </row>
    <row r="214" spans="1:3">
      <c r="A214" s="3">
        <f ca="1">IFERROR(__xludf.UNSUPPORTED("""COMPUTED_VALUE"""),43773.6666666666)</f>
        <v>43773.666666666599</v>
      </c>
      <c r="B214" s="1">
        <f ca="1">IFERROR(__xludf.UNSUPPORTED("""COMPUTED_VALUE"""),144.55)</f>
        <v>144.55000000000001</v>
      </c>
      <c r="C214" s="2">
        <f t="shared" ca="1" si="0"/>
        <v>5.7751182855553329E-3</v>
      </c>
    </row>
    <row r="215" spans="1:3">
      <c r="A215" s="3">
        <f ca="1">IFERROR(__xludf.UNSUPPORTED("""COMPUTED_VALUE"""),43774.6666666666)</f>
        <v>43774.666666666599</v>
      </c>
      <c r="B215" s="1">
        <f ca="1">IFERROR(__xludf.UNSUPPORTED("""COMPUTED_VALUE"""),144.46)</f>
        <v>144.46</v>
      </c>
      <c r="C215" s="2">
        <f t="shared" ca="1" si="0"/>
        <v>-6.2262193012800691E-4</v>
      </c>
    </row>
    <row r="216" spans="1:3">
      <c r="A216" s="3">
        <f ca="1">IFERROR(__xludf.UNSUPPORTED("""COMPUTED_VALUE"""),43775.6666666666)</f>
        <v>43775.666666666599</v>
      </c>
      <c r="B216" s="1">
        <f ca="1">IFERROR(__xludf.UNSUPPORTED("""COMPUTED_VALUE"""),144.06)</f>
        <v>144.06</v>
      </c>
      <c r="C216" s="2">
        <f t="shared" ca="1" si="0"/>
        <v>-2.7689325764918018E-3</v>
      </c>
    </row>
    <row r="217" spans="1:3">
      <c r="A217" s="3">
        <f ca="1">IFERROR(__xludf.UNSUPPORTED("""COMPUTED_VALUE"""),43776.6666666666)</f>
        <v>43776.666666666599</v>
      </c>
      <c r="B217" s="1">
        <f ca="1">IFERROR(__xludf.UNSUPPORTED("""COMPUTED_VALUE"""),144.26)</f>
        <v>144.26</v>
      </c>
      <c r="C217" s="2">
        <f t="shared" ca="1" si="0"/>
        <v>1.3883104262112219E-3</v>
      </c>
    </row>
    <row r="218" spans="1:3">
      <c r="A218" s="3">
        <f ca="1">IFERROR(__xludf.UNSUPPORTED("""COMPUTED_VALUE"""),43777.6666666666)</f>
        <v>43777.666666666599</v>
      </c>
      <c r="B218" s="1">
        <f ca="1">IFERROR(__xludf.UNSUPPORTED("""COMPUTED_VALUE"""),145.96)</f>
        <v>145.96</v>
      </c>
      <c r="C218" s="2">
        <f t="shared" ca="1" si="0"/>
        <v>1.1784278386247174E-2</v>
      </c>
    </row>
    <row r="219" spans="1:3">
      <c r="A219" s="3">
        <f ca="1">IFERROR(__xludf.UNSUPPORTED("""COMPUTED_VALUE"""),43780.6666666666)</f>
        <v>43780.666666666599</v>
      </c>
      <c r="B219" s="1">
        <f ca="1">IFERROR(__xludf.UNSUPPORTED("""COMPUTED_VALUE"""),146.11)</f>
        <v>146.11000000000001</v>
      </c>
      <c r="C219" s="2">
        <f t="shared" ca="1" si="0"/>
        <v>1.0276788161140426E-3</v>
      </c>
    </row>
    <row r="220" spans="1:3">
      <c r="A220" s="3">
        <f ca="1">IFERROR(__xludf.UNSUPPORTED("""COMPUTED_VALUE"""),43781.6666666666)</f>
        <v>43781.666666666599</v>
      </c>
      <c r="B220" s="1">
        <f ca="1">IFERROR(__xludf.UNSUPPORTED("""COMPUTED_VALUE"""),147.07)</f>
        <v>147.07</v>
      </c>
      <c r="C220" s="2">
        <f t="shared" ca="1" si="0"/>
        <v>6.5703921702825229E-3</v>
      </c>
    </row>
    <row r="221" spans="1:3">
      <c r="A221" s="3">
        <f ca="1">IFERROR(__xludf.UNSUPPORTED("""COMPUTED_VALUE"""),43782.6666666666)</f>
        <v>43782.666666666599</v>
      </c>
      <c r="B221" s="1">
        <f ca="1">IFERROR(__xludf.UNSUPPORTED("""COMPUTED_VALUE"""),147.31)</f>
        <v>147.31</v>
      </c>
      <c r="C221" s="2">
        <f t="shared" ca="1" si="0"/>
        <v>1.6318759774257775E-3</v>
      </c>
    </row>
    <row r="222" spans="1:3">
      <c r="A222" s="3">
        <f ca="1">IFERROR(__xludf.UNSUPPORTED("""COMPUTED_VALUE"""),43783.6666666666)</f>
        <v>43783.666666666599</v>
      </c>
      <c r="B222" s="1">
        <f ca="1">IFERROR(__xludf.UNSUPPORTED("""COMPUTED_VALUE"""),148.06)</f>
        <v>148.06</v>
      </c>
      <c r="C222" s="2">
        <f t="shared" ca="1" si="0"/>
        <v>5.0913040526780256E-3</v>
      </c>
    </row>
    <row r="223" spans="1:3">
      <c r="A223" s="3">
        <f ca="1">IFERROR(__xludf.UNSUPPORTED("""COMPUTED_VALUE"""),43784.6666666666)</f>
        <v>43784.666666666599</v>
      </c>
      <c r="B223" s="1">
        <f ca="1">IFERROR(__xludf.UNSUPPORTED("""COMPUTED_VALUE"""),149.97)</f>
        <v>149.97</v>
      </c>
      <c r="C223" s="2">
        <f t="shared" ca="1" si="0"/>
        <v>1.2900175604484644E-2</v>
      </c>
    </row>
    <row r="224" spans="1:3">
      <c r="A224" s="3">
        <f ca="1">IFERROR(__xludf.UNSUPPORTED("""COMPUTED_VALUE"""),43787.6666666666)</f>
        <v>43787.666666666599</v>
      </c>
      <c r="B224" s="1">
        <f ca="1">IFERROR(__xludf.UNSUPPORTED("""COMPUTED_VALUE"""),150.34)</f>
        <v>150.34</v>
      </c>
      <c r="C224" s="2">
        <f t="shared" ca="1" si="0"/>
        <v>2.4671600986864344E-3</v>
      </c>
    </row>
    <row r="225" spans="1:3">
      <c r="A225" s="3">
        <f ca="1">IFERROR(__xludf.UNSUPPORTED("""COMPUTED_VALUE"""),43788.6666666666)</f>
        <v>43788.666666666599</v>
      </c>
      <c r="B225" s="1">
        <f ca="1">IFERROR(__xludf.UNSUPPORTED("""COMPUTED_VALUE"""),150.39)</f>
        <v>150.38999999999999</v>
      </c>
      <c r="C225" s="2">
        <f t="shared" ca="1" si="0"/>
        <v>3.325794864971594E-4</v>
      </c>
    </row>
    <row r="226" spans="1:3">
      <c r="A226" s="3">
        <f ca="1">IFERROR(__xludf.UNSUPPORTED("""COMPUTED_VALUE"""),43789.6666666666)</f>
        <v>43789.666666666599</v>
      </c>
      <c r="B226" s="1">
        <f ca="1">IFERROR(__xludf.UNSUPPORTED("""COMPUTED_VALUE"""),149.62)</f>
        <v>149.62</v>
      </c>
      <c r="C226" s="2">
        <f t="shared" ca="1" si="0"/>
        <v>-5.1200212780103853E-3</v>
      </c>
    </row>
    <row r="227" spans="1:3">
      <c r="A227" s="3">
        <f ca="1">IFERROR(__xludf.UNSUPPORTED("""COMPUTED_VALUE"""),43790.6666666666)</f>
        <v>43790.666666666599</v>
      </c>
      <c r="B227" s="1">
        <f ca="1">IFERROR(__xludf.UNSUPPORTED("""COMPUTED_VALUE"""),149.48)</f>
        <v>149.47999999999999</v>
      </c>
      <c r="C227" s="2">
        <f t="shared" ca="1" si="0"/>
        <v>-9.3570378291682108E-4</v>
      </c>
    </row>
    <row r="228" spans="1:3">
      <c r="A228" s="3">
        <f ca="1">IFERROR(__xludf.UNSUPPORTED("""COMPUTED_VALUE"""),43791.6666666666)</f>
        <v>43791.666666666599</v>
      </c>
      <c r="B228" s="1">
        <f ca="1">IFERROR(__xludf.UNSUPPORTED("""COMPUTED_VALUE"""),149.59)</f>
        <v>149.59</v>
      </c>
      <c r="C228" s="2">
        <f t="shared" ca="1" si="0"/>
        <v>7.3588439925082719E-4</v>
      </c>
    </row>
    <row r="229" spans="1:3">
      <c r="A229" s="3">
        <f ca="1">IFERROR(__xludf.UNSUPPORTED("""COMPUTED_VALUE"""),43794.6666666666)</f>
        <v>43794.666666666599</v>
      </c>
      <c r="B229" s="1">
        <f ca="1">IFERROR(__xludf.UNSUPPORTED("""COMPUTED_VALUE"""),151.23)</f>
        <v>151.22999999999999</v>
      </c>
      <c r="C229" s="2">
        <f t="shared" ca="1" si="0"/>
        <v>1.0963299685807783E-2</v>
      </c>
    </row>
    <row r="230" spans="1:3">
      <c r="A230" s="3">
        <f ca="1">IFERROR(__xludf.UNSUPPORTED("""COMPUTED_VALUE"""),43795.6666666666)</f>
        <v>43795.666666666599</v>
      </c>
      <c r="B230" s="1">
        <f ca="1">IFERROR(__xludf.UNSUPPORTED("""COMPUTED_VALUE"""),152.03)</f>
        <v>152.03</v>
      </c>
      <c r="C230" s="2">
        <f t="shared" ca="1" si="0"/>
        <v>5.2899556966211165E-3</v>
      </c>
    </row>
    <row r="231" spans="1:3">
      <c r="A231" s="3">
        <f ca="1">IFERROR(__xludf.UNSUPPORTED("""COMPUTED_VALUE"""),43796.6666666666)</f>
        <v>43796.666666666599</v>
      </c>
      <c r="B231" s="1">
        <f ca="1">IFERROR(__xludf.UNSUPPORTED("""COMPUTED_VALUE"""),152.32)</f>
        <v>152.32</v>
      </c>
      <c r="C231" s="2">
        <f t="shared" ca="1" si="0"/>
        <v>1.9075182529763339E-3</v>
      </c>
    </row>
    <row r="232" spans="1:3">
      <c r="A232" s="3">
        <f ca="1">IFERROR(__xludf.UNSUPPORTED("""COMPUTED_VALUE"""),43798.5416666666)</f>
        <v>43798.541666666599</v>
      </c>
      <c r="B232" s="1">
        <f ca="1">IFERROR(__xludf.UNSUPPORTED("""COMPUTED_VALUE"""),151.38)</f>
        <v>151.38</v>
      </c>
      <c r="C232" s="2">
        <f t="shared" ca="1" si="0"/>
        <v>-6.171218487394943E-3</v>
      </c>
    </row>
    <row r="233" spans="1:3">
      <c r="A233" s="3">
        <f ca="1">IFERROR(__xludf.UNSUPPORTED("""COMPUTED_VALUE"""),43801.6666666666)</f>
        <v>43801.666666666599</v>
      </c>
      <c r="B233" s="1">
        <f ca="1">IFERROR(__xludf.UNSUPPORTED("""COMPUTED_VALUE"""),149.55)</f>
        <v>149.55000000000001</v>
      </c>
      <c r="C233" s="2">
        <f t="shared" ca="1" si="0"/>
        <v>-1.2088783194609487E-2</v>
      </c>
    </row>
    <row r="234" spans="1:3">
      <c r="A234" s="3">
        <f ca="1">IFERROR(__xludf.UNSUPPORTED("""COMPUTED_VALUE"""),43802.6666666666)</f>
        <v>43802.666666666599</v>
      </c>
      <c r="B234" s="1">
        <f ca="1">IFERROR(__xludf.UNSUPPORTED("""COMPUTED_VALUE"""),149.31)</f>
        <v>149.31</v>
      </c>
      <c r="C234" s="2">
        <f t="shared" ca="1" si="0"/>
        <v>-1.6048144433300506E-3</v>
      </c>
    </row>
    <row r="235" spans="1:3">
      <c r="A235" s="3">
        <f ca="1">IFERROR(__xludf.UNSUPPORTED("""COMPUTED_VALUE"""),43803.6666666666)</f>
        <v>43803.666666666599</v>
      </c>
      <c r="B235" s="1">
        <f ca="1">IFERROR(__xludf.UNSUPPORTED("""COMPUTED_VALUE"""),149.85)</f>
        <v>149.85</v>
      </c>
      <c r="C235" s="2">
        <f t="shared" ca="1" si="0"/>
        <v>3.6166365280288796E-3</v>
      </c>
    </row>
    <row r="236" spans="1:3">
      <c r="A236" s="3">
        <f ca="1">IFERROR(__xludf.UNSUPPORTED("""COMPUTED_VALUE"""),43804.6666666666)</f>
        <v>43804.666666666599</v>
      </c>
      <c r="B236" s="1">
        <f ca="1">IFERROR(__xludf.UNSUPPORTED("""COMPUTED_VALUE"""),149.93)</f>
        <v>149.93</v>
      </c>
      <c r="C236" s="2">
        <f t="shared" ca="1" si="0"/>
        <v>5.3386720053395071E-4</v>
      </c>
    </row>
    <row r="237" spans="1:3">
      <c r="A237" s="3">
        <f ca="1">IFERROR(__xludf.UNSUPPORTED("""COMPUTED_VALUE"""),43805.6666666666)</f>
        <v>43805.666666666599</v>
      </c>
      <c r="B237" s="1">
        <f ca="1">IFERROR(__xludf.UNSUPPORTED("""COMPUTED_VALUE"""),151.75)</f>
        <v>151.75</v>
      </c>
      <c r="C237" s="2">
        <f t="shared" ca="1" si="0"/>
        <v>1.2138998199159562E-2</v>
      </c>
    </row>
    <row r="238" spans="1:3">
      <c r="A238" s="3">
        <f ca="1">IFERROR(__xludf.UNSUPPORTED("""COMPUTED_VALUE"""),43808.6666666666)</f>
        <v>43808.666666666599</v>
      </c>
      <c r="B238" s="1">
        <f ca="1">IFERROR(__xludf.UNSUPPORTED("""COMPUTED_VALUE"""),151.75)</f>
        <v>151.75</v>
      </c>
      <c r="C238" s="2">
        <f t="shared" ca="1" si="0"/>
        <v>0</v>
      </c>
    </row>
    <row r="239" spans="1:3">
      <c r="A239" s="3">
        <f ca="1">IFERROR(__xludf.UNSUPPORTED("""COMPUTED_VALUE"""),43809.6666666666)</f>
        <v>43809.666666666599</v>
      </c>
      <c r="B239" s="1">
        <f ca="1">IFERROR(__xludf.UNSUPPORTED("""COMPUTED_VALUE"""),151.13)</f>
        <v>151.13</v>
      </c>
      <c r="C239" s="2">
        <f t="shared" ca="1" si="0"/>
        <v>-4.0856672158155159E-3</v>
      </c>
    </row>
    <row r="240" spans="1:3">
      <c r="A240" s="3">
        <f ca="1">IFERROR(__xludf.UNSUPPORTED("""COMPUTED_VALUE"""),43810.6666666666)</f>
        <v>43810.666666666599</v>
      </c>
      <c r="B240" s="1">
        <f ca="1">IFERROR(__xludf.UNSUPPORTED("""COMPUTED_VALUE"""),151.7)</f>
        <v>151.69999999999999</v>
      </c>
      <c r="C240" s="2">
        <f t="shared" ca="1" si="0"/>
        <v>3.7715873751074784E-3</v>
      </c>
    </row>
    <row r="241" spans="1:3">
      <c r="A241" s="3">
        <f ca="1">IFERROR(__xludf.UNSUPPORTED("""COMPUTED_VALUE"""),43811.6666666666)</f>
        <v>43811.666666666599</v>
      </c>
      <c r="B241" s="1">
        <f ca="1">IFERROR(__xludf.UNSUPPORTED("""COMPUTED_VALUE"""),153.24)</f>
        <v>153.24</v>
      </c>
      <c r="C241" s="2">
        <f t="shared" ca="1" si="0"/>
        <v>1.0151615029663946E-2</v>
      </c>
    </row>
    <row r="242" spans="1:3">
      <c r="A242" s="3">
        <f ca="1">IFERROR(__xludf.UNSUPPORTED("""COMPUTED_VALUE"""),43812.6666666666)</f>
        <v>43812.666666666599</v>
      </c>
      <c r="B242" s="1">
        <f ca="1">IFERROR(__xludf.UNSUPPORTED("""COMPUTED_VALUE"""),154.53)</f>
        <v>154.53</v>
      </c>
      <c r="C242" s="2">
        <f t="shared" ca="1" si="0"/>
        <v>8.4181675802661969E-3</v>
      </c>
    </row>
    <row r="243" spans="1:3">
      <c r="A243" s="3">
        <f ca="1">IFERROR(__xludf.UNSUPPORTED("""COMPUTED_VALUE"""),43815.6666666666)</f>
        <v>43815.666666666599</v>
      </c>
      <c r="B243" s="1">
        <f ca="1">IFERROR(__xludf.UNSUPPORTED("""COMPUTED_VALUE"""),155.53)</f>
        <v>155.53</v>
      </c>
      <c r="C243" s="2">
        <f t="shared" ca="1" si="0"/>
        <v>6.471235358830001E-3</v>
      </c>
    </row>
    <row r="244" spans="1:3">
      <c r="A244" s="3">
        <f ca="1">IFERROR(__xludf.UNSUPPORTED("""COMPUTED_VALUE"""),43816.6666666666)</f>
        <v>43816.666666666599</v>
      </c>
      <c r="B244" s="1">
        <f ca="1">IFERROR(__xludf.UNSUPPORTED("""COMPUTED_VALUE"""),154.69)</f>
        <v>154.69</v>
      </c>
      <c r="C244" s="2">
        <f t="shared" ca="1" si="0"/>
        <v>-5.4008872886260103E-3</v>
      </c>
    </row>
    <row r="245" spans="1:3">
      <c r="A245" s="3">
        <f ca="1">IFERROR(__xludf.UNSUPPORTED("""COMPUTED_VALUE"""),43817.6666666666)</f>
        <v>43817.666666666599</v>
      </c>
      <c r="B245" s="1">
        <f ca="1">IFERROR(__xludf.UNSUPPORTED("""COMPUTED_VALUE"""),154.37)</f>
        <v>154.37</v>
      </c>
      <c r="C245" s="2">
        <f t="shared" ca="1" si="0"/>
        <v>-2.0686534359040222E-3</v>
      </c>
    </row>
    <row r="246" spans="1:3">
      <c r="A246" s="3">
        <f ca="1">IFERROR(__xludf.UNSUPPORTED("""COMPUTED_VALUE"""),43818.6666666666)</f>
        <v>43818.666666666599</v>
      </c>
      <c r="B246" s="1">
        <f ca="1">IFERROR(__xludf.UNSUPPORTED("""COMPUTED_VALUE"""),155.71)</f>
        <v>155.71</v>
      </c>
      <c r="C246" s="2">
        <f t="shared" ca="1" si="0"/>
        <v>8.6804430912742325E-3</v>
      </c>
    </row>
    <row r="247" spans="1:3">
      <c r="A247" s="3">
        <f ca="1">IFERROR(__xludf.UNSUPPORTED("""COMPUTED_VALUE"""),43819.6666666666)</f>
        <v>43819.666666666599</v>
      </c>
      <c r="B247" s="1">
        <f ca="1">IFERROR(__xludf.UNSUPPORTED("""COMPUTED_VALUE"""),157.41)</f>
        <v>157.41</v>
      </c>
      <c r="C247" s="2">
        <f t="shared" ca="1" si="0"/>
        <v>1.0917731680688386E-2</v>
      </c>
    </row>
    <row r="248" spans="1:3">
      <c r="A248" s="3">
        <f ca="1">IFERROR(__xludf.UNSUPPORTED("""COMPUTED_VALUE"""),43822.6666666666)</f>
        <v>43822.666666666599</v>
      </c>
      <c r="B248" s="1">
        <f ca="1">IFERROR(__xludf.UNSUPPORTED("""COMPUTED_VALUE"""),157.41)</f>
        <v>157.41</v>
      </c>
      <c r="C248" s="2">
        <f t="shared" ca="1" si="0"/>
        <v>0</v>
      </c>
    </row>
    <row r="249" spans="1:3">
      <c r="A249" s="3">
        <f ca="1">IFERROR(__xludf.UNSUPPORTED("""COMPUTED_VALUE"""),43823.5416666666)</f>
        <v>43823.541666666599</v>
      </c>
      <c r="B249" s="1">
        <f ca="1">IFERROR(__xludf.UNSUPPORTED("""COMPUTED_VALUE"""),157.38)</f>
        <v>157.38</v>
      </c>
      <c r="C249" s="2">
        <f t="shared" ca="1" si="0"/>
        <v>-1.9058509624548083E-4</v>
      </c>
    </row>
    <row r="250" spans="1:3">
      <c r="A250" s="3">
        <f ca="1">IFERROR(__xludf.UNSUPPORTED("""COMPUTED_VALUE"""),43825.6666666666)</f>
        <v>43825.666666666599</v>
      </c>
      <c r="B250" s="1">
        <f ca="1">IFERROR(__xludf.UNSUPPORTED("""COMPUTED_VALUE"""),158.67)</f>
        <v>158.66999999999999</v>
      </c>
      <c r="C250" s="2">
        <f t="shared" ca="1" si="0"/>
        <v>8.19672131147536E-3</v>
      </c>
    </row>
    <row r="251" spans="1:3">
      <c r="A251" s="3">
        <f ca="1">IFERROR(__xludf.UNSUPPORTED("""COMPUTED_VALUE"""),43826.6666666666)</f>
        <v>43826.666666666599</v>
      </c>
      <c r="B251" s="1">
        <f ca="1">IFERROR(__xludf.UNSUPPORTED("""COMPUTED_VALUE"""),158.96)</f>
        <v>158.96</v>
      </c>
      <c r="C251" s="2">
        <f t="shared" ca="1" si="0"/>
        <v>1.8276926955317356E-3</v>
      </c>
    </row>
    <row r="252" spans="1:3">
      <c r="A252" s="3">
        <f ca="1">IFERROR(__xludf.UNSUPPORTED("""COMPUTED_VALUE"""),43829.6666666666)</f>
        <v>43829.666666666599</v>
      </c>
      <c r="B252" s="1">
        <f ca="1">IFERROR(__xludf.UNSUPPORTED("""COMPUTED_VALUE"""),157.59)</f>
        <v>157.59</v>
      </c>
      <c r="C252" s="2">
        <f t="shared" ca="1" si="0"/>
        <v>-8.6185203824861879E-3</v>
      </c>
    </row>
    <row r="253" spans="1:3">
      <c r="A253" s="3">
        <f ca="1">IFERROR(__xludf.UNSUPPORTED("""COMPUTED_VALUE"""),43830.6666666666)</f>
        <v>43830.666666666599</v>
      </c>
      <c r="B253" s="1">
        <f ca="1">IFERROR(__xludf.UNSUPPORTED("""COMPUTED_VALUE"""),157.7)</f>
        <v>157.69999999999999</v>
      </c>
      <c r="C253" s="2">
        <f t="shared" ca="1" si="0"/>
        <v>6.9801383336496746E-4</v>
      </c>
    </row>
    <row r="254" spans="1:3">
      <c r="A254" s="3">
        <f ca="1">IFERROR(__xludf.UNSUPPORTED("""COMPUTED_VALUE"""),43832.6666666666)</f>
        <v>43832.666666666599</v>
      </c>
      <c r="B254" s="1">
        <f ca="1">IFERROR(__xludf.UNSUPPORTED("""COMPUTED_VALUE"""),160.62)</f>
        <v>160.62</v>
      </c>
      <c r="C254" s="2">
        <f t="shared" ca="1" si="0"/>
        <v>1.8516169942929716E-2</v>
      </c>
    </row>
    <row r="255" spans="1:3">
      <c r="A255" s="3">
        <f ca="1">IFERROR(__xludf.UNSUPPORTED("""COMPUTED_VALUE"""),43833.6666666666)</f>
        <v>43833.666666666599</v>
      </c>
      <c r="B255" s="1">
        <f ca="1">IFERROR(__xludf.UNSUPPORTED("""COMPUTED_VALUE"""),158.62)</f>
        <v>158.62</v>
      </c>
      <c r="C255" s="2">
        <f t="shared" ca="1" si="0"/>
        <v>-1.2451749470800647E-2</v>
      </c>
    </row>
    <row r="256" spans="1:3">
      <c r="A256" s="3">
        <f ca="1">IFERROR(__xludf.UNSUPPORTED("""COMPUTED_VALUE"""),43836.6666666666)</f>
        <v>43836.666666666599</v>
      </c>
      <c r="B256" s="1">
        <f ca="1">IFERROR(__xludf.UNSUPPORTED("""COMPUTED_VALUE"""),159.03)</f>
        <v>159.03</v>
      </c>
      <c r="C256" s="2">
        <f t="shared" ca="1" si="0"/>
        <v>2.5847938469297478E-3</v>
      </c>
    </row>
    <row r="257" spans="1:3">
      <c r="A257" s="3">
        <f ca="1">IFERROR(__xludf.UNSUPPORTED("""COMPUTED_VALUE"""),43837.6666666666)</f>
        <v>43837.666666666599</v>
      </c>
      <c r="B257" s="1">
        <f ca="1">IFERROR(__xludf.UNSUPPORTED("""COMPUTED_VALUE"""),157.58)</f>
        <v>157.58000000000001</v>
      </c>
      <c r="C257" s="2">
        <f t="shared" ca="1" si="0"/>
        <v>-9.1177765201533589E-3</v>
      </c>
    </row>
    <row r="258" spans="1:3">
      <c r="A258" s="3">
        <f ca="1">IFERROR(__xludf.UNSUPPORTED("""COMPUTED_VALUE"""),43838.6666666666)</f>
        <v>43838.666666666599</v>
      </c>
      <c r="B258" s="1">
        <f ca="1">IFERROR(__xludf.UNSUPPORTED("""COMPUTED_VALUE"""),160.09)</f>
        <v>160.09</v>
      </c>
      <c r="C258" s="2">
        <f t="shared" ref="C258:C512" ca="1" si="1">(B258-B257)/B257</f>
        <v>1.5928417311841546E-2</v>
      </c>
    </row>
    <row r="259" spans="1:3">
      <c r="A259" s="3">
        <f ca="1">IFERROR(__xludf.UNSUPPORTED("""COMPUTED_VALUE"""),43839.6666666666)</f>
        <v>43839.666666666599</v>
      </c>
      <c r="B259" s="1">
        <f ca="1">IFERROR(__xludf.UNSUPPORTED("""COMPUTED_VALUE"""),162.09)</f>
        <v>162.09</v>
      </c>
      <c r="C259" s="2">
        <f t="shared" ca="1" si="1"/>
        <v>1.2492972702854644E-2</v>
      </c>
    </row>
    <row r="260" spans="1:3">
      <c r="A260" s="3">
        <f ca="1">IFERROR(__xludf.UNSUPPORTED("""COMPUTED_VALUE"""),43840.6666666666)</f>
        <v>43840.666666666599</v>
      </c>
      <c r="B260" s="1">
        <f ca="1">IFERROR(__xludf.UNSUPPORTED("""COMPUTED_VALUE"""),161.34)</f>
        <v>161.34</v>
      </c>
      <c r="C260" s="2">
        <f t="shared" ca="1" si="1"/>
        <v>-4.6270590412733669E-3</v>
      </c>
    </row>
    <row r="261" spans="1:3">
      <c r="A261" s="3">
        <f ca="1">IFERROR(__xludf.UNSUPPORTED("""COMPUTED_VALUE"""),43843.6666666666)</f>
        <v>43843.666666666599</v>
      </c>
      <c r="B261" s="1">
        <f ca="1">IFERROR(__xludf.UNSUPPORTED("""COMPUTED_VALUE"""),163.28)</f>
        <v>163.28</v>
      </c>
      <c r="C261" s="2">
        <f t="shared" ca="1" si="1"/>
        <v>1.2024296516672851E-2</v>
      </c>
    </row>
    <row r="262" spans="1:3">
      <c r="A262" s="3">
        <f ca="1">IFERROR(__xludf.UNSUPPORTED("""COMPUTED_VALUE"""),43844.6666666666)</f>
        <v>43844.666666666599</v>
      </c>
      <c r="B262" s="1">
        <f ca="1">IFERROR(__xludf.UNSUPPORTED("""COMPUTED_VALUE"""),162.13)</f>
        <v>162.13</v>
      </c>
      <c r="C262" s="2">
        <f t="shared" ca="1" si="1"/>
        <v>-7.0431161195492753E-3</v>
      </c>
    </row>
    <row r="263" spans="1:3">
      <c r="A263" s="3">
        <f ca="1">IFERROR(__xludf.UNSUPPORTED("""COMPUTED_VALUE"""),43845.6666666666)</f>
        <v>43845.666666666599</v>
      </c>
      <c r="B263" s="1">
        <f ca="1">IFERROR(__xludf.UNSUPPORTED("""COMPUTED_VALUE"""),163.18)</f>
        <v>163.18</v>
      </c>
      <c r="C263" s="2">
        <f t="shared" ca="1" si="1"/>
        <v>6.4762844630852487E-3</v>
      </c>
    </row>
    <row r="264" spans="1:3">
      <c r="A264" s="3">
        <f ca="1">IFERROR(__xludf.UNSUPPORTED("""COMPUTED_VALUE"""),43846.6666666666)</f>
        <v>43846.666666666599</v>
      </c>
      <c r="B264" s="1">
        <f ca="1">IFERROR(__xludf.UNSUPPORTED("""COMPUTED_VALUE"""),166.17)</f>
        <v>166.17</v>
      </c>
      <c r="C264" s="2">
        <f t="shared" ca="1" si="1"/>
        <v>1.8323323936756838E-2</v>
      </c>
    </row>
    <row r="265" spans="1:3">
      <c r="A265" s="3">
        <f ca="1">IFERROR(__xludf.UNSUPPORTED("""COMPUTED_VALUE"""),43847.6666666666)</f>
        <v>43847.666666666599</v>
      </c>
      <c r="B265" s="1">
        <f ca="1">IFERROR(__xludf.UNSUPPORTED("""COMPUTED_VALUE"""),167.1)</f>
        <v>167.1</v>
      </c>
      <c r="C265" s="2">
        <f t="shared" ca="1" si="1"/>
        <v>5.5966781007402476E-3</v>
      </c>
    </row>
    <row r="266" spans="1:3">
      <c r="A266" s="3">
        <f ca="1">IFERROR(__xludf.UNSUPPORTED("""COMPUTED_VALUE"""),43851.6666666666)</f>
        <v>43851.666666666599</v>
      </c>
      <c r="B266" s="1">
        <f ca="1">IFERROR(__xludf.UNSUPPORTED("""COMPUTED_VALUE"""),166.5)</f>
        <v>166.5</v>
      </c>
      <c r="C266" s="2">
        <f t="shared" ca="1" si="1"/>
        <v>-3.590664272890451E-3</v>
      </c>
    </row>
    <row r="267" spans="1:3">
      <c r="A267" s="3">
        <f ca="1">IFERROR(__xludf.UNSUPPORTED("""COMPUTED_VALUE"""),43852.6666666666)</f>
        <v>43852.666666666599</v>
      </c>
      <c r="B267" s="1">
        <f ca="1">IFERROR(__xludf.UNSUPPORTED("""COMPUTED_VALUE"""),165.7)</f>
        <v>165.7</v>
      </c>
      <c r="C267" s="2">
        <f t="shared" ca="1" si="1"/>
        <v>-4.8048048048048731E-3</v>
      </c>
    </row>
    <row r="268" spans="1:3">
      <c r="A268" s="3">
        <f ca="1">IFERROR(__xludf.UNSUPPORTED("""COMPUTED_VALUE"""),43853.6666666666)</f>
        <v>43853.666666666599</v>
      </c>
      <c r="B268" s="1">
        <f ca="1">IFERROR(__xludf.UNSUPPORTED("""COMPUTED_VALUE"""),166.72)</f>
        <v>166.72</v>
      </c>
      <c r="C268" s="2">
        <f t="shared" ca="1" si="1"/>
        <v>6.1557030778516013E-3</v>
      </c>
    </row>
    <row r="269" spans="1:3">
      <c r="A269" s="3">
        <f ca="1">IFERROR(__xludf.UNSUPPORTED("""COMPUTED_VALUE"""),43854.6666666666)</f>
        <v>43854.666666666599</v>
      </c>
      <c r="B269" s="1">
        <f ca="1">IFERROR(__xludf.UNSUPPORTED("""COMPUTED_VALUE"""),165.04)</f>
        <v>165.04</v>
      </c>
      <c r="C269" s="2">
        <f t="shared" ca="1" si="1"/>
        <v>-1.0076775431861845E-2</v>
      </c>
    </row>
    <row r="270" spans="1:3">
      <c r="A270" s="3">
        <f ca="1">IFERROR(__xludf.UNSUPPORTED("""COMPUTED_VALUE"""),43857.6666666666)</f>
        <v>43857.666666666599</v>
      </c>
      <c r="B270" s="1">
        <f ca="1">IFERROR(__xludf.UNSUPPORTED("""COMPUTED_VALUE"""),162.28)</f>
        <v>162.28</v>
      </c>
      <c r="C270" s="2">
        <f t="shared" ca="1" si="1"/>
        <v>-1.672321861366936E-2</v>
      </c>
    </row>
    <row r="271" spans="1:3">
      <c r="A271" s="3">
        <f ca="1">IFERROR(__xludf.UNSUPPORTED("""COMPUTED_VALUE"""),43858.6666666666)</f>
        <v>43858.666666666599</v>
      </c>
      <c r="B271" s="1">
        <f ca="1">IFERROR(__xludf.UNSUPPORTED("""COMPUTED_VALUE"""),165.46)</f>
        <v>165.46</v>
      </c>
      <c r="C271" s="2">
        <f t="shared" ca="1" si="1"/>
        <v>1.959576041409913E-2</v>
      </c>
    </row>
    <row r="272" spans="1:3">
      <c r="A272" s="3">
        <f ca="1">IFERROR(__xludf.UNSUPPORTED("""COMPUTED_VALUE"""),43859.6666666666)</f>
        <v>43859.666666666599</v>
      </c>
      <c r="B272" s="1">
        <f ca="1">IFERROR(__xludf.UNSUPPORTED("""COMPUTED_VALUE"""),168.04)</f>
        <v>168.04</v>
      </c>
      <c r="C272" s="2">
        <f t="shared" ca="1" si="1"/>
        <v>1.5592892542004013E-2</v>
      </c>
    </row>
    <row r="273" spans="1:3">
      <c r="A273" s="3">
        <f ca="1">IFERROR(__xludf.UNSUPPORTED("""COMPUTED_VALUE"""),43860.6666666666)</f>
        <v>43860.666666666599</v>
      </c>
      <c r="B273" s="1">
        <f ca="1">IFERROR(__xludf.UNSUPPORTED("""COMPUTED_VALUE"""),172.78)</f>
        <v>172.78</v>
      </c>
      <c r="C273" s="2">
        <f t="shared" ca="1" si="1"/>
        <v>2.8207569626279513E-2</v>
      </c>
    </row>
    <row r="274" spans="1:3">
      <c r="A274" s="3">
        <f ca="1">IFERROR(__xludf.UNSUPPORTED("""COMPUTED_VALUE"""),43861.6666666666)</f>
        <v>43861.666666666599</v>
      </c>
      <c r="B274" s="1">
        <f ca="1">IFERROR(__xludf.UNSUPPORTED("""COMPUTED_VALUE"""),170.23)</f>
        <v>170.23</v>
      </c>
      <c r="C274" s="2">
        <f t="shared" ca="1" si="1"/>
        <v>-1.4758652621831295E-2</v>
      </c>
    </row>
    <row r="275" spans="1:3">
      <c r="A275" s="3">
        <f ca="1">IFERROR(__xludf.UNSUPPORTED("""COMPUTED_VALUE"""),43864.6666666666)</f>
        <v>43864.666666666599</v>
      </c>
      <c r="B275" s="1">
        <f ca="1">IFERROR(__xludf.UNSUPPORTED("""COMPUTED_VALUE"""),174.38)</f>
        <v>174.38</v>
      </c>
      <c r="C275" s="2">
        <f t="shared" ca="1" si="1"/>
        <v>2.437878164835814E-2</v>
      </c>
    </row>
    <row r="276" spans="1:3">
      <c r="A276" s="3">
        <f ca="1">IFERROR(__xludf.UNSUPPORTED("""COMPUTED_VALUE"""),43865.6666666666)</f>
        <v>43865.666666666599</v>
      </c>
      <c r="B276" s="1">
        <f ca="1">IFERROR(__xludf.UNSUPPORTED("""COMPUTED_VALUE"""),180.12)</f>
        <v>180.12</v>
      </c>
      <c r="C276" s="2">
        <f t="shared" ca="1" si="1"/>
        <v>3.2916618878311786E-2</v>
      </c>
    </row>
    <row r="277" spans="1:3">
      <c r="A277" s="3">
        <f ca="1">IFERROR(__xludf.UNSUPPORTED("""COMPUTED_VALUE"""),43866.6666666666)</f>
        <v>43866.666666666599</v>
      </c>
      <c r="B277" s="1">
        <f ca="1">IFERROR(__xludf.UNSUPPORTED("""COMPUTED_VALUE"""),179.9)</f>
        <v>179.9</v>
      </c>
      <c r="C277" s="2">
        <f t="shared" ca="1" si="1"/>
        <v>-1.221407950255379E-3</v>
      </c>
    </row>
    <row r="278" spans="1:3">
      <c r="A278" s="3">
        <f ca="1">IFERROR(__xludf.UNSUPPORTED("""COMPUTED_VALUE"""),43867.6666666666)</f>
        <v>43867.666666666599</v>
      </c>
      <c r="B278" s="1">
        <f ca="1">IFERROR(__xludf.UNSUPPORTED("""COMPUTED_VALUE"""),183.63)</f>
        <v>183.63</v>
      </c>
      <c r="C278" s="2">
        <f t="shared" ca="1" si="1"/>
        <v>2.0733740967203946E-2</v>
      </c>
    </row>
    <row r="279" spans="1:3">
      <c r="A279" s="3">
        <f ca="1">IFERROR(__xludf.UNSUPPORTED("""COMPUTED_VALUE"""),43868.6666666666)</f>
        <v>43868.666666666599</v>
      </c>
      <c r="B279" s="1">
        <f ca="1">IFERROR(__xludf.UNSUPPORTED("""COMPUTED_VALUE"""),183.89)</f>
        <v>183.89</v>
      </c>
      <c r="C279" s="2">
        <f t="shared" ca="1" si="1"/>
        <v>1.4158906496759293E-3</v>
      </c>
    </row>
    <row r="280" spans="1:3">
      <c r="A280" s="3">
        <f ca="1">IFERROR(__xludf.UNSUPPORTED("""COMPUTED_VALUE"""),43871.6666666666)</f>
        <v>43871.666666666599</v>
      </c>
      <c r="B280" s="1">
        <f ca="1">IFERROR(__xludf.UNSUPPORTED("""COMPUTED_VALUE"""),188.7)</f>
        <v>188.7</v>
      </c>
      <c r="C280" s="2">
        <f t="shared" ca="1" si="1"/>
        <v>2.6156941649899412E-2</v>
      </c>
    </row>
    <row r="281" spans="1:3">
      <c r="A281" s="3">
        <f ca="1">IFERROR(__xludf.UNSUPPORTED("""COMPUTED_VALUE"""),43872.6666666666)</f>
        <v>43872.666666666599</v>
      </c>
      <c r="B281" s="1">
        <f ca="1">IFERROR(__xludf.UNSUPPORTED("""COMPUTED_VALUE"""),184.44)</f>
        <v>184.44</v>
      </c>
      <c r="C281" s="2">
        <f t="shared" ca="1" si="1"/>
        <v>-2.2575516693163704E-2</v>
      </c>
    </row>
    <row r="282" spans="1:3">
      <c r="A282" s="3">
        <f ca="1">IFERROR(__xludf.UNSUPPORTED("""COMPUTED_VALUE"""),43873.6666666666)</f>
        <v>43873.666666666599</v>
      </c>
      <c r="B282" s="1">
        <f ca="1">IFERROR(__xludf.UNSUPPORTED("""COMPUTED_VALUE"""),184.71)</f>
        <v>184.71</v>
      </c>
      <c r="C282" s="2">
        <f t="shared" ca="1" si="1"/>
        <v>1.4638906961614087E-3</v>
      </c>
    </row>
    <row r="283" spans="1:3">
      <c r="A283" s="3">
        <f ca="1">IFERROR(__xludf.UNSUPPORTED("""COMPUTED_VALUE"""),43874.6666666666)</f>
        <v>43874.666666666599</v>
      </c>
      <c r="B283" s="1">
        <f ca="1">IFERROR(__xludf.UNSUPPORTED("""COMPUTED_VALUE"""),183.71)</f>
        <v>183.71</v>
      </c>
      <c r="C283" s="2">
        <f t="shared" ca="1" si="1"/>
        <v>-5.4138920469925826E-3</v>
      </c>
    </row>
    <row r="284" spans="1:3">
      <c r="A284" s="3">
        <f ca="1">IFERROR(__xludf.UNSUPPORTED("""COMPUTED_VALUE"""),43875.6666666666)</f>
        <v>43875.666666666599</v>
      </c>
      <c r="B284" s="1">
        <f ca="1">IFERROR(__xludf.UNSUPPORTED("""COMPUTED_VALUE"""),185.35)</f>
        <v>185.35</v>
      </c>
      <c r="C284" s="2">
        <f t="shared" ca="1" si="1"/>
        <v>8.9271133852266409E-3</v>
      </c>
    </row>
    <row r="285" spans="1:3">
      <c r="A285" s="3">
        <f ca="1">IFERROR(__xludf.UNSUPPORTED("""COMPUTED_VALUE"""),43879.6666666666)</f>
        <v>43879.666666666599</v>
      </c>
      <c r="B285" s="1">
        <f ca="1">IFERROR(__xludf.UNSUPPORTED("""COMPUTED_VALUE"""),187.23)</f>
        <v>187.23</v>
      </c>
      <c r="C285" s="2">
        <f t="shared" ca="1" si="1"/>
        <v>1.0142972754248695E-2</v>
      </c>
    </row>
    <row r="286" spans="1:3">
      <c r="A286" s="3">
        <f ca="1">IFERROR(__xludf.UNSUPPORTED("""COMPUTED_VALUE"""),43880.6666666666)</f>
        <v>43880.666666666599</v>
      </c>
      <c r="B286" s="1">
        <f ca="1">IFERROR(__xludf.UNSUPPORTED("""COMPUTED_VALUE"""),187.28)</f>
        <v>187.28</v>
      </c>
      <c r="C286" s="2">
        <f t="shared" ca="1" si="1"/>
        <v>2.6705122042413806E-4</v>
      </c>
    </row>
    <row r="287" spans="1:3">
      <c r="A287" s="3">
        <f ca="1">IFERROR(__xludf.UNSUPPORTED("""COMPUTED_VALUE"""),43881.6666666666)</f>
        <v>43881.666666666599</v>
      </c>
      <c r="B287" s="1">
        <f ca="1">IFERROR(__xludf.UNSUPPORTED("""COMPUTED_VALUE"""),184.42)</f>
        <v>184.42</v>
      </c>
      <c r="C287" s="2">
        <f t="shared" ca="1" si="1"/>
        <v>-1.5271251601879612E-2</v>
      </c>
    </row>
    <row r="288" spans="1:3">
      <c r="A288" s="3">
        <f ca="1">IFERROR(__xludf.UNSUPPORTED("""COMPUTED_VALUE"""),43882.6666666666)</f>
        <v>43882.666666666599</v>
      </c>
      <c r="B288" s="1">
        <f ca="1">IFERROR(__xludf.UNSUPPORTED("""COMPUTED_VALUE"""),178.59)</f>
        <v>178.59</v>
      </c>
      <c r="C288" s="2">
        <f t="shared" ca="1" si="1"/>
        <v>-3.1612623359722286E-2</v>
      </c>
    </row>
    <row r="289" spans="1:3">
      <c r="A289" s="3">
        <f ca="1">IFERROR(__xludf.UNSUPPORTED("""COMPUTED_VALUE"""),43885.6666666666)</f>
        <v>43885.666666666599</v>
      </c>
      <c r="B289" s="1">
        <f ca="1">IFERROR(__xludf.UNSUPPORTED("""COMPUTED_VALUE"""),170.89)</f>
        <v>170.89</v>
      </c>
      <c r="C289" s="2">
        <f t="shared" ca="1" si="1"/>
        <v>-4.3115515986337519E-2</v>
      </c>
    </row>
    <row r="290" spans="1:3">
      <c r="A290" s="3">
        <f ca="1">IFERROR(__xludf.UNSUPPORTED("""COMPUTED_VALUE"""),43886.6666666666)</f>
        <v>43886.666666666599</v>
      </c>
      <c r="B290" s="1">
        <f ca="1">IFERROR(__xludf.UNSUPPORTED("""COMPUTED_VALUE"""),168.07)</f>
        <v>168.07</v>
      </c>
      <c r="C290" s="2">
        <f t="shared" ca="1" si="1"/>
        <v>-1.6501843291005871E-2</v>
      </c>
    </row>
    <row r="291" spans="1:3">
      <c r="A291" s="3">
        <f ca="1">IFERROR(__xludf.UNSUPPORTED("""COMPUTED_VALUE"""),43887.6666666666)</f>
        <v>43887.666666666599</v>
      </c>
      <c r="B291" s="1">
        <f ca="1">IFERROR(__xludf.UNSUPPORTED("""COMPUTED_VALUE"""),170.17)</f>
        <v>170.17</v>
      </c>
      <c r="C291" s="2">
        <f t="shared" ca="1" si="1"/>
        <v>1.2494793835901675E-2</v>
      </c>
    </row>
    <row r="292" spans="1:3">
      <c r="A292" s="3">
        <f ca="1">IFERROR(__xludf.UNSUPPORTED("""COMPUTED_VALUE"""),43888.6666666666)</f>
        <v>43888.666666666599</v>
      </c>
      <c r="B292" s="1">
        <f ca="1">IFERROR(__xludf.UNSUPPORTED("""COMPUTED_VALUE"""),158.18)</f>
        <v>158.18</v>
      </c>
      <c r="C292" s="2">
        <f t="shared" ca="1" si="1"/>
        <v>-7.0458952811893877E-2</v>
      </c>
    </row>
    <row r="293" spans="1:3">
      <c r="A293" s="3">
        <f ca="1">IFERROR(__xludf.UNSUPPORTED("""COMPUTED_VALUE"""),43889.6666666666)</f>
        <v>43889.666666666599</v>
      </c>
      <c r="B293" s="1">
        <f ca="1">IFERROR(__xludf.UNSUPPORTED("""COMPUTED_VALUE"""),162.01)</f>
        <v>162.01</v>
      </c>
      <c r="C293" s="2">
        <f t="shared" ca="1" si="1"/>
        <v>2.4212921987608951E-2</v>
      </c>
    </row>
    <row r="294" spans="1:3">
      <c r="A294" s="3">
        <f ca="1">IFERROR(__xludf.UNSUPPORTED("""COMPUTED_VALUE"""),43892.6666666666)</f>
        <v>43892.666666666599</v>
      </c>
      <c r="B294" s="1">
        <f ca="1">IFERROR(__xludf.UNSUPPORTED("""COMPUTED_VALUE"""),172.79)</f>
        <v>172.79</v>
      </c>
      <c r="C294" s="2">
        <f t="shared" ca="1" si="1"/>
        <v>6.6539102524535529E-2</v>
      </c>
    </row>
    <row r="295" spans="1:3">
      <c r="A295" s="3">
        <f ca="1">IFERROR(__xludf.UNSUPPORTED("""COMPUTED_VALUE"""),43893.6666666666)</f>
        <v>43893.666666666599</v>
      </c>
      <c r="B295" s="1">
        <f ca="1">IFERROR(__xludf.UNSUPPORTED("""COMPUTED_VALUE"""),164.51)</f>
        <v>164.51</v>
      </c>
      <c r="C295" s="2">
        <f t="shared" ca="1" si="1"/>
        <v>-4.7919439782394824E-2</v>
      </c>
    </row>
    <row r="296" spans="1:3">
      <c r="A296" s="3">
        <f ca="1">IFERROR(__xludf.UNSUPPORTED("""COMPUTED_VALUE"""),43894.6666666666)</f>
        <v>43894.666666666599</v>
      </c>
      <c r="B296" s="1">
        <f ca="1">IFERROR(__xludf.UNSUPPORTED("""COMPUTED_VALUE"""),170.55)</f>
        <v>170.55</v>
      </c>
      <c r="C296" s="2">
        <f t="shared" ca="1" si="1"/>
        <v>3.6715093307397854E-2</v>
      </c>
    </row>
    <row r="297" spans="1:3">
      <c r="A297" s="3">
        <f ca="1">IFERROR(__xludf.UNSUPPORTED("""COMPUTED_VALUE"""),43895.6666666666)</f>
        <v>43895.666666666599</v>
      </c>
      <c r="B297" s="1">
        <f ca="1">IFERROR(__xludf.UNSUPPORTED("""COMPUTED_VALUE"""),166.27)</f>
        <v>166.27</v>
      </c>
      <c r="C297" s="2">
        <f t="shared" ca="1" si="1"/>
        <v>-2.5095279976546474E-2</v>
      </c>
    </row>
    <row r="298" spans="1:3">
      <c r="A298" s="3">
        <f ca="1">IFERROR(__xludf.UNSUPPORTED("""COMPUTED_VALUE"""),43896.6666666666)</f>
        <v>43896.666666666599</v>
      </c>
      <c r="B298" s="1">
        <f ca="1">IFERROR(__xludf.UNSUPPORTED("""COMPUTED_VALUE"""),161.57)</f>
        <v>161.57</v>
      </c>
      <c r="C298" s="2">
        <f t="shared" ca="1" si="1"/>
        <v>-2.826727611715894E-2</v>
      </c>
    </row>
    <row r="299" spans="1:3">
      <c r="A299" s="3">
        <f ca="1">IFERROR(__xludf.UNSUPPORTED("""COMPUTED_VALUE"""),43899.6666666666)</f>
        <v>43899.666666666599</v>
      </c>
      <c r="B299" s="1">
        <f ca="1">IFERROR(__xludf.UNSUPPORTED("""COMPUTED_VALUE"""),150.62)</f>
        <v>150.62</v>
      </c>
      <c r="C299" s="2">
        <f t="shared" ca="1" si="1"/>
        <v>-6.7772482515318366E-2</v>
      </c>
    </row>
    <row r="300" spans="1:3">
      <c r="A300" s="3">
        <f ca="1">IFERROR(__xludf.UNSUPPORTED("""COMPUTED_VALUE"""),43900.6666666666)</f>
        <v>43900.666666666599</v>
      </c>
      <c r="B300" s="1">
        <f ca="1">IFERROR(__xludf.UNSUPPORTED("""COMPUTED_VALUE"""),160.92)</f>
        <v>160.91999999999999</v>
      </c>
      <c r="C300" s="2">
        <f t="shared" ca="1" si="1"/>
        <v>6.8384012747310999E-2</v>
      </c>
    </row>
    <row r="301" spans="1:3">
      <c r="A301" s="3">
        <f ca="1">IFERROR(__xludf.UNSUPPORTED("""COMPUTED_VALUE"""),43901.6666666666)</f>
        <v>43901.666666666599</v>
      </c>
      <c r="B301" s="1">
        <f ca="1">IFERROR(__xludf.UNSUPPORTED("""COMPUTED_VALUE"""),153.63)</f>
        <v>153.63</v>
      </c>
      <c r="C301" s="2">
        <f t="shared" ca="1" si="1"/>
        <v>-4.5302013422818747E-2</v>
      </c>
    </row>
    <row r="302" spans="1:3">
      <c r="A302" s="3">
        <f ca="1">IFERROR(__xludf.UNSUPPORTED("""COMPUTED_VALUE"""),43902.6666666666)</f>
        <v>43902.666666666599</v>
      </c>
      <c r="B302" s="1">
        <f ca="1">IFERROR(__xludf.UNSUPPORTED("""COMPUTED_VALUE"""),139.06)</f>
        <v>139.06</v>
      </c>
      <c r="C302" s="2">
        <f t="shared" ca="1" si="1"/>
        <v>-9.4838247738071951E-2</v>
      </c>
    </row>
    <row r="303" spans="1:3">
      <c r="A303" s="3">
        <f ca="1">IFERROR(__xludf.UNSUPPORTED("""COMPUTED_VALUE"""),43903.6666666666)</f>
        <v>43903.666666666599</v>
      </c>
      <c r="B303" s="1">
        <f ca="1">IFERROR(__xludf.UNSUPPORTED("""COMPUTED_VALUE"""),158.83)</f>
        <v>158.83000000000001</v>
      </c>
      <c r="C303" s="2">
        <f t="shared" ca="1" si="1"/>
        <v>0.14216884797928958</v>
      </c>
    </row>
    <row r="304" spans="1:3">
      <c r="A304" s="3">
        <f ca="1">IFERROR(__xludf.UNSUPPORTED("""COMPUTED_VALUE"""),43906.6666666666)</f>
        <v>43906.666666666599</v>
      </c>
      <c r="B304" s="1">
        <f ca="1">IFERROR(__xludf.UNSUPPORTED("""COMPUTED_VALUE"""),135.42)</f>
        <v>135.41999999999999</v>
      </c>
      <c r="C304" s="2">
        <f t="shared" ca="1" si="1"/>
        <v>-0.14739029150664246</v>
      </c>
    </row>
    <row r="305" spans="1:3">
      <c r="A305" s="3">
        <f ca="1">IFERROR(__xludf.UNSUPPORTED("""COMPUTED_VALUE"""),43907.6666666666)</f>
        <v>43907.666666666599</v>
      </c>
      <c r="B305" s="1">
        <f ca="1">IFERROR(__xludf.UNSUPPORTED("""COMPUTED_VALUE"""),146.57)</f>
        <v>146.57</v>
      </c>
      <c r="C305" s="2">
        <f t="shared" ca="1" si="1"/>
        <v>8.2336434795451233E-2</v>
      </c>
    </row>
    <row r="306" spans="1:3">
      <c r="A306" s="3">
        <f ca="1">IFERROR(__xludf.UNSUPPORTED("""COMPUTED_VALUE"""),43908.6666666666)</f>
        <v>43908.666666666599</v>
      </c>
      <c r="B306" s="1">
        <f ca="1">IFERROR(__xludf.UNSUPPORTED("""COMPUTED_VALUE"""),140.4)</f>
        <v>140.4</v>
      </c>
      <c r="C306" s="2">
        <f t="shared" ca="1" si="1"/>
        <v>-4.2095926860885501E-2</v>
      </c>
    </row>
    <row r="307" spans="1:3">
      <c r="A307" s="3">
        <f ca="1">IFERROR(__xludf.UNSUPPORTED("""COMPUTED_VALUE"""),43909.6666666666)</f>
        <v>43909.666666666599</v>
      </c>
      <c r="B307" s="1">
        <f ca="1">IFERROR(__xludf.UNSUPPORTED("""COMPUTED_VALUE"""),142.71)</f>
        <v>142.71</v>
      </c>
      <c r="C307" s="2">
        <f t="shared" ca="1" si="1"/>
        <v>1.6452991452991467E-2</v>
      </c>
    </row>
    <row r="308" spans="1:3">
      <c r="A308" s="3">
        <f ca="1">IFERROR(__xludf.UNSUPPORTED("""COMPUTED_VALUE"""),43910.6666666666)</f>
        <v>43910.666666666599</v>
      </c>
      <c r="B308" s="1">
        <f ca="1">IFERROR(__xludf.UNSUPPORTED("""COMPUTED_VALUE"""),137.35)</f>
        <v>137.35</v>
      </c>
      <c r="C308" s="2">
        <f t="shared" ca="1" si="1"/>
        <v>-3.7558685446009481E-2</v>
      </c>
    </row>
    <row r="309" spans="1:3">
      <c r="A309" s="3">
        <f ca="1">IFERROR(__xludf.UNSUPPORTED("""COMPUTED_VALUE"""),43913.6666666666)</f>
        <v>43913.666666666599</v>
      </c>
      <c r="B309" s="1">
        <f ca="1">IFERROR(__xludf.UNSUPPORTED("""COMPUTED_VALUE"""),135.98)</f>
        <v>135.97999999999999</v>
      </c>
      <c r="C309" s="2">
        <f t="shared" ca="1" si="1"/>
        <v>-9.9745176556243504E-3</v>
      </c>
    </row>
    <row r="310" spans="1:3">
      <c r="A310" s="3">
        <f ca="1">IFERROR(__xludf.UNSUPPORTED("""COMPUTED_VALUE"""),43914.6666666666)</f>
        <v>43914.666666666599</v>
      </c>
      <c r="B310" s="1">
        <f ca="1">IFERROR(__xludf.UNSUPPORTED("""COMPUTED_VALUE"""),148.34)</f>
        <v>148.34</v>
      </c>
      <c r="C310" s="2">
        <f t="shared" ca="1" si="1"/>
        <v>9.0895719958817581E-2</v>
      </c>
    </row>
    <row r="311" spans="1:3">
      <c r="A311" s="3">
        <f ca="1">IFERROR(__xludf.UNSUPPORTED("""COMPUTED_VALUE"""),43915.6666666666)</f>
        <v>43915.666666666599</v>
      </c>
      <c r="B311" s="1">
        <f ca="1">IFERROR(__xludf.UNSUPPORTED("""COMPUTED_VALUE"""),146.92)</f>
        <v>146.91999999999999</v>
      </c>
      <c r="C311" s="2">
        <f t="shared" ca="1" si="1"/>
        <v>-9.5726034784954558E-3</v>
      </c>
    </row>
    <row r="312" spans="1:3">
      <c r="A312" s="3">
        <f ca="1">IFERROR(__xludf.UNSUPPORTED("""COMPUTED_VALUE"""),43916.6666666666)</f>
        <v>43916.666666666599</v>
      </c>
      <c r="B312" s="1">
        <f ca="1">IFERROR(__xludf.UNSUPPORTED("""COMPUTED_VALUE"""),156.11)</f>
        <v>156.11000000000001</v>
      </c>
      <c r="C312" s="2">
        <f t="shared" ca="1" si="1"/>
        <v>6.255104818949106E-2</v>
      </c>
    </row>
    <row r="313" spans="1:3">
      <c r="A313" s="3">
        <f ca="1">IFERROR(__xludf.UNSUPPORTED("""COMPUTED_VALUE"""),43917.6666666666)</f>
        <v>43917.666666666599</v>
      </c>
      <c r="B313" s="1">
        <f ca="1">IFERROR(__xludf.UNSUPPORTED("""COMPUTED_VALUE"""),149.7)</f>
        <v>149.69999999999999</v>
      </c>
      <c r="C313" s="2">
        <f t="shared" ca="1" si="1"/>
        <v>-4.1060790468259716E-2</v>
      </c>
    </row>
    <row r="314" spans="1:3">
      <c r="A314" s="3">
        <f ca="1">IFERROR(__xludf.UNSUPPORTED("""COMPUTED_VALUE"""),43920.6666666666)</f>
        <v>43920.666666666599</v>
      </c>
      <c r="B314" s="1">
        <f ca="1">IFERROR(__xludf.UNSUPPORTED("""COMPUTED_VALUE"""),160.23)</f>
        <v>160.22999999999999</v>
      </c>
      <c r="C314" s="2">
        <f t="shared" ca="1" si="1"/>
        <v>7.0340681362725463E-2</v>
      </c>
    </row>
    <row r="315" spans="1:3">
      <c r="A315" s="3">
        <f ca="1">IFERROR(__xludf.UNSUPPORTED("""COMPUTED_VALUE"""),43921.6666666666)</f>
        <v>43921.666666666599</v>
      </c>
      <c r="B315" s="1">
        <f ca="1">IFERROR(__xludf.UNSUPPORTED("""COMPUTED_VALUE"""),157.71)</f>
        <v>157.71</v>
      </c>
      <c r="C315" s="2">
        <f t="shared" ca="1" si="1"/>
        <v>-1.5727391874180752E-2</v>
      </c>
    </row>
    <row r="316" spans="1:3">
      <c r="A316" s="3">
        <f ca="1">IFERROR(__xludf.UNSUPPORTED("""COMPUTED_VALUE"""),43922.6666666666)</f>
        <v>43922.666666666599</v>
      </c>
      <c r="B316" s="1">
        <f ca="1">IFERROR(__xludf.UNSUPPORTED("""COMPUTED_VALUE"""),152.11)</f>
        <v>152.11000000000001</v>
      </c>
      <c r="C316" s="2">
        <f t="shared" ca="1" si="1"/>
        <v>-3.5508211273857039E-2</v>
      </c>
    </row>
    <row r="317" spans="1:3">
      <c r="A317" s="3">
        <f ca="1">IFERROR(__xludf.UNSUPPORTED("""COMPUTED_VALUE"""),43923.6666666666)</f>
        <v>43923.666666666599</v>
      </c>
      <c r="B317" s="1">
        <f ca="1">IFERROR(__xludf.UNSUPPORTED("""COMPUTED_VALUE"""),155.26)</f>
        <v>155.26</v>
      </c>
      <c r="C317" s="2">
        <f t="shared" ca="1" si="1"/>
        <v>2.0708697653014113E-2</v>
      </c>
    </row>
    <row r="318" spans="1:3">
      <c r="A318" s="3">
        <f ca="1">IFERROR(__xludf.UNSUPPORTED("""COMPUTED_VALUE"""),43924.6666666666)</f>
        <v>43924.666666666599</v>
      </c>
      <c r="B318" s="1">
        <f ca="1">IFERROR(__xludf.UNSUPPORTED("""COMPUTED_VALUE"""),153.83)</f>
        <v>153.83000000000001</v>
      </c>
      <c r="C318" s="2">
        <f t="shared" ca="1" si="1"/>
        <v>-9.2103568208165565E-3</v>
      </c>
    </row>
    <row r="319" spans="1:3">
      <c r="A319" s="3">
        <f ca="1">IFERROR(__xludf.UNSUPPORTED("""COMPUTED_VALUE"""),43927.6666666666)</f>
        <v>43927.666666666599</v>
      </c>
      <c r="B319" s="1">
        <f ca="1">IFERROR(__xludf.UNSUPPORTED("""COMPUTED_VALUE"""),165.27)</f>
        <v>165.27</v>
      </c>
      <c r="C319" s="2">
        <f t="shared" ca="1" si="1"/>
        <v>7.4367808619905065E-2</v>
      </c>
    </row>
    <row r="320" spans="1:3">
      <c r="A320" s="3">
        <f ca="1">IFERROR(__xludf.UNSUPPORTED("""COMPUTED_VALUE"""),43928.6666666666)</f>
        <v>43928.666666666599</v>
      </c>
      <c r="B320" s="1">
        <f ca="1">IFERROR(__xludf.UNSUPPORTED("""COMPUTED_VALUE"""),163.49)</f>
        <v>163.49</v>
      </c>
      <c r="C320" s="2">
        <f t="shared" ca="1" si="1"/>
        <v>-1.0770254734676596E-2</v>
      </c>
    </row>
    <row r="321" spans="1:3">
      <c r="A321" s="3">
        <f ca="1">IFERROR(__xludf.UNSUPPORTED("""COMPUTED_VALUE"""),43929.6666666666)</f>
        <v>43929.666666666599</v>
      </c>
      <c r="B321" s="1">
        <f ca="1">IFERROR(__xludf.UNSUPPORTED("""COMPUTED_VALUE"""),165.13)</f>
        <v>165.13</v>
      </c>
      <c r="C321" s="2">
        <f t="shared" ca="1" si="1"/>
        <v>1.0031194568475052E-2</v>
      </c>
    </row>
    <row r="322" spans="1:3">
      <c r="A322" s="3">
        <f ca="1">IFERROR(__xludf.UNSUPPORTED("""COMPUTED_VALUE"""),43930.6666666666)</f>
        <v>43930.666666666599</v>
      </c>
      <c r="B322" s="1">
        <f ca="1">IFERROR(__xludf.UNSUPPORTED("""COMPUTED_VALUE"""),165.14)</f>
        <v>165.14</v>
      </c>
      <c r="C322" s="2">
        <f t="shared" ca="1" si="1"/>
        <v>6.0558347968212348E-5</v>
      </c>
    </row>
    <row r="323" spans="1:3">
      <c r="A323" s="3">
        <f ca="1">IFERROR(__xludf.UNSUPPORTED("""COMPUTED_VALUE"""),43934.6666666666)</f>
        <v>43934.666666666599</v>
      </c>
      <c r="B323" s="1">
        <f ca="1">IFERROR(__xludf.UNSUPPORTED("""COMPUTED_VALUE"""),165.51)</f>
        <v>165.51</v>
      </c>
      <c r="C323" s="2">
        <f t="shared" ca="1" si="1"/>
        <v>2.2405231924428034E-3</v>
      </c>
    </row>
    <row r="324" spans="1:3">
      <c r="A324" s="3">
        <f ca="1">IFERROR(__xludf.UNSUPPORTED("""COMPUTED_VALUE"""),43935.6666666666)</f>
        <v>43935.666666666599</v>
      </c>
      <c r="B324" s="1">
        <f ca="1">IFERROR(__xludf.UNSUPPORTED("""COMPUTED_VALUE"""),173.7)</f>
        <v>173.7</v>
      </c>
      <c r="C324" s="2">
        <f t="shared" ca="1" si="1"/>
        <v>4.9483414899401841E-2</v>
      </c>
    </row>
    <row r="325" spans="1:3">
      <c r="A325" s="3">
        <f ca="1">IFERROR(__xludf.UNSUPPORTED("""COMPUTED_VALUE"""),43936.6666666666)</f>
        <v>43936.666666666599</v>
      </c>
      <c r="B325" s="1">
        <f ca="1">IFERROR(__xludf.UNSUPPORTED("""COMPUTED_VALUE"""),171.88)</f>
        <v>171.88</v>
      </c>
      <c r="C325" s="2">
        <f t="shared" ca="1" si="1"/>
        <v>-1.047783534830163E-2</v>
      </c>
    </row>
    <row r="326" spans="1:3">
      <c r="A326" s="3">
        <f ca="1">IFERROR(__xludf.UNSUPPORTED("""COMPUTED_VALUE"""),43937.6666666666)</f>
        <v>43937.666666666599</v>
      </c>
      <c r="B326" s="1">
        <f ca="1">IFERROR(__xludf.UNSUPPORTED("""COMPUTED_VALUE"""),177.04)</f>
        <v>177.04</v>
      </c>
      <c r="C326" s="2">
        <f t="shared" ca="1" si="1"/>
        <v>3.0020944845240847E-2</v>
      </c>
    </row>
    <row r="327" spans="1:3">
      <c r="A327" s="3">
        <f ca="1">IFERROR(__xludf.UNSUPPORTED("""COMPUTED_VALUE"""),43938.6666666666)</f>
        <v>43938.666666666599</v>
      </c>
      <c r="B327" s="1">
        <f ca="1">IFERROR(__xludf.UNSUPPORTED("""COMPUTED_VALUE"""),178.6)</f>
        <v>178.6</v>
      </c>
      <c r="C327" s="2">
        <f t="shared" ca="1" si="1"/>
        <v>8.8115680072300175E-3</v>
      </c>
    </row>
    <row r="328" spans="1:3">
      <c r="A328" s="3">
        <f ca="1">IFERROR(__xludf.UNSUPPORTED("""COMPUTED_VALUE"""),43941.6666666666)</f>
        <v>43941.666666666599</v>
      </c>
      <c r="B328" s="1">
        <f ca="1">IFERROR(__xludf.UNSUPPORTED("""COMPUTED_VALUE"""),175.06)</f>
        <v>175.06</v>
      </c>
      <c r="C328" s="2">
        <f t="shared" ca="1" si="1"/>
        <v>-1.9820828667413169E-2</v>
      </c>
    </row>
    <row r="329" spans="1:3">
      <c r="A329" s="3">
        <f ca="1">IFERROR(__xludf.UNSUPPORTED("""COMPUTED_VALUE"""),43942.6666666666)</f>
        <v>43942.666666666599</v>
      </c>
      <c r="B329" s="1">
        <f ca="1">IFERROR(__xludf.UNSUPPORTED("""COMPUTED_VALUE"""),167.82)</f>
        <v>167.82</v>
      </c>
      <c r="C329" s="2">
        <f t="shared" ca="1" si="1"/>
        <v>-4.1357248943219516E-2</v>
      </c>
    </row>
    <row r="330" spans="1:3">
      <c r="A330" s="3">
        <f ca="1">IFERROR(__xludf.UNSUPPORTED("""COMPUTED_VALUE"""),43943.6666666666)</f>
        <v>43943.666666666599</v>
      </c>
      <c r="B330" s="1">
        <f ca="1">IFERROR(__xludf.UNSUPPORTED("""COMPUTED_VALUE"""),173.52)</f>
        <v>173.52</v>
      </c>
      <c r="C330" s="2">
        <f t="shared" ca="1" si="1"/>
        <v>3.3964962459778439E-2</v>
      </c>
    </row>
    <row r="331" spans="1:3">
      <c r="A331" s="3">
        <f ca="1">IFERROR(__xludf.UNSUPPORTED("""COMPUTED_VALUE"""),43944.6666666666)</f>
        <v>43944.666666666599</v>
      </c>
      <c r="B331" s="1">
        <f ca="1">IFERROR(__xludf.UNSUPPORTED("""COMPUTED_VALUE"""),171.42)</f>
        <v>171.42</v>
      </c>
      <c r="C331" s="2">
        <f t="shared" ca="1" si="1"/>
        <v>-1.2102351313969702E-2</v>
      </c>
    </row>
    <row r="332" spans="1:3">
      <c r="A332" s="3">
        <f ca="1">IFERROR(__xludf.UNSUPPORTED("""COMPUTED_VALUE"""),43945.6666666666)</f>
        <v>43945.666666666599</v>
      </c>
      <c r="B332" s="1">
        <f ca="1">IFERROR(__xludf.UNSUPPORTED("""COMPUTED_VALUE"""),174.55)</f>
        <v>174.55</v>
      </c>
      <c r="C332" s="2">
        <f t="shared" ca="1" si="1"/>
        <v>1.8259246295648256E-2</v>
      </c>
    </row>
    <row r="333" spans="1:3">
      <c r="A333" s="3">
        <f ca="1">IFERROR(__xludf.UNSUPPORTED("""COMPUTED_VALUE"""),43948.6666666666)</f>
        <v>43948.666666666599</v>
      </c>
      <c r="B333" s="1">
        <f ca="1">IFERROR(__xludf.UNSUPPORTED("""COMPUTED_VALUE"""),174.05)</f>
        <v>174.05</v>
      </c>
      <c r="C333" s="2">
        <f t="shared" ca="1" si="1"/>
        <v>-2.8645087367516471E-3</v>
      </c>
    </row>
    <row r="334" spans="1:3">
      <c r="A334" s="3">
        <f ca="1">IFERROR(__xludf.UNSUPPORTED("""COMPUTED_VALUE"""),43949.6666666666)</f>
        <v>43949.666666666599</v>
      </c>
      <c r="B334" s="1">
        <f ca="1">IFERROR(__xludf.UNSUPPORTED("""COMPUTED_VALUE"""),169.81)</f>
        <v>169.81</v>
      </c>
      <c r="C334" s="2">
        <f t="shared" ca="1" si="1"/>
        <v>-2.436081585751226E-2</v>
      </c>
    </row>
    <row r="335" spans="1:3">
      <c r="A335" s="3">
        <f ca="1">IFERROR(__xludf.UNSUPPORTED("""COMPUTED_VALUE"""),43950.6666666666)</f>
        <v>43950.666666666599</v>
      </c>
      <c r="B335" s="1">
        <f ca="1">IFERROR(__xludf.UNSUPPORTED("""COMPUTED_VALUE"""),177.43)</f>
        <v>177.43</v>
      </c>
      <c r="C335" s="2">
        <f t="shared" ca="1" si="1"/>
        <v>4.4873682350862754E-2</v>
      </c>
    </row>
    <row r="336" spans="1:3">
      <c r="A336" s="3">
        <f ca="1">IFERROR(__xludf.UNSUPPORTED("""COMPUTED_VALUE"""),43951.6666666666)</f>
        <v>43951.666666666599</v>
      </c>
      <c r="B336" s="1">
        <f ca="1">IFERROR(__xludf.UNSUPPORTED("""COMPUTED_VALUE"""),179.21)</f>
        <v>179.21</v>
      </c>
      <c r="C336" s="2">
        <f t="shared" ca="1" si="1"/>
        <v>1.0032125345206566E-2</v>
      </c>
    </row>
    <row r="337" spans="1:3">
      <c r="A337" s="3">
        <f ca="1">IFERROR(__xludf.UNSUPPORTED("""COMPUTED_VALUE"""),43952.6666666666)</f>
        <v>43952.666666666599</v>
      </c>
      <c r="B337" s="1">
        <f ca="1">IFERROR(__xludf.UNSUPPORTED("""COMPUTED_VALUE"""),174.57)</f>
        <v>174.57</v>
      </c>
      <c r="C337" s="2">
        <f t="shared" ca="1" si="1"/>
        <v>-2.589141230958102E-2</v>
      </c>
    </row>
    <row r="338" spans="1:3">
      <c r="A338" s="3">
        <f ca="1">IFERROR(__xludf.UNSUPPORTED("""COMPUTED_VALUE"""),43955.6666666666)</f>
        <v>43955.666666666599</v>
      </c>
      <c r="B338" s="1">
        <f ca="1">IFERROR(__xludf.UNSUPPORTED("""COMPUTED_VALUE"""),178.84)</f>
        <v>178.84</v>
      </c>
      <c r="C338" s="2">
        <f t="shared" ca="1" si="1"/>
        <v>2.4460101964827924E-2</v>
      </c>
    </row>
    <row r="339" spans="1:3">
      <c r="A339" s="3">
        <f ca="1">IFERROR(__xludf.UNSUPPORTED("""COMPUTED_VALUE"""),43956.6666666666)</f>
        <v>43956.666666666599</v>
      </c>
      <c r="B339" s="1">
        <f ca="1">IFERROR(__xludf.UNSUPPORTED("""COMPUTED_VALUE"""),180.76)</f>
        <v>180.76</v>
      </c>
      <c r="C339" s="2">
        <f t="shared" ca="1" si="1"/>
        <v>1.0735853276671816E-2</v>
      </c>
    </row>
    <row r="340" spans="1:3">
      <c r="A340" s="3">
        <f ca="1">IFERROR(__xludf.UNSUPPORTED("""COMPUTED_VALUE"""),43957.6666666666)</f>
        <v>43957.666666666599</v>
      </c>
      <c r="B340" s="1">
        <f ca="1">IFERROR(__xludf.UNSUPPORTED("""COMPUTED_VALUE"""),182.54)</f>
        <v>182.54</v>
      </c>
      <c r="C340" s="2">
        <f t="shared" ca="1" si="1"/>
        <v>9.8473113520690485E-3</v>
      </c>
    </row>
    <row r="341" spans="1:3">
      <c r="A341" s="3">
        <f ca="1">IFERROR(__xludf.UNSUPPORTED("""COMPUTED_VALUE"""),43958.6666666666)</f>
        <v>43958.666666666599</v>
      </c>
      <c r="B341" s="1">
        <f ca="1">IFERROR(__xludf.UNSUPPORTED("""COMPUTED_VALUE"""),183.6)</f>
        <v>183.6</v>
      </c>
      <c r="C341" s="2">
        <f t="shared" ca="1" si="1"/>
        <v>5.806946422701886E-3</v>
      </c>
    </row>
    <row r="342" spans="1:3">
      <c r="A342" s="3">
        <f ca="1">IFERROR(__xludf.UNSUPPORTED("""COMPUTED_VALUE"""),43959.6666666666)</f>
        <v>43959.666666666599</v>
      </c>
      <c r="B342" s="1">
        <f ca="1">IFERROR(__xludf.UNSUPPORTED("""COMPUTED_VALUE"""),184.68)</f>
        <v>184.68</v>
      </c>
      <c r="C342" s="2">
        <f t="shared" ca="1" si="1"/>
        <v>5.882352941176539E-3</v>
      </c>
    </row>
    <row r="343" spans="1:3">
      <c r="A343" s="3">
        <f ca="1">IFERROR(__xludf.UNSUPPORTED("""COMPUTED_VALUE"""),43962.6666666666)</f>
        <v>43962.666666666599</v>
      </c>
      <c r="B343" s="1">
        <f ca="1">IFERROR(__xludf.UNSUPPORTED("""COMPUTED_VALUE"""),186.74)</f>
        <v>186.74</v>
      </c>
      <c r="C343" s="2">
        <f t="shared" ca="1" si="1"/>
        <v>1.1154429283084267E-2</v>
      </c>
    </row>
    <row r="344" spans="1:3">
      <c r="A344" s="3">
        <f ca="1">IFERROR(__xludf.UNSUPPORTED("""COMPUTED_VALUE"""),43963.6666666666)</f>
        <v>43963.666666666599</v>
      </c>
      <c r="B344" s="1">
        <f ca="1">IFERROR(__xludf.UNSUPPORTED("""COMPUTED_VALUE"""),182.51)</f>
        <v>182.51</v>
      </c>
      <c r="C344" s="2">
        <f t="shared" ca="1" si="1"/>
        <v>-2.2651815358252211E-2</v>
      </c>
    </row>
    <row r="345" spans="1:3">
      <c r="A345" s="3">
        <f ca="1">IFERROR(__xludf.UNSUPPORTED("""COMPUTED_VALUE"""),43964.6666666666)</f>
        <v>43964.666666666599</v>
      </c>
      <c r="B345" s="1">
        <f ca="1">IFERROR(__xludf.UNSUPPORTED("""COMPUTED_VALUE"""),179.75)</f>
        <v>179.75</v>
      </c>
      <c r="C345" s="2">
        <f t="shared" ca="1" si="1"/>
        <v>-1.5122459043340041E-2</v>
      </c>
    </row>
    <row r="346" spans="1:3">
      <c r="A346" s="3">
        <f ca="1">IFERROR(__xludf.UNSUPPORTED("""COMPUTED_VALUE"""),43965.6666666666)</f>
        <v>43965.666666666599</v>
      </c>
      <c r="B346" s="1">
        <f ca="1">IFERROR(__xludf.UNSUPPORTED("""COMPUTED_VALUE"""),180.53)</f>
        <v>180.53</v>
      </c>
      <c r="C346" s="2">
        <f t="shared" ca="1" si="1"/>
        <v>4.3393602225312994E-3</v>
      </c>
    </row>
    <row r="347" spans="1:3">
      <c r="A347" s="3">
        <f ca="1">IFERROR(__xludf.UNSUPPORTED("""COMPUTED_VALUE"""),43966.6666666666)</f>
        <v>43966.666666666599</v>
      </c>
      <c r="B347" s="1">
        <f ca="1">IFERROR(__xludf.UNSUPPORTED("""COMPUTED_VALUE"""),183.16)</f>
        <v>183.16</v>
      </c>
      <c r="C347" s="2">
        <f t="shared" ca="1" si="1"/>
        <v>1.4568215809006788E-2</v>
      </c>
    </row>
    <row r="348" spans="1:3">
      <c r="A348" s="3">
        <f ca="1">IFERROR(__xludf.UNSUPPORTED("""COMPUTED_VALUE"""),43969.6666666666)</f>
        <v>43969.666666666599</v>
      </c>
      <c r="B348" s="1">
        <f ca="1">IFERROR(__xludf.UNSUPPORTED("""COMPUTED_VALUE"""),184.91)</f>
        <v>184.91</v>
      </c>
      <c r="C348" s="2">
        <f t="shared" ca="1" si="1"/>
        <v>9.5544878794496611E-3</v>
      </c>
    </row>
    <row r="349" spans="1:3">
      <c r="A349" s="3">
        <f ca="1">IFERROR(__xludf.UNSUPPORTED("""COMPUTED_VALUE"""),43970.6666666666)</f>
        <v>43970.666666666599</v>
      </c>
      <c r="B349" s="1">
        <f ca="1">IFERROR(__xludf.UNSUPPORTED("""COMPUTED_VALUE"""),183.63)</f>
        <v>183.63</v>
      </c>
      <c r="C349" s="2">
        <f t="shared" ca="1" si="1"/>
        <v>-6.9222865177654058E-3</v>
      </c>
    </row>
    <row r="350" spans="1:3">
      <c r="A350" s="3">
        <f ca="1">IFERROR(__xludf.UNSUPPORTED("""COMPUTED_VALUE"""),43971.6666666666)</f>
        <v>43971.666666666599</v>
      </c>
      <c r="B350" s="1">
        <f ca="1">IFERROR(__xludf.UNSUPPORTED("""COMPUTED_VALUE"""),185.66)</f>
        <v>185.66</v>
      </c>
      <c r="C350" s="2">
        <f t="shared" ca="1" si="1"/>
        <v>1.1054838534008611E-2</v>
      </c>
    </row>
    <row r="351" spans="1:3">
      <c r="A351" s="3">
        <f ca="1">IFERROR(__xludf.UNSUPPORTED("""COMPUTED_VALUE"""),43972.6666666666)</f>
        <v>43972.666666666599</v>
      </c>
      <c r="B351" s="1">
        <f ca="1">IFERROR(__xludf.UNSUPPORTED("""COMPUTED_VALUE"""),183.43)</f>
        <v>183.43</v>
      </c>
      <c r="C351" s="2">
        <f t="shared" ca="1" si="1"/>
        <v>-1.201120327480335E-2</v>
      </c>
    </row>
    <row r="352" spans="1:3">
      <c r="A352" s="3">
        <f ca="1">IFERROR(__xludf.UNSUPPORTED("""COMPUTED_VALUE"""),43973.6666666666)</f>
        <v>43973.666666666599</v>
      </c>
      <c r="B352" s="1">
        <f ca="1">IFERROR(__xludf.UNSUPPORTED("""COMPUTED_VALUE"""),183.51)</f>
        <v>183.51</v>
      </c>
      <c r="C352" s="2">
        <f t="shared" ca="1" si="1"/>
        <v>4.3613367497129192E-4</v>
      </c>
    </row>
    <row r="353" spans="1:3">
      <c r="A353" s="3">
        <f ca="1">IFERROR(__xludf.UNSUPPORTED("""COMPUTED_VALUE"""),43977.6666666666)</f>
        <v>43977.666666666599</v>
      </c>
      <c r="B353" s="1">
        <f ca="1">IFERROR(__xludf.UNSUPPORTED("""COMPUTED_VALUE"""),181.57)</f>
        <v>181.57</v>
      </c>
      <c r="C353" s="2">
        <f t="shared" ca="1" si="1"/>
        <v>-1.0571630973788883E-2</v>
      </c>
    </row>
    <row r="354" spans="1:3">
      <c r="A354" s="3">
        <f ca="1">IFERROR(__xludf.UNSUPPORTED("""COMPUTED_VALUE"""),43978.6666666666)</f>
        <v>43978.666666666599</v>
      </c>
      <c r="B354" s="1">
        <f ca="1">IFERROR(__xludf.UNSUPPORTED("""COMPUTED_VALUE"""),181.81)</f>
        <v>181.81</v>
      </c>
      <c r="C354" s="2">
        <f t="shared" ca="1" si="1"/>
        <v>1.3218042628187977E-3</v>
      </c>
    </row>
    <row r="355" spans="1:3">
      <c r="A355" s="3">
        <f ca="1">IFERROR(__xludf.UNSUPPORTED("""COMPUTED_VALUE"""),43979.6666666666)</f>
        <v>43979.666666666599</v>
      </c>
      <c r="B355" s="1">
        <f ca="1">IFERROR(__xludf.UNSUPPORTED("""COMPUTED_VALUE"""),181.4)</f>
        <v>181.4</v>
      </c>
      <c r="C355" s="2">
        <f t="shared" ca="1" si="1"/>
        <v>-2.2551014795665616E-3</v>
      </c>
    </row>
    <row r="356" spans="1:3">
      <c r="A356" s="3">
        <f ca="1">IFERROR(__xludf.UNSUPPORTED("""COMPUTED_VALUE"""),43980.6666666666)</f>
        <v>43980.666666666599</v>
      </c>
      <c r="B356" s="1">
        <f ca="1">IFERROR(__xludf.UNSUPPORTED("""COMPUTED_VALUE"""),183.25)</f>
        <v>183.25</v>
      </c>
      <c r="C356" s="2">
        <f t="shared" ca="1" si="1"/>
        <v>1.0198456449834588E-2</v>
      </c>
    </row>
    <row r="357" spans="1:3">
      <c r="A357" s="3">
        <f ca="1">IFERROR(__xludf.UNSUPPORTED("""COMPUTED_VALUE"""),43983.6666666666)</f>
        <v>43983.666666666599</v>
      </c>
      <c r="B357" s="1">
        <f ca="1">IFERROR(__xludf.UNSUPPORTED("""COMPUTED_VALUE"""),182.83)</f>
        <v>182.83</v>
      </c>
      <c r="C357" s="2">
        <f t="shared" ca="1" si="1"/>
        <v>-2.2919508867666437E-3</v>
      </c>
    </row>
    <row r="358" spans="1:3">
      <c r="A358" s="3">
        <f ca="1">IFERROR(__xludf.UNSUPPORTED("""COMPUTED_VALUE"""),43984.6666666666)</f>
        <v>43984.666666666599</v>
      </c>
      <c r="B358" s="1">
        <f ca="1">IFERROR(__xludf.UNSUPPORTED("""COMPUTED_VALUE"""),184.91)</f>
        <v>184.91</v>
      </c>
      <c r="C358" s="2">
        <f t="shared" ca="1" si="1"/>
        <v>1.137668872723286E-2</v>
      </c>
    </row>
    <row r="359" spans="1:3">
      <c r="A359" s="3">
        <f ca="1">IFERROR(__xludf.UNSUPPORTED("""COMPUTED_VALUE"""),43985.6666666666)</f>
        <v>43985.666666666599</v>
      </c>
      <c r="B359" s="1">
        <f ca="1">IFERROR(__xludf.UNSUPPORTED("""COMPUTED_VALUE"""),185.36)</f>
        <v>185.36</v>
      </c>
      <c r="C359" s="2">
        <f t="shared" ca="1" si="1"/>
        <v>2.4336163539019906E-3</v>
      </c>
    </row>
    <row r="360" spans="1:3">
      <c r="A360" s="3">
        <f ca="1">IFERROR(__xludf.UNSUPPORTED("""COMPUTED_VALUE"""),43986.6666666666)</f>
        <v>43986.666666666599</v>
      </c>
      <c r="B360" s="1">
        <f ca="1">IFERROR(__xludf.UNSUPPORTED("""COMPUTED_VALUE"""),182.92)</f>
        <v>182.92</v>
      </c>
      <c r="C360" s="2">
        <f t="shared" ca="1" si="1"/>
        <v>-1.3163573586534453E-2</v>
      </c>
    </row>
    <row r="361" spans="1:3">
      <c r="A361" s="3">
        <f ca="1">IFERROR(__xludf.UNSUPPORTED("""COMPUTED_VALUE"""),43987.6666666666)</f>
        <v>43987.666666666599</v>
      </c>
      <c r="B361" s="1">
        <f ca="1">IFERROR(__xludf.UNSUPPORTED("""COMPUTED_VALUE"""),187.2)</f>
        <v>187.2</v>
      </c>
      <c r="C361" s="2">
        <f t="shared" ca="1" si="1"/>
        <v>2.3398206866389687E-2</v>
      </c>
    </row>
    <row r="362" spans="1:3">
      <c r="A362" s="3">
        <f ca="1">IFERROR(__xludf.UNSUPPORTED("""COMPUTED_VALUE"""),43990.6666666666)</f>
        <v>43990.666666666599</v>
      </c>
      <c r="B362" s="1">
        <f ca="1">IFERROR(__xludf.UNSUPPORTED("""COMPUTED_VALUE"""),188.36)</f>
        <v>188.36</v>
      </c>
      <c r="C362" s="2">
        <f t="shared" ca="1" si="1"/>
        <v>6.1965811965813307E-3</v>
      </c>
    </row>
    <row r="363" spans="1:3">
      <c r="A363" s="3">
        <f ca="1">IFERROR(__xludf.UNSUPPORTED("""COMPUTED_VALUE"""),43991.6666666666)</f>
        <v>43991.666666666599</v>
      </c>
      <c r="B363" s="1">
        <f ca="1">IFERROR(__xludf.UNSUPPORTED("""COMPUTED_VALUE"""),189.8)</f>
        <v>189.8</v>
      </c>
      <c r="C363" s="2">
        <f t="shared" ca="1" si="1"/>
        <v>7.6449352304098408E-3</v>
      </c>
    </row>
    <row r="364" spans="1:3">
      <c r="A364" s="3">
        <f ca="1">IFERROR(__xludf.UNSUPPORTED("""COMPUTED_VALUE"""),43992.6666666666)</f>
        <v>43992.666666666599</v>
      </c>
      <c r="B364" s="1">
        <f ca="1">IFERROR(__xludf.UNSUPPORTED("""COMPUTED_VALUE"""),196.84)</f>
        <v>196.84</v>
      </c>
      <c r="C364" s="2">
        <f t="shared" ca="1" si="1"/>
        <v>3.7091675447839791E-2</v>
      </c>
    </row>
    <row r="365" spans="1:3">
      <c r="A365" s="3">
        <f ca="1">IFERROR(__xludf.UNSUPPORTED("""COMPUTED_VALUE"""),43993.6666666666)</f>
        <v>43993.666666666599</v>
      </c>
      <c r="B365" s="1">
        <f ca="1">IFERROR(__xludf.UNSUPPORTED("""COMPUTED_VALUE"""),186.27)</f>
        <v>186.27</v>
      </c>
      <c r="C365" s="2">
        <f t="shared" ca="1" si="1"/>
        <v>-5.3698435277382613E-2</v>
      </c>
    </row>
    <row r="366" spans="1:3">
      <c r="A366" s="3">
        <f ca="1">IFERROR(__xludf.UNSUPPORTED("""COMPUTED_VALUE"""),43994.6666666666)</f>
        <v>43994.666666666599</v>
      </c>
      <c r="B366" s="1">
        <f ca="1">IFERROR(__xludf.UNSUPPORTED("""COMPUTED_VALUE"""),187.74)</f>
        <v>187.74</v>
      </c>
      <c r="C366" s="2">
        <f t="shared" ca="1" si="1"/>
        <v>7.8917700112739499E-3</v>
      </c>
    </row>
    <row r="367" spans="1:3">
      <c r="A367" s="3">
        <f ca="1">IFERROR(__xludf.UNSUPPORTED("""COMPUTED_VALUE"""),43997.6666666666)</f>
        <v>43997.666666666599</v>
      </c>
      <c r="B367" s="1">
        <f ca="1">IFERROR(__xludf.UNSUPPORTED("""COMPUTED_VALUE"""),188.94)</f>
        <v>188.94</v>
      </c>
      <c r="C367" s="2">
        <f t="shared" ca="1" si="1"/>
        <v>6.3918184723553246E-3</v>
      </c>
    </row>
    <row r="368" spans="1:3">
      <c r="A368" s="3">
        <f ca="1">IFERROR(__xludf.UNSUPPORTED("""COMPUTED_VALUE"""),43998.6666666666)</f>
        <v>43998.666666666599</v>
      </c>
      <c r="B368" s="1">
        <f ca="1">IFERROR(__xludf.UNSUPPORTED("""COMPUTED_VALUE"""),193.57)</f>
        <v>193.57</v>
      </c>
      <c r="C368" s="2">
        <f t="shared" ca="1" si="1"/>
        <v>2.4505133904943344E-2</v>
      </c>
    </row>
    <row r="369" spans="1:3">
      <c r="A369" s="3">
        <f ca="1">IFERROR(__xludf.UNSUPPORTED("""COMPUTED_VALUE"""),43999.6666666666)</f>
        <v>43999.666666666599</v>
      </c>
      <c r="B369" s="1">
        <f ca="1">IFERROR(__xludf.UNSUPPORTED("""COMPUTED_VALUE"""),194.24)</f>
        <v>194.24</v>
      </c>
      <c r="C369" s="2">
        <f t="shared" ca="1" si="1"/>
        <v>3.4612801570492119E-3</v>
      </c>
    </row>
    <row r="370" spans="1:3">
      <c r="A370" s="3">
        <f ca="1">IFERROR(__xludf.UNSUPPORTED("""COMPUTED_VALUE"""),44000.6666666666)</f>
        <v>44000.666666666599</v>
      </c>
      <c r="B370" s="1">
        <f ca="1">IFERROR(__xludf.UNSUPPORTED("""COMPUTED_VALUE"""),196.32)</f>
        <v>196.32</v>
      </c>
      <c r="C370" s="2">
        <f t="shared" ca="1" si="1"/>
        <v>1.0708401976935667E-2</v>
      </c>
    </row>
    <row r="371" spans="1:3">
      <c r="A371" s="3">
        <f ca="1">IFERROR(__xludf.UNSUPPORTED("""COMPUTED_VALUE"""),44001.6666666666)</f>
        <v>44001.666666666599</v>
      </c>
      <c r="B371" s="1">
        <f ca="1">IFERROR(__xludf.UNSUPPORTED("""COMPUTED_VALUE"""),195.15)</f>
        <v>195.15</v>
      </c>
      <c r="C371" s="2">
        <f t="shared" ca="1" si="1"/>
        <v>-5.9596577017114278E-3</v>
      </c>
    </row>
    <row r="372" spans="1:3">
      <c r="A372" s="3">
        <f ca="1">IFERROR(__xludf.UNSUPPORTED("""COMPUTED_VALUE"""),44004.6666666666)</f>
        <v>44004.666666666599</v>
      </c>
      <c r="B372" s="1">
        <f ca="1">IFERROR(__xludf.UNSUPPORTED("""COMPUTED_VALUE"""),200.57)</f>
        <v>200.57</v>
      </c>
      <c r="C372" s="2">
        <f t="shared" ca="1" si="1"/>
        <v>2.7773507558288432E-2</v>
      </c>
    </row>
    <row r="373" spans="1:3">
      <c r="A373" s="3">
        <f ca="1">IFERROR(__xludf.UNSUPPORTED("""COMPUTED_VALUE"""),44005.6666666666)</f>
        <v>44005.666666666599</v>
      </c>
      <c r="B373" s="1">
        <f ca="1">IFERROR(__xludf.UNSUPPORTED("""COMPUTED_VALUE"""),201.91)</f>
        <v>201.91</v>
      </c>
      <c r="C373" s="2">
        <f t="shared" ca="1" si="1"/>
        <v>6.6809592660916559E-3</v>
      </c>
    </row>
    <row r="374" spans="1:3">
      <c r="A374" s="3">
        <f ca="1">IFERROR(__xludf.UNSUPPORTED("""COMPUTED_VALUE"""),44006.6666666666)</f>
        <v>44006.666666666599</v>
      </c>
      <c r="B374" s="1">
        <f ca="1">IFERROR(__xludf.UNSUPPORTED("""COMPUTED_VALUE"""),197.84)</f>
        <v>197.84</v>
      </c>
      <c r="C374" s="2">
        <f t="shared" ca="1" si="1"/>
        <v>-2.0157495914021065E-2</v>
      </c>
    </row>
    <row r="375" spans="1:3">
      <c r="A375" s="3">
        <f ca="1">IFERROR(__xludf.UNSUPPORTED("""COMPUTED_VALUE"""),44007.6666666666)</f>
        <v>44007.666666666599</v>
      </c>
      <c r="B375" s="1">
        <f ca="1">IFERROR(__xludf.UNSUPPORTED("""COMPUTED_VALUE"""),200.34)</f>
        <v>200.34</v>
      </c>
      <c r="C375" s="2">
        <f t="shared" ca="1" si="1"/>
        <v>1.2636473918317832E-2</v>
      </c>
    </row>
    <row r="376" spans="1:3">
      <c r="A376" s="3">
        <f ca="1">IFERROR(__xludf.UNSUPPORTED("""COMPUTED_VALUE"""),44008.6666666666)</f>
        <v>44008.666666666599</v>
      </c>
      <c r="B376" s="1">
        <f ca="1">IFERROR(__xludf.UNSUPPORTED("""COMPUTED_VALUE"""),196.33)</f>
        <v>196.33</v>
      </c>
      <c r="C376" s="2">
        <f t="shared" ca="1" si="1"/>
        <v>-2.0015972846161481E-2</v>
      </c>
    </row>
    <row r="377" spans="1:3">
      <c r="A377" s="3">
        <f ca="1">IFERROR(__xludf.UNSUPPORTED("""COMPUTED_VALUE"""),44011.6666666666)</f>
        <v>44011.666666666599</v>
      </c>
      <c r="B377" s="1">
        <f ca="1">IFERROR(__xludf.UNSUPPORTED("""COMPUTED_VALUE"""),198.44)</f>
        <v>198.44</v>
      </c>
      <c r="C377" s="2">
        <f t="shared" ca="1" si="1"/>
        <v>1.0747211327866272E-2</v>
      </c>
    </row>
    <row r="378" spans="1:3">
      <c r="A378" s="3">
        <f ca="1">IFERROR(__xludf.UNSUPPORTED("""COMPUTED_VALUE"""),44012.6666666666)</f>
        <v>44012.666666666599</v>
      </c>
      <c r="B378" s="1">
        <f ca="1">IFERROR(__xludf.UNSUPPORTED("""COMPUTED_VALUE"""),203.51)</f>
        <v>203.51</v>
      </c>
      <c r="C378" s="2">
        <f t="shared" ca="1" si="1"/>
        <v>2.5549284418463984E-2</v>
      </c>
    </row>
    <row r="379" spans="1:3">
      <c r="A379" s="3">
        <f ca="1">IFERROR(__xludf.UNSUPPORTED("""COMPUTED_VALUE"""),44013.6666666666)</f>
        <v>44013.666666666599</v>
      </c>
      <c r="B379" s="1">
        <f ca="1">IFERROR(__xludf.UNSUPPORTED("""COMPUTED_VALUE"""),204.7)</f>
        <v>204.7</v>
      </c>
      <c r="C379" s="2">
        <f t="shared" ca="1" si="1"/>
        <v>5.8473785071986523E-3</v>
      </c>
    </row>
    <row r="380" spans="1:3">
      <c r="A380" s="3">
        <f ca="1">IFERROR(__xludf.UNSUPPORTED("""COMPUTED_VALUE"""),44014.6666666666)</f>
        <v>44014.666666666599</v>
      </c>
      <c r="B380" s="1">
        <f ca="1">IFERROR(__xludf.UNSUPPORTED("""COMPUTED_VALUE"""),206.26)</f>
        <v>206.26</v>
      </c>
      <c r="C380" s="2">
        <f t="shared" ca="1" si="1"/>
        <v>7.6209086468002072E-3</v>
      </c>
    </row>
    <row r="381" spans="1:3">
      <c r="A381" s="3">
        <f ca="1">IFERROR(__xludf.UNSUPPORTED("""COMPUTED_VALUE"""),44018.6666666666)</f>
        <v>44018.666666666599</v>
      </c>
      <c r="B381" s="1">
        <f ca="1">IFERROR(__xludf.UNSUPPORTED("""COMPUTED_VALUE"""),210.7)</f>
        <v>210.7</v>
      </c>
      <c r="C381" s="2">
        <f t="shared" ca="1" si="1"/>
        <v>2.1526229031319684E-2</v>
      </c>
    </row>
    <row r="382" spans="1:3">
      <c r="A382" s="3">
        <f ca="1">IFERROR(__xludf.UNSUPPORTED("""COMPUTED_VALUE"""),44019.6666666666)</f>
        <v>44019.666666666599</v>
      </c>
      <c r="B382" s="1">
        <f ca="1">IFERROR(__xludf.UNSUPPORTED("""COMPUTED_VALUE"""),208.25)</f>
        <v>208.25</v>
      </c>
      <c r="C382" s="2">
        <f t="shared" ca="1" si="1"/>
        <v>-1.1627906976744132E-2</v>
      </c>
    </row>
    <row r="383" spans="1:3">
      <c r="A383" s="3">
        <f ca="1">IFERROR(__xludf.UNSUPPORTED("""COMPUTED_VALUE"""),44020.6666666666)</f>
        <v>44020.666666666599</v>
      </c>
      <c r="B383" s="1">
        <f ca="1">IFERROR(__xludf.UNSUPPORTED("""COMPUTED_VALUE"""),212.83)</f>
        <v>212.83</v>
      </c>
      <c r="C383" s="2">
        <f t="shared" ca="1" si="1"/>
        <v>2.19927971188476E-2</v>
      </c>
    </row>
    <row r="384" spans="1:3">
      <c r="A384" s="3">
        <f ca="1">IFERROR(__xludf.UNSUPPORTED("""COMPUTED_VALUE"""),44021.6666666666)</f>
        <v>44021.666666666599</v>
      </c>
      <c r="B384" s="1">
        <f ca="1">IFERROR(__xludf.UNSUPPORTED("""COMPUTED_VALUE"""),214.32)</f>
        <v>214.32</v>
      </c>
      <c r="C384" s="2">
        <f t="shared" ca="1" si="1"/>
        <v>7.0008927312877915E-3</v>
      </c>
    </row>
    <row r="385" spans="1:3">
      <c r="A385" s="3">
        <f ca="1">IFERROR(__xludf.UNSUPPORTED("""COMPUTED_VALUE"""),44022.6666666666)</f>
        <v>44022.666666666599</v>
      </c>
      <c r="B385" s="1">
        <f ca="1">IFERROR(__xludf.UNSUPPORTED("""COMPUTED_VALUE"""),213.67)</f>
        <v>213.67</v>
      </c>
      <c r="C385" s="2">
        <f t="shared" ca="1" si="1"/>
        <v>-3.0328480776409374E-3</v>
      </c>
    </row>
    <row r="386" spans="1:3">
      <c r="A386" s="3">
        <f ca="1">IFERROR(__xludf.UNSUPPORTED("""COMPUTED_VALUE"""),44025.6666666666)</f>
        <v>44025.666666666599</v>
      </c>
      <c r="B386" s="1">
        <f ca="1">IFERROR(__xludf.UNSUPPORTED("""COMPUTED_VALUE"""),207.07)</f>
        <v>207.07</v>
      </c>
      <c r="C386" s="2">
        <f t="shared" ca="1" si="1"/>
        <v>-3.0888753685589902E-2</v>
      </c>
    </row>
    <row r="387" spans="1:3">
      <c r="A387" s="3">
        <f ca="1">IFERROR(__xludf.UNSUPPORTED("""COMPUTED_VALUE"""),44026.6666666666)</f>
        <v>44026.666666666599</v>
      </c>
      <c r="B387" s="1">
        <f ca="1">IFERROR(__xludf.UNSUPPORTED("""COMPUTED_VALUE"""),208.35)</f>
        <v>208.35</v>
      </c>
      <c r="C387" s="2">
        <f t="shared" ca="1" si="1"/>
        <v>6.1814845221422766E-3</v>
      </c>
    </row>
    <row r="388" spans="1:3">
      <c r="A388" s="3">
        <f ca="1">IFERROR(__xludf.UNSUPPORTED("""COMPUTED_VALUE"""),44027.6666666666)</f>
        <v>44027.666666666599</v>
      </c>
      <c r="B388" s="1">
        <f ca="1">IFERROR(__xludf.UNSUPPORTED("""COMPUTED_VALUE"""),208.04)</f>
        <v>208.04</v>
      </c>
      <c r="C388" s="2">
        <f t="shared" ca="1" si="1"/>
        <v>-1.4878809695224491E-3</v>
      </c>
    </row>
    <row r="389" spans="1:3">
      <c r="A389" s="3">
        <f ca="1">IFERROR(__xludf.UNSUPPORTED("""COMPUTED_VALUE"""),44028.6666666666)</f>
        <v>44028.666666666599</v>
      </c>
      <c r="B389" s="1">
        <f ca="1">IFERROR(__xludf.UNSUPPORTED("""COMPUTED_VALUE"""),203.92)</f>
        <v>203.92</v>
      </c>
      <c r="C389" s="2">
        <f t="shared" ca="1" si="1"/>
        <v>-1.9803883868486853E-2</v>
      </c>
    </row>
    <row r="390" spans="1:3">
      <c r="A390" s="3">
        <f ca="1">IFERROR(__xludf.UNSUPPORTED("""COMPUTED_VALUE"""),44029.6666666666)</f>
        <v>44029.666666666599</v>
      </c>
      <c r="B390" s="1">
        <f ca="1">IFERROR(__xludf.UNSUPPORTED("""COMPUTED_VALUE"""),202.88)</f>
        <v>202.88</v>
      </c>
      <c r="C390" s="2">
        <f t="shared" ca="1" si="1"/>
        <v>-5.1000392310709694E-3</v>
      </c>
    </row>
    <row r="391" spans="1:3">
      <c r="A391" s="3">
        <f ca="1">IFERROR(__xludf.UNSUPPORTED("""COMPUTED_VALUE"""),44032.6666666666)</f>
        <v>44032.666666666599</v>
      </c>
      <c r="B391" s="1">
        <f ca="1">IFERROR(__xludf.UNSUPPORTED("""COMPUTED_VALUE"""),211.6)</f>
        <v>211.6</v>
      </c>
      <c r="C391" s="2">
        <f t="shared" ca="1" si="1"/>
        <v>4.2981072555205044E-2</v>
      </c>
    </row>
    <row r="392" spans="1:3">
      <c r="A392" s="3">
        <f ca="1">IFERROR(__xludf.UNSUPPORTED("""COMPUTED_VALUE"""),44033.6666666666)</f>
        <v>44033.666666666599</v>
      </c>
      <c r="B392" s="1">
        <f ca="1">IFERROR(__xludf.UNSUPPORTED("""COMPUTED_VALUE"""),208.75)</f>
        <v>208.75</v>
      </c>
      <c r="C392" s="2">
        <f t="shared" ca="1" si="1"/>
        <v>-1.3468809073723982E-2</v>
      </c>
    </row>
    <row r="393" spans="1:3">
      <c r="A393" s="3">
        <f ca="1">IFERROR(__xludf.UNSUPPORTED("""COMPUTED_VALUE"""),44034.6666666666)</f>
        <v>44034.666666666599</v>
      </c>
      <c r="B393" s="1">
        <f ca="1">IFERROR(__xludf.UNSUPPORTED("""COMPUTED_VALUE"""),211.75)</f>
        <v>211.75</v>
      </c>
      <c r="C393" s="2">
        <f t="shared" ca="1" si="1"/>
        <v>1.437125748502994E-2</v>
      </c>
    </row>
    <row r="394" spans="1:3">
      <c r="A394" s="3">
        <f ca="1">IFERROR(__xludf.UNSUPPORTED("""COMPUTED_VALUE"""),44035.6666666666)</f>
        <v>44035.666666666599</v>
      </c>
      <c r="B394" s="1">
        <f ca="1">IFERROR(__xludf.UNSUPPORTED("""COMPUTED_VALUE"""),202.54)</f>
        <v>202.54</v>
      </c>
      <c r="C394" s="2">
        <f t="shared" ca="1" si="1"/>
        <v>-4.3494687131050806E-2</v>
      </c>
    </row>
    <row r="395" spans="1:3">
      <c r="A395" s="3">
        <f ca="1">IFERROR(__xludf.UNSUPPORTED("""COMPUTED_VALUE"""),44036.6666666666)</f>
        <v>44036.666666666599</v>
      </c>
      <c r="B395" s="1">
        <f ca="1">IFERROR(__xludf.UNSUPPORTED("""COMPUTED_VALUE"""),201.3)</f>
        <v>201.3</v>
      </c>
      <c r="C395" s="2">
        <f t="shared" ca="1" si="1"/>
        <v>-6.1222474572922916E-3</v>
      </c>
    </row>
    <row r="396" spans="1:3">
      <c r="A396" s="3">
        <f ca="1">IFERROR(__xludf.UNSUPPORTED("""COMPUTED_VALUE"""),44039.6666666666)</f>
        <v>44039.666666666599</v>
      </c>
      <c r="B396" s="1">
        <f ca="1">IFERROR(__xludf.UNSUPPORTED("""COMPUTED_VALUE"""),203.85)</f>
        <v>203.85</v>
      </c>
      <c r="C396" s="2">
        <f t="shared" ca="1" si="1"/>
        <v>1.266766020864373E-2</v>
      </c>
    </row>
    <row r="397" spans="1:3">
      <c r="A397" s="3">
        <f ca="1">IFERROR(__xludf.UNSUPPORTED("""COMPUTED_VALUE"""),44040.6666666666)</f>
        <v>44040.666666666599</v>
      </c>
      <c r="B397" s="1">
        <f ca="1">IFERROR(__xludf.UNSUPPORTED("""COMPUTED_VALUE"""),202.02)</f>
        <v>202.02</v>
      </c>
      <c r="C397" s="2">
        <f t="shared" ca="1" si="1"/>
        <v>-8.9771891096393636E-3</v>
      </c>
    </row>
    <row r="398" spans="1:3">
      <c r="A398" s="3">
        <f ca="1">IFERROR(__xludf.UNSUPPORTED("""COMPUTED_VALUE"""),44041.6666666666)</f>
        <v>44041.666666666599</v>
      </c>
      <c r="B398" s="1">
        <f ca="1">IFERROR(__xludf.UNSUPPORTED("""COMPUTED_VALUE"""),204.06)</f>
        <v>204.06</v>
      </c>
      <c r="C398" s="2">
        <f t="shared" ca="1" si="1"/>
        <v>1.0098010098010058E-2</v>
      </c>
    </row>
    <row r="399" spans="1:3">
      <c r="A399" s="3">
        <f ca="1">IFERROR(__xludf.UNSUPPORTED("""COMPUTED_VALUE"""),44042.6666666666)</f>
        <v>44042.666666666599</v>
      </c>
      <c r="B399" s="1">
        <f ca="1">IFERROR(__xludf.UNSUPPORTED("""COMPUTED_VALUE"""),203.9)</f>
        <v>203.9</v>
      </c>
      <c r="C399" s="2">
        <f t="shared" ca="1" si="1"/>
        <v>-7.8408311280994116E-4</v>
      </c>
    </row>
    <row r="400" spans="1:3">
      <c r="A400" s="3">
        <f ca="1">IFERROR(__xludf.UNSUPPORTED("""COMPUTED_VALUE"""),44043.6666666666)</f>
        <v>44043.666666666599</v>
      </c>
      <c r="B400" s="1">
        <f ca="1">IFERROR(__xludf.UNSUPPORTED("""COMPUTED_VALUE"""),205.01)</f>
        <v>205.01</v>
      </c>
      <c r="C400" s="2">
        <f t="shared" ca="1" si="1"/>
        <v>5.4438450220695694E-3</v>
      </c>
    </row>
    <row r="401" spans="1:3">
      <c r="A401" s="3">
        <f ca="1">IFERROR(__xludf.UNSUPPORTED("""COMPUTED_VALUE"""),44046.6666666666)</f>
        <v>44046.666666666599</v>
      </c>
      <c r="B401" s="1">
        <f ca="1">IFERROR(__xludf.UNSUPPORTED("""COMPUTED_VALUE"""),216.54)</f>
        <v>216.54</v>
      </c>
      <c r="C401" s="2">
        <f t="shared" ca="1" si="1"/>
        <v>5.6241158967855233E-2</v>
      </c>
    </row>
    <row r="402" spans="1:3">
      <c r="A402" s="3">
        <f ca="1">IFERROR(__xludf.UNSUPPORTED("""COMPUTED_VALUE"""),44047.6666666666)</f>
        <v>44047.666666666599</v>
      </c>
      <c r="B402" s="1">
        <f ca="1">IFERROR(__xludf.UNSUPPORTED("""COMPUTED_VALUE"""),213.29)</f>
        <v>213.29</v>
      </c>
      <c r="C402" s="2">
        <f t="shared" ca="1" si="1"/>
        <v>-1.5008774360395308E-2</v>
      </c>
    </row>
    <row r="403" spans="1:3">
      <c r="A403" s="3">
        <f ca="1">IFERROR(__xludf.UNSUPPORTED("""COMPUTED_VALUE"""),44048.6666666666)</f>
        <v>44048.666666666599</v>
      </c>
      <c r="B403" s="1">
        <f ca="1">IFERROR(__xludf.UNSUPPORTED("""COMPUTED_VALUE"""),212.94)</f>
        <v>212.94</v>
      </c>
      <c r="C403" s="2">
        <f t="shared" ca="1" si="1"/>
        <v>-1.640958319658654E-3</v>
      </c>
    </row>
    <row r="404" spans="1:3">
      <c r="A404" s="3">
        <f ca="1">IFERROR(__xludf.UNSUPPORTED("""COMPUTED_VALUE"""),44049.6666666666)</f>
        <v>44049.666666666599</v>
      </c>
      <c r="B404" s="1">
        <f ca="1">IFERROR(__xludf.UNSUPPORTED("""COMPUTED_VALUE"""),216.35)</f>
        <v>216.35</v>
      </c>
      <c r="C404" s="2">
        <f t="shared" ca="1" si="1"/>
        <v>1.6013900629285229E-2</v>
      </c>
    </row>
    <row r="405" spans="1:3">
      <c r="A405" s="3">
        <f ca="1">IFERROR(__xludf.UNSUPPORTED("""COMPUTED_VALUE"""),44050.6666666666)</f>
        <v>44050.666666666599</v>
      </c>
      <c r="B405" s="1">
        <f ca="1">IFERROR(__xludf.UNSUPPORTED("""COMPUTED_VALUE"""),212.48)</f>
        <v>212.48</v>
      </c>
      <c r="C405" s="2">
        <f t="shared" ca="1" si="1"/>
        <v>-1.7887681996764524E-2</v>
      </c>
    </row>
    <row r="406" spans="1:3">
      <c r="A406" s="3">
        <f ca="1">IFERROR(__xludf.UNSUPPORTED("""COMPUTED_VALUE"""),44053.6666666666)</f>
        <v>44053.666666666599</v>
      </c>
      <c r="B406" s="1">
        <f ca="1">IFERROR(__xludf.UNSUPPORTED("""COMPUTED_VALUE"""),208.25)</f>
        <v>208.25</v>
      </c>
      <c r="C406" s="2">
        <f t="shared" ca="1" si="1"/>
        <v>-1.9907756024096338E-2</v>
      </c>
    </row>
    <row r="407" spans="1:3">
      <c r="A407" s="3">
        <f ca="1">IFERROR(__xludf.UNSUPPORTED("""COMPUTED_VALUE"""),44054.6666666666)</f>
        <v>44054.666666666599</v>
      </c>
      <c r="B407" s="1">
        <f ca="1">IFERROR(__xludf.UNSUPPORTED("""COMPUTED_VALUE"""),203.38)</f>
        <v>203.38</v>
      </c>
      <c r="C407" s="2">
        <f t="shared" ca="1" si="1"/>
        <v>-2.3385354141656683E-2</v>
      </c>
    </row>
    <row r="408" spans="1:3">
      <c r="A408" s="3">
        <f ca="1">IFERROR(__xludf.UNSUPPORTED("""COMPUTED_VALUE"""),44055.6666666666)</f>
        <v>44055.666666666599</v>
      </c>
      <c r="B408" s="1">
        <f ca="1">IFERROR(__xludf.UNSUPPORTED("""COMPUTED_VALUE"""),209.19)</f>
        <v>209.19</v>
      </c>
      <c r="C408" s="2">
        <f t="shared" ca="1" si="1"/>
        <v>2.8567214082013976E-2</v>
      </c>
    </row>
    <row r="409" spans="1:3">
      <c r="A409" s="3">
        <f ca="1">IFERROR(__xludf.UNSUPPORTED("""COMPUTED_VALUE"""),44056.6666666666)</f>
        <v>44056.666666666599</v>
      </c>
      <c r="B409" s="1">
        <f ca="1">IFERROR(__xludf.UNSUPPORTED("""COMPUTED_VALUE"""),208.7)</f>
        <v>208.7</v>
      </c>
      <c r="C409" s="2">
        <f t="shared" ca="1" si="1"/>
        <v>-2.3423681820355135E-3</v>
      </c>
    </row>
    <row r="410" spans="1:3">
      <c r="A410" s="3">
        <f ca="1">IFERROR(__xludf.UNSUPPORTED("""COMPUTED_VALUE"""),44057.6666666666)</f>
        <v>44057.666666666599</v>
      </c>
      <c r="B410" s="1">
        <f ca="1">IFERROR(__xludf.UNSUPPORTED("""COMPUTED_VALUE"""),208.9)</f>
        <v>208.9</v>
      </c>
      <c r="C410" s="2">
        <f t="shared" ca="1" si="1"/>
        <v>9.5831336847157196E-4</v>
      </c>
    </row>
    <row r="411" spans="1:3">
      <c r="A411" s="3">
        <f ca="1">IFERROR(__xludf.UNSUPPORTED("""COMPUTED_VALUE"""),44060.6666666666)</f>
        <v>44060.666666666599</v>
      </c>
      <c r="B411" s="1">
        <f ca="1">IFERROR(__xludf.UNSUPPORTED("""COMPUTED_VALUE"""),210.28)</f>
        <v>210.28</v>
      </c>
      <c r="C411" s="2">
        <f t="shared" ca="1" si="1"/>
        <v>6.6060315940641235E-3</v>
      </c>
    </row>
    <row r="412" spans="1:3">
      <c r="A412" s="3">
        <f ca="1">IFERROR(__xludf.UNSUPPORTED("""COMPUTED_VALUE"""),44061.6666666666)</f>
        <v>44061.666666666599</v>
      </c>
      <c r="B412" s="1">
        <f ca="1">IFERROR(__xludf.UNSUPPORTED("""COMPUTED_VALUE"""),211.49)</f>
        <v>211.49</v>
      </c>
      <c r="C412" s="2">
        <f t="shared" ca="1" si="1"/>
        <v>5.7542324519688414E-3</v>
      </c>
    </row>
    <row r="413" spans="1:3">
      <c r="A413" s="3">
        <f ca="1">IFERROR(__xludf.UNSUPPORTED("""COMPUTED_VALUE"""),44062.6666666666)</f>
        <v>44062.666666666599</v>
      </c>
      <c r="B413" s="1">
        <f ca="1">IFERROR(__xludf.UNSUPPORTED("""COMPUTED_VALUE"""),209.7)</f>
        <v>209.7</v>
      </c>
      <c r="C413" s="2">
        <f t="shared" ca="1" si="1"/>
        <v>-8.4637571516384714E-3</v>
      </c>
    </row>
    <row r="414" spans="1:3">
      <c r="A414" s="3">
        <f ca="1">IFERROR(__xludf.UNSUPPORTED("""COMPUTED_VALUE"""),44063.6666666666)</f>
        <v>44063.666666666599</v>
      </c>
      <c r="B414" s="1">
        <f ca="1">IFERROR(__xludf.UNSUPPORTED("""COMPUTED_VALUE"""),214.58)</f>
        <v>214.58</v>
      </c>
      <c r="C414" s="2">
        <f t="shared" ca="1" si="1"/>
        <v>2.3271340009537549E-2</v>
      </c>
    </row>
    <row r="415" spans="1:3">
      <c r="A415" s="3">
        <f ca="1">IFERROR(__xludf.UNSUPPORTED("""COMPUTED_VALUE"""),44064.6666666666)</f>
        <v>44064.666666666599</v>
      </c>
      <c r="B415" s="1">
        <f ca="1">IFERROR(__xludf.UNSUPPORTED("""COMPUTED_VALUE"""),213.02)</f>
        <v>213.02</v>
      </c>
      <c r="C415" s="2">
        <f t="shared" ca="1" si="1"/>
        <v>-7.2700158449063388E-3</v>
      </c>
    </row>
    <row r="416" spans="1:3">
      <c r="A416" s="3">
        <f ca="1">IFERROR(__xludf.UNSUPPORTED("""COMPUTED_VALUE"""),44067.6666666666)</f>
        <v>44067.666666666599</v>
      </c>
      <c r="B416" s="1">
        <f ca="1">IFERROR(__xludf.UNSUPPORTED("""COMPUTED_VALUE"""),213.69)</f>
        <v>213.69</v>
      </c>
      <c r="C416" s="2">
        <f t="shared" ca="1" si="1"/>
        <v>3.1452445779738404E-3</v>
      </c>
    </row>
    <row r="417" spans="1:3">
      <c r="A417" s="3">
        <f ca="1">IFERROR(__xludf.UNSUPPORTED("""COMPUTED_VALUE"""),44068.6666666666)</f>
        <v>44068.666666666599</v>
      </c>
      <c r="B417" s="1">
        <f ca="1">IFERROR(__xludf.UNSUPPORTED("""COMPUTED_VALUE"""),216.47)</f>
        <v>216.47</v>
      </c>
      <c r="C417" s="2">
        <f t="shared" ca="1" si="1"/>
        <v>1.3009499742617817E-2</v>
      </c>
    </row>
    <row r="418" spans="1:3">
      <c r="A418" s="3">
        <f ca="1">IFERROR(__xludf.UNSUPPORTED("""COMPUTED_VALUE"""),44069.6666666666)</f>
        <v>44069.666666666599</v>
      </c>
      <c r="B418" s="1">
        <f ca="1">IFERROR(__xludf.UNSUPPORTED("""COMPUTED_VALUE"""),221.15)</f>
        <v>221.15</v>
      </c>
      <c r="C418" s="2">
        <f t="shared" ca="1" si="1"/>
        <v>2.1619623966369506E-2</v>
      </c>
    </row>
    <row r="419" spans="1:3">
      <c r="A419" s="3">
        <f ca="1">IFERROR(__xludf.UNSUPPORTED("""COMPUTED_VALUE"""),44070.6666666666)</f>
        <v>44070.666666666599</v>
      </c>
      <c r="B419" s="1">
        <f ca="1">IFERROR(__xludf.UNSUPPORTED("""COMPUTED_VALUE"""),226.58)</f>
        <v>226.58</v>
      </c>
      <c r="C419" s="2">
        <f t="shared" ca="1" si="1"/>
        <v>2.4553470495139076E-2</v>
      </c>
    </row>
    <row r="420" spans="1:3">
      <c r="A420" s="3">
        <f ca="1">IFERROR(__xludf.UNSUPPORTED("""COMPUTED_VALUE"""),44071.6666666666)</f>
        <v>44071.666666666599</v>
      </c>
      <c r="B420" s="1">
        <f ca="1">IFERROR(__xludf.UNSUPPORTED("""COMPUTED_VALUE"""),228.91)</f>
        <v>228.91</v>
      </c>
      <c r="C420" s="2">
        <f t="shared" ca="1" si="1"/>
        <v>1.0283343631388402E-2</v>
      </c>
    </row>
    <row r="421" spans="1:3">
      <c r="A421" s="3">
        <f ca="1">IFERROR(__xludf.UNSUPPORTED("""COMPUTED_VALUE"""),44074.6666666666)</f>
        <v>44074.666666666599</v>
      </c>
      <c r="B421" s="1">
        <f ca="1">IFERROR(__xludf.UNSUPPORTED("""COMPUTED_VALUE"""),225.53)</f>
        <v>225.53</v>
      </c>
      <c r="C421" s="2">
        <f t="shared" ca="1" si="1"/>
        <v>-1.4765628412913352E-2</v>
      </c>
    </row>
    <row r="422" spans="1:3">
      <c r="A422" s="3">
        <f ca="1">IFERROR(__xludf.UNSUPPORTED("""COMPUTED_VALUE"""),44075.6666666666)</f>
        <v>44075.666666666599</v>
      </c>
      <c r="B422" s="1">
        <f ca="1">IFERROR(__xludf.UNSUPPORTED("""COMPUTED_VALUE"""),227.27)</f>
        <v>227.27</v>
      </c>
      <c r="C422" s="2">
        <f t="shared" ca="1" si="1"/>
        <v>7.7151598456968434E-3</v>
      </c>
    </row>
    <row r="423" spans="1:3">
      <c r="A423" s="3">
        <f ca="1">IFERROR(__xludf.UNSUPPORTED("""COMPUTED_VALUE"""),44076.6666666666)</f>
        <v>44076.666666666599</v>
      </c>
      <c r="B423" s="1">
        <f ca="1">IFERROR(__xludf.UNSUPPORTED("""COMPUTED_VALUE"""),231.65)</f>
        <v>231.65</v>
      </c>
      <c r="C423" s="2">
        <f t="shared" ca="1" si="1"/>
        <v>1.9272231266775179E-2</v>
      </c>
    </row>
    <row r="424" spans="1:3">
      <c r="A424" s="3">
        <f ca="1">IFERROR(__xludf.UNSUPPORTED("""COMPUTED_VALUE"""),44077.6666666666)</f>
        <v>44077.666666666599</v>
      </c>
      <c r="B424" s="1">
        <f ca="1">IFERROR(__xludf.UNSUPPORTED("""COMPUTED_VALUE"""),217.3)</f>
        <v>217.3</v>
      </c>
      <c r="C424" s="2">
        <f t="shared" ca="1" si="1"/>
        <v>-6.1946902654867228E-2</v>
      </c>
    </row>
    <row r="425" spans="1:3">
      <c r="A425" s="3">
        <f ca="1">IFERROR(__xludf.UNSUPPORTED("""COMPUTED_VALUE"""),44078.6666666666)</f>
        <v>44078.666666666599</v>
      </c>
      <c r="B425" s="1">
        <f ca="1">IFERROR(__xludf.UNSUPPORTED("""COMPUTED_VALUE"""),214.25)</f>
        <v>214.25</v>
      </c>
      <c r="C425" s="2">
        <f t="shared" ca="1" si="1"/>
        <v>-1.4035895075931943E-2</v>
      </c>
    </row>
    <row r="426" spans="1:3">
      <c r="A426" s="3">
        <f ca="1">IFERROR(__xludf.UNSUPPORTED("""COMPUTED_VALUE"""),44082.6666666666)</f>
        <v>44082.666666666599</v>
      </c>
      <c r="B426" s="1">
        <f ca="1">IFERROR(__xludf.UNSUPPORTED("""COMPUTED_VALUE"""),202.66)</f>
        <v>202.66</v>
      </c>
      <c r="C426" s="2">
        <f t="shared" ca="1" si="1"/>
        <v>-5.4095682613768979E-2</v>
      </c>
    </row>
    <row r="427" spans="1:3">
      <c r="A427" s="3">
        <f ca="1">IFERROR(__xludf.UNSUPPORTED("""COMPUTED_VALUE"""),44083.6666666666)</f>
        <v>44083.666666666599</v>
      </c>
      <c r="B427" s="1">
        <f ca="1">IFERROR(__xludf.UNSUPPORTED("""COMPUTED_VALUE"""),211.29)</f>
        <v>211.29</v>
      </c>
      <c r="C427" s="2">
        <f t="shared" ca="1" si="1"/>
        <v>4.258363761965852E-2</v>
      </c>
    </row>
    <row r="428" spans="1:3">
      <c r="A428" s="3">
        <f ca="1">IFERROR(__xludf.UNSUPPORTED("""COMPUTED_VALUE"""),44084.6666666666)</f>
        <v>44084.666666666599</v>
      </c>
      <c r="B428" s="1">
        <f ca="1">IFERROR(__xludf.UNSUPPORTED("""COMPUTED_VALUE"""),205.37)</f>
        <v>205.37</v>
      </c>
      <c r="C428" s="2">
        <f t="shared" ca="1" si="1"/>
        <v>-2.8018363386814273E-2</v>
      </c>
    </row>
    <row r="429" spans="1:3">
      <c r="A429" s="3">
        <f ca="1">IFERROR(__xludf.UNSUPPORTED("""COMPUTED_VALUE"""),44085.6666666666)</f>
        <v>44085.666666666599</v>
      </c>
      <c r="B429" s="1">
        <f ca="1">IFERROR(__xludf.UNSUPPORTED("""COMPUTED_VALUE"""),204.03)</f>
        <v>204.03</v>
      </c>
      <c r="C429" s="2">
        <f t="shared" ca="1" si="1"/>
        <v>-6.5248088815309116E-3</v>
      </c>
    </row>
    <row r="430" spans="1:3">
      <c r="A430" s="3">
        <f ca="1">IFERROR(__xludf.UNSUPPORTED("""COMPUTED_VALUE"""),44088.6666666666)</f>
        <v>44088.666666666599</v>
      </c>
      <c r="B430" s="1">
        <f ca="1">IFERROR(__xludf.UNSUPPORTED("""COMPUTED_VALUE"""),205.41)</f>
        <v>205.41</v>
      </c>
      <c r="C430" s="2">
        <f t="shared" ca="1" si="1"/>
        <v>6.7637112189383687E-3</v>
      </c>
    </row>
    <row r="431" spans="1:3">
      <c r="A431" s="3">
        <f ca="1">IFERROR(__xludf.UNSUPPORTED("""COMPUTED_VALUE"""),44089.6666666666)</f>
        <v>44089.666666666599</v>
      </c>
      <c r="B431" s="1">
        <f ca="1">IFERROR(__xludf.UNSUPPORTED("""COMPUTED_VALUE"""),208.78)</f>
        <v>208.78</v>
      </c>
      <c r="C431" s="2">
        <f t="shared" ca="1" si="1"/>
        <v>1.6406211966311302E-2</v>
      </c>
    </row>
    <row r="432" spans="1:3">
      <c r="A432" s="3">
        <f ca="1">IFERROR(__xludf.UNSUPPORTED("""COMPUTED_VALUE"""),44090.6666666666)</f>
        <v>44090.666666666599</v>
      </c>
      <c r="B432" s="1">
        <f ca="1">IFERROR(__xludf.UNSUPPORTED("""COMPUTED_VALUE"""),205.05)</f>
        <v>205.05</v>
      </c>
      <c r="C432" s="2">
        <f t="shared" ca="1" si="1"/>
        <v>-1.7865695947887679E-2</v>
      </c>
    </row>
    <row r="433" spans="1:3">
      <c r="A433" s="3">
        <f ca="1">IFERROR(__xludf.UNSUPPORTED("""COMPUTED_VALUE"""),44091.6666666666)</f>
        <v>44091.666666666599</v>
      </c>
      <c r="B433" s="1">
        <f ca="1">IFERROR(__xludf.UNSUPPORTED("""COMPUTED_VALUE"""),202.91)</f>
        <v>202.91</v>
      </c>
      <c r="C433" s="2">
        <f t="shared" ca="1" si="1"/>
        <v>-1.0436478907583587E-2</v>
      </c>
    </row>
    <row r="434" spans="1:3">
      <c r="A434" s="3">
        <f ca="1">IFERROR(__xludf.UNSUPPORTED("""COMPUTED_VALUE"""),44092.6666666666)</f>
        <v>44092.666666666599</v>
      </c>
      <c r="B434" s="1">
        <f ca="1">IFERROR(__xludf.UNSUPPORTED("""COMPUTED_VALUE"""),200.39)</f>
        <v>200.39</v>
      </c>
      <c r="C434" s="2">
        <f t="shared" ca="1" si="1"/>
        <v>-1.2419299196688237E-2</v>
      </c>
    </row>
    <row r="435" spans="1:3">
      <c r="A435" s="3">
        <f ca="1">IFERROR(__xludf.UNSUPPORTED("""COMPUTED_VALUE"""),44095.6666666666)</f>
        <v>44095.666666666599</v>
      </c>
      <c r="B435" s="1">
        <f ca="1">IFERROR(__xludf.UNSUPPORTED("""COMPUTED_VALUE"""),202.54)</f>
        <v>202.54</v>
      </c>
      <c r="C435" s="2">
        <f t="shared" ca="1" si="1"/>
        <v>1.0729078297320255E-2</v>
      </c>
    </row>
    <row r="436" spans="1:3">
      <c r="A436" s="3">
        <f ca="1">IFERROR(__xludf.UNSUPPORTED("""COMPUTED_VALUE"""),44096.6666666666)</f>
        <v>44096.666666666599</v>
      </c>
      <c r="B436" s="1">
        <f ca="1">IFERROR(__xludf.UNSUPPORTED("""COMPUTED_VALUE"""),207.42)</f>
        <v>207.42</v>
      </c>
      <c r="C436" s="2">
        <f t="shared" ca="1" si="1"/>
        <v>2.4094006122247436E-2</v>
      </c>
    </row>
    <row r="437" spans="1:3">
      <c r="A437" s="3">
        <f ca="1">IFERROR(__xludf.UNSUPPORTED("""COMPUTED_VALUE"""),44097.6666666666)</f>
        <v>44097.666666666599</v>
      </c>
      <c r="B437" s="1">
        <f ca="1">IFERROR(__xludf.UNSUPPORTED("""COMPUTED_VALUE"""),200.59)</f>
        <v>200.59</v>
      </c>
      <c r="C437" s="2">
        <f t="shared" ca="1" si="1"/>
        <v>-3.2928357921126146E-2</v>
      </c>
    </row>
    <row r="438" spans="1:3">
      <c r="A438" s="3">
        <f ca="1">IFERROR(__xludf.UNSUPPORTED("""COMPUTED_VALUE"""),44098.6666666666)</f>
        <v>44098.666666666599</v>
      </c>
      <c r="B438" s="1">
        <f ca="1">IFERROR(__xludf.UNSUPPORTED("""COMPUTED_VALUE"""),203.19)</f>
        <v>203.19</v>
      </c>
      <c r="C438" s="2">
        <f t="shared" ca="1" si="1"/>
        <v>1.2961762799740735E-2</v>
      </c>
    </row>
    <row r="439" spans="1:3">
      <c r="A439" s="3">
        <f ca="1">IFERROR(__xludf.UNSUPPORTED("""COMPUTED_VALUE"""),44099.6666666666)</f>
        <v>44099.666666666599</v>
      </c>
      <c r="B439" s="1">
        <f ca="1">IFERROR(__xludf.UNSUPPORTED("""COMPUTED_VALUE"""),207.82)</f>
        <v>207.82</v>
      </c>
      <c r="C439" s="2">
        <f t="shared" ca="1" si="1"/>
        <v>2.2786554456420076E-2</v>
      </c>
    </row>
    <row r="440" spans="1:3">
      <c r="A440" s="3">
        <f ca="1">IFERROR(__xludf.UNSUPPORTED("""COMPUTED_VALUE"""),44102.6666666666)</f>
        <v>44102.666666666599</v>
      </c>
      <c r="B440" s="1">
        <f ca="1">IFERROR(__xludf.UNSUPPORTED("""COMPUTED_VALUE"""),209.44)</f>
        <v>209.44</v>
      </c>
      <c r="C440" s="2">
        <f t="shared" ca="1" si="1"/>
        <v>7.7952073910114742E-3</v>
      </c>
    </row>
    <row r="441" spans="1:3">
      <c r="A441" s="3">
        <f ca="1">IFERROR(__xludf.UNSUPPORTED("""COMPUTED_VALUE"""),44103.6666666666)</f>
        <v>44103.666666666599</v>
      </c>
      <c r="B441" s="1">
        <f ca="1">IFERROR(__xludf.UNSUPPORTED("""COMPUTED_VALUE"""),207.26)</f>
        <v>207.26</v>
      </c>
      <c r="C441" s="2">
        <f t="shared" ca="1" si="1"/>
        <v>-1.0408708938120735E-2</v>
      </c>
    </row>
    <row r="442" spans="1:3">
      <c r="A442" s="3">
        <f ca="1">IFERROR(__xludf.UNSUPPORTED("""COMPUTED_VALUE"""),44104.6666666666)</f>
        <v>44104.666666666599</v>
      </c>
      <c r="B442" s="1">
        <f ca="1">IFERROR(__xludf.UNSUPPORTED("""COMPUTED_VALUE"""),210.33)</f>
        <v>210.33</v>
      </c>
      <c r="C442" s="2">
        <f t="shared" ca="1" si="1"/>
        <v>1.481231303676552E-2</v>
      </c>
    </row>
    <row r="443" spans="1:3">
      <c r="A443" s="3">
        <f ca="1">IFERROR(__xludf.UNSUPPORTED("""COMPUTED_VALUE"""),44105.6666666666)</f>
        <v>44105.666666666599</v>
      </c>
      <c r="B443" s="1">
        <f ca="1">IFERROR(__xludf.UNSUPPORTED("""COMPUTED_VALUE"""),212.46)</f>
        <v>212.46</v>
      </c>
      <c r="C443" s="2">
        <f t="shared" ca="1" si="1"/>
        <v>1.0126943374696882E-2</v>
      </c>
    </row>
    <row r="444" spans="1:3">
      <c r="A444" s="3">
        <f ca="1">IFERROR(__xludf.UNSUPPORTED("""COMPUTED_VALUE"""),44106.6666666666)</f>
        <v>44106.666666666599</v>
      </c>
      <c r="B444" s="1">
        <f ca="1">IFERROR(__xludf.UNSUPPORTED("""COMPUTED_VALUE"""),206.19)</f>
        <v>206.19</v>
      </c>
      <c r="C444" s="2">
        <f t="shared" ca="1" si="1"/>
        <v>-2.9511437447048903E-2</v>
      </c>
    </row>
    <row r="445" spans="1:3">
      <c r="A445" s="3">
        <f ca="1">IFERROR(__xludf.UNSUPPORTED("""COMPUTED_VALUE"""),44109.6666666666)</f>
        <v>44109.666666666599</v>
      </c>
      <c r="B445" s="1">
        <f ca="1">IFERROR(__xludf.UNSUPPORTED("""COMPUTED_VALUE"""),210.38)</f>
        <v>210.38</v>
      </c>
      <c r="C445" s="2">
        <f t="shared" ca="1" si="1"/>
        <v>2.0321063097143401E-2</v>
      </c>
    </row>
    <row r="446" spans="1:3">
      <c r="A446" s="3">
        <f ca="1">IFERROR(__xludf.UNSUPPORTED("""COMPUTED_VALUE"""),44110.6666666666)</f>
        <v>44110.666666666599</v>
      </c>
      <c r="B446" s="1">
        <f ca="1">IFERROR(__xludf.UNSUPPORTED("""COMPUTED_VALUE"""),205.91)</f>
        <v>205.91</v>
      </c>
      <c r="C446" s="2">
        <f t="shared" ca="1" si="1"/>
        <v>-2.1247266850461067E-2</v>
      </c>
    </row>
    <row r="447" spans="1:3">
      <c r="A447" s="3">
        <f ca="1">IFERROR(__xludf.UNSUPPORTED("""COMPUTED_VALUE"""),44111.6666666666)</f>
        <v>44111.666666666599</v>
      </c>
      <c r="B447" s="1">
        <f ca="1">IFERROR(__xludf.UNSUPPORTED("""COMPUTED_VALUE"""),209.83)</f>
        <v>209.83</v>
      </c>
      <c r="C447" s="2">
        <f t="shared" ca="1" si="1"/>
        <v>1.9037443543295691E-2</v>
      </c>
    </row>
    <row r="448" spans="1:3">
      <c r="A448" s="3">
        <f ca="1">IFERROR(__xludf.UNSUPPORTED("""COMPUTED_VALUE"""),44112.6666666666)</f>
        <v>44112.666666666599</v>
      </c>
      <c r="B448" s="1">
        <f ca="1">IFERROR(__xludf.UNSUPPORTED("""COMPUTED_VALUE"""),210.58)</f>
        <v>210.58</v>
      </c>
      <c r="C448" s="2">
        <f t="shared" ca="1" si="1"/>
        <v>3.5743220702473427E-3</v>
      </c>
    </row>
    <row r="449" spans="1:3">
      <c r="A449" s="3">
        <f ca="1">IFERROR(__xludf.UNSUPPORTED("""COMPUTED_VALUE"""),44113.6666666666)</f>
        <v>44113.666666666599</v>
      </c>
      <c r="B449" s="1">
        <f ca="1">IFERROR(__xludf.UNSUPPORTED("""COMPUTED_VALUE"""),215.81)</f>
        <v>215.81</v>
      </c>
      <c r="C449" s="2">
        <f t="shared" ca="1" si="1"/>
        <v>2.4836166777471694E-2</v>
      </c>
    </row>
    <row r="450" spans="1:3">
      <c r="A450" s="3">
        <f ca="1">IFERROR(__xludf.UNSUPPORTED("""COMPUTED_VALUE"""),44116.6666666666)</f>
        <v>44116.666666666599</v>
      </c>
      <c r="B450" s="1">
        <f ca="1">IFERROR(__xludf.UNSUPPORTED("""COMPUTED_VALUE"""),221.4)</f>
        <v>221.4</v>
      </c>
      <c r="C450" s="2">
        <f t="shared" ca="1" si="1"/>
        <v>2.5902414160604251E-2</v>
      </c>
    </row>
    <row r="451" spans="1:3">
      <c r="A451" s="3">
        <f ca="1">IFERROR(__xludf.UNSUPPORTED("""COMPUTED_VALUE"""),44117.6666666666)</f>
        <v>44117.666666666599</v>
      </c>
      <c r="B451" s="1">
        <f ca="1">IFERROR(__xludf.UNSUPPORTED("""COMPUTED_VALUE"""),222.86)</f>
        <v>222.86</v>
      </c>
      <c r="C451" s="2">
        <f t="shared" ca="1" si="1"/>
        <v>6.594399277326142E-3</v>
      </c>
    </row>
    <row r="452" spans="1:3">
      <c r="A452" s="3">
        <f ca="1">IFERROR(__xludf.UNSUPPORTED("""COMPUTED_VALUE"""),44118.6666666666)</f>
        <v>44118.666666666599</v>
      </c>
      <c r="B452" s="1">
        <f ca="1">IFERROR(__xludf.UNSUPPORTED("""COMPUTED_VALUE"""),220.86)</f>
        <v>220.86</v>
      </c>
      <c r="C452" s="2">
        <f t="shared" ca="1" si="1"/>
        <v>-8.9742439199497429E-3</v>
      </c>
    </row>
    <row r="453" spans="1:3">
      <c r="A453" s="3">
        <f ca="1">IFERROR(__xludf.UNSUPPORTED("""COMPUTED_VALUE"""),44119.6666666666)</f>
        <v>44119.666666666599</v>
      </c>
      <c r="B453" s="1">
        <f ca="1">IFERROR(__xludf.UNSUPPORTED("""COMPUTED_VALUE"""),219.66)</f>
        <v>219.66</v>
      </c>
      <c r="C453" s="2">
        <f t="shared" ca="1" si="1"/>
        <v>-5.4333061668025758E-3</v>
      </c>
    </row>
    <row r="454" spans="1:3">
      <c r="A454" s="3">
        <f ca="1">IFERROR(__xludf.UNSUPPORTED("""COMPUTED_VALUE"""),44120.6666666666)</f>
        <v>44120.666666666599</v>
      </c>
      <c r="B454" s="1">
        <f ca="1">IFERROR(__xludf.UNSUPPORTED("""COMPUTED_VALUE"""),219.66)</f>
        <v>219.66</v>
      </c>
      <c r="C454" s="2">
        <f t="shared" ca="1" si="1"/>
        <v>0</v>
      </c>
    </row>
    <row r="455" spans="1:3">
      <c r="A455" s="3">
        <f ca="1">IFERROR(__xludf.UNSUPPORTED("""COMPUTED_VALUE"""),44123.6666666666)</f>
        <v>44123.666666666599</v>
      </c>
      <c r="B455" s="1">
        <f ca="1">IFERROR(__xludf.UNSUPPORTED("""COMPUTED_VALUE"""),214.22)</f>
        <v>214.22</v>
      </c>
      <c r="C455" s="2">
        <f t="shared" ca="1" si="1"/>
        <v>-2.4765546754074469E-2</v>
      </c>
    </row>
    <row r="456" spans="1:3">
      <c r="A456" s="3">
        <f ca="1">IFERROR(__xludf.UNSUPPORTED("""COMPUTED_VALUE"""),44124.6666666666)</f>
        <v>44124.666666666599</v>
      </c>
      <c r="B456" s="1">
        <f ca="1">IFERROR(__xludf.UNSUPPORTED("""COMPUTED_VALUE"""),214.65)</f>
        <v>214.65</v>
      </c>
      <c r="C456" s="2">
        <f t="shared" ca="1" si="1"/>
        <v>2.0072822332182186E-3</v>
      </c>
    </row>
    <row r="457" spans="1:3">
      <c r="A457" s="3">
        <f ca="1">IFERROR(__xludf.UNSUPPORTED("""COMPUTED_VALUE"""),44125.6666666666)</f>
        <v>44125.666666666599</v>
      </c>
      <c r="B457" s="1">
        <f ca="1">IFERROR(__xludf.UNSUPPORTED("""COMPUTED_VALUE"""),214.8)</f>
        <v>214.8</v>
      </c>
      <c r="C457" s="2">
        <f t="shared" ca="1" si="1"/>
        <v>6.9881201956676297E-4</v>
      </c>
    </row>
    <row r="458" spans="1:3">
      <c r="A458" s="3">
        <f ca="1">IFERROR(__xludf.UNSUPPORTED("""COMPUTED_VALUE"""),44126.6666666666)</f>
        <v>44126.666666666599</v>
      </c>
      <c r="B458" s="1">
        <f ca="1">IFERROR(__xludf.UNSUPPORTED("""COMPUTED_VALUE"""),214.89)</f>
        <v>214.89</v>
      </c>
      <c r="C458" s="2">
        <f t="shared" ca="1" si="1"/>
        <v>4.1899441340770478E-4</v>
      </c>
    </row>
    <row r="459" spans="1:3">
      <c r="A459" s="3">
        <f ca="1">IFERROR(__xludf.UNSUPPORTED("""COMPUTED_VALUE"""),44127.6666666666)</f>
        <v>44127.666666666599</v>
      </c>
      <c r="B459" s="1">
        <f ca="1">IFERROR(__xludf.UNSUPPORTED("""COMPUTED_VALUE"""),216.23)</f>
        <v>216.23</v>
      </c>
      <c r="C459" s="2">
        <f t="shared" ca="1" si="1"/>
        <v>6.2357485224999003E-3</v>
      </c>
    </row>
    <row r="460" spans="1:3">
      <c r="A460" s="3">
        <f ca="1">IFERROR(__xludf.UNSUPPORTED("""COMPUTED_VALUE"""),44130.6666666666)</f>
        <v>44130.666666666599</v>
      </c>
      <c r="B460" s="1">
        <f ca="1">IFERROR(__xludf.UNSUPPORTED("""COMPUTED_VALUE"""),210.08)</f>
        <v>210.08</v>
      </c>
      <c r="C460" s="2">
        <f t="shared" ca="1" si="1"/>
        <v>-2.8441936826527205E-2</v>
      </c>
    </row>
    <row r="461" spans="1:3">
      <c r="A461" s="3">
        <f ca="1">IFERROR(__xludf.UNSUPPORTED("""COMPUTED_VALUE"""),44131.6666666666)</f>
        <v>44131.666666666599</v>
      </c>
      <c r="B461" s="1">
        <f ca="1">IFERROR(__xludf.UNSUPPORTED("""COMPUTED_VALUE"""),213.25)</f>
        <v>213.25</v>
      </c>
      <c r="C461" s="2">
        <f t="shared" ca="1" si="1"/>
        <v>1.508948971820253E-2</v>
      </c>
    </row>
    <row r="462" spans="1:3">
      <c r="A462" s="3">
        <f ca="1">IFERROR(__xludf.UNSUPPORTED("""COMPUTED_VALUE"""),44132.6666666666)</f>
        <v>44132.666666666599</v>
      </c>
      <c r="B462" s="1">
        <f ca="1">IFERROR(__xludf.UNSUPPORTED("""COMPUTED_VALUE"""),202.68)</f>
        <v>202.68</v>
      </c>
      <c r="C462" s="2">
        <f t="shared" ca="1" si="1"/>
        <v>-4.9566236811254362E-2</v>
      </c>
    </row>
    <row r="463" spans="1:3">
      <c r="A463" s="3">
        <f ca="1">IFERROR(__xludf.UNSUPPORTED("""COMPUTED_VALUE"""),44133.6666666666)</f>
        <v>44133.666666666599</v>
      </c>
      <c r="B463" s="1">
        <f ca="1">IFERROR(__xludf.UNSUPPORTED("""COMPUTED_VALUE"""),204.72)</f>
        <v>204.72</v>
      </c>
      <c r="C463" s="2">
        <f t="shared" ca="1" si="1"/>
        <v>1.0065127294256918E-2</v>
      </c>
    </row>
    <row r="464" spans="1:3">
      <c r="A464" s="3">
        <f ca="1">IFERROR(__xludf.UNSUPPORTED("""COMPUTED_VALUE"""),44134.6666666666)</f>
        <v>44134.666666666599</v>
      </c>
      <c r="B464" s="1">
        <f ca="1">IFERROR(__xludf.UNSUPPORTED("""COMPUTED_VALUE"""),202.47)</f>
        <v>202.47</v>
      </c>
      <c r="C464" s="2">
        <f t="shared" ca="1" si="1"/>
        <v>-1.0990621336459555E-2</v>
      </c>
    </row>
    <row r="465" spans="1:3">
      <c r="A465" s="3">
        <f ca="1">IFERROR(__xludf.UNSUPPORTED("""COMPUTED_VALUE"""),44137.6666666666)</f>
        <v>44137.666666666599</v>
      </c>
      <c r="B465" s="1">
        <f ca="1">IFERROR(__xludf.UNSUPPORTED("""COMPUTED_VALUE"""),202.33)</f>
        <v>202.33</v>
      </c>
      <c r="C465" s="2">
        <f t="shared" ca="1" si="1"/>
        <v>-6.9146046327844303E-4</v>
      </c>
    </row>
    <row r="466" spans="1:3">
      <c r="A466" s="3">
        <f ca="1">IFERROR(__xludf.UNSUPPORTED("""COMPUTED_VALUE"""),44138.6666666666)</f>
        <v>44138.666666666599</v>
      </c>
      <c r="B466" s="1">
        <f ca="1">IFERROR(__xludf.UNSUPPORTED("""COMPUTED_VALUE"""),206.43)</f>
        <v>206.43</v>
      </c>
      <c r="C466" s="2">
        <f t="shared" ca="1" si="1"/>
        <v>2.0263925270597508E-2</v>
      </c>
    </row>
    <row r="467" spans="1:3">
      <c r="A467" s="3">
        <f ca="1">IFERROR(__xludf.UNSUPPORTED("""COMPUTED_VALUE"""),44139.6666666666)</f>
        <v>44139.666666666599</v>
      </c>
      <c r="B467" s="1">
        <f ca="1">IFERROR(__xludf.UNSUPPORTED("""COMPUTED_VALUE"""),216.39)</f>
        <v>216.39</v>
      </c>
      <c r="C467" s="2">
        <f t="shared" ca="1" si="1"/>
        <v>4.8248801046359438E-2</v>
      </c>
    </row>
    <row r="468" spans="1:3">
      <c r="A468" s="3">
        <f ca="1">IFERROR(__xludf.UNSUPPORTED("""COMPUTED_VALUE"""),44140.6666666666)</f>
        <v>44140.666666666599</v>
      </c>
      <c r="B468" s="1">
        <f ca="1">IFERROR(__xludf.UNSUPPORTED("""COMPUTED_VALUE"""),223.29)</f>
        <v>223.29</v>
      </c>
      <c r="C468" s="2">
        <f t="shared" ca="1" si="1"/>
        <v>3.1886870927492053E-2</v>
      </c>
    </row>
    <row r="469" spans="1:3">
      <c r="A469" s="3">
        <f ca="1">IFERROR(__xludf.UNSUPPORTED("""COMPUTED_VALUE"""),44141.6666666666)</f>
        <v>44141.666666666599</v>
      </c>
      <c r="B469" s="1">
        <f ca="1">IFERROR(__xludf.UNSUPPORTED("""COMPUTED_VALUE"""),223.72)</f>
        <v>223.72</v>
      </c>
      <c r="C469" s="2">
        <f t="shared" ca="1" si="1"/>
        <v>1.9257467866899854E-3</v>
      </c>
    </row>
    <row r="470" spans="1:3">
      <c r="A470" s="3">
        <f ca="1">IFERROR(__xludf.UNSUPPORTED("""COMPUTED_VALUE"""),44144.6666666666)</f>
        <v>44144.666666666599</v>
      </c>
      <c r="B470" s="1">
        <f ca="1">IFERROR(__xludf.UNSUPPORTED("""COMPUTED_VALUE"""),218.39)</f>
        <v>218.39</v>
      </c>
      <c r="C470" s="2">
        <f t="shared" ca="1" si="1"/>
        <v>-2.3824423386375883E-2</v>
      </c>
    </row>
    <row r="471" spans="1:3">
      <c r="A471" s="3">
        <f ca="1">IFERROR(__xludf.UNSUPPORTED("""COMPUTED_VALUE"""),44145.6666666666)</f>
        <v>44145.666666666599</v>
      </c>
      <c r="B471" s="1">
        <f ca="1">IFERROR(__xludf.UNSUPPORTED("""COMPUTED_VALUE"""),211.01)</f>
        <v>211.01</v>
      </c>
      <c r="C471" s="2">
        <f t="shared" ca="1" si="1"/>
        <v>-3.3792756078575008E-2</v>
      </c>
    </row>
    <row r="472" spans="1:3">
      <c r="A472" s="3">
        <f ca="1">IFERROR(__xludf.UNSUPPORTED("""COMPUTED_VALUE"""),44146.6666666666)</f>
        <v>44146.666666666599</v>
      </c>
      <c r="B472" s="1">
        <f ca="1">IFERROR(__xludf.UNSUPPORTED("""COMPUTED_VALUE"""),216.55)</f>
        <v>216.55</v>
      </c>
      <c r="C472" s="2">
        <f t="shared" ca="1" si="1"/>
        <v>2.6254679872991901E-2</v>
      </c>
    </row>
    <row r="473" spans="1:3">
      <c r="A473" s="3">
        <f ca="1">IFERROR(__xludf.UNSUPPORTED("""COMPUTED_VALUE"""),44147.6666666666)</f>
        <v>44147.666666666599</v>
      </c>
      <c r="B473" s="1">
        <f ca="1">IFERROR(__xludf.UNSUPPORTED("""COMPUTED_VALUE"""),215.44)</f>
        <v>215.44</v>
      </c>
      <c r="C473" s="2">
        <f t="shared" ca="1" si="1"/>
        <v>-5.1258369891480655E-3</v>
      </c>
    </row>
    <row r="474" spans="1:3">
      <c r="A474" s="3">
        <f ca="1">IFERROR(__xludf.UNSUPPORTED("""COMPUTED_VALUE"""),44148.6666666666)</f>
        <v>44148.666666666599</v>
      </c>
      <c r="B474" s="1">
        <f ca="1">IFERROR(__xludf.UNSUPPORTED("""COMPUTED_VALUE"""),216.51)</f>
        <v>216.51</v>
      </c>
      <c r="C474" s="2">
        <f t="shared" ca="1" si="1"/>
        <v>4.9665800222799539E-3</v>
      </c>
    </row>
    <row r="475" spans="1:3">
      <c r="A475" s="3">
        <f ca="1">IFERROR(__xludf.UNSUPPORTED("""COMPUTED_VALUE"""),44151.6666666666)</f>
        <v>44151.666666666599</v>
      </c>
      <c r="B475" s="1">
        <f ca="1">IFERROR(__xludf.UNSUPPORTED("""COMPUTED_VALUE"""),217.23)</f>
        <v>217.23</v>
      </c>
      <c r="C475" s="2">
        <f t="shared" ca="1" si="1"/>
        <v>3.3254815020091399E-3</v>
      </c>
    </row>
    <row r="476" spans="1:3">
      <c r="A476" s="3">
        <f ca="1">IFERROR(__xludf.UNSUPPORTED("""COMPUTED_VALUE"""),44152.6666666666)</f>
        <v>44152.666666666599</v>
      </c>
      <c r="B476" s="1">
        <f ca="1">IFERROR(__xludf.UNSUPPORTED("""COMPUTED_VALUE"""),214.46)</f>
        <v>214.46</v>
      </c>
      <c r="C476" s="2">
        <f t="shared" ca="1" si="1"/>
        <v>-1.2751461584495612E-2</v>
      </c>
    </row>
    <row r="477" spans="1:3">
      <c r="A477" s="3">
        <f ca="1">IFERROR(__xludf.UNSUPPORTED("""COMPUTED_VALUE"""),44153.6666666666)</f>
        <v>44153.666666666599</v>
      </c>
      <c r="B477" s="1">
        <f ca="1">IFERROR(__xludf.UNSUPPORTED("""COMPUTED_VALUE"""),211.08)</f>
        <v>211.08</v>
      </c>
      <c r="C477" s="2">
        <f t="shared" ca="1" si="1"/>
        <v>-1.5760514781311179E-2</v>
      </c>
    </row>
    <row r="478" spans="1:3">
      <c r="A478" s="3">
        <f ca="1">IFERROR(__xludf.UNSUPPORTED("""COMPUTED_VALUE"""),44154.6666666666)</f>
        <v>44154.666666666599</v>
      </c>
      <c r="B478" s="1">
        <f ca="1">IFERROR(__xludf.UNSUPPORTED("""COMPUTED_VALUE"""),212.42)</f>
        <v>212.42</v>
      </c>
      <c r="C478" s="2">
        <f t="shared" ca="1" si="1"/>
        <v>6.3483039605835463E-3</v>
      </c>
    </row>
    <row r="479" spans="1:3">
      <c r="A479" s="3">
        <f ca="1">IFERROR(__xludf.UNSUPPORTED("""COMPUTED_VALUE"""),44155.6666666666)</f>
        <v>44155.666666666599</v>
      </c>
      <c r="B479" s="1">
        <f ca="1">IFERROR(__xludf.UNSUPPORTED("""COMPUTED_VALUE"""),210.39)</f>
        <v>210.39</v>
      </c>
      <c r="C479" s="2">
        <f t="shared" ca="1" si="1"/>
        <v>-9.5565389323039318E-3</v>
      </c>
    </row>
    <row r="480" spans="1:3">
      <c r="A480" s="3">
        <f ca="1">IFERROR(__xludf.UNSUPPORTED("""COMPUTED_VALUE"""),44158.6666666666)</f>
        <v>44158.666666666599</v>
      </c>
      <c r="B480" s="1">
        <f ca="1">IFERROR(__xludf.UNSUPPORTED("""COMPUTED_VALUE"""),210.11)</f>
        <v>210.11</v>
      </c>
      <c r="C480" s="2">
        <f t="shared" ca="1" si="1"/>
        <v>-1.3308617329719698E-3</v>
      </c>
    </row>
    <row r="481" spans="1:3">
      <c r="A481" s="3">
        <f ca="1">IFERROR(__xludf.UNSUPPORTED("""COMPUTED_VALUE"""),44159.6666666666)</f>
        <v>44159.666666666599</v>
      </c>
      <c r="B481" s="1">
        <f ca="1">IFERROR(__xludf.UNSUPPORTED("""COMPUTED_VALUE"""),213.86)</f>
        <v>213.86</v>
      </c>
      <c r="C481" s="2">
        <f t="shared" ca="1" si="1"/>
        <v>1.7847794012660033E-2</v>
      </c>
    </row>
    <row r="482" spans="1:3">
      <c r="A482" s="3">
        <f ca="1">IFERROR(__xludf.UNSUPPORTED("""COMPUTED_VALUE"""),44160.6666666666)</f>
        <v>44160.666666666599</v>
      </c>
      <c r="B482" s="1">
        <f ca="1">IFERROR(__xludf.UNSUPPORTED("""COMPUTED_VALUE"""),213.87)</f>
        <v>213.87</v>
      </c>
      <c r="C482" s="2">
        <f t="shared" ca="1" si="1"/>
        <v>4.6759562330454056E-5</v>
      </c>
    </row>
    <row r="483" spans="1:3">
      <c r="A483" s="3">
        <f ca="1">IFERROR(__xludf.UNSUPPORTED("""COMPUTED_VALUE"""),44162.5416666666)</f>
        <v>44162.541666666599</v>
      </c>
      <c r="B483" s="1">
        <f ca="1">IFERROR(__xludf.UNSUPPORTED("""COMPUTED_VALUE"""),215.23)</f>
        <v>215.23</v>
      </c>
      <c r="C483" s="2">
        <f t="shared" ca="1" si="1"/>
        <v>6.3590031327441215E-3</v>
      </c>
    </row>
    <row r="484" spans="1:3">
      <c r="A484" s="3">
        <f ca="1">IFERROR(__xludf.UNSUPPORTED("""COMPUTED_VALUE"""),44165.6666666666)</f>
        <v>44165.666666666599</v>
      </c>
      <c r="B484" s="1">
        <f ca="1">IFERROR(__xludf.UNSUPPORTED("""COMPUTED_VALUE"""),214.07)</f>
        <v>214.07</v>
      </c>
      <c r="C484" s="2">
        <f t="shared" ca="1" si="1"/>
        <v>-5.3895832365376418E-3</v>
      </c>
    </row>
    <row r="485" spans="1:3">
      <c r="A485" s="3">
        <f ca="1">IFERROR(__xludf.UNSUPPORTED("""COMPUTED_VALUE"""),44166.6666666666)</f>
        <v>44166.666666666599</v>
      </c>
      <c r="B485" s="1">
        <f ca="1">IFERROR(__xludf.UNSUPPORTED("""COMPUTED_VALUE"""),216.21)</f>
        <v>216.21</v>
      </c>
      <c r="C485" s="2">
        <f t="shared" ca="1" si="1"/>
        <v>9.9967300415752542E-3</v>
      </c>
    </row>
    <row r="486" spans="1:3">
      <c r="A486" s="3">
        <f ca="1">IFERROR(__xludf.UNSUPPORTED("""COMPUTED_VALUE"""),44167.6666666666)</f>
        <v>44167.666666666599</v>
      </c>
      <c r="B486" s="1">
        <f ca="1">IFERROR(__xludf.UNSUPPORTED("""COMPUTED_VALUE"""),215.37)</f>
        <v>215.37</v>
      </c>
      <c r="C486" s="2">
        <f t="shared" ca="1" si="1"/>
        <v>-3.8851116969613035E-3</v>
      </c>
    </row>
    <row r="487" spans="1:3">
      <c r="A487" s="3">
        <f ca="1">IFERROR(__xludf.UNSUPPORTED("""COMPUTED_VALUE"""),44168.6666666666)</f>
        <v>44168.666666666599</v>
      </c>
      <c r="B487" s="1">
        <f ca="1">IFERROR(__xludf.UNSUPPORTED("""COMPUTED_VALUE"""),214.24)</f>
        <v>214.24</v>
      </c>
      <c r="C487" s="2">
        <f t="shared" ca="1" si="1"/>
        <v>-5.2467846032409129E-3</v>
      </c>
    </row>
    <row r="488" spans="1:3">
      <c r="A488" s="3">
        <f ca="1">IFERROR(__xludf.UNSUPPORTED("""COMPUTED_VALUE"""),44169.6666666666)</f>
        <v>44169.666666666599</v>
      </c>
      <c r="B488" s="1">
        <f ca="1">IFERROR(__xludf.UNSUPPORTED("""COMPUTED_VALUE"""),214.36)</f>
        <v>214.36</v>
      </c>
      <c r="C488" s="2">
        <f t="shared" ca="1" si="1"/>
        <v>5.6011949215834834E-4</v>
      </c>
    </row>
    <row r="489" spans="1:3">
      <c r="A489" s="3">
        <f ca="1">IFERROR(__xludf.UNSUPPORTED("""COMPUTED_VALUE"""),44172.6666666666)</f>
        <v>44172.666666666599</v>
      </c>
      <c r="B489" s="1">
        <f ca="1">IFERROR(__xludf.UNSUPPORTED("""COMPUTED_VALUE"""),214.29)</f>
        <v>214.29</v>
      </c>
      <c r="C489" s="2">
        <f t="shared" ca="1" si="1"/>
        <v>-3.2655346146679228E-4</v>
      </c>
    </row>
    <row r="490" spans="1:3">
      <c r="A490" s="3">
        <f ca="1">IFERROR(__xludf.UNSUPPORTED("""COMPUTED_VALUE"""),44173.6666666666)</f>
        <v>44173.666666666599</v>
      </c>
      <c r="B490" s="1">
        <f ca="1">IFERROR(__xludf.UNSUPPORTED("""COMPUTED_VALUE"""),216.01)</f>
        <v>216.01</v>
      </c>
      <c r="C490" s="2">
        <f t="shared" ca="1" si="1"/>
        <v>8.0265061365439316E-3</v>
      </c>
    </row>
    <row r="491" spans="1:3">
      <c r="A491" s="3">
        <f ca="1">IFERROR(__xludf.UNSUPPORTED("""COMPUTED_VALUE"""),44174.6666666666)</f>
        <v>44174.666666666599</v>
      </c>
      <c r="B491" s="1">
        <f ca="1">IFERROR(__xludf.UNSUPPORTED("""COMPUTED_VALUE"""),211.8)</f>
        <v>211.8</v>
      </c>
      <c r="C491" s="2">
        <f t="shared" ca="1" si="1"/>
        <v>-1.9489838433405769E-2</v>
      </c>
    </row>
    <row r="492" spans="1:3">
      <c r="A492" s="3">
        <f ca="1">IFERROR(__xludf.UNSUPPORTED("""COMPUTED_VALUE"""),44175.6666666666)</f>
        <v>44175.666666666599</v>
      </c>
      <c r="B492" s="1">
        <f ca="1">IFERROR(__xludf.UNSUPPORTED("""COMPUTED_VALUE"""),210.52)</f>
        <v>210.52</v>
      </c>
      <c r="C492" s="2">
        <f t="shared" ca="1" si="1"/>
        <v>-6.0434372049102975E-3</v>
      </c>
    </row>
    <row r="493" spans="1:3">
      <c r="A493" s="3">
        <f ca="1">IFERROR(__xludf.UNSUPPORTED("""COMPUTED_VALUE"""),44176.6666666666)</f>
        <v>44176.666666666599</v>
      </c>
      <c r="B493" s="1">
        <f ca="1">IFERROR(__xludf.UNSUPPORTED("""COMPUTED_VALUE"""),213.26)</f>
        <v>213.26</v>
      </c>
      <c r="C493" s="2">
        <f t="shared" ca="1" si="1"/>
        <v>1.3015390461713759E-2</v>
      </c>
    </row>
    <row r="494" spans="1:3">
      <c r="A494" s="3">
        <f ca="1">IFERROR(__xludf.UNSUPPORTED("""COMPUTED_VALUE"""),44179.6666666666)</f>
        <v>44179.666666666599</v>
      </c>
      <c r="B494" s="1">
        <f ca="1">IFERROR(__xludf.UNSUPPORTED("""COMPUTED_VALUE"""),214.2)</f>
        <v>214.2</v>
      </c>
      <c r="C494" s="2">
        <f t="shared" ca="1" si="1"/>
        <v>4.4077651692769285E-3</v>
      </c>
    </row>
    <row r="495" spans="1:3">
      <c r="A495" s="3">
        <f ca="1">IFERROR(__xludf.UNSUPPORTED("""COMPUTED_VALUE"""),44180.6666666666)</f>
        <v>44180.666666666599</v>
      </c>
      <c r="B495" s="1">
        <f ca="1">IFERROR(__xludf.UNSUPPORTED("""COMPUTED_VALUE"""),214.13)</f>
        <v>214.13</v>
      </c>
      <c r="C495" s="2">
        <f t="shared" ca="1" si="1"/>
        <v>-3.2679738562088319E-4</v>
      </c>
    </row>
    <row r="496" spans="1:3">
      <c r="A496" s="3">
        <f ca="1">IFERROR(__xludf.UNSUPPORTED("""COMPUTED_VALUE"""),44181.6666666666)</f>
        <v>44181.666666666599</v>
      </c>
      <c r="B496" s="1">
        <f ca="1">IFERROR(__xludf.UNSUPPORTED("""COMPUTED_VALUE"""),219.28)</f>
        <v>219.28</v>
      </c>
      <c r="C496" s="2">
        <f t="shared" ca="1" si="1"/>
        <v>2.4050810255452321E-2</v>
      </c>
    </row>
    <row r="497" spans="1:3">
      <c r="A497" s="3">
        <f ca="1">IFERROR(__xludf.UNSUPPORTED("""COMPUTED_VALUE"""),44182.6666666666)</f>
        <v>44182.666666666599</v>
      </c>
      <c r="B497" s="1">
        <f ca="1">IFERROR(__xludf.UNSUPPORTED("""COMPUTED_VALUE"""),219.42)</f>
        <v>219.42</v>
      </c>
      <c r="C497" s="2">
        <f t="shared" ca="1" si="1"/>
        <v>6.3845311929946352E-4</v>
      </c>
    </row>
    <row r="498" spans="1:3">
      <c r="A498" s="3">
        <f ca="1">IFERROR(__xludf.UNSUPPORTED("""COMPUTED_VALUE"""),44183.6666666666)</f>
        <v>44183.666666666599</v>
      </c>
      <c r="B498" s="1">
        <f ca="1">IFERROR(__xludf.UNSUPPORTED("""COMPUTED_VALUE"""),218.59)</f>
        <v>218.59</v>
      </c>
      <c r="C498" s="2">
        <f t="shared" ca="1" si="1"/>
        <v>-3.7826998450459582E-3</v>
      </c>
    </row>
    <row r="499" spans="1:3">
      <c r="A499" s="3">
        <f ca="1">IFERROR(__xludf.UNSUPPORTED("""COMPUTED_VALUE"""),44186.6666666666)</f>
        <v>44186.666666666599</v>
      </c>
      <c r="B499" s="1">
        <f ca="1">IFERROR(__xludf.UNSUPPORTED("""COMPUTED_VALUE"""),222.59)</f>
        <v>222.59</v>
      </c>
      <c r="C499" s="2">
        <f t="shared" ca="1" si="1"/>
        <v>1.8299098769385607E-2</v>
      </c>
    </row>
    <row r="500" spans="1:3">
      <c r="A500" s="3">
        <f ca="1">IFERROR(__xludf.UNSUPPORTED("""COMPUTED_VALUE"""),44187.6666666666)</f>
        <v>44187.666666666599</v>
      </c>
      <c r="B500" s="1">
        <f ca="1">IFERROR(__xludf.UNSUPPORTED("""COMPUTED_VALUE"""),223.94)</f>
        <v>223.94</v>
      </c>
      <c r="C500" s="2">
        <f t="shared" ca="1" si="1"/>
        <v>6.0649624870838508E-3</v>
      </c>
    </row>
    <row r="501" spans="1:3">
      <c r="A501" s="3">
        <f ca="1">IFERROR(__xludf.UNSUPPORTED("""COMPUTED_VALUE"""),44188.6666666666)</f>
        <v>44188.666666666599</v>
      </c>
      <c r="B501" s="1">
        <f ca="1">IFERROR(__xludf.UNSUPPORTED("""COMPUTED_VALUE"""),221.02)</f>
        <v>221.02</v>
      </c>
      <c r="C501" s="2">
        <f t="shared" ca="1" si="1"/>
        <v>-1.3039206930427738E-2</v>
      </c>
    </row>
    <row r="502" spans="1:3">
      <c r="A502" s="3">
        <f ca="1">IFERROR(__xludf.UNSUPPORTED("""COMPUTED_VALUE"""),44189.5416666666)</f>
        <v>44189.541666666599</v>
      </c>
      <c r="B502" s="1">
        <f ca="1">IFERROR(__xludf.UNSUPPORTED("""COMPUTED_VALUE"""),222.75)</f>
        <v>222.75</v>
      </c>
      <c r="C502" s="2">
        <f t="shared" ca="1" si="1"/>
        <v>7.8273459415437053E-3</v>
      </c>
    </row>
    <row r="503" spans="1:3">
      <c r="A503" s="3">
        <f ca="1">IFERROR(__xludf.UNSUPPORTED("""COMPUTED_VALUE"""),44193.6666666666)</f>
        <v>44193.666666666599</v>
      </c>
      <c r="B503" s="1">
        <f ca="1">IFERROR(__xludf.UNSUPPORTED("""COMPUTED_VALUE"""),224.96)</f>
        <v>224.96</v>
      </c>
      <c r="C503" s="2">
        <f t="shared" ca="1" si="1"/>
        <v>9.9214365881032905E-3</v>
      </c>
    </row>
    <row r="504" spans="1:3">
      <c r="A504" s="3">
        <f ca="1">IFERROR(__xludf.UNSUPPORTED("""COMPUTED_VALUE"""),44194.6666666666)</f>
        <v>44194.666666666599</v>
      </c>
      <c r="B504" s="1">
        <f ca="1">IFERROR(__xludf.UNSUPPORTED("""COMPUTED_VALUE"""),224.15)</f>
        <v>224.15</v>
      </c>
      <c r="C504" s="2">
        <f t="shared" ca="1" si="1"/>
        <v>-3.6006401137980183E-3</v>
      </c>
    </row>
    <row r="505" spans="1:3">
      <c r="A505" s="3">
        <f ca="1">IFERROR(__xludf.UNSUPPORTED("""COMPUTED_VALUE"""),44195.6666666666)</f>
        <v>44195.666666666599</v>
      </c>
      <c r="B505" s="1">
        <f ca="1">IFERROR(__xludf.UNSUPPORTED("""COMPUTED_VALUE"""),221.68)</f>
        <v>221.68</v>
      </c>
      <c r="C505" s="2">
        <f t="shared" ca="1" si="1"/>
        <v>-1.1019406647334369E-2</v>
      </c>
    </row>
    <row r="506" spans="1:3">
      <c r="A506" s="3">
        <f ca="1">IFERROR(__xludf.UNSUPPORTED("""COMPUTED_VALUE"""),44196.6666666666)</f>
        <v>44196.666666666599</v>
      </c>
      <c r="B506" s="1">
        <f ca="1">IFERROR(__xludf.UNSUPPORTED("""COMPUTED_VALUE"""),222.42)</f>
        <v>222.42</v>
      </c>
      <c r="C506" s="2">
        <f t="shared" ca="1" si="1"/>
        <v>3.3381450739804253E-3</v>
      </c>
    </row>
    <row r="507" spans="1:3">
      <c r="A507" s="3">
        <f ca="1">IFERROR(__xludf.UNSUPPORTED("""COMPUTED_VALUE"""),44200.6666666666)</f>
        <v>44200.666666666599</v>
      </c>
      <c r="B507" s="1">
        <f ca="1">IFERROR(__xludf.UNSUPPORTED("""COMPUTED_VALUE"""),217.69)</f>
        <v>217.69</v>
      </c>
      <c r="C507" s="2">
        <f t="shared" ca="1" si="1"/>
        <v>-2.1266073194856534E-2</v>
      </c>
    </row>
    <row r="508" spans="1:3">
      <c r="A508" s="3">
        <f ca="1">IFERROR(__xludf.UNSUPPORTED("""COMPUTED_VALUE"""),44201.6666666666)</f>
        <v>44201.666666666599</v>
      </c>
      <c r="B508" s="1">
        <f ca="1">IFERROR(__xludf.UNSUPPORTED("""COMPUTED_VALUE"""),217.9)</f>
        <v>217.9</v>
      </c>
      <c r="C508" s="2">
        <f t="shared" ca="1" si="1"/>
        <v>9.6467453718594308E-4</v>
      </c>
    </row>
    <row r="509" spans="1:3">
      <c r="A509" s="3">
        <f ca="1">IFERROR(__xludf.UNSUPPORTED("""COMPUTED_VALUE"""),44202.6666666666)</f>
        <v>44202.666666666599</v>
      </c>
      <c r="B509" s="1">
        <f ca="1">IFERROR(__xludf.UNSUPPORTED("""COMPUTED_VALUE"""),212.25)</f>
        <v>212.25</v>
      </c>
      <c r="C509" s="2">
        <f t="shared" ca="1" si="1"/>
        <v>-2.592932537861407E-2</v>
      </c>
    </row>
    <row r="510" spans="1:3">
      <c r="A510" s="3">
        <f ca="1">IFERROR(__xludf.UNSUPPORTED("""COMPUTED_VALUE"""),44203.6666666666)</f>
        <v>44203.666666666599</v>
      </c>
      <c r="B510" s="1">
        <f ca="1">IFERROR(__xludf.UNSUPPORTED("""COMPUTED_VALUE"""),218.29)</f>
        <v>218.29</v>
      </c>
      <c r="C510" s="2">
        <f t="shared" ca="1" si="1"/>
        <v>2.8457008244994073E-2</v>
      </c>
    </row>
    <row r="511" spans="1:3">
      <c r="A511" s="3">
        <f ca="1">IFERROR(__xludf.UNSUPPORTED("""COMPUTED_VALUE"""),44204.6666666666)</f>
        <v>44204.666666666599</v>
      </c>
      <c r="B511" s="1">
        <f ca="1">IFERROR(__xludf.UNSUPPORTED("""COMPUTED_VALUE"""),219.62)</f>
        <v>219.62</v>
      </c>
      <c r="C511" s="2">
        <f t="shared" ca="1" si="1"/>
        <v>6.0928123138944178E-3</v>
      </c>
    </row>
    <row r="512" spans="1:3">
      <c r="A512" s="3">
        <f ca="1">IFERROR(__xludf.UNSUPPORTED("""COMPUTED_VALUE"""),44207.6666666666)</f>
        <v>44207.666666666599</v>
      </c>
      <c r="B512" s="1">
        <f ca="1">IFERROR(__xludf.UNSUPPORTED("""COMPUTED_VALUE"""),217.49)</f>
        <v>217.49</v>
      </c>
      <c r="C512" s="2">
        <f t="shared" ca="1" si="1"/>
        <v>-9.6985702577178558E-3</v>
      </c>
    </row>
    <row r="513" spans="1:3">
      <c r="A513" s="3">
        <f ca="1">IFERROR(__xludf.UNSUPPORTED("""COMPUTED_VALUE"""),44208.6666666666)</f>
        <v>44208.666666666599</v>
      </c>
      <c r="B513" s="1">
        <f ca="1">IFERROR(__xludf.UNSUPPORTED("""COMPUTED_VALUE"""),214.93)</f>
        <v>214.93</v>
      </c>
      <c r="C513" s="2">
        <f t="shared" ref="C513:C767" ca="1" si="2">(B513-B512)/B512</f>
        <v>-1.1770656122120568E-2</v>
      </c>
    </row>
    <row r="514" spans="1:3">
      <c r="A514" s="3">
        <f ca="1">IFERROR(__xludf.UNSUPPORTED("""COMPUTED_VALUE"""),44209.6666666666)</f>
        <v>44209.666666666599</v>
      </c>
      <c r="B514" s="1">
        <f ca="1">IFERROR(__xludf.UNSUPPORTED("""COMPUTED_VALUE"""),216.34)</f>
        <v>216.34</v>
      </c>
      <c r="C514" s="2">
        <f t="shared" ca="1" si="2"/>
        <v>6.5602754385148494E-3</v>
      </c>
    </row>
    <row r="515" spans="1:3">
      <c r="A515" s="3">
        <f ca="1">IFERROR(__xludf.UNSUPPORTED("""COMPUTED_VALUE"""),44210.6666666666)</f>
        <v>44210.666666666599</v>
      </c>
      <c r="B515" s="1">
        <f ca="1">IFERROR(__xludf.UNSUPPORTED("""COMPUTED_VALUE"""),213.02)</f>
        <v>213.02</v>
      </c>
      <c r="C515" s="2">
        <f t="shared" ca="1" si="2"/>
        <v>-1.5346214292317617E-2</v>
      </c>
    </row>
    <row r="516" spans="1:3">
      <c r="A516" s="3">
        <f ca="1">IFERROR(__xludf.UNSUPPORTED("""COMPUTED_VALUE"""),44211.6666666666)</f>
        <v>44211.666666666599</v>
      </c>
      <c r="B516" s="1">
        <f ca="1">IFERROR(__xludf.UNSUPPORTED("""COMPUTED_VALUE"""),212.65)</f>
        <v>212.65</v>
      </c>
      <c r="C516" s="2">
        <f t="shared" ca="1" si="2"/>
        <v>-1.7369261102244133E-3</v>
      </c>
    </row>
    <row r="517" spans="1:3">
      <c r="A517" s="3">
        <f ca="1">IFERROR(__xludf.UNSUPPORTED("""COMPUTED_VALUE"""),44215.6666666666)</f>
        <v>44215.666666666599</v>
      </c>
      <c r="B517" s="1">
        <f ca="1">IFERROR(__xludf.UNSUPPORTED("""COMPUTED_VALUE"""),216.44)</f>
        <v>216.44</v>
      </c>
      <c r="C517" s="2">
        <f t="shared" ca="1" si="2"/>
        <v>1.7822713378791405E-2</v>
      </c>
    </row>
    <row r="518" spans="1:3">
      <c r="A518" s="3">
        <f ca="1">IFERROR(__xludf.UNSUPPORTED("""COMPUTED_VALUE"""),44216.6666666666)</f>
        <v>44216.666666666599</v>
      </c>
      <c r="B518" s="1">
        <f ca="1">IFERROR(__xludf.UNSUPPORTED("""COMPUTED_VALUE"""),224.34)</f>
        <v>224.34</v>
      </c>
      <c r="C518" s="2">
        <f t="shared" ca="1" si="2"/>
        <v>3.6499722786915566E-2</v>
      </c>
    </row>
    <row r="519" spans="1:3">
      <c r="A519" s="3">
        <f ca="1">IFERROR(__xludf.UNSUPPORTED("""COMPUTED_VALUE"""),44217.6666666666)</f>
        <v>44217.666666666599</v>
      </c>
      <c r="B519" s="1">
        <f ca="1">IFERROR(__xludf.UNSUPPORTED("""COMPUTED_VALUE"""),224.97)</f>
        <v>224.97</v>
      </c>
      <c r="C519" s="2">
        <f t="shared" ca="1" si="2"/>
        <v>2.8082374966568397E-3</v>
      </c>
    </row>
    <row r="520" spans="1:3">
      <c r="A520" s="3">
        <f ca="1">IFERROR(__xludf.UNSUPPORTED("""COMPUTED_VALUE"""),44218.6666666666)</f>
        <v>44218.666666666599</v>
      </c>
      <c r="B520" s="1">
        <f ca="1">IFERROR(__xludf.UNSUPPORTED("""COMPUTED_VALUE"""),225.95)</f>
        <v>225.95</v>
      </c>
      <c r="C520" s="2">
        <f t="shared" ca="1" si="2"/>
        <v>4.3561363737386755E-3</v>
      </c>
    </row>
    <row r="521" spans="1:3">
      <c r="A521" s="3">
        <f ca="1">IFERROR(__xludf.UNSUPPORTED("""COMPUTED_VALUE"""),44221.6666666666)</f>
        <v>44221.666666666599</v>
      </c>
      <c r="B521" s="1">
        <f ca="1">IFERROR(__xludf.UNSUPPORTED("""COMPUTED_VALUE"""),229.53)</f>
        <v>229.53</v>
      </c>
      <c r="C521" s="2">
        <f t="shared" ca="1" si="2"/>
        <v>1.5844213321531367E-2</v>
      </c>
    </row>
    <row r="522" spans="1:3">
      <c r="A522" s="3">
        <f ca="1">IFERROR(__xludf.UNSUPPORTED("""COMPUTED_VALUE"""),44222.6666666666)</f>
        <v>44222.666666666599</v>
      </c>
      <c r="B522" s="1">
        <f ca="1">IFERROR(__xludf.UNSUPPORTED("""COMPUTED_VALUE"""),232.33)</f>
        <v>232.33</v>
      </c>
      <c r="C522" s="2">
        <f t="shared" ca="1" si="2"/>
        <v>1.219884111009459E-2</v>
      </c>
    </row>
    <row r="523" spans="1:3">
      <c r="A523" s="3">
        <f ca="1">IFERROR(__xludf.UNSUPPORTED("""COMPUTED_VALUE"""),44223.6666666666)</f>
        <v>44223.666666666599</v>
      </c>
      <c r="B523" s="1">
        <f ca="1">IFERROR(__xludf.UNSUPPORTED("""COMPUTED_VALUE"""),232.9)</f>
        <v>232.9</v>
      </c>
      <c r="C523" s="2">
        <f t="shared" ca="1" si="2"/>
        <v>2.4534067920629842E-3</v>
      </c>
    </row>
    <row r="524" spans="1:3">
      <c r="A524" s="3">
        <f ca="1">IFERROR(__xludf.UNSUPPORTED("""COMPUTED_VALUE"""),44224.6666666666)</f>
        <v>44224.666666666599</v>
      </c>
      <c r="B524" s="1">
        <f ca="1">IFERROR(__xludf.UNSUPPORTED("""COMPUTED_VALUE"""),238.93)</f>
        <v>238.93</v>
      </c>
      <c r="C524" s="2">
        <f t="shared" ca="1" si="2"/>
        <v>2.5890940317732938E-2</v>
      </c>
    </row>
    <row r="525" spans="1:3">
      <c r="A525" s="3">
        <f ca="1">IFERROR(__xludf.UNSUPPORTED("""COMPUTED_VALUE"""),44225.6666666666)</f>
        <v>44225.666666666599</v>
      </c>
      <c r="B525" s="1">
        <f ca="1">IFERROR(__xludf.UNSUPPORTED("""COMPUTED_VALUE"""),231.96)</f>
        <v>231.96</v>
      </c>
      <c r="C525" s="2">
        <f t="shared" ca="1" si="2"/>
        <v>-2.9171723935880797E-2</v>
      </c>
    </row>
    <row r="526" spans="1:3">
      <c r="A526" s="3">
        <f ca="1">IFERROR(__xludf.UNSUPPORTED("""COMPUTED_VALUE"""),44228.6666666666)</f>
        <v>44228.666666666599</v>
      </c>
      <c r="B526" s="1">
        <f ca="1">IFERROR(__xludf.UNSUPPORTED("""COMPUTED_VALUE"""),239.65)</f>
        <v>239.65</v>
      </c>
      <c r="C526" s="2">
        <f t="shared" ca="1" si="2"/>
        <v>3.3152267632350393E-2</v>
      </c>
    </row>
    <row r="527" spans="1:3">
      <c r="A527" s="3">
        <f ca="1">IFERROR(__xludf.UNSUPPORTED("""COMPUTED_VALUE"""),44229.6666666666)</f>
        <v>44229.666666666599</v>
      </c>
      <c r="B527" s="1">
        <f ca="1">IFERROR(__xludf.UNSUPPORTED("""COMPUTED_VALUE"""),239.51)</f>
        <v>239.51</v>
      </c>
      <c r="C527" s="2">
        <f t="shared" ca="1" si="2"/>
        <v>-5.8418527018574908E-4</v>
      </c>
    </row>
    <row r="528" spans="1:3">
      <c r="A528" s="3">
        <f ca="1">IFERROR(__xludf.UNSUPPORTED("""COMPUTED_VALUE"""),44230.6666666666)</f>
        <v>44230.666666666599</v>
      </c>
      <c r="B528" s="1">
        <f ca="1">IFERROR(__xludf.UNSUPPORTED("""COMPUTED_VALUE"""),243)</f>
        <v>243</v>
      </c>
      <c r="C528" s="2">
        <f t="shared" ca="1" si="2"/>
        <v>1.4571416642311425E-2</v>
      </c>
    </row>
    <row r="529" spans="1:3">
      <c r="A529" s="3">
        <f ca="1">IFERROR(__xludf.UNSUPPORTED("""COMPUTED_VALUE"""),44231.6666666666)</f>
        <v>44231.666666666599</v>
      </c>
      <c r="B529" s="1">
        <f ca="1">IFERROR(__xludf.UNSUPPORTED("""COMPUTED_VALUE"""),242.01)</f>
        <v>242.01</v>
      </c>
      <c r="C529" s="2">
        <f t="shared" ca="1" si="2"/>
        <v>-4.0740740740741119E-3</v>
      </c>
    </row>
    <row r="530" spans="1:3">
      <c r="A530" s="3">
        <f ca="1">IFERROR(__xludf.UNSUPPORTED("""COMPUTED_VALUE"""),44232.6666666666)</f>
        <v>44232.666666666599</v>
      </c>
      <c r="B530" s="1">
        <f ca="1">IFERROR(__xludf.UNSUPPORTED("""COMPUTED_VALUE"""),242.2)</f>
        <v>242.2</v>
      </c>
      <c r="C530" s="2">
        <f t="shared" ca="1" si="2"/>
        <v>7.8509152514357979E-4</v>
      </c>
    </row>
    <row r="531" spans="1:3">
      <c r="A531" s="3">
        <f ca="1">IFERROR(__xludf.UNSUPPORTED("""COMPUTED_VALUE"""),44235.6666666666)</f>
        <v>44235.666666666599</v>
      </c>
      <c r="B531" s="1">
        <f ca="1">IFERROR(__xludf.UNSUPPORTED("""COMPUTED_VALUE"""),242.47)</f>
        <v>242.47</v>
      </c>
      <c r="C531" s="2">
        <f t="shared" ca="1" si="2"/>
        <v>1.1147811725846831E-3</v>
      </c>
    </row>
    <row r="532" spans="1:3">
      <c r="A532" s="3">
        <f ca="1">IFERROR(__xludf.UNSUPPORTED("""COMPUTED_VALUE"""),44236.6666666666)</f>
        <v>44236.666666666599</v>
      </c>
      <c r="B532" s="1">
        <f ca="1">IFERROR(__xludf.UNSUPPORTED("""COMPUTED_VALUE"""),243.77)</f>
        <v>243.77</v>
      </c>
      <c r="C532" s="2">
        <f t="shared" ca="1" si="2"/>
        <v>5.3614880191364348E-3</v>
      </c>
    </row>
    <row r="533" spans="1:3">
      <c r="A533" s="3">
        <f ca="1">IFERROR(__xludf.UNSUPPORTED("""COMPUTED_VALUE"""),44237.6666666666)</f>
        <v>44237.666666666599</v>
      </c>
      <c r="B533" s="1">
        <f ca="1">IFERROR(__xludf.UNSUPPORTED("""COMPUTED_VALUE"""),242.82)</f>
        <v>242.82</v>
      </c>
      <c r="C533" s="2">
        <f t="shared" ca="1" si="2"/>
        <v>-3.8971161340608648E-3</v>
      </c>
    </row>
    <row r="534" spans="1:3">
      <c r="A534" s="3">
        <f ca="1">IFERROR(__xludf.UNSUPPORTED("""COMPUTED_VALUE"""),44238.6666666666)</f>
        <v>44238.666666666599</v>
      </c>
      <c r="B534" s="1">
        <f ca="1">IFERROR(__xludf.UNSUPPORTED("""COMPUTED_VALUE"""),244.49)</f>
        <v>244.49</v>
      </c>
      <c r="C534" s="2">
        <f t="shared" ca="1" si="2"/>
        <v>6.8775224446092414E-3</v>
      </c>
    </row>
    <row r="535" spans="1:3">
      <c r="A535" s="3">
        <f ca="1">IFERROR(__xludf.UNSUPPORTED("""COMPUTED_VALUE"""),44239.6666666666)</f>
        <v>44239.666666666599</v>
      </c>
      <c r="B535" s="1">
        <f ca="1">IFERROR(__xludf.UNSUPPORTED("""COMPUTED_VALUE"""),244.99)</f>
        <v>244.99</v>
      </c>
      <c r="C535" s="2">
        <f t="shared" ca="1" si="2"/>
        <v>2.0450734181357111E-3</v>
      </c>
    </row>
    <row r="536" spans="1:3">
      <c r="A536" s="3">
        <f ca="1">IFERROR(__xludf.UNSUPPORTED("""COMPUTED_VALUE"""),44243.6666666666)</f>
        <v>44243.666666666599</v>
      </c>
      <c r="B536" s="1">
        <f ca="1">IFERROR(__xludf.UNSUPPORTED("""COMPUTED_VALUE"""),243.7)</f>
        <v>243.7</v>
      </c>
      <c r="C536" s="2">
        <f t="shared" ca="1" si="2"/>
        <v>-5.265521041675254E-3</v>
      </c>
    </row>
    <row r="537" spans="1:3">
      <c r="A537" s="3">
        <f ca="1">IFERROR(__xludf.UNSUPPORTED("""COMPUTED_VALUE"""),44244.6666666666)</f>
        <v>44244.666666666599</v>
      </c>
      <c r="B537" s="1">
        <f ca="1">IFERROR(__xludf.UNSUPPORTED("""COMPUTED_VALUE"""),244.2)</f>
        <v>244.2</v>
      </c>
      <c r="C537" s="2">
        <f t="shared" ca="1" si="2"/>
        <v>2.051702913418137E-3</v>
      </c>
    </row>
    <row r="538" spans="1:3">
      <c r="A538" s="3">
        <f ca="1">IFERROR(__xludf.UNSUPPORTED("""COMPUTED_VALUE"""),44245.6666666666)</f>
        <v>44245.666666666599</v>
      </c>
      <c r="B538" s="1">
        <f ca="1">IFERROR(__xludf.UNSUPPORTED("""COMPUTED_VALUE"""),243.79)</f>
        <v>243.79</v>
      </c>
      <c r="C538" s="2">
        <f t="shared" ca="1" si="2"/>
        <v>-1.678951678951665E-3</v>
      </c>
    </row>
    <row r="539" spans="1:3">
      <c r="A539" s="3">
        <f ca="1">IFERROR(__xludf.UNSUPPORTED("""COMPUTED_VALUE"""),44246.6666666666)</f>
        <v>44246.666666666599</v>
      </c>
      <c r="B539" s="1">
        <f ca="1">IFERROR(__xludf.UNSUPPORTED("""COMPUTED_VALUE"""),240.97)</f>
        <v>240.97</v>
      </c>
      <c r="C539" s="2">
        <f t="shared" ca="1" si="2"/>
        <v>-1.1567332540301052E-2</v>
      </c>
    </row>
    <row r="540" spans="1:3">
      <c r="A540" s="3">
        <f ca="1">IFERROR(__xludf.UNSUPPORTED("""COMPUTED_VALUE"""),44249.6666666666)</f>
        <v>44249.666666666599</v>
      </c>
      <c r="B540" s="1">
        <f ca="1">IFERROR(__xludf.UNSUPPORTED("""COMPUTED_VALUE"""),234.51)</f>
        <v>234.51</v>
      </c>
      <c r="C540" s="2">
        <f t="shared" ca="1" si="2"/>
        <v>-2.680831638793214E-2</v>
      </c>
    </row>
    <row r="541" spans="1:3">
      <c r="A541" s="3">
        <f ca="1">IFERROR(__xludf.UNSUPPORTED("""COMPUTED_VALUE"""),44250.6666666666)</f>
        <v>44250.666666666599</v>
      </c>
      <c r="B541" s="1">
        <f ca="1">IFERROR(__xludf.UNSUPPORTED("""COMPUTED_VALUE"""),233.27)</f>
        <v>233.27</v>
      </c>
      <c r="C541" s="2">
        <f t="shared" ca="1" si="2"/>
        <v>-5.2876209969723283E-3</v>
      </c>
    </row>
    <row r="542" spans="1:3">
      <c r="A542" s="3">
        <f ca="1">IFERROR(__xludf.UNSUPPORTED("""COMPUTED_VALUE"""),44251.6666666666)</f>
        <v>44251.666666666599</v>
      </c>
      <c r="B542" s="1">
        <f ca="1">IFERROR(__xludf.UNSUPPORTED("""COMPUTED_VALUE"""),234.55)</f>
        <v>234.55</v>
      </c>
      <c r="C542" s="2">
        <f t="shared" ca="1" si="2"/>
        <v>5.4872036695674583E-3</v>
      </c>
    </row>
    <row r="543" spans="1:3">
      <c r="A543" s="3">
        <f ca="1">IFERROR(__xludf.UNSUPPORTED("""COMPUTED_VALUE"""),44252.6666666666)</f>
        <v>44252.666666666599</v>
      </c>
      <c r="B543" s="1">
        <f ca="1">IFERROR(__xludf.UNSUPPORTED("""COMPUTED_VALUE"""),228.99)</f>
        <v>228.99</v>
      </c>
      <c r="C543" s="2">
        <f t="shared" ca="1" si="2"/>
        <v>-2.3704966958004697E-2</v>
      </c>
    </row>
    <row r="544" spans="1:3">
      <c r="A544" s="3">
        <f ca="1">IFERROR(__xludf.UNSUPPORTED("""COMPUTED_VALUE"""),44253.6666666666)</f>
        <v>44253.666666666599</v>
      </c>
      <c r="B544" s="1">
        <f ca="1">IFERROR(__xludf.UNSUPPORTED("""COMPUTED_VALUE"""),232.38)</f>
        <v>232.38</v>
      </c>
      <c r="C544" s="2">
        <f t="shared" ca="1" si="2"/>
        <v>1.4804139918773685E-2</v>
      </c>
    </row>
    <row r="545" spans="1:3">
      <c r="A545" s="3">
        <f ca="1">IFERROR(__xludf.UNSUPPORTED("""COMPUTED_VALUE"""),44256.6666666666)</f>
        <v>44256.666666666599</v>
      </c>
      <c r="B545" s="1">
        <f ca="1">IFERROR(__xludf.UNSUPPORTED("""COMPUTED_VALUE"""),236.94)</f>
        <v>236.94</v>
      </c>
      <c r="C545" s="2">
        <f t="shared" ca="1" si="2"/>
        <v>1.9623031241931328E-2</v>
      </c>
    </row>
    <row r="546" spans="1:3">
      <c r="A546" s="3">
        <f ca="1">IFERROR(__xludf.UNSUPPORTED("""COMPUTED_VALUE"""),44257.6666666666)</f>
        <v>44257.666666666599</v>
      </c>
      <c r="B546" s="1">
        <f ca="1">IFERROR(__xludf.UNSUPPORTED("""COMPUTED_VALUE"""),233.87)</f>
        <v>233.87</v>
      </c>
      <c r="C546" s="2">
        <f t="shared" ca="1" si="2"/>
        <v>-1.2956866717312372E-2</v>
      </c>
    </row>
    <row r="547" spans="1:3">
      <c r="A547" s="3">
        <f ca="1">IFERROR(__xludf.UNSUPPORTED("""COMPUTED_VALUE"""),44258.6666666666)</f>
        <v>44258.666666666599</v>
      </c>
      <c r="B547" s="1">
        <f ca="1">IFERROR(__xludf.UNSUPPORTED("""COMPUTED_VALUE"""),227.56)</f>
        <v>227.56</v>
      </c>
      <c r="C547" s="2">
        <f t="shared" ca="1" si="2"/>
        <v>-2.6980801299867456E-2</v>
      </c>
    </row>
    <row r="548" spans="1:3">
      <c r="A548" s="3">
        <f ca="1">IFERROR(__xludf.UNSUPPORTED("""COMPUTED_VALUE"""),44259.6666666666)</f>
        <v>44259.666666666599</v>
      </c>
      <c r="B548" s="1">
        <f ca="1">IFERROR(__xludf.UNSUPPORTED("""COMPUTED_VALUE"""),226.73)</f>
        <v>226.73</v>
      </c>
      <c r="C548" s="2">
        <f t="shared" ca="1" si="2"/>
        <v>-3.6473896994199881E-3</v>
      </c>
    </row>
    <row r="549" spans="1:3">
      <c r="A549" s="3">
        <f ca="1">IFERROR(__xludf.UNSUPPORTED("""COMPUTED_VALUE"""),44260.6666666666)</f>
        <v>44260.666666666599</v>
      </c>
      <c r="B549" s="1">
        <f ca="1">IFERROR(__xludf.UNSUPPORTED("""COMPUTED_VALUE"""),231.6)</f>
        <v>231.6</v>
      </c>
      <c r="C549" s="2">
        <f t="shared" ca="1" si="2"/>
        <v>2.147929255061088E-2</v>
      </c>
    </row>
    <row r="550" spans="1:3">
      <c r="A550" s="3">
        <f ca="1">IFERROR(__xludf.UNSUPPORTED("""COMPUTED_VALUE"""),44263.6666666666)</f>
        <v>44263.666666666599</v>
      </c>
      <c r="B550" s="1">
        <f ca="1">IFERROR(__xludf.UNSUPPORTED("""COMPUTED_VALUE"""),227.39)</f>
        <v>227.39</v>
      </c>
      <c r="C550" s="2">
        <f t="shared" ca="1" si="2"/>
        <v>-1.8177892918825597E-2</v>
      </c>
    </row>
    <row r="551" spans="1:3">
      <c r="A551" s="3">
        <f ca="1">IFERROR(__xludf.UNSUPPORTED("""COMPUTED_VALUE"""),44264.6666666666)</f>
        <v>44264.666666666599</v>
      </c>
      <c r="B551" s="1">
        <f ca="1">IFERROR(__xludf.UNSUPPORTED("""COMPUTED_VALUE"""),233.78)</f>
        <v>233.78</v>
      </c>
      <c r="C551" s="2">
        <f t="shared" ca="1" si="2"/>
        <v>2.810149962619295E-2</v>
      </c>
    </row>
    <row r="552" spans="1:3">
      <c r="A552" s="3">
        <f ca="1">IFERROR(__xludf.UNSUPPORTED("""COMPUTED_VALUE"""),44265.6666666666)</f>
        <v>44265.666666666599</v>
      </c>
      <c r="B552" s="1">
        <f ca="1">IFERROR(__xludf.UNSUPPORTED("""COMPUTED_VALUE"""),232.42)</f>
        <v>232.42</v>
      </c>
      <c r="C552" s="2">
        <f t="shared" ca="1" si="2"/>
        <v>-5.817435195482991E-3</v>
      </c>
    </row>
    <row r="553" spans="1:3">
      <c r="A553" s="3">
        <f ca="1">IFERROR(__xludf.UNSUPPORTED("""COMPUTED_VALUE"""),44266.6666666666)</f>
        <v>44266.666666666599</v>
      </c>
      <c r="B553" s="1">
        <f ca="1">IFERROR(__xludf.UNSUPPORTED("""COMPUTED_VALUE"""),237.13)</f>
        <v>237.13</v>
      </c>
      <c r="C553" s="2">
        <f t="shared" ca="1" si="2"/>
        <v>2.0265037432234782E-2</v>
      </c>
    </row>
    <row r="554" spans="1:3">
      <c r="A554" s="3">
        <f ca="1">IFERROR(__xludf.UNSUPPORTED("""COMPUTED_VALUE"""),44267.6666666666)</f>
        <v>44267.666666666599</v>
      </c>
      <c r="B554" s="1">
        <f ca="1">IFERROR(__xludf.UNSUPPORTED("""COMPUTED_VALUE"""),235.75)</f>
        <v>235.75</v>
      </c>
      <c r="C554" s="2">
        <f t="shared" ca="1" si="2"/>
        <v>-5.8195926285159851E-3</v>
      </c>
    </row>
    <row r="555" spans="1:3">
      <c r="A555" s="3">
        <f ca="1">IFERROR(__xludf.UNSUPPORTED("""COMPUTED_VALUE"""),44270.6666666666)</f>
        <v>44270.666666666599</v>
      </c>
      <c r="B555" s="1">
        <f ca="1">IFERROR(__xludf.UNSUPPORTED("""COMPUTED_VALUE"""),234.81)</f>
        <v>234.81</v>
      </c>
      <c r="C555" s="2">
        <f t="shared" ca="1" si="2"/>
        <v>-3.9872746553552395E-3</v>
      </c>
    </row>
    <row r="556" spans="1:3">
      <c r="A556" s="3">
        <f ca="1">IFERROR(__xludf.UNSUPPORTED("""COMPUTED_VALUE"""),44271.6666666666)</f>
        <v>44271.666666666599</v>
      </c>
      <c r="B556" s="1">
        <f ca="1">IFERROR(__xludf.UNSUPPORTED("""COMPUTED_VALUE"""),237.71)</f>
        <v>237.71</v>
      </c>
      <c r="C556" s="2">
        <f t="shared" ca="1" si="2"/>
        <v>1.2350410970571976E-2</v>
      </c>
    </row>
    <row r="557" spans="1:3">
      <c r="A557" s="3">
        <f ca="1">IFERROR(__xludf.UNSUPPORTED("""COMPUTED_VALUE"""),44272.6666666666)</f>
        <v>44272.666666666599</v>
      </c>
      <c r="B557" s="1">
        <f ca="1">IFERROR(__xludf.UNSUPPORTED("""COMPUTED_VALUE"""),237.04)</f>
        <v>237.04</v>
      </c>
      <c r="C557" s="2">
        <f t="shared" ca="1" si="2"/>
        <v>-2.8185604307770641E-3</v>
      </c>
    </row>
    <row r="558" spans="1:3">
      <c r="A558" s="3">
        <f ca="1">IFERROR(__xludf.UNSUPPORTED("""COMPUTED_VALUE"""),44273.6666666666)</f>
        <v>44273.666666666599</v>
      </c>
      <c r="B558" s="1">
        <f ca="1">IFERROR(__xludf.UNSUPPORTED("""COMPUTED_VALUE"""),230.72)</f>
        <v>230.72</v>
      </c>
      <c r="C558" s="2">
        <f t="shared" ca="1" si="2"/>
        <v>-2.6662166722915936E-2</v>
      </c>
    </row>
    <row r="559" spans="1:3">
      <c r="A559" s="3">
        <f ca="1">IFERROR(__xludf.UNSUPPORTED("""COMPUTED_VALUE"""),44274.6666666666)</f>
        <v>44274.666666666599</v>
      </c>
      <c r="B559" s="1">
        <f ca="1">IFERROR(__xludf.UNSUPPORTED("""COMPUTED_VALUE"""),230.35)</f>
        <v>230.35</v>
      </c>
      <c r="C559" s="2">
        <f t="shared" ca="1" si="2"/>
        <v>-1.6036754507628491E-3</v>
      </c>
    </row>
    <row r="560" spans="1:3">
      <c r="A560" s="3">
        <f ca="1">IFERROR(__xludf.UNSUPPORTED("""COMPUTED_VALUE"""),44277.6666666666)</f>
        <v>44277.666666666599</v>
      </c>
      <c r="B560" s="1">
        <f ca="1">IFERROR(__xludf.UNSUPPORTED("""COMPUTED_VALUE"""),235.99)</f>
        <v>235.99</v>
      </c>
      <c r="C560" s="2">
        <f t="shared" ca="1" si="2"/>
        <v>2.4484480138919101E-2</v>
      </c>
    </row>
    <row r="561" spans="1:3">
      <c r="A561" s="3">
        <f ca="1">IFERROR(__xludf.UNSUPPORTED("""COMPUTED_VALUE"""),44278.6666666666)</f>
        <v>44278.666666666599</v>
      </c>
      <c r="B561" s="1">
        <f ca="1">IFERROR(__xludf.UNSUPPORTED("""COMPUTED_VALUE"""),237.58)</f>
        <v>237.58</v>
      </c>
      <c r="C561" s="2">
        <f t="shared" ca="1" si="2"/>
        <v>6.7375736260011157E-3</v>
      </c>
    </row>
    <row r="562" spans="1:3">
      <c r="A562" s="3">
        <f ca="1">IFERROR(__xludf.UNSUPPORTED("""COMPUTED_VALUE"""),44279.6666666666)</f>
        <v>44279.666666666599</v>
      </c>
      <c r="B562" s="1">
        <f ca="1">IFERROR(__xludf.UNSUPPORTED("""COMPUTED_VALUE"""),235.46)</f>
        <v>235.46</v>
      </c>
      <c r="C562" s="2">
        <f t="shared" ca="1" si="2"/>
        <v>-8.9233100429329248E-3</v>
      </c>
    </row>
    <row r="563" spans="1:3">
      <c r="A563" s="3">
        <f ca="1">IFERROR(__xludf.UNSUPPORTED("""COMPUTED_VALUE"""),44280.6666666666)</f>
        <v>44280.666666666599</v>
      </c>
      <c r="B563" s="1">
        <f ca="1">IFERROR(__xludf.UNSUPPORTED("""COMPUTED_VALUE"""),232.34)</f>
        <v>232.34</v>
      </c>
      <c r="C563" s="2">
        <f t="shared" ca="1" si="2"/>
        <v>-1.3250658285908453E-2</v>
      </c>
    </row>
    <row r="564" spans="1:3">
      <c r="A564" s="3">
        <f ca="1">IFERROR(__xludf.UNSUPPORTED("""COMPUTED_VALUE"""),44281.6666666666)</f>
        <v>44281.666666666599</v>
      </c>
      <c r="B564" s="1">
        <f ca="1">IFERROR(__xludf.UNSUPPORTED("""COMPUTED_VALUE"""),236.48)</f>
        <v>236.48</v>
      </c>
      <c r="C564" s="2">
        <f t="shared" ca="1" si="2"/>
        <v>1.78187139536885E-2</v>
      </c>
    </row>
    <row r="565" spans="1:3">
      <c r="A565" s="3">
        <f ca="1">IFERROR(__xludf.UNSUPPORTED("""COMPUTED_VALUE"""),44284.6666666666)</f>
        <v>44284.666666666599</v>
      </c>
      <c r="B565" s="1">
        <f ca="1">IFERROR(__xludf.UNSUPPORTED("""COMPUTED_VALUE"""),235.24)</f>
        <v>235.24</v>
      </c>
      <c r="C565" s="2">
        <f t="shared" ca="1" si="2"/>
        <v>-5.2435723951284709E-3</v>
      </c>
    </row>
    <row r="566" spans="1:3">
      <c r="A566" s="3">
        <f ca="1">IFERROR(__xludf.UNSUPPORTED("""COMPUTED_VALUE"""),44285.6666666666)</f>
        <v>44285.666666666599</v>
      </c>
      <c r="B566" s="1">
        <f ca="1">IFERROR(__xludf.UNSUPPORTED("""COMPUTED_VALUE"""),231.85)</f>
        <v>231.85</v>
      </c>
      <c r="C566" s="2">
        <f t="shared" ca="1" si="2"/>
        <v>-1.4410814487332148E-2</v>
      </c>
    </row>
    <row r="567" spans="1:3">
      <c r="A567" s="3">
        <f ca="1">IFERROR(__xludf.UNSUPPORTED("""COMPUTED_VALUE"""),44286.6666666666)</f>
        <v>44286.666666666599</v>
      </c>
      <c r="B567" s="1">
        <f ca="1">IFERROR(__xludf.UNSUPPORTED("""COMPUTED_VALUE"""),235.77)</f>
        <v>235.77</v>
      </c>
      <c r="C567" s="2">
        <f t="shared" ca="1" si="2"/>
        <v>1.6907483286607791E-2</v>
      </c>
    </row>
    <row r="568" spans="1:3">
      <c r="A568" s="3">
        <f ca="1">IFERROR(__xludf.UNSUPPORTED("""COMPUTED_VALUE"""),44287.6666666666)</f>
        <v>44287.666666666599</v>
      </c>
      <c r="B568" s="1">
        <f ca="1">IFERROR(__xludf.UNSUPPORTED("""COMPUTED_VALUE"""),242.35)</f>
        <v>242.35</v>
      </c>
      <c r="C568" s="2">
        <f t="shared" ca="1" si="2"/>
        <v>2.7908554947618371E-2</v>
      </c>
    </row>
    <row r="569" spans="1:3">
      <c r="A569" s="3">
        <f ca="1">IFERROR(__xludf.UNSUPPORTED("""COMPUTED_VALUE"""),44291.6666666666)</f>
        <v>44291.666666666599</v>
      </c>
      <c r="B569" s="1">
        <f ca="1">IFERROR(__xludf.UNSUPPORTED("""COMPUTED_VALUE"""),249.07)</f>
        <v>249.07</v>
      </c>
      <c r="C569" s="2">
        <f t="shared" ca="1" si="2"/>
        <v>2.7728491850629252E-2</v>
      </c>
    </row>
    <row r="570" spans="1:3">
      <c r="A570" s="3">
        <f ca="1">IFERROR(__xludf.UNSUPPORTED("""COMPUTED_VALUE"""),44292.6666666666)</f>
        <v>44292.666666666599</v>
      </c>
      <c r="B570" s="1">
        <f ca="1">IFERROR(__xludf.UNSUPPORTED("""COMPUTED_VALUE"""),247.86)</f>
        <v>247.86</v>
      </c>
      <c r="C570" s="2">
        <f t="shared" ca="1" si="2"/>
        <v>-4.8580720279438692E-3</v>
      </c>
    </row>
    <row r="571" spans="1:3">
      <c r="A571" s="3">
        <f ca="1">IFERROR(__xludf.UNSUPPORTED("""COMPUTED_VALUE"""),44293.6666666666)</f>
        <v>44293.666666666599</v>
      </c>
      <c r="B571" s="1">
        <f ca="1">IFERROR(__xludf.UNSUPPORTED("""COMPUTED_VALUE"""),249.9)</f>
        <v>249.9</v>
      </c>
      <c r="C571" s="2">
        <f t="shared" ca="1" si="2"/>
        <v>8.2304526748970871E-3</v>
      </c>
    </row>
    <row r="572" spans="1:3">
      <c r="A572" s="3">
        <f ca="1">IFERROR(__xludf.UNSUPPORTED("""COMPUTED_VALUE"""),44294.6666666666)</f>
        <v>44294.666666666599</v>
      </c>
      <c r="B572" s="1">
        <f ca="1">IFERROR(__xludf.UNSUPPORTED("""COMPUTED_VALUE"""),253.25)</f>
        <v>253.25</v>
      </c>
      <c r="C572" s="2">
        <f t="shared" ca="1" si="2"/>
        <v>1.340536214485792E-2</v>
      </c>
    </row>
    <row r="573" spans="1:3">
      <c r="A573" s="3">
        <f ca="1">IFERROR(__xludf.UNSUPPORTED("""COMPUTED_VALUE"""),44295.6666666666)</f>
        <v>44295.666666666599</v>
      </c>
      <c r="B573" s="1">
        <f ca="1">IFERROR(__xludf.UNSUPPORTED("""COMPUTED_VALUE"""),255.85)</f>
        <v>255.85</v>
      </c>
      <c r="C573" s="2">
        <f t="shared" ca="1" si="2"/>
        <v>1.0266535044422485E-2</v>
      </c>
    </row>
    <row r="574" spans="1:3">
      <c r="A574" s="3">
        <f ca="1">IFERROR(__xludf.UNSUPPORTED("""COMPUTED_VALUE"""),44298.6666666666)</f>
        <v>44298.666666666599</v>
      </c>
      <c r="B574" s="1">
        <f ca="1">IFERROR(__xludf.UNSUPPORTED("""COMPUTED_VALUE"""),255.91)</f>
        <v>255.91</v>
      </c>
      <c r="C574" s="2">
        <f t="shared" ca="1" si="2"/>
        <v>2.3451240961501769E-4</v>
      </c>
    </row>
    <row r="575" spans="1:3">
      <c r="A575" s="3">
        <f ca="1">IFERROR(__xludf.UNSUPPORTED("""COMPUTED_VALUE"""),44299.6666666666)</f>
        <v>44299.666666666599</v>
      </c>
      <c r="B575" s="1">
        <f ca="1">IFERROR(__xludf.UNSUPPORTED("""COMPUTED_VALUE"""),258.49)</f>
        <v>258.49</v>
      </c>
      <c r="C575" s="2">
        <f t="shared" ca="1" si="2"/>
        <v>1.0081669336876294E-2</v>
      </c>
    </row>
    <row r="576" spans="1:3">
      <c r="A576" s="3">
        <f ca="1">IFERROR(__xludf.UNSUPPORTED("""COMPUTED_VALUE"""),44300.6666666666)</f>
        <v>44300.666666666599</v>
      </c>
      <c r="B576" s="1">
        <f ca="1">IFERROR(__xludf.UNSUPPORTED("""COMPUTED_VALUE"""),255.59)</f>
        <v>255.59</v>
      </c>
      <c r="C576" s="2">
        <f t="shared" ca="1" si="2"/>
        <v>-1.1219002669348933E-2</v>
      </c>
    </row>
    <row r="577" spans="1:3">
      <c r="A577" s="3">
        <f ca="1">IFERROR(__xludf.UNSUPPORTED("""COMPUTED_VALUE"""),44301.6666666666)</f>
        <v>44301.666666666599</v>
      </c>
      <c r="B577" s="1">
        <f ca="1">IFERROR(__xludf.UNSUPPORTED("""COMPUTED_VALUE"""),259.5)</f>
        <v>259.5</v>
      </c>
      <c r="C577" s="2">
        <f t="shared" ca="1" si="2"/>
        <v>1.5297938103994666E-2</v>
      </c>
    </row>
    <row r="578" spans="1:3">
      <c r="A578" s="3">
        <f ca="1">IFERROR(__xludf.UNSUPPORTED("""COMPUTED_VALUE"""),44302.6666666666)</f>
        <v>44302.666666666599</v>
      </c>
      <c r="B578" s="1">
        <f ca="1">IFERROR(__xludf.UNSUPPORTED("""COMPUTED_VALUE"""),260.74)</f>
        <v>260.74</v>
      </c>
      <c r="C578" s="2">
        <f t="shared" ca="1" si="2"/>
        <v>4.7784200385356801E-3</v>
      </c>
    </row>
    <row r="579" spans="1:3">
      <c r="A579" s="3">
        <f ca="1">IFERROR(__xludf.UNSUPPORTED("""COMPUTED_VALUE"""),44305.6666666666)</f>
        <v>44305.666666666599</v>
      </c>
      <c r="B579" s="1">
        <f ca="1">IFERROR(__xludf.UNSUPPORTED("""COMPUTED_VALUE"""),258.74)</f>
        <v>258.74</v>
      </c>
      <c r="C579" s="2">
        <f t="shared" ca="1" si="2"/>
        <v>-7.6704763365805012E-3</v>
      </c>
    </row>
    <row r="580" spans="1:3">
      <c r="A580" s="3">
        <f ca="1">IFERROR(__xludf.UNSUPPORTED("""COMPUTED_VALUE"""),44306.6666666666)</f>
        <v>44306.666666666599</v>
      </c>
      <c r="B580" s="1">
        <f ca="1">IFERROR(__xludf.UNSUPPORTED("""COMPUTED_VALUE"""),258.26)</f>
        <v>258.26</v>
      </c>
      <c r="C580" s="2">
        <f t="shared" ca="1" si="2"/>
        <v>-1.8551441601608494E-3</v>
      </c>
    </row>
    <row r="581" spans="1:3">
      <c r="A581" s="3">
        <f ca="1">IFERROR(__xludf.UNSUPPORTED("""COMPUTED_VALUE"""),44307.6666666666)</f>
        <v>44307.666666666599</v>
      </c>
      <c r="B581" s="1">
        <f ca="1">IFERROR(__xludf.UNSUPPORTED("""COMPUTED_VALUE"""),260.58)</f>
        <v>260.58</v>
      </c>
      <c r="C581" s="2">
        <f t="shared" ca="1" si="2"/>
        <v>8.9831952296135411E-3</v>
      </c>
    </row>
    <row r="582" spans="1:3">
      <c r="A582" s="3">
        <f ca="1">IFERROR(__xludf.UNSUPPORTED("""COMPUTED_VALUE"""),44308.6666666666)</f>
        <v>44308.666666666599</v>
      </c>
      <c r="B582" s="1">
        <f ca="1">IFERROR(__xludf.UNSUPPORTED("""COMPUTED_VALUE"""),257.17)</f>
        <v>257.17</v>
      </c>
      <c r="C582" s="2">
        <f t="shared" ca="1" si="2"/>
        <v>-1.3086192340164128E-2</v>
      </c>
    </row>
    <row r="583" spans="1:3">
      <c r="A583" s="3">
        <f ca="1">IFERROR(__xludf.UNSUPPORTED("""COMPUTED_VALUE"""),44309.6666666666)</f>
        <v>44309.666666666599</v>
      </c>
      <c r="B583" s="1">
        <f ca="1">IFERROR(__xludf.UNSUPPORTED("""COMPUTED_VALUE"""),261.15)</f>
        <v>261.14999999999998</v>
      </c>
      <c r="C583" s="2">
        <f t="shared" ca="1" si="2"/>
        <v>1.5476144184780345E-2</v>
      </c>
    </row>
    <row r="584" spans="1:3">
      <c r="A584" s="3">
        <f ca="1">IFERROR(__xludf.UNSUPPORTED("""COMPUTED_VALUE"""),44312.6666666666)</f>
        <v>44312.666666666599</v>
      </c>
      <c r="B584" s="1">
        <f ca="1">IFERROR(__xludf.UNSUPPORTED("""COMPUTED_VALUE"""),261.55)</f>
        <v>261.55</v>
      </c>
      <c r="C584" s="2">
        <f t="shared" ca="1" si="2"/>
        <v>1.5316867700556544E-3</v>
      </c>
    </row>
    <row r="585" spans="1:3">
      <c r="A585" s="3">
        <f ca="1">IFERROR(__xludf.UNSUPPORTED("""COMPUTED_VALUE"""),44313.6666666666)</f>
        <v>44313.666666666599</v>
      </c>
      <c r="B585" s="1">
        <f ca="1">IFERROR(__xludf.UNSUPPORTED("""COMPUTED_VALUE"""),261.97)</f>
        <v>261.97000000000003</v>
      </c>
      <c r="C585" s="2">
        <f t="shared" ca="1" si="2"/>
        <v>1.6058115083158705E-3</v>
      </c>
    </row>
    <row r="586" spans="1:3">
      <c r="A586" s="3">
        <f ca="1">IFERROR(__xludf.UNSUPPORTED("""COMPUTED_VALUE"""),44314.6666666666)</f>
        <v>44314.666666666599</v>
      </c>
      <c r="B586" s="1">
        <f ca="1">IFERROR(__xludf.UNSUPPORTED("""COMPUTED_VALUE"""),254.56)</f>
        <v>254.56</v>
      </c>
      <c r="C586" s="2">
        <f t="shared" ca="1" si="2"/>
        <v>-2.8285681566591687E-2</v>
      </c>
    </row>
    <row r="587" spans="1:3">
      <c r="A587" s="3">
        <f ca="1">IFERROR(__xludf.UNSUPPORTED("""COMPUTED_VALUE"""),44315.6666666666)</f>
        <v>44315.666666666599</v>
      </c>
      <c r="B587" s="1">
        <f ca="1">IFERROR(__xludf.UNSUPPORTED("""COMPUTED_VALUE"""),252.51)</f>
        <v>252.51</v>
      </c>
      <c r="C587" s="2">
        <f t="shared" ca="1" si="2"/>
        <v>-8.0531112507857133E-3</v>
      </c>
    </row>
    <row r="588" spans="1:3">
      <c r="A588" s="3">
        <f ca="1">IFERROR(__xludf.UNSUPPORTED("""COMPUTED_VALUE"""),44316.6666666666)</f>
        <v>44316.666666666599</v>
      </c>
      <c r="B588" s="1">
        <f ca="1">IFERROR(__xludf.UNSUPPORTED("""COMPUTED_VALUE"""),252.18)</f>
        <v>252.18</v>
      </c>
      <c r="C588" s="2">
        <f t="shared" ca="1" si="2"/>
        <v>-1.3068789354876405E-3</v>
      </c>
    </row>
    <row r="589" spans="1:3">
      <c r="A589" s="3">
        <f ca="1">IFERROR(__xludf.UNSUPPORTED("""COMPUTED_VALUE"""),44319.6666666666)</f>
        <v>44319.666666666599</v>
      </c>
      <c r="B589" s="1">
        <f ca="1">IFERROR(__xludf.UNSUPPORTED("""COMPUTED_VALUE"""),251.86)</f>
        <v>251.86</v>
      </c>
      <c r="C589" s="2">
        <f t="shared" ca="1" si="2"/>
        <v>-1.2689348877785438E-3</v>
      </c>
    </row>
    <row r="590" spans="1:3">
      <c r="A590" s="3">
        <f ca="1">IFERROR(__xludf.UNSUPPORTED("""COMPUTED_VALUE"""),44320.6666666666)</f>
        <v>44320.666666666599</v>
      </c>
      <c r="B590" s="1">
        <f ca="1">IFERROR(__xludf.UNSUPPORTED("""COMPUTED_VALUE"""),247.79)</f>
        <v>247.79</v>
      </c>
      <c r="C590" s="2">
        <f t="shared" ca="1" si="2"/>
        <v>-1.6159771301516801E-2</v>
      </c>
    </row>
    <row r="591" spans="1:3">
      <c r="A591" s="3">
        <f ca="1">IFERROR(__xludf.UNSUPPORTED("""COMPUTED_VALUE"""),44321.6666666666)</f>
        <v>44321.666666666599</v>
      </c>
      <c r="B591" s="1">
        <f ca="1">IFERROR(__xludf.UNSUPPORTED("""COMPUTED_VALUE"""),246.47)</f>
        <v>246.47</v>
      </c>
      <c r="C591" s="2">
        <f t="shared" ca="1" si="2"/>
        <v>-5.327091488760617E-3</v>
      </c>
    </row>
    <row r="592" spans="1:3">
      <c r="A592" s="3">
        <f ca="1">IFERROR(__xludf.UNSUPPORTED("""COMPUTED_VALUE"""),44322.6666666666)</f>
        <v>44322.666666666599</v>
      </c>
      <c r="B592" s="1">
        <f ca="1">IFERROR(__xludf.UNSUPPORTED("""COMPUTED_VALUE"""),249.73)</f>
        <v>249.73</v>
      </c>
      <c r="C592" s="2">
        <f t="shared" ca="1" si="2"/>
        <v>1.3226761877713275E-2</v>
      </c>
    </row>
    <row r="593" spans="1:3">
      <c r="A593" s="3">
        <f ca="1">IFERROR(__xludf.UNSUPPORTED("""COMPUTED_VALUE"""),44323.6666666666)</f>
        <v>44323.666666666599</v>
      </c>
      <c r="B593" s="1">
        <f ca="1">IFERROR(__xludf.UNSUPPORTED("""COMPUTED_VALUE"""),252.46)</f>
        <v>252.46</v>
      </c>
      <c r="C593" s="2">
        <f t="shared" ca="1" si="2"/>
        <v>1.0931806350859E-2</v>
      </c>
    </row>
    <row r="594" spans="1:3">
      <c r="A594" s="3">
        <f ca="1">IFERROR(__xludf.UNSUPPORTED("""COMPUTED_VALUE"""),44326.6666666666)</f>
        <v>44326.666666666599</v>
      </c>
      <c r="B594" s="1">
        <f ca="1">IFERROR(__xludf.UNSUPPORTED("""COMPUTED_VALUE"""),247.18)</f>
        <v>247.18</v>
      </c>
      <c r="C594" s="2">
        <f t="shared" ca="1" si="2"/>
        <v>-2.0914204230373133E-2</v>
      </c>
    </row>
    <row r="595" spans="1:3">
      <c r="A595" s="3">
        <f ca="1">IFERROR(__xludf.UNSUPPORTED("""COMPUTED_VALUE"""),44327.6666666666)</f>
        <v>44327.666666666599</v>
      </c>
      <c r="B595" s="1">
        <f ca="1">IFERROR(__xludf.UNSUPPORTED("""COMPUTED_VALUE"""),246.23)</f>
        <v>246.23</v>
      </c>
      <c r="C595" s="2">
        <f t="shared" ca="1" si="2"/>
        <v>-3.8433530220892348E-3</v>
      </c>
    </row>
    <row r="596" spans="1:3">
      <c r="A596" s="3">
        <f ca="1">IFERROR(__xludf.UNSUPPORTED("""COMPUTED_VALUE"""),44328.6666666666)</f>
        <v>44328.666666666599</v>
      </c>
      <c r="B596" s="1">
        <f ca="1">IFERROR(__xludf.UNSUPPORTED("""COMPUTED_VALUE"""),239)</f>
        <v>239</v>
      </c>
      <c r="C596" s="2">
        <f t="shared" ca="1" si="2"/>
        <v>-2.9362790886569429E-2</v>
      </c>
    </row>
    <row r="597" spans="1:3">
      <c r="A597" s="3">
        <f ca="1">IFERROR(__xludf.UNSUPPORTED("""COMPUTED_VALUE"""),44329.6666666666)</f>
        <v>44329.666666666599</v>
      </c>
      <c r="B597" s="1">
        <f ca="1">IFERROR(__xludf.UNSUPPORTED("""COMPUTED_VALUE"""),243.03)</f>
        <v>243.03</v>
      </c>
      <c r="C597" s="2">
        <f t="shared" ca="1" si="2"/>
        <v>1.6861924686192475E-2</v>
      </c>
    </row>
    <row r="598" spans="1:3">
      <c r="A598" s="3">
        <f ca="1">IFERROR(__xludf.UNSUPPORTED("""COMPUTED_VALUE"""),44330.6666666666)</f>
        <v>44330.666666666599</v>
      </c>
      <c r="B598" s="1">
        <f ca="1">IFERROR(__xludf.UNSUPPORTED("""COMPUTED_VALUE"""),248.15)</f>
        <v>248.15</v>
      </c>
      <c r="C598" s="2">
        <f t="shared" ca="1" si="2"/>
        <v>2.1067357939349069E-2</v>
      </c>
    </row>
    <row r="599" spans="1:3">
      <c r="A599" s="3">
        <f ca="1">IFERROR(__xludf.UNSUPPORTED("""COMPUTED_VALUE"""),44333.6666666666)</f>
        <v>44333.666666666599</v>
      </c>
      <c r="B599" s="1">
        <f ca="1">IFERROR(__xludf.UNSUPPORTED("""COMPUTED_VALUE"""),245.18)</f>
        <v>245.18</v>
      </c>
      <c r="C599" s="2">
        <f t="shared" ca="1" si="2"/>
        <v>-1.1968567398750751E-2</v>
      </c>
    </row>
    <row r="600" spans="1:3">
      <c r="A600" s="3">
        <f ca="1">IFERROR(__xludf.UNSUPPORTED("""COMPUTED_VALUE"""),44334.6666666666)</f>
        <v>44334.666666666599</v>
      </c>
      <c r="B600" s="1">
        <f ca="1">IFERROR(__xludf.UNSUPPORTED("""COMPUTED_VALUE"""),243.08)</f>
        <v>243.08</v>
      </c>
      <c r="C600" s="2">
        <f t="shared" ca="1" si="2"/>
        <v>-8.5651358185822434E-3</v>
      </c>
    </row>
    <row r="601" spans="1:3">
      <c r="A601" s="3">
        <f ca="1">IFERROR(__xludf.UNSUPPORTED("""COMPUTED_VALUE"""),44335.6666666666)</f>
        <v>44335.666666666599</v>
      </c>
      <c r="B601" s="1">
        <f ca="1">IFERROR(__xludf.UNSUPPORTED("""COMPUTED_VALUE"""),243.12)</f>
        <v>243.12</v>
      </c>
      <c r="C601" s="2">
        <f t="shared" ca="1" si="2"/>
        <v>1.6455487905213116E-4</v>
      </c>
    </row>
    <row r="602" spans="1:3">
      <c r="A602" s="3">
        <f ca="1">IFERROR(__xludf.UNSUPPORTED("""COMPUTED_VALUE"""),44336.6666666666)</f>
        <v>44336.666666666599</v>
      </c>
      <c r="B602" s="1">
        <f ca="1">IFERROR(__xludf.UNSUPPORTED("""COMPUTED_VALUE"""),246.48)</f>
        <v>246.48</v>
      </c>
      <c r="C602" s="2">
        <f t="shared" ca="1" si="2"/>
        <v>1.3820335636722546E-2</v>
      </c>
    </row>
    <row r="603" spans="1:3">
      <c r="A603" s="3">
        <f ca="1">IFERROR(__xludf.UNSUPPORTED("""COMPUTED_VALUE"""),44337.6666666666)</f>
        <v>44337.666666666599</v>
      </c>
      <c r="B603" s="1">
        <f ca="1">IFERROR(__xludf.UNSUPPORTED("""COMPUTED_VALUE"""),245.17)</f>
        <v>245.17</v>
      </c>
      <c r="C603" s="2">
        <f t="shared" ca="1" si="2"/>
        <v>-5.3148328464784258E-3</v>
      </c>
    </row>
    <row r="604" spans="1:3">
      <c r="A604" s="3">
        <f ca="1">IFERROR(__xludf.UNSUPPORTED("""COMPUTED_VALUE"""),44340.6666666666)</f>
        <v>44340.666666666599</v>
      </c>
      <c r="B604" s="1">
        <f ca="1">IFERROR(__xludf.UNSUPPORTED("""COMPUTED_VALUE"""),250.78)</f>
        <v>250.78</v>
      </c>
      <c r="C604" s="2">
        <f t="shared" ca="1" si="2"/>
        <v>2.2882081820777476E-2</v>
      </c>
    </row>
    <row r="605" spans="1:3">
      <c r="A605" s="3">
        <f ca="1">IFERROR(__xludf.UNSUPPORTED("""COMPUTED_VALUE"""),44341.6666666666)</f>
        <v>44341.666666666599</v>
      </c>
      <c r="B605" s="1">
        <f ca="1">IFERROR(__xludf.UNSUPPORTED("""COMPUTED_VALUE"""),251.72)</f>
        <v>251.72</v>
      </c>
      <c r="C605" s="2">
        <f t="shared" ca="1" si="2"/>
        <v>3.7483052875029814E-3</v>
      </c>
    </row>
    <row r="606" spans="1:3">
      <c r="A606" s="3">
        <f ca="1">IFERROR(__xludf.UNSUPPORTED("""COMPUTED_VALUE"""),44342.6666666666)</f>
        <v>44342.666666666599</v>
      </c>
      <c r="B606" s="1">
        <f ca="1">IFERROR(__xludf.UNSUPPORTED("""COMPUTED_VALUE"""),251.49)</f>
        <v>251.49</v>
      </c>
      <c r="C606" s="2">
        <f t="shared" ca="1" si="2"/>
        <v>-9.137136500873581E-4</v>
      </c>
    </row>
    <row r="607" spans="1:3">
      <c r="A607" s="3">
        <f ca="1">IFERROR(__xludf.UNSUPPORTED("""COMPUTED_VALUE"""),44343.6666666666)</f>
        <v>44343.666666666599</v>
      </c>
      <c r="B607" s="1">
        <f ca="1">IFERROR(__xludf.UNSUPPORTED("""COMPUTED_VALUE"""),249.31)</f>
        <v>249.31</v>
      </c>
      <c r="C607" s="2">
        <f t="shared" ca="1" si="2"/>
        <v>-8.6683367131894177E-3</v>
      </c>
    </row>
    <row r="608" spans="1:3">
      <c r="A608" s="3">
        <f ca="1">IFERROR(__xludf.UNSUPPORTED("""COMPUTED_VALUE"""),44344.6666666666)</f>
        <v>44344.666666666599</v>
      </c>
      <c r="B608" s="1">
        <f ca="1">IFERROR(__xludf.UNSUPPORTED("""COMPUTED_VALUE"""),249.68)</f>
        <v>249.68</v>
      </c>
      <c r="C608" s="2">
        <f t="shared" ca="1" si="2"/>
        <v>1.4840961052505095E-3</v>
      </c>
    </row>
    <row r="609" spans="1:3">
      <c r="A609" s="3">
        <f ca="1">IFERROR(__xludf.UNSUPPORTED("""COMPUTED_VALUE"""),44348.6666666666)</f>
        <v>44348.666666666599</v>
      </c>
      <c r="B609" s="1">
        <f ca="1">IFERROR(__xludf.UNSUPPORTED("""COMPUTED_VALUE"""),247.4)</f>
        <v>247.4</v>
      </c>
      <c r="C609" s="2">
        <f t="shared" ca="1" si="2"/>
        <v>-9.1316885613585436E-3</v>
      </c>
    </row>
    <row r="610" spans="1:3">
      <c r="A610" s="3">
        <f ca="1">IFERROR(__xludf.UNSUPPORTED("""COMPUTED_VALUE"""),44349.6666666666)</f>
        <v>44349.666666666599</v>
      </c>
      <c r="B610" s="1">
        <f ca="1">IFERROR(__xludf.UNSUPPORTED("""COMPUTED_VALUE"""),247.3)</f>
        <v>247.3</v>
      </c>
      <c r="C610" s="2">
        <f t="shared" ca="1" si="2"/>
        <v>-4.042037186741888E-4</v>
      </c>
    </row>
    <row r="611" spans="1:3">
      <c r="A611" s="3">
        <f ca="1">IFERROR(__xludf.UNSUPPORTED("""COMPUTED_VALUE"""),44350.6666666666)</f>
        <v>44350.666666666599</v>
      </c>
      <c r="B611" s="1">
        <f ca="1">IFERROR(__xludf.UNSUPPORTED("""COMPUTED_VALUE"""),245.71)</f>
        <v>245.71</v>
      </c>
      <c r="C611" s="2">
        <f t="shared" ca="1" si="2"/>
        <v>-6.4294379296401267E-3</v>
      </c>
    </row>
    <row r="612" spans="1:3">
      <c r="A612" s="3">
        <f ca="1">IFERROR(__xludf.UNSUPPORTED("""COMPUTED_VALUE"""),44351.6666666666)</f>
        <v>44351.666666666599</v>
      </c>
      <c r="B612" s="1">
        <f ca="1">IFERROR(__xludf.UNSUPPORTED("""COMPUTED_VALUE"""),250.79)</f>
        <v>250.79</v>
      </c>
      <c r="C612" s="2">
        <f t="shared" ca="1" si="2"/>
        <v>2.0674779211265246E-2</v>
      </c>
    </row>
    <row r="613" spans="1:3">
      <c r="A613" s="3">
        <f ca="1">IFERROR(__xludf.UNSUPPORTED("""COMPUTED_VALUE"""),44354.6666666666)</f>
        <v>44354.666666666599</v>
      </c>
      <c r="B613" s="1">
        <f ca="1">IFERROR(__xludf.UNSUPPORTED("""COMPUTED_VALUE"""),253.81)</f>
        <v>253.81</v>
      </c>
      <c r="C613" s="2">
        <f t="shared" ca="1" si="2"/>
        <v>1.2041947446070459E-2</v>
      </c>
    </row>
    <row r="614" spans="1:3">
      <c r="A614" s="3">
        <f ca="1">IFERROR(__xludf.UNSUPPORTED("""COMPUTED_VALUE"""),44355.6666666666)</f>
        <v>44355.666666666599</v>
      </c>
      <c r="B614" s="1">
        <f ca="1">IFERROR(__xludf.UNSUPPORTED("""COMPUTED_VALUE"""),252.57)</f>
        <v>252.57</v>
      </c>
      <c r="C614" s="2">
        <f t="shared" ca="1" si="2"/>
        <v>-4.8855443047949613E-3</v>
      </c>
    </row>
    <row r="615" spans="1:3">
      <c r="A615" s="3">
        <f ca="1">IFERROR(__xludf.UNSUPPORTED("""COMPUTED_VALUE"""),44356.6666666666)</f>
        <v>44356.666666666599</v>
      </c>
      <c r="B615" s="1">
        <f ca="1">IFERROR(__xludf.UNSUPPORTED("""COMPUTED_VALUE"""),253.59)</f>
        <v>253.59</v>
      </c>
      <c r="C615" s="2">
        <f t="shared" ca="1" si="2"/>
        <v>4.038484380567804E-3</v>
      </c>
    </row>
    <row r="616" spans="1:3">
      <c r="A616" s="3">
        <f ca="1">IFERROR(__xludf.UNSUPPORTED("""COMPUTED_VALUE"""),44357.6666666666)</f>
        <v>44357.666666666599</v>
      </c>
      <c r="B616" s="1">
        <f ca="1">IFERROR(__xludf.UNSUPPORTED("""COMPUTED_VALUE"""),257.24)</f>
        <v>257.24</v>
      </c>
      <c r="C616" s="2">
        <f t="shared" ca="1" si="2"/>
        <v>1.4393312039118283E-2</v>
      </c>
    </row>
    <row r="617" spans="1:3">
      <c r="A617" s="3">
        <f ca="1">IFERROR(__xludf.UNSUPPORTED("""COMPUTED_VALUE"""),44358.6666666666)</f>
        <v>44358.666666666599</v>
      </c>
      <c r="B617" s="1">
        <f ca="1">IFERROR(__xludf.UNSUPPORTED("""COMPUTED_VALUE"""),257.89)</f>
        <v>257.89</v>
      </c>
      <c r="C617" s="2">
        <f t="shared" ca="1" si="2"/>
        <v>2.5268232001243091E-3</v>
      </c>
    </row>
    <row r="618" spans="1:3">
      <c r="A618" s="3">
        <f ca="1">IFERROR(__xludf.UNSUPPORTED("""COMPUTED_VALUE"""),44361.6666666666)</f>
        <v>44361.666666666599</v>
      </c>
      <c r="B618" s="1">
        <f ca="1">IFERROR(__xludf.UNSUPPORTED("""COMPUTED_VALUE"""),259.89)</f>
        <v>259.89</v>
      </c>
      <c r="C618" s="2">
        <f t="shared" ca="1" si="2"/>
        <v>7.7552444840823607E-3</v>
      </c>
    </row>
    <row r="619" spans="1:3">
      <c r="A619" s="3">
        <f ca="1">IFERROR(__xludf.UNSUPPORTED("""COMPUTED_VALUE"""),44362.6666666666)</f>
        <v>44362.666666666599</v>
      </c>
      <c r="B619" s="1">
        <f ca="1">IFERROR(__xludf.UNSUPPORTED("""COMPUTED_VALUE"""),258.36)</f>
        <v>258.36</v>
      </c>
      <c r="C619" s="2">
        <f t="shared" ca="1" si="2"/>
        <v>-5.8871060833428478E-3</v>
      </c>
    </row>
    <row r="620" spans="1:3">
      <c r="A620" s="3">
        <f ca="1">IFERROR(__xludf.UNSUPPORTED("""COMPUTED_VALUE"""),44363.6666666666)</f>
        <v>44363.666666666599</v>
      </c>
      <c r="B620" s="1">
        <f ca="1">IFERROR(__xludf.UNSUPPORTED("""COMPUTED_VALUE"""),257.38)</f>
        <v>257.38</v>
      </c>
      <c r="C620" s="2">
        <f t="shared" ca="1" si="2"/>
        <v>-3.7931568354235105E-3</v>
      </c>
    </row>
    <row r="621" spans="1:3">
      <c r="A621" s="3">
        <f ca="1">IFERROR(__xludf.UNSUPPORTED("""COMPUTED_VALUE"""),44364.6666666666)</f>
        <v>44364.666666666599</v>
      </c>
      <c r="B621" s="1">
        <f ca="1">IFERROR(__xludf.UNSUPPORTED("""COMPUTED_VALUE"""),260.9)</f>
        <v>260.89999999999998</v>
      </c>
      <c r="C621" s="2">
        <f t="shared" ca="1" si="2"/>
        <v>1.3676276322946546E-2</v>
      </c>
    </row>
    <row r="622" spans="1:3">
      <c r="A622" s="3">
        <f ca="1">IFERROR(__xludf.UNSUPPORTED("""COMPUTED_VALUE"""),44365.6666666666)</f>
        <v>44365.666666666599</v>
      </c>
      <c r="B622" s="1">
        <f ca="1">IFERROR(__xludf.UNSUPPORTED("""COMPUTED_VALUE"""),259.43)</f>
        <v>259.43</v>
      </c>
      <c r="C622" s="2">
        <f t="shared" ca="1" si="2"/>
        <v>-5.6343426600228841E-3</v>
      </c>
    </row>
    <row r="623" spans="1:3">
      <c r="A623" s="3">
        <f ca="1">IFERROR(__xludf.UNSUPPORTED("""COMPUTED_VALUE"""),44368.6666666666)</f>
        <v>44368.666666666599</v>
      </c>
      <c r="B623" s="1">
        <f ca="1">IFERROR(__xludf.UNSUPPORTED("""COMPUTED_VALUE"""),262.63)</f>
        <v>262.63</v>
      </c>
      <c r="C623" s="2">
        <f t="shared" ca="1" si="2"/>
        <v>1.2334733839571324E-2</v>
      </c>
    </row>
    <row r="624" spans="1:3">
      <c r="A624" s="3">
        <f ca="1">IFERROR(__xludf.UNSUPPORTED("""COMPUTED_VALUE"""),44369.6666666666)</f>
        <v>44369.666666666599</v>
      </c>
      <c r="B624" s="1">
        <f ca="1">IFERROR(__xludf.UNSUPPORTED("""COMPUTED_VALUE"""),265.51)</f>
        <v>265.51</v>
      </c>
      <c r="C624" s="2">
        <f t="shared" ca="1" si="2"/>
        <v>1.0965997791569872E-2</v>
      </c>
    </row>
    <row r="625" spans="1:3">
      <c r="A625" s="3">
        <f ca="1">IFERROR(__xludf.UNSUPPORTED("""COMPUTED_VALUE"""),44370.6666666666)</f>
        <v>44370.666666666599</v>
      </c>
      <c r="B625" s="1">
        <f ca="1">IFERROR(__xludf.UNSUPPORTED("""COMPUTED_VALUE"""),265.27)</f>
        <v>265.27</v>
      </c>
      <c r="C625" s="2">
        <f t="shared" ca="1" si="2"/>
        <v>-9.039207562804004E-4</v>
      </c>
    </row>
    <row r="626" spans="1:3">
      <c r="A626" s="3">
        <f ca="1">IFERROR(__xludf.UNSUPPORTED("""COMPUTED_VALUE"""),44371.6666666666)</f>
        <v>44371.666666666599</v>
      </c>
      <c r="B626" s="1">
        <f ca="1">IFERROR(__xludf.UNSUPPORTED("""COMPUTED_VALUE"""),266.69)</f>
        <v>266.69</v>
      </c>
      <c r="C626" s="2">
        <f t="shared" ca="1" si="2"/>
        <v>5.3530365288197539E-3</v>
      </c>
    </row>
    <row r="627" spans="1:3">
      <c r="A627" s="3">
        <f ca="1">IFERROR(__xludf.UNSUPPORTED("""COMPUTED_VALUE"""),44372.6666666666)</f>
        <v>44372.666666666599</v>
      </c>
      <c r="B627" s="1">
        <f ca="1">IFERROR(__xludf.UNSUPPORTED("""COMPUTED_VALUE"""),265.02)</f>
        <v>265.02</v>
      </c>
      <c r="C627" s="2">
        <f t="shared" ca="1" si="2"/>
        <v>-6.2619520791931307E-3</v>
      </c>
    </row>
    <row r="628" spans="1:3">
      <c r="A628" s="3">
        <f ca="1">IFERROR(__xludf.UNSUPPORTED("""COMPUTED_VALUE"""),44375.6666666666)</f>
        <v>44375.666666666599</v>
      </c>
      <c r="B628" s="1">
        <f ca="1">IFERROR(__xludf.UNSUPPORTED("""COMPUTED_VALUE"""),268.72)</f>
        <v>268.72000000000003</v>
      </c>
      <c r="C628" s="2">
        <f t="shared" ca="1" si="2"/>
        <v>1.3961210474681329E-2</v>
      </c>
    </row>
    <row r="629" spans="1:3">
      <c r="A629" s="3">
        <f ca="1">IFERROR(__xludf.UNSUPPORTED("""COMPUTED_VALUE"""),44376.6666666666)</f>
        <v>44376.666666666599</v>
      </c>
      <c r="B629" s="1">
        <f ca="1">IFERROR(__xludf.UNSUPPORTED("""COMPUTED_VALUE"""),271.4)</f>
        <v>271.39999999999998</v>
      </c>
      <c r="C629" s="2">
        <f t="shared" ca="1" si="2"/>
        <v>9.9732063114020154E-3</v>
      </c>
    </row>
    <row r="630" spans="1:3">
      <c r="A630" s="3">
        <f ca="1">IFERROR(__xludf.UNSUPPORTED("""COMPUTED_VALUE"""),44377.6666666666)</f>
        <v>44377.666666666599</v>
      </c>
      <c r="B630" s="1">
        <f ca="1">IFERROR(__xludf.UNSUPPORTED("""COMPUTED_VALUE"""),270.9)</f>
        <v>270.89999999999998</v>
      </c>
      <c r="C630" s="2">
        <f t="shared" ca="1" si="2"/>
        <v>-1.8422991893883569E-3</v>
      </c>
    </row>
    <row r="631" spans="1:3">
      <c r="A631" s="3">
        <f ca="1">IFERROR(__xludf.UNSUPPORTED("""COMPUTED_VALUE"""),44378.6666666666)</f>
        <v>44378.666666666599</v>
      </c>
      <c r="B631" s="1">
        <f ca="1">IFERROR(__xludf.UNSUPPORTED("""COMPUTED_VALUE"""),271.6)</f>
        <v>271.60000000000002</v>
      </c>
      <c r="C631" s="2">
        <f t="shared" ca="1" si="2"/>
        <v>2.5839793281655426E-3</v>
      </c>
    </row>
    <row r="632" spans="1:3">
      <c r="A632" s="3">
        <f ca="1">IFERROR(__xludf.UNSUPPORTED("""COMPUTED_VALUE"""),44379.6666666666)</f>
        <v>44379.666666666599</v>
      </c>
      <c r="B632" s="1">
        <f ca="1">IFERROR(__xludf.UNSUPPORTED("""COMPUTED_VALUE"""),277.65)</f>
        <v>277.64999999999998</v>
      </c>
      <c r="C632" s="2">
        <f t="shared" ca="1" si="2"/>
        <v>2.2275405007363601E-2</v>
      </c>
    </row>
    <row r="633" spans="1:3">
      <c r="A633" s="3">
        <f ca="1">IFERROR(__xludf.UNSUPPORTED("""COMPUTED_VALUE"""),44383.6666666666)</f>
        <v>44383.666666666599</v>
      </c>
      <c r="B633" s="1">
        <f ca="1">IFERROR(__xludf.UNSUPPORTED("""COMPUTED_VALUE"""),277.66)</f>
        <v>277.66000000000003</v>
      </c>
      <c r="C633" s="2">
        <f t="shared" ca="1" si="2"/>
        <v>3.6016567621277687E-5</v>
      </c>
    </row>
    <row r="634" spans="1:3">
      <c r="A634" s="3">
        <f ca="1">IFERROR(__xludf.UNSUPPORTED("""COMPUTED_VALUE"""),44384.6666666666)</f>
        <v>44384.666666666599</v>
      </c>
      <c r="B634" s="1">
        <f ca="1">IFERROR(__xludf.UNSUPPORTED("""COMPUTED_VALUE"""),279.93)</f>
        <v>279.93</v>
      </c>
      <c r="C634" s="2">
        <f t="shared" ca="1" si="2"/>
        <v>8.1754663977525802E-3</v>
      </c>
    </row>
    <row r="635" spans="1:3">
      <c r="A635" s="3">
        <f ca="1">IFERROR(__xludf.UNSUPPORTED("""COMPUTED_VALUE"""),44385.6666666666)</f>
        <v>44385.666666666599</v>
      </c>
      <c r="B635" s="1">
        <f ca="1">IFERROR(__xludf.UNSUPPORTED("""COMPUTED_VALUE"""),277.42)</f>
        <v>277.42</v>
      </c>
      <c r="C635" s="2">
        <f t="shared" ca="1" si="2"/>
        <v>-8.9665273461222127E-3</v>
      </c>
    </row>
    <row r="636" spans="1:3">
      <c r="A636" s="3">
        <f ca="1">IFERROR(__xludf.UNSUPPORTED("""COMPUTED_VALUE"""),44386.6666666666)</f>
        <v>44386.666666666599</v>
      </c>
      <c r="B636" s="1">
        <f ca="1">IFERROR(__xludf.UNSUPPORTED("""COMPUTED_VALUE"""),277.94)</f>
        <v>277.94</v>
      </c>
      <c r="C636" s="2">
        <f t="shared" ca="1" si="2"/>
        <v>1.8744142455482005E-3</v>
      </c>
    </row>
    <row r="637" spans="1:3">
      <c r="A637" s="3">
        <f ca="1">IFERROR(__xludf.UNSUPPORTED("""COMPUTED_VALUE"""),44389.6666666666)</f>
        <v>44389.666666666599</v>
      </c>
      <c r="B637" s="1">
        <f ca="1">IFERROR(__xludf.UNSUPPORTED("""COMPUTED_VALUE"""),277.32)</f>
        <v>277.32</v>
      </c>
      <c r="C637" s="2">
        <f t="shared" ca="1" si="2"/>
        <v>-2.2306972727927053E-3</v>
      </c>
    </row>
    <row r="638" spans="1:3">
      <c r="A638" s="3">
        <f ca="1">IFERROR(__xludf.UNSUPPORTED("""COMPUTED_VALUE"""),44390.6666666666)</f>
        <v>44390.666666666599</v>
      </c>
      <c r="B638" s="1">
        <f ca="1">IFERROR(__xludf.UNSUPPORTED("""COMPUTED_VALUE"""),280.98)</f>
        <v>280.98</v>
      </c>
      <c r="C638" s="2">
        <f t="shared" ca="1" si="2"/>
        <v>1.3197749891821813E-2</v>
      </c>
    </row>
    <row r="639" spans="1:3">
      <c r="A639" s="3">
        <f ca="1">IFERROR(__xludf.UNSUPPORTED("""COMPUTED_VALUE"""),44391.6666666666)</f>
        <v>44391.666666666599</v>
      </c>
      <c r="B639" s="1">
        <f ca="1">IFERROR(__xludf.UNSUPPORTED("""COMPUTED_VALUE"""),282.51)</f>
        <v>282.51</v>
      </c>
      <c r="C639" s="2">
        <f t="shared" ca="1" si="2"/>
        <v>5.4452274183214916E-3</v>
      </c>
    </row>
    <row r="640" spans="1:3">
      <c r="A640" s="3">
        <f ca="1">IFERROR(__xludf.UNSUPPORTED("""COMPUTED_VALUE"""),44392.6666666666)</f>
        <v>44392.666666666599</v>
      </c>
      <c r="B640" s="1">
        <f ca="1">IFERROR(__xludf.UNSUPPORTED("""COMPUTED_VALUE"""),281.03)</f>
        <v>281.02999999999997</v>
      </c>
      <c r="C640" s="2">
        <f t="shared" ca="1" si="2"/>
        <v>-5.2387526105271255E-3</v>
      </c>
    </row>
    <row r="641" spans="1:3">
      <c r="A641" s="3">
        <f ca="1">IFERROR(__xludf.UNSUPPORTED("""COMPUTED_VALUE"""),44393.6666666666)</f>
        <v>44393.666666666599</v>
      </c>
      <c r="B641" s="1">
        <f ca="1">IFERROR(__xludf.UNSUPPORTED("""COMPUTED_VALUE"""),280.75)</f>
        <v>280.75</v>
      </c>
      <c r="C641" s="2">
        <f t="shared" ca="1" si="2"/>
        <v>-9.9633491086351198E-4</v>
      </c>
    </row>
    <row r="642" spans="1:3">
      <c r="A642" s="3">
        <f ca="1">IFERROR(__xludf.UNSUPPORTED("""COMPUTED_VALUE"""),44396.6666666666)</f>
        <v>44396.666666666599</v>
      </c>
      <c r="B642" s="1">
        <f ca="1">IFERROR(__xludf.UNSUPPORTED("""COMPUTED_VALUE"""),277.01)</f>
        <v>277.01</v>
      </c>
      <c r="C642" s="2">
        <f t="shared" ca="1" si="2"/>
        <v>-1.3321460373998251E-2</v>
      </c>
    </row>
    <row r="643" spans="1:3">
      <c r="A643" s="3">
        <f ca="1">IFERROR(__xludf.UNSUPPORTED("""COMPUTED_VALUE"""),44397.6666666666)</f>
        <v>44397.666666666599</v>
      </c>
      <c r="B643" s="1">
        <f ca="1">IFERROR(__xludf.UNSUPPORTED("""COMPUTED_VALUE"""),279.32)</f>
        <v>279.32</v>
      </c>
      <c r="C643" s="2">
        <f t="shared" ca="1" si="2"/>
        <v>8.3390491318003045E-3</v>
      </c>
    </row>
    <row r="644" spans="1:3">
      <c r="A644" s="3">
        <f ca="1">IFERROR(__xludf.UNSUPPORTED("""COMPUTED_VALUE"""),44398.6666666666)</f>
        <v>44398.666666666599</v>
      </c>
      <c r="B644" s="1">
        <f ca="1">IFERROR(__xludf.UNSUPPORTED("""COMPUTED_VALUE"""),281.4)</f>
        <v>281.39999999999998</v>
      </c>
      <c r="C644" s="2">
        <f t="shared" ca="1" si="2"/>
        <v>7.4466561649720181E-3</v>
      </c>
    </row>
    <row r="645" spans="1:3">
      <c r="A645" s="3">
        <f ca="1">IFERROR(__xludf.UNSUPPORTED("""COMPUTED_VALUE"""),44399.6666666666)</f>
        <v>44399.666666666599</v>
      </c>
      <c r="B645" s="1">
        <f ca="1">IFERROR(__xludf.UNSUPPORTED("""COMPUTED_VALUE"""),286.14)</f>
        <v>286.14</v>
      </c>
      <c r="C645" s="2">
        <f t="shared" ca="1" si="2"/>
        <v>1.6844349680170609E-2</v>
      </c>
    </row>
    <row r="646" spans="1:3">
      <c r="A646" s="3">
        <f ca="1">IFERROR(__xludf.UNSUPPORTED("""COMPUTED_VALUE"""),44400.6666666666)</f>
        <v>44400.666666666599</v>
      </c>
      <c r="B646" s="1">
        <f ca="1">IFERROR(__xludf.UNSUPPORTED("""COMPUTED_VALUE"""),289.67)</f>
        <v>289.67</v>
      </c>
      <c r="C646" s="2">
        <f t="shared" ca="1" si="2"/>
        <v>1.23366184385267E-2</v>
      </c>
    </row>
    <row r="647" spans="1:3">
      <c r="A647" s="3">
        <f ca="1">IFERROR(__xludf.UNSUPPORTED("""COMPUTED_VALUE"""),44403.6666666666)</f>
        <v>44403.666666666599</v>
      </c>
      <c r="B647" s="1">
        <f ca="1">IFERROR(__xludf.UNSUPPORTED("""COMPUTED_VALUE"""),289.05)</f>
        <v>289.05</v>
      </c>
      <c r="C647" s="2">
        <f t="shared" ca="1" si="2"/>
        <v>-2.1403666240894965E-3</v>
      </c>
    </row>
    <row r="648" spans="1:3">
      <c r="A648" s="3">
        <f ca="1">IFERROR(__xludf.UNSUPPORTED("""COMPUTED_VALUE"""),44404.6666666666)</f>
        <v>44404.666666666599</v>
      </c>
      <c r="B648" s="1">
        <f ca="1">IFERROR(__xludf.UNSUPPORTED("""COMPUTED_VALUE"""),286.54)</f>
        <v>286.54000000000002</v>
      </c>
      <c r="C648" s="2">
        <f t="shared" ca="1" si="2"/>
        <v>-8.6836187510810955E-3</v>
      </c>
    </row>
    <row r="649" spans="1:3">
      <c r="A649" s="3">
        <f ca="1">IFERROR(__xludf.UNSUPPORTED("""COMPUTED_VALUE"""),44405.6666666666)</f>
        <v>44405.666666666599</v>
      </c>
      <c r="B649" s="1">
        <f ca="1">IFERROR(__xludf.UNSUPPORTED("""COMPUTED_VALUE"""),286.22)</f>
        <v>286.22000000000003</v>
      </c>
      <c r="C649" s="2">
        <f t="shared" ca="1" si="2"/>
        <v>-1.1167725273958022E-3</v>
      </c>
    </row>
    <row r="650" spans="1:3">
      <c r="A650" s="3">
        <f ca="1">IFERROR(__xludf.UNSUPPORTED("""COMPUTED_VALUE"""),44406.6666666666)</f>
        <v>44406.666666666599</v>
      </c>
      <c r="B650" s="1">
        <f ca="1">IFERROR(__xludf.UNSUPPORTED("""COMPUTED_VALUE"""),286.5)</f>
        <v>286.5</v>
      </c>
      <c r="C650" s="2">
        <f t="shared" ca="1" si="2"/>
        <v>9.7826846481717804E-4</v>
      </c>
    </row>
    <row r="651" spans="1:3">
      <c r="A651" s="3">
        <f ca="1">IFERROR(__xludf.UNSUPPORTED("""COMPUTED_VALUE"""),44407.6666666666)</f>
        <v>44407.666666666599</v>
      </c>
      <c r="B651" s="1">
        <f ca="1">IFERROR(__xludf.UNSUPPORTED("""COMPUTED_VALUE"""),284.91)</f>
        <v>284.91000000000003</v>
      </c>
      <c r="C651" s="2">
        <f t="shared" ca="1" si="2"/>
        <v>-5.5497382198952004E-3</v>
      </c>
    </row>
    <row r="652" spans="1:3">
      <c r="A652" s="3">
        <f ca="1">IFERROR(__xludf.UNSUPPORTED("""COMPUTED_VALUE"""),44410.6666666666)</f>
        <v>44410.666666666599</v>
      </c>
      <c r="B652" s="1">
        <f ca="1">IFERROR(__xludf.UNSUPPORTED("""COMPUTED_VALUE"""),284.82)</f>
        <v>284.82</v>
      </c>
      <c r="C652" s="2">
        <f t="shared" ca="1" si="2"/>
        <v>-3.1588922817743086E-4</v>
      </c>
    </row>
    <row r="653" spans="1:3">
      <c r="A653" s="3">
        <f ca="1">IFERROR(__xludf.UNSUPPORTED("""COMPUTED_VALUE"""),44411.6666666666)</f>
        <v>44411.666666666599</v>
      </c>
      <c r="B653" s="1">
        <f ca="1">IFERROR(__xludf.UNSUPPORTED("""COMPUTED_VALUE"""),287.12)</f>
        <v>287.12</v>
      </c>
      <c r="C653" s="2">
        <f t="shared" ca="1" si="2"/>
        <v>8.0752756126676907E-3</v>
      </c>
    </row>
    <row r="654" spans="1:3">
      <c r="A654" s="3">
        <f ca="1">IFERROR(__xludf.UNSUPPORTED("""COMPUTED_VALUE"""),44412.6666666666)</f>
        <v>44412.666666666599</v>
      </c>
      <c r="B654" s="1">
        <f ca="1">IFERROR(__xludf.UNSUPPORTED("""COMPUTED_VALUE"""),286.51)</f>
        <v>286.51</v>
      </c>
      <c r="C654" s="2">
        <f t="shared" ca="1" si="2"/>
        <v>-2.1245472276400588E-3</v>
      </c>
    </row>
    <row r="655" spans="1:3">
      <c r="A655" s="3">
        <f ca="1">IFERROR(__xludf.UNSUPPORTED("""COMPUTED_VALUE"""),44413.6666666666)</f>
        <v>44413.666666666599</v>
      </c>
      <c r="B655" s="1">
        <f ca="1">IFERROR(__xludf.UNSUPPORTED("""COMPUTED_VALUE"""),289.52)</f>
        <v>289.52</v>
      </c>
      <c r="C655" s="2">
        <f t="shared" ca="1" si="2"/>
        <v>1.0505741509894912E-2</v>
      </c>
    </row>
    <row r="656" spans="1:3">
      <c r="A656" s="3">
        <f ca="1">IFERROR(__xludf.UNSUPPORTED("""COMPUTED_VALUE"""),44414.6666666666)</f>
        <v>44414.666666666599</v>
      </c>
      <c r="B656" s="1">
        <f ca="1">IFERROR(__xludf.UNSUPPORTED("""COMPUTED_VALUE"""),289.46)</f>
        <v>289.45999999999998</v>
      </c>
      <c r="C656" s="2">
        <f t="shared" ca="1" si="2"/>
        <v>-2.0723956894170447E-4</v>
      </c>
    </row>
    <row r="657" spans="1:3">
      <c r="A657" s="3">
        <f ca="1">IFERROR(__xludf.UNSUPPORTED("""COMPUTED_VALUE"""),44417.6666666666)</f>
        <v>44417.666666666599</v>
      </c>
      <c r="B657" s="1">
        <f ca="1">IFERROR(__xludf.UNSUPPORTED("""COMPUTED_VALUE"""),288.33)</f>
        <v>288.33</v>
      </c>
      <c r="C657" s="2">
        <f t="shared" ca="1" si="2"/>
        <v>-3.9038209078974487E-3</v>
      </c>
    </row>
    <row r="658" spans="1:3">
      <c r="A658" s="3">
        <f ca="1">IFERROR(__xludf.UNSUPPORTED("""COMPUTED_VALUE"""),44418.6666666666)</f>
        <v>44418.666666666599</v>
      </c>
      <c r="B658" s="1">
        <f ca="1">IFERROR(__xludf.UNSUPPORTED("""COMPUTED_VALUE"""),286.44)</f>
        <v>286.44</v>
      </c>
      <c r="C658" s="2">
        <f t="shared" ca="1" si="2"/>
        <v>-6.5549890750181616E-3</v>
      </c>
    </row>
    <row r="659" spans="1:3">
      <c r="A659" s="3">
        <f ca="1">IFERROR(__xludf.UNSUPPORTED("""COMPUTED_VALUE"""),44419.6666666666)</f>
        <v>44419.666666666599</v>
      </c>
      <c r="B659" s="1">
        <f ca="1">IFERROR(__xludf.UNSUPPORTED("""COMPUTED_VALUE"""),286.95)</f>
        <v>286.95</v>
      </c>
      <c r="C659" s="2">
        <f t="shared" ca="1" si="2"/>
        <v>1.7804775869291682E-3</v>
      </c>
    </row>
    <row r="660" spans="1:3">
      <c r="A660" s="3">
        <f ca="1">IFERROR(__xludf.UNSUPPORTED("""COMPUTED_VALUE"""),44420.6666666666)</f>
        <v>44420.666666666599</v>
      </c>
      <c r="B660" s="1">
        <f ca="1">IFERROR(__xludf.UNSUPPORTED("""COMPUTED_VALUE"""),289.81)</f>
        <v>289.81</v>
      </c>
      <c r="C660" s="2">
        <f t="shared" ca="1" si="2"/>
        <v>9.966893186966419E-3</v>
      </c>
    </row>
    <row r="661" spans="1:3">
      <c r="A661" s="3">
        <f ca="1">IFERROR(__xludf.UNSUPPORTED("""COMPUTED_VALUE"""),44421.6666666666)</f>
        <v>44421.666666666599</v>
      </c>
      <c r="B661" s="1">
        <f ca="1">IFERROR(__xludf.UNSUPPORTED("""COMPUTED_VALUE"""),292.85)</f>
        <v>292.85000000000002</v>
      </c>
      <c r="C661" s="2">
        <f t="shared" ca="1" si="2"/>
        <v>1.0489631137641973E-2</v>
      </c>
    </row>
    <row r="662" spans="1:3">
      <c r="A662" s="3">
        <f ca="1">IFERROR(__xludf.UNSUPPORTED("""COMPUTED_VALUE"""),44424.6666666666)</f>
        <v>44424.666666666599</v>
      </c>
      <c r="B662" s="1">
        <f ca="1">IFERROR(__xludf.UNSUPPORTED("""COMPUTED_VALUE"""),294.6)</f>
        <v>294.60000000000002</v>
      </c>
      <c r="C662" s="2">
        <f t="shared" ca="1" si="2"/>
        <v>5.9757555062318586E-3</v>
      </c>
    </row>
    <row r="663" spans="1:3">
      <c r="A663" s="3">
        <f ca="1">IFERROR(__xludf.UNSUPPORTED("""COMPUTED_VALUE"""),44425.6666666666)</f>
        <v>44425.666666666599</v>
      </c>
      <c r="B663" s="1">
        <f ca="1">IFERROR(__xludf.UNSUPPORTED("""COMPUTED_VALUE"""),293.08)</f>
        <v>293.08</v>
      </c>
      <c r="C663" s="2">
        <f t="shared" ca="1" si="2"/>
        <v>-5.1595383570944963E-3</v>
      </c>
    </row>
    <row r="664" spans="1:3">
      <c r="A664" s="3">
        <f ca="1">IFERROR(__xludf.UNSUPPORTED("""COMPUTED_VALUE"""),44426.6666666666)</f>
        <v>44426.666666666599</v>
      </c>
      <c r="B664" s="1">
        <f ca="1">IFERROR(__xludf.UNSUPPORTED("""COMPUTED_VALUE"""),290.73)</f>
        <v>290.73</v>
      </c>
      <c r="C664" s="2">
        <f t="shared" ca="1" si="2"/>
        <v>-8.0182885219051651E-3</v>
      </c>
    </row>
    <row r="665" spans="1:3">
      <c r="A665" s="3">
        <f ca="1">IFERROR(__xludf.UNSUPPORTED("""COMPUTED_VALUE"""),44427.6666666666)</f>
        <v>44427.666666666599</v>
      </c>
      <c r="B665" s="1">
        <f ca="1">IFERROR(__xludf.UNSUPPORTED("""COMPUTED_VALUE"""),296.77)</f>
        <v>296.77</v>
      </c>
      <c r="C665" s="2">
        <f t="shared" ca="1" si="2"/>
        <v>2.0775289787775472E-2</v>
      </c>
    </row>
    <row r="666" spans="1:3">
      <c r="A666" s="3">
        <f ca="1">IFERROR(__xludf.UNSUPPORTED("""COMPUTED_VALUE"""),44428.6666666666)</f>
        <v>44428.666666666599</v>
      </c>
      <c r="B666" s="1">
        <f ca="1">IFERROR(__xludf.UNSUPPORTED("""COMPUTED_VALUE"""),304.36)</f>
        <v>304.36</v>
      </c>
      <c r="C666" s="2">
        <f t="shared" ca="1" si="2"/>
        <v>2.5575361390976287E-2</v>
      </c>
    </row>
    <row r="667" spans="1:3">
      <c r="A667" s="3">
        <f ca="1">IFERROR(__xludf.UNSUPPORTED("""COMPUTED_VALUE"""),44431.6666666666)</f>
        <v>44431.666666666599</v>
      </c>
      <c r="B667" s="1">
        <f ca="1">IFERROR(__xludf.UNSUPPORTED("""COMPUTED_VALUE"""),304.65)</f>
        <v>304.64999999999998</v>
      </c>
      <c r="C667" s="2">
        <f t="shared" ca="1" si="2"/>
        <v>9.5281903009581943E-4</v>
      </c>
    </row>
    <row r="668" spans="1:3">
      <c r="A668" s="3">
        <f ca="1">IFERROR(__xludf.UNSUPPORTED("""COMPUTED_VALUE"""),44432.6666666666)</f>
        <v>44432.666666666599</v>
      </c>
      <c r="B668" s="1">
        <f ca="1">IFERROR(__xludf.UNSUPPORTED("""COMPUTED_VALUE"""),302.62)</f>
        <v>302.62</v>
      </c>
      <c r="C668" s="2">
        <f t="shared" ca="1" si="2"/>
        <v>-6.663384211390031E-3</v>
      </c>
    </row>
    <row r="669" spans="1:3">
      <c r="A669" s="3">
        <f ca="1">IFERROR(__xludf.UNSUPPORTED("""COMPUTED_VALUE"""),44433.6666666666)</f>
        <v>44433.666666666599</v>
      </c>
      <c r="B669" s="1">
        <f ca="1">IFERROR(__xludf.UNSUPPORTED("""COMPUTED_VALUE"""),302.01)</f>
        <v>302.01</v>
      </c>
      <c r="C669" s="2">
        <f t="shared" ca="1" si="2"/>
        <v>-2.0157292974688178E-3</v>
      </c>
    </row>
    <row r="670" spans="1:3">
      <c r="A670" s="3">
        <f ca="1">IFERROR(__xludf.UNSUPPORTED("""COMPUTED_VALUE"""),44434.6666666666)</f>
        <v>44434.666666666599</v>
      </c>
      <c r="B670" s="1">
        <f ca="1">IFERROR(__xludf.UNSUPPORTED("""COMPUTED_VALUE"""),299.09)</f>
        <v>299.08999999999997</v>
      </c>
      <c r="C670" s="2">
        <f t="shared" ca="1" si="2"/>
        <v>-9.6685540213900731E-3</v>
      </c>
    </row>
    <row r="671" spans="1:3">
      <c r="A671" s="3">
        <f ca="1">IFERROR(__xludf.UNSUPPORTED("""COMPUTED_VALUE"""),44435.6666666666)</f>
        <v>44435.666666666599</v>
      </c>
      <c r="B671" s="1">
        <f ca="1">IFERROR(__xludf.UNSUPPORTED("""COMPUTED_VALUE"""),299.72)</f>
        <v>299.72000000000003</v>
      </c>
      <c r="C671" s="2">
        <f t="shared" ca="1" si="2"/>
        <v>2.1063893811229138E-3</v>
      </c>
    </row>
    <row r="672" spans="1:3">
      <c r="A672" s="3">
        <f ca="1">IFERROR(__xludf.UNSUPPORTED("""COMPUTED_VALUE"""),44438.6666666666)</f>
        <v>44438.666666666599</v>
      </c>
      <c r="B672" s="1">
        <f ca="1">IFERROR(__xludf.UNSUPPORTED("""COMPUTED_VALUE"""),303.59)</f>
        <v>303.58999999999997</v>
      </c>
      <c r="C672" s="2">
        <f t="shared" ca="1" si="2"/>
        <v>1.2912051247831133E-2</v>
      </c>
    </row>
    <row r="673" spans="1:3">
      <c r="A673" s="3">
        <f ca="1">IFERROR(__xludf.UNSUPPORTED("""COMPUTED_VALUE"""),44439.6666666666)</f>
        <v>44439.666666666599</v>
      </c>
      <c r="B673" s="1">
        <f ca="1">IFERROR(__xludf.UNSUPPORTED("""COMPUTED_VALUE"""),301.88)</f>
        <v>301.88</v>
      </c>
      <c r="C673" s="2">
        <f t="shared" ca="1" si="2"/>
        <v>-5.6325965940906475E-3</v>
      </c>
    </row>
    <row r="674" spans="1:3">
      <c r="A674" s="3">
        <f ca="1">IFERROR(__xludf.UNSUPPORTED("""COMPUTED_VALUE"""),44440.6666666666)</f>
        <v>44440.666666666599</v>
      </c>
      <c r="B674" s="1">
        <f ca="1">IFERROR(__xludf.UNSUPPORTED("""COMPUTED_VALUE"""),301.83)</f>
        <v>301.83</v>
      </c>
      <c r="C674" s="2">
        <f t="shared" ca="1" si="2"/>
        <v>-1.6562872664638721E-4</v>
      </c>
    </row>
    <row r="675" spans="1:3">
      <c r="A675" s="3">
        <f ca="1">IFERROR(__xludf.UNSUPPORTED("""COMPUTED_VALUE"""),44441.6666666666)</f>
        <v>44441.666666666599</v>
      </c>
      <c r="B675" s="1">
        <f ca="1">IFERROR(__xludf.UNSUPPORTED("""COMPUTED_VALUE"""),301.15)</f>
        <v>301.14999999999998</v>
      </c>
      <c r="C675" s="2">
        <f t="shared" ca="1" si="2"/>
        <v>-2.2529238312957852E-3</v>
      </c>
    </row>
    <row r="676" spans="1:3">
      <c r="A676" s="3">
        <f ca="1">IFERROR(__xludf.UNSUPPORTED("""COMPUTED_VALUE"""),44442.6666666666)</f>
        <v>44442.666666666599</v>
      </c>
      <c r="B676" s="1">
        <f ca="1">IFERROR(__xludf.UNSUPPORTED("""COMPUTED_VALUE"""),301.14)</f>
        <v>301.14</v>
      </c>
      <c r="C676" s="2">
        <f t="shared" ca="1" si="2"/>
        <v>-3.3206043499886785E-5</v>
      </c>
    </row>
    <row r="677" spans="1:3">
      <c r="A677" s="3">
        <f ca="1">IFERROR(__xludf.UNSUPPORTED("""COMPUTED_VALUE"""),44446.6666666666)</f>
        <v>44446.666666666599</v>
      </c>
      <c r="B677" s="1">
        <f ca="1">IFERROR(__xludf.UNSUPPORTED("""COMPUTED_VALUE"""),300.18)</f>
        <v>300.18</v>
      </c>
      <c r="C677" s="2">
        <f t="shared" ca="1" si="2"/>
        <v>-3.18788603307425E-3</v>
      </c>
    </row>
    <row r="678" spans="1:3">
      <c r="A678" s="3">
        <f ca="1">IFERROR(__xludf.UNSUPPORTED("""COMPUTED_VALUE"""),44447.6666666666)</f>
        <v>44447.666666666599</v>
      </c>
      <c r="B678" s="1">
        <f ca="1">IFERROR(__xludf.UNSUPPORTED("""COMPUTED_VALUE"""),300.21)</f>
        <v>300.20999999999998</v>
      </c>
      <c r="C678" s="2">
        <f t="shared" ca="1" si="2"/>
        <v>9.9940035978322056E-5</v>
      </c>
    </row>
    <row r="679" spans="1:3">
      <c r="A679" s="3">
        <f ca="1">IFERROR(__xludf.UNSUPPORTED("""COMPUTED_VALUE"""),44448.6666666666)</f>
        <v>44448.666666666599</v>
      </c>
      <c r="B679" s="1">
        <f ca="1">IFERROR(__xludf.UNSUPPORTED("""COMPUTED_VALUE"""),297.25)</f>
        <v>297.25</v>
      </c>
      <c r="C679" s="2">
        <f t="shared" ca="1" si="2"/>
        <v>-9.8597648312846991E-3</v>
      </c>
    </row>
    <row r="680" spans="1:3">
      <c r="A680" s="3">
        <f ca="1">IFERROR(__xludf.UNSUPPORTED("""COMPUTED_VALUE"""),44449.6666666666)</f>
        <v>44449.666666666599</v>
      </c>
      <c r="B680" s="1">
        <f ca="1">IFERROR(__xludf.UNSUPPORTED("""COMPUTED_VALUE"""),295.71)</f>
        <v>295.70999999999998</v>
      </c>
      <c r="C680" s="2">
        <f t="shared" ca="1" si="2"/>
        <v>-5.1808242220353923E-3</v>
      </c>
    </row>
    <row r="681" spans="1:3">
      <c r="A681" s="3">
        <f ca="1">IFERROR(__xludf.UNSUPPORTED("""COMPUTED_VALUE"""),44452.6666666666)</f>
        <v>44452.666666666599</v>
      </c>
      <c r="B681" s="1">
        <f ca="1">IFERROR(__xludf.UNSUPPORTED("""COMPUTED_VALUE"""),296.99)</f>
        <v>296.99</v>
      </c>
      <c r="C681" s="2">
        <f t="shared" ca="1" si="2"/>
        <v>4.3285651482872734E-3</v>
      </c>
    </row>
    <row r="682" spans="1:3">
      <c r="A682" s="3">
        <f ca="1">IFERROR(__xludf.UNSUPPORTED("""COMPUTED_VALUE"""),44453.6666666666)</f>
        <v>44453.666666666599</v>
      </c>
      <c r="B682" s="1">
        <f ca="1">IFERROR(__xludf.UNSUPPORTED("""COMPUTED_VALUE"""),299.79)</f>
        <v>299.79000000000002</v>
      </c>
      <c r="C682" s="2">
        <f t="shared" ca="1" si="2"/>
        <v>9.4279268662244894E-3</v>
      </c>
    </row>
    <row r="683" spans="1:3">
      <c r="A683" s="3">
        <f ca="1">IFERROR(__xludf.UNSUPPORTED("""COMPUTED_VALUE"""),44454.6666666666)</f>
        <v>44454.666666666599</v>
      </c>
      <c r="B683" s="1">
        <f ca="1">IFERROR(__xludf.UNSUPPORTED("""COMPUTED_VALUE"""),304.82)</f>
        <v>304.82</v>
      </c>
      <c r="C683" s="2">
        <f t="shared" ca="1" si="2"/>
        <v>1.6778411554754902E-2</v>
      </c>
    </row>
    <row r="684" spans="1:3">
      <c r="A684" s="3">
        <f ca="1">IFERROR(__xludf.UNSUPPORTED("""COMPUTED_VALUE"""),44455.6666666666)</f>
        <v>44455.666666666599</v>
      </c>
      <c r="B684" s="1">
        <f ca="1">IFERROR(__xludf.UNSUPPORTED("""COMPUTED_VALUE"""),305.22)</f>
        <v>305.22000000000003</v>
      </c>
      <c r="C684" s="2">
        <f t="shared" ca="1" si="2"/>
        <v>1.3122498523720036E-3</v>
      </c>
    </row>
    <row r="685" spans="1:3">
      <c r="A685" s="3">
        <f ca="1">IFERROR(__xludf.UNSUPPORTED("""COMPUTED_VALUE"""),44456.6666666666)</f>
        <v>44456.666666666599</v>
      </c>
      <c r="B685" s="1">
        <f ca="1">IFERROR(__xludf.UNSUPPORTED("""COMPUTED_VALUE"""),299.87)</f>
        <v>299.87</v>
      </c>
      <c r="C685" s="2">
        <f t="shared" ca="1" si="2"/>
        <v>-1.7528340213616482E-2</v>
      </c>
    </row>
    <row r="686" spans="1:3">
      <c r="A686" s="3">
        <f ca="1">IFERROR(__xludf.UNSUPPORTED("""COMPUTED_VALUE"""),44459.6666666666)</f>
        <v>44459.666666666599</v>
      </c>
      <c r="B686" s="1">
        <f ca="1">IFERROR(__xludf.UNSUPPORTED("""COMPUTED_VALUE"""),294.3)</f>
        <v>294.3</v>
      </c>
      <c r="C686" s="2">
        <f t="shared" ca="1" si="2"/>
        <v>-1.8574715710141038E-2</v>
      </c>
    </row>
    <row r="687" spans="1:3">
      <c r="A687" s="3">
        <f ca="1">IFERROR(__xludf.UNSUPPORTED("""COMPUTED_VALUE"""),44460.6666666666)</f>
        <v>44460.666666666599</v>
      </c>
      <c r="B687" s="1">
        <f ca="1">IFERROR(__xludf.UNSUPPORTED("""COMPUTED_VALUE"""),294.8)</f>
        <v>294.8</v>
      </c>
      <c r="C687" s="2">
        <f t="shared" ca="1" si="2"/>
        <v>1.6989466530750934E-3</v>
      </c>
    </row>
    <row r="688" spans="1:3">
      <c r="A688" s="3">
        <f ca="1">IFERROR(__xludf.UNSUPPORTED("""COMPUTED_VALUE"""),44461.6666666666)</f>
        <v>44461.666666666599</v>
      </c>
      <c r="B688" s="1">
        <f ca="1">IFERROR(__xludf.UNSUPPORTED("""COMPUTED_VALUE"""),298.58)</f>
        <v>298.58</v>
      </c>
      <c r="C688" s="2">
        <f t="shared" ca="1" si="2"/>
        <v>1.2822252374491087E-2</v>
      </c>
    </row>
    <row r="689" spans="1:3">
      <c r="A689" s="3">
        <f ca="1">IFERROR(__xludf.UNSUPPORTED("""COMPUTED_VALUE"""),44462.6666666666)</f>
        <v>44462.666666666599</v>
      </c>
      <c r="B689" s="1">
        <f ca="1">IFERROR(__xludf.UNSUPPORTED("""COMPUTED_VALUE"""),299.56)</f>
        <v>299.56</v>
      </c>
      <c r="C689" s="2">
        <f t="shared" ca="1" si="2"/>
        <v>3.282202424810832E-3</v>
      </c>
    </row>
    <row r="690" spans="1:3">
      <c r="A690" s="3">
        <f ca="1">IFERROR(__xludf.UNSUPPORTED("""COMPUTED_VALUE"""),44463.6666666666)</f>
        <v>44463.666666666599</v>
      </c>
      <c r="B690" s="1">
        <f ca="1">IFERROR(__xludf.UNSUPPORTED("""COMPUTED_VALUE"""),299.35)</f>
        <v>299.35000000000002</v>
      </c>
      <c r="C690" s="2">
        <f t="shared" ca="1" si="2"/>
        <v>-7.0102817465609408E-4</v>
      </c>
    </row>
    <row r="691" spans="1:3">
      <c r="A691" s="3">
        <f ca="1">IFERROR(__xludf.UNSUPPORTED("""COMPUTED_VALUE"""),44466.6666666666)</f>
        <v>44466.666666666599</v>
      </c>
      <c r="B691" s="1">
        <f ca="1">IFERROR(__xludf.UNSUPPORTED("""COMPUTED_VALUE"""),294.17)</f>
        <v>294.17</v>
      </c>
      <c r="C691" s="2">
        <f t="shared" ca="1" si="2"/>
        <v>-1.7304159011190937E-2</v>
      </c>
    </row>
    <row r="692" spans="1:3">
      <c r="A692" s="3">
        <f ca="1">IFERROR(__xludf.UNSUPPORTED("""COMPUTED_VALUE"""),44467.6666666666)</f>
        <v>44467.666666666599</v>
      </c>
      <c r="B692" s="1">
        <f ca="1">IFERROR(__xludf.UNSUPPORTED("""COMPUTED_VALUE"""),283.52)</f>
        <v>283.52</v>
      </c>
      <c r="C692" s="2">
        <f t="shared" ca="1" si="2"/>
        <v>-3.6203555767073577E-2</v>
      </c>
    </row>
    <row r="693" spans="1:3">
      <c r="A693" s="3">
        <f ca="1">IFERROR(__xludf.UNSUPPORTED("""COMPUTED_VALUE"""),44468.6666666666)</f>
        <v>44468.666666666599</v>
      </c>
      <c r="B693" s="1">
        <f ca="1">IFERROR(__xludf.UNSUPPORTED("""COMPUTED_VALUE"""),284)</f>
        <v>284</v>
      </c>
      <c r="C693" s="2">
        <f t="shared" ca="1" si="2"/>
        <v>1.6930022573364075E-3</v>
      </c>
    </row>
    <row r="694" spans="1:3">
      <c r="A694" s="3">
        <f ca="1">IFERROR(__xludf.UNSUPPORTED("""COMPUTED_VALUE"""),44469.6666666666)</f>
        <v>44469.666666666599</v>
      </c>
      <c r="B694" s="1">
        <f ca="1">IFERROR(__xludf.UNSUPPORTED("""COMPUTED_VALUE"""),281.92)</f>
        <v>281.92</v>
      </c>
      <c r="C694" s="2">
        <f t="shared" ca="1" si="2"/>
        <v>-7.3239436619717746E-3</v>
      </c>
    </row>
    <row r="695" spans="1:3">
      <c r="A695" s="3">
        <f ca="1">IFERROR(__xludf.UNSUPPORTED("""COMPUTED_VALUE"""),44470.6666666666)</f>
        <v>44470.666666666599</v>
      </c>
      <c r="B695" s="1">
        <f ca="1">IFERROR(__xludf.UNSUPPORTED("""COMPUTED_VALUE"""),289.1)</f>
        <v>289.10000000000002</v>
      </c>
      <c r="C695" s="2">
        <f t="shared" ca="1" si="2"/>
        <v>2.5468217934165743E-2</v>
      </c>
    </row>
    <row r="696" spans="1:3">
      <c r="A696" s="3">
        <f ca="1">IFERROR(__xludf.UNSUPPORTED("""COMPUTED_VALUE"""),44473.6666666666)</f>
        <v>44473.666666666599</v>
      </c>
      <c r="B696" s="1">
        <f ca="1">IFERROR(__xludf.UNSUPPORTED("""COMPUTED_VALUE"""),283.11)</f>
        <v>283.11</v>
      </c>
      <c r="C696" s="2">
        <f t="shared" ca="1" si="2"/>
        <v>-2.0719474230370145E-2</v>
      </c>
    </row>
    <row r="697" spans="1:3">
      <c r="A697" s="3">
        <f ca="1">IFERROR(__xludf.UNSUPPORTED("""COMPUTED_VALUE"""),44474.6666666666)</f>
        <v>44474.666666666599</v>
      </c>
      <c r="B697" s="1">
        <f ca="1">IFERROR(__xludf.UNSUPPORTED("""COMPUTED_VALUE"""),288.76)</f>
        <v>288.76</v>
      </c>
      <c r="C697" s="2">
        <f t="shared" ca="1" si="2"/>
        <v>1.9956907209211887E-2</v>
      </c>
    </row>
    <row r="698" spans="1:3">
      <c r="A698" s="3">
        <f ca="1">IFERROR(__xludf.UNSUPPORTED("""COMPUTED_VALUE"""),44475.6666666666)</f>
        <v>44475.666666666599</v>
      </c>
      <c r="B698" s="1">
        <f ca="1">IFERROR(__xludf.UNSUPPORTED("""COMPUTED_VALUE"""),293.11)</f>
        <v>293.11</v>
      </c>
      <c r="C698" s="2">
        <f t="shared" ca="1" si="2"/>
        <v>1.5064413353650169E-2</v>
      </c>
    </row>
    <row r="699" spans="1:3">
      <c r="A699" s="3">
        <f ca="1">IFERROR(__xludf.UNSUPPORTED("""COMPUTED_VALUE"""),44476.6666666666)</f>
        <v>44476.666666666599</v>
      </c>
      <c r="B699" s="1">
        <f ca="1">IFERROR(__xludf.UNSUPPORTED("""COMPUTED_VALUE"""),294.85)</f>
        <v>294.85000000000002</v>
      </c>
      <c r="C699" s="2">
        <f t="shared" ca="1" si="2"/>
        <v>5.9363378936235847E-3</v>
      </c>
    </row>
    <row r="700" spans="1:3">
      <c r="A700" s="3">
        <f ca="1">IFERROR(__xludf.UNSUPPORTED("""COMPUTED_VALUE"""),44477.6666666666)</f>
        <v>44477.666666666599</v>
      </c>
      <c r="B700" s="1">
        <f ca="1">IFERROR(__xludf.UNSUPPORTED("""COMPUTED_VALUE"""),294.85)</f>
        <v>294.85000000000002</v>
      </c>
      <c r="C700" s="2">
        <f t="shared" ca="1" si="2"/>
        <v>0</v>
      </c>
    </row>
    <row r="701" spans="1:3">
      <c r="A701" s="3">
        <f ca="1">IFERROR(__xludf.UNSUPPORTED("""COMPUTED_VALUE"""),44480.6666666666)</f>
        <v>44480.666666666599</v>
      </c>
      <c r="B701" s="1">
        <f ca="1">IFERROR(__xludf.UNSUPPORTED("""COMPUTED_VALUE"""),294.23)</f>
        <v>294.23</v>
      </c>
      <c r="C701" s="2">
        <f t="shared" ca="1" si="2"/>
        <v>-2.1027641173478194E-3</v>
      </c>
    </row>
    <row r="702" spans="1:3">
      <c r="A702" s="3">
        <f ca="1">IFERROR(__xludf.UNSUPPORTED("""COMPUTED_VALUE"""),44481.6666666666)</f>
        <v>44481.666666666599</v>
      </c>
      <c r="B702" s="1">
        <f ca="1">IFERROR(__xludf.UNSUPPORTED("""COMPUTED_VALUE"""),292.88)</f>
        <v>292.88</v>
      </c>
      <c r="C702" s="2">
        <f t="shared" ca="1" si="2"/>
        <v>-4.5882472895354747E-3</v>
      </c>
    </row>
    <row r="703" spans="1:3">
      <c r="A703" s="3">
        <f ca="1">IFERROR(__xludf.UNSUPPORTED("""COMPUTED_VALUE"""),44482.6666666666)</f>
        <v>44482.666666666599</v>
      </c>
      <c r="B703" s="1">
        <f ca="1">IFERROR(__xludf.UNSUPPORTED("""COMPUTED_VALUE"""),296.31)</f>
        <v>296.31</v>
      </c>
      <c r="C703" s="2">
        <f t="shared" ca="1" si="2"/>
        <v>1.1711281070745721E-2</v>
      </c>
    </row>
    <row r="704" spans="1:3">
      <c r="A704" s="3">
        <f ca="1">IFERROR(__xludf.UNSUPPORTED("""COMPUTED_VALUE"""),44483.6666666666)</f>
        <v>44483.666666666599</v>
      </c>
      <c r="B704" s="1">
        <f ca="1">IFERROR(__xludf.UNSUPPORTED("""COMPUTED_VALUE"""),302.75)</f>
        <v>302.75</v>
      </c>
      <c r="C704" s="2">
        <f t="shared" ca="1" si="2"/>
        <v>2.1733994802740367E-2</v>
      </c>
    </row>
    <row r="705" spans="1:3">
      <c r="A705" s="3">
        <f ca="1">IFERROR(__xludf.UNSUPPORTED("""COMPUTED_VALUE"""),44484.6666666666)</f>
        <v>44484.666666666599</v>
      </c>
      <c r="B705" s="1">
        <f ca="1">IFERROR(__xludf.UNSUPPORTED("""COMPUTED_VALUE"""),304.21)</f>
        <v>304.20999999999998</v>
      </c>
      <c r="C705" s="2">
        <f t="shared" ca="1" si="2"/>
        <v>4.8224607762179343E-3</v>
      </c>
    </row>
    <row r="706" spans="1:3">
      <c r="A706" s="3">
        <f ca="1">IFERROR(__xludf.UNSUPPORTED("""COMPUTED_VALUE"""),44487.6666666666)</f>
        <v>44487.666666666599</v>
      </c>
      <c r="B706" s="1">
        <f ca="1">IFERROR(__xludf.UNSUPPORTED("""COMPUTED_VALUE"""),307.29)</f>
        <v>307.29000000000002</v>
      </c>
      <c r="C706" s="2">
        <f t="shared" ca="1" si="2"/>
        <v>1.0124584990631607E-2</v>
      </c>
    </row>
    <row r="707" spans="1:3">
      <c r="A707" s="3">
        <f ca="1">IFERROR(__xludf.UNSUPPORTED("""COMPUTED_VALUE"""),44488.6666666666)</f>
        <v>44488.666666666599</v>
      </c>
      <c r="B707" s="1">
        <f ca="1">IFERROR(__xludf.UNSUPPORTED("""COMPUTED_VALUE"""),308.23)</f>
        <v>308.23</v>
      </c>
      <c r="C707" s="2">
        <f t="shared" ca="1" si="2"/>
        <v>3.0589996420319491E-3</v>
      </c>
    </row>
    <row r="708" spans="1:3">
      <c r="A708" s="3">
        <f ca="1">IFERROR(__xludf.UNSUPPORTED("""COMPUTED_VALUE"""),44489.6666666666)</f>
        <v>44489.666666666599</v>
      </c>
      <c r="B708" s="1">
        <f ca="1">IFERROR(__xludf.UNSUPPORTED("""COMPUTED_VALUE"""),307.41)</f>
        <v>307.41000000000003</v>
      </c>
      <c r="C708" s="2">
        <f t="shared" ca="1" si="2"/>
        <v>-2.6603510365635829E-3</v>
      </c>
    </row>
    <row r="709" spans="1:3">
      <c r="A709" s="3">
        <f ca="1">IFERROR(__xludf.UNSUPPORTED("""COMPUTED_VALUE"""),44490.6666666666)</f>
        <v>44490.666666666599</v>
      </c>
      <c r="B709" s="1">
        <f ca="1">IFERROR(__xludf.UNSUPPORTED("""COMPUTED_VALUE"""),310.76)</f>
        <v>310.76</v>
      </c>
      <c r="C709" s="2">
        <f t="shared" ca="1" si="2"/>
        <v>1.0897498454832196E-2</v>
      </c>
    </row>
    <row r="710" spans="1:3">
      <c r="A710" s="3">
        <f ca="1">IFERROR(__xludf.UNSUPPORTED("""COMPUTED_VALUE"""),44491.6666666666)</f>
        <v>44491.666666666599</v>
      </c>
      <c r="B710" s="1">
        <f ca="1">IFERROR(__xludf.UNSUPPORTED("""COMPUTED_VALUE"""),309.16)</f>
        <v>309.16000000000003</v>
      </c>
      <c r="C710" s="2">
        <f t="shared" ca="1" si="2"/>
        <v>-5.1486677822112428E-3</v>
      </c>
    </row>
    <row r="711" spans="1:3">
      <c r="A711" s="3">
        <f ca="1">IFERROR(__xludf.UNSUPPORTED("""COMPUTED_VALUE"""),44494.6666666666)</f>
        <v>44494.666666666599</v>
      </c>
      <c r="B711" s="1">
        <f ca="1">IFERROR(__xludf.UNSUPPORTED("""COMPUTED_VALUE"""),308.13)</f>
        <v>308.13</v>
      </c>
      <c r="C711" s="2">
        <f t="shared" ca="1" si="2"/>
        <v>-3.3316082287489631E-3</v>
      </c>
    </row>
    <row r="712" spans="1:3">
      <c r="A712" s="3">
        <f ca="1">IFERROR(__xludf.UNSUPPORTED("""COMPUTED_VALUE"""),44495.6666666666)</f>
        <v>44495.666666666599</v>
      </c>
      <c r="B712" s="1">
        <f ca="1">IFERROR(__xludf.UNSUPPORTED("""COMPUTED_VALUE"""),310.11)</f>
        <v>310.11</v>
      </c>
      <c r="C712" s="2">
        <f t="shared" ca="1" si="2"/>
        <v>6.4258592152663429E-3</v>
      </c>
    </row>
    <row r="713" spans="1:3">
      <c r="A713" s="3">
        <f ca="1">IFERROR(__xludf.UNSUPPORTED("""COMPUTED_VALUE"""),44496.6666666666)</f>
        <v>44496.666666666599</v>
      </c>
      <c r="B713" s="1">
        <f ca="1">IFERROR(__xludf.UNSUPPORTED("""COMPUTED_VALUE"""),323.17)</f>
        <v>323.17</v>
      </c>
      <c r="C713" s="2">
        <f t="shared" ca="1" si="2"/>
        <v>4.2114088549224472E-2</v>
      </c>
    </row>
    <row r="714" spans="1:3">
      <c r="A714" s="3">
        <f ca="1">IFERROR(__xludf.UNSUPPORTED("""COMPUTED_VALUE"""),44497.6666666666)</f>
        <v>44497.666666666599</v>
      </c>
      <c r="B714" s="1">
        <f ca="1">IFERROR(__xludf.UNSUPPORTED("""COMPUTED_VALUE"""),324.35)</f>
        <v>324.35000000000002</v>
      </c>
      <c r="C714" s="2">
        <f t="shared" ca="1" si="2"/>
        <v>3.6513290218770514E-3</v>
      </c>
    </row>
    <row r="715" spans="1:3">
      <c r="A715" s="3">
        <f ca="1">IFERROR(__xludf.UNSUPPORTED("""COMPUTED_VALUE"""),44498.6666666666)</f>
        <v>44498.666666666599</v>
      </c>
      <c r="B715" s="1">
        <f ca="1">IFERROR(__xludf.UNSUPPORTED("""COMPUTED_VALUE"""),331.62)</f>
        <v>331.62</v>
      </c>
      <c r="C715" s="2">
        <f t="shared" ca="1" si="2"/>
        <v>2.241405888700472E-2</v>
      </c>
    </row>
    <row r="716" spans="1:3">
      <c r="A716" s="3">
        <f ca="1">IFERROR(__xludf.UNSUPPORTED("""COMPUTED_VALUE"""),44501.6666666666)</f>
        <v>44501.666666666599</v>
      </c>
      <c r="B716" s="1">
        <f ca="1">IFERROR(__xludf.UNSUPPORTED("""COMPUTED_VALUE"""),329.37)</f>
        <v>329.37</v>
      </c>
      <c r="C716" s="2">
        <f t="shared" ca="1" si="2"/>
        <v>-6.7848742536638319E-3</v>
      </c>
    </row>
    <row r="717" spans="1:3">
      <c r="A717" s="3">
        <f ca="1">IFERROR(__xludf.UNSUPPORTED("""COMPUTED_VALUE"""),44502.6666666666)</f>
        <v>44502.666666666599</v>
      </c>
      <c r="B717" s="1">
        <f ca="1">IFERROR(__xludf.UNSUPPORTED("""COMPUTED_VALUE"""),333.13)</f>
        <v>333.13</v>
      </c>
      <c r="C717" s="2">
        <f t="shared" ca="1" si="2"/>
        <v>1.1415733066156574E-2</v>
      </c>
    </row>
    <row r="718" spans="1:3">
      <c r="A718" s="3">
        <f ca="1">IFERROR(__xludf.UNSUPPORTED("""COMPUTED_VALUE"""),44503.6666666666)</f>
        <v>44503.666666666599</v>
      </c>
      <c r="B718" s="1">
        <f ca="1">IFERROR(__xludf.UNSUPPORTED("""COMPUTED_VALUE"""),334)</f>
        <v>334</v>
      </c>
      <c r="C718" s="2">
        <f t="shared" ca="1" si="2"/>
        <v>2.6115930717737958E-3</v>
      </c>
    </row>
    <row r="719" spans="1:3">
      <c r="A719" s="3">
        <f ca="1">IFERROR(__xludf.UNSUPPORTED("""COMPUTED_VALUE"""),44504.6666666666)</f>
        <v>44504.666666666599</v>
      </c>
      <c r="B719" s="1">
        <f ca="1">IFERROR(__xludf.UNSUPPORTED("""COMPUTED_VALUE"""),336.44)</f>
        <v>336.44</v>
      </c>
      <c r="C719" s="2">
        <f t="shared" ca="1" si="2"/>
        <v>7.3053892215568794E-3</v>
      </c>
    </row>
    <row r="720" spans="1:3">
      <c r="A720" s="3">
        <f ca="1">IFERROR(__xludf.UNSUPPORTED("""COMPUTED_VALUE"""),44505.6666666666)</f>
        <v>44505.666666666599</v>
      </c>
      <c r="B720" s="1">
        <f ca="1">IFERROR(__xludf.UNSUPPORTED("""COMPUTED_VALUE"""),336.06)</f>
        <v>336.06</v>
      </c>
      <c r="C720" s="2">
        <f t="shared" ca="1" si="2"/>
        <v>-1.1294733087623215E-3</v>
      </c>
    </row>
    <row r="721" spans="1:3">
      <c r="A721" s="3">
        <f ca="1">IFERROR(__xludf.UNSUPPORTED("""COMPUTED_VALUE"""),44508.6666666666)</f>
        <v>44508.666666666599</v>
      </c>
      <c r="B721" s="1">
        <f ca="1">IFERROR(__xludf.UNSUPPORTED("""COMPUTED_VALUE"""),336.99)</f>
        <v>336.99</v>
      </c>
      <c r="C721" s="2">
        <f t="shared" ca="1" si="2"/>
        <v>2.7673629708980744E-3</v>
      </c>
    </row>
    <row r="722" spans="1:3">
      <c r="A722" s="3">
        <f ca="1">IFERROR(__xludf.UNSUPPORTED("""COMPUTED_VALUE"""),44509.6666666666)</f>
        <v>44509.666666666599</v>
      </c>
      <c r="B722" s="1">
        <f ca="1">IFERROR(__xludf.UNSUPPORTED("""COMPUTED_VALUE"""),335.95)</f>
        <v>335.95</v>
      </c>
      <c r="C722" s="2">
        <f t="shared" ca="1" si="2"/>
        <v>-3.0861449894656235E-3</v>
      </c>
    </row>
    <row r="723" spans="1:3">
      <c r="A723" s="3">
        <f ca="1">IFERROR(__xludf.UNSUPPORTED("""COMPUTED_VALUE"""),44510.6666666666)</f>
        <v>44510.666666666599</v>
      </c>
      <c r="B723" s="1">
        <f ca="1">IFERROR(__xludf.UNSUPPORTED("""COMPUTED_VALUE"""),330.8)</f>
        <v>330.8</v>
      </c>
      <c r="C723" s="2">
        <f t="shared" ca="1" si="2"/>
        <v>-1.5329662152105902E-2</v>
      </c>
    </row>
    <row r="724" spans="1:3">
      <c r="A724" s="3">
        <f ca="1">IFERROR(__xludf.UNSUPPORTED("""COMPUTED_VALUE"""),44511.6666666666)</f>
        <v>44511.666666666599</v>
      </c>
      <c r="B724" s="1">
        <f ca="1">IFERROR(__xludf.UNSUPPORTED("""COMPUTED_VALUE"""),332.43)</f>
        <v>332.43</v>
      </c>
      <c r="C724" s="2">
        <f t="shared" ca="1" si="2"/>
        <v>4.9274486094316667E-3</v>
      </c>
    </row>
    <row r="725" spans="1:3">
      <c r="A725" s="3">
        <f ca="1">IFERROR(__xludf.UNSUPPORTED("""COMPUTED_VALUE"""),44512.6666666666)</f>
        <v>44512.666666666599</v>
      </c>
      <c r="B725" s="1">
        <f ca="1">IFERROR(__xludf.UNSUPPORTED("""COMPUTED_VALUE"""),336.72)</f>
        <v>336.72</v>
      </c>
      <c r="C725" s="2">
        <f t="shared" ca="1" si="2"/>
        <v>1.2904972475408418E-2</v>
      </c>
    </row>
    <row r="726" spans="1:3">
      <c r="A726" s="3">
        <f ca="1">IFERROR(__xludf.UNSUPPORTED("""COMPUTED_VALUE"""),44515.6666666666)</f>
        <v>44515.666666666599</v>
      </c>
      <c r="B726" s="1">
        <f ca="1">IFERROR(__xludf.UNSUPPORTED("""COMPUTED_VALUE"""),336.07)</f>
        <v>336.07</v>
      </c>
      <c r="C726" s="2">
        <f t="shared" ca="1" si="2"/>
        <v>-1.9303872653838028E-3</v>
      </c>
    </row>
    <row r="727" spans="1:3">
      <c r="A727" s="3">
        <f ca="1">IFERROR(__xludf.UNSUPPORTED("""COMPUTED_VALUE"""),44516.6666666666)</f>
        <v>44516.666666666599</v>
      </c>
      <c r="B727" s="1">
        <f ca="1">IFERROR(__xludf.UNSUPPORTED("""COMPUTED_VALUE"""),339.51)</f>
        <v>339.51</v>
      </c>
      <c r="C727" s="2">
        <f t="shared" ca="1" si="2"/>
        <v>1.0235962745856511E-2</v>
      </c>
    </row>
    <row r="728" spans="1:3">
      <c r="A728" s="3">
        <f ca="1">IFERROR(__xludf.UNSUPPORTED("""COMPUTED_VALUE"""),44517.6666666666)</f>
        <v>44517.666666666599</v>
      </c>
      <c r="B728" s="1">
        <f ca="1">IFERROR(__xludf.UNSUPPORTED("""COMPUTED_VALUE"""),339.12)</f>
        <v>339.12</v>
      </c>
      <c r="C728" s="2">
        <f t="shared" ca="1" si="2"/>
        <v>-1.1487143235839486E-3</v>
      </c>
    </row>
    <row r="729" spans="1:3">
      <c r="A729" s="3">
        <f ca="1">IFERROR(__xludf.UNSUPPORTED("""COMPUTED_VALUE"""),44518.6666666666)</f>
        <v>44518.666666666599</v>
      </c>
      <c r="B729" s="1">
        <f ca="1">IFERROR(__xludf.UNSUPPORTED("""COMPUTED_VALUE"""),341.27)</f>
        <v>341.27</v>
      </c>
      <c r="C729" s="2">
        <f t="shared" ca="1" si="2"/>
        <v>6.3399386647793616E-3</v>
      </c>
    </row>
    <row r="730" spans="1:3">
      <c r="A730" s="3">
        <f ca="1">IFERROR(__xludf.UNSUPPORTED("""COMPUTED_VALUE"""),44519.6666666666)</f>
        <v>44519.666666666599</v>
      </c>
      <c r="B730" s="1">
        <f ca="1">IFERROR(__xludf.UNSUPPORTED("""COMPUTED_VALUE"""),343.11)</f>
        <v>343.11</v>
      </c>
      <c r="C730" s="2">
        <f t="shared" ca="1" si="2"/>
        <v>5.3916253992440941E-3</v>
      </c>
    </row>
    <row r="731" spans="1:3">
      <c r="A731" s="3">
        <f ca="1">IFERROR(__xludf.UNSUPPORTED("""COMPUTED_VALUE"""),44522.6666666666)</f>
        <v>44522.666666666599</v>
      </c>
      <c r="B731" s="1">
        <f ca="1">IFERROR(__xludf.UNSUPPORTED("""COMPUTED_VALUE"""),339.83)</f>
        <v>339.83</v>
      </c>
      <c r="C731" s="2">
        <f t="shared" ca="1" si="2"/>
        <v>-9.5596164495352198E-3</v>
      </c>
    </row>
    <row r="732" spans="1:3">
      <c r="A732" s="3">
        <f ca="1">IFERROR(__xludf.UNSUPPORTED("""COMPUTED_VALUE"""),44523.6666666666)</f>
        <v>44523.666666666599</v>
      </c>
      <c r="B732" s="1">
        <f ca="1">IFERROR(__xludf.UNSUPPORTED("""COMPUTED_VALUE"""),337.68)</f>
        <v>337.68</v>
      </c>
      <c r="C732" s="2">
        <f t="shared" ca="1" si="2"/>
        <v>-6.3266927581437111E-3</v>
      </c>
    </row>
    <row r="733" spans="1:3">
      <c r="A733" s="3">
        <f ca="1">IFERROR(__xludf.UNSUPPORTED("""COMPUTED_VALUE"""),44524.6666666666)</f>
        <v>44524.666666666599</v>
      </c>
      <c r="B733" s="1">
        <f ca="1">IFERROR(__xludf.UNSUPPORTED("""COMPUTED_VALUE"""),337.91)</f>
        <v>337.91</v>
      </c>
      <c r="C733" s="2">
        <f t="shared" ca="1" si="2"/>
        <v>6.811182184317051E-4</v>
      </c>
    </row>
    <row r="734" spans="1:3">
      <c r="A734" s="3">
        <f ca="1">IFERROR(__xludf.UNSUPPORTED("""COMPUTED_VALUE"""),44526.5416666666)</f>
        <v>44526.541666666599</v>
      </c>
      <c r="B734" s="1">
        <f ca="1">IFERROR(__xludf.UNSUPPORTED("""COMPUTED_VALUE"""),329.68)</f>
        <v>329.68</v>
      </c>
      <c r="C734" s="2">
        <f t="shared" ca="1" si="2"/>
        <v>-2.4355597644343221E-2</v>
      </c>
    </row>
    <row r="735" spans="1:3">
      <c r="A735" s="3">
        <f ca="1">IFERROR(__xludf.UNSUPPORTED("""COMPUTED_VALUE"""),44529.6666666666)</f>
        <v>44529.666666666599</v>
      </c>
      <c r="B735" s="1">
        <f ca="1">IFERROR(__xludf.UNSUPPORTED("""COMPUTED_VALUE"""),336.63)</f>
        <v>336.63</v>
      </c>
      <c r="C735" s="2">
        <f t="shared" ca="1" si="2"/>
        <v>2.1081048289250146E-2</v>
      </c>
    </row>
    <row r="736" spans="1:3">
      <c r="A736" s="3">
        <f ca="1">IFERROR(__xludf.UNSUPPORTED("""COMPUTED_VALUE"""),44530.6666666666)</f>
        <v>44530.666666666599</v>
      </c>
      <c r="B736" s="1">
        <f ca="1">IFERROR(__xludf.UNSUPPORTED("""COMPUTED_VALUE"""),330.59)</f>
        <v>330.59</v>
      </c>
      <c r="C736" s="2">
        <f t="shared" ca="1" si="2"/>
        <v>-1.794254819831869E-2</v>
      </c>
    </row>
    <row r="737" spans="1:3">
      <c r="A737" s="3">
        <f ca="1">IFERROR(__xludf.UNSUPPORTED("""COMPUTED_VALUE"""),44531.6666666666)</f>
        <v>44531.666666666599</v>
      </c>
      <c r="B737" s="1">
        <f ca="1">IFERROR(__xludf.UNSUPPORTED("""COMPUTED_VALUE"""),330.08)</f>
        <v>330.08</v>
      </c>
      <c r="C737" s="2">
        <f t="shared" ca="1" si="2"/>
        <v>-1.542696391300375E-3</v>
      </c>
    </row>
    <row r="738" spans="1:3">
      <c r="A738" s="3">
        <f ca="1">IFERROR(__xludf.UNSUPPORTED("""COMPUTED_VALUE"""),44532.6666666666)</f>
        <v>44532.666666666599</v>
      </c>
      <c r="B738" s="1">
        <f ca="1">IFERROR(__xludf.UNSUPPORTED("""COMPUTED_VALUE"""),329.49)</f>
        <v>329.49</v>
      </c>
      <c r="C738" s="2">
        <f t="shared" ca="1" si="2"/>
        <v>-1.7874454677653145E-3</v>
      </c>
    </row>
    <row r="739" spans="1:3">
      <c r="A739" s="3">
        <f ca="1">IFERROR(__xludf.UNSUPPORTED("""COMPUTED_VALUE"""),44533.6666666666)</f>
        <v>44533.666666666599</v>
      </c>
      <c r="B739" s="1">
        <f ca="1">IFERROR(__xludf.UNSUPPORTED("""COMPUTED_VALUE"""),323.01)</f>
        <v>323.01</v>
      </c>
      <c r="C739" s="2">
        <f t="shared" ca="1" si="2"/>
        <v>-1.9666757716470966E-2</v>
      </c>
    </row>
    <row r="740" spans="1:3">
      <c r="A740" s="3">
        <f ca="1">IFERROR(__xludf.UNSUPPORTED("""COMPUTED_VALUE"""),44536.6666666666)</f>
        <v>44536.666666666599</v>
      </c>
      <c r="B740" s="1">
        <f ca="1">IFERROR(__xludf.UNSUPPORTED("""COMPUTED_VALUE"""),326.19)</f>
        <v>326.19</v>
      </c>
      <c r="C740" s="2">
        <f t="shared" ca="1" si="2"/>
        <v>9.8448964428346081E-3</v>
      </c>
    </row>
    <row r="741" spans="1:3">
      <c r="A741" s="3">
        <f ca="1">IFERROR(__xludf.UNSUPPORTED("""COMPUTED_VALUE"""),44537.6666666666)</f>
        <v>44537.666666666599</v>
      </c>
      <c r="B741" s="1">
        <f ca="1">IFERROR(__xludf.UNSUPPORTED("""COMPUTED_VALUE"""),334.92)</f>
        <v>334.92</v>
      </c>
      <c r="C741" s="2">
        <f t="shared" ca="1" si="2"/>
        <v>2.6763542720500379E-2</v>
      </c>
    </row>
    <row r="742" spans="1:3">
      <c r="A742" s="3">
        <f ca="1">IFERROR(__xludf.UNSUPPORTED("""COMPUTED_VALUE"""),44538.6666666666)</f>
        <v>44538.666666666599</v>
      </c>
      <c r="B742" s="1">
        <f ca="1">IFERROR(__xludf.UNSUPPORTED("""COMPUTED_VALUE"""),334.97)</f>
        <v>334.97</v>
      </c>
      <c r="C742" s="2">
        <f t="shared" ca="1" si="2"/>
        <v>1.4928938253914775E-4</v>
      </c>
    </row>
    <row r="743" spans="1:3">
      <c r="A743" s="3">
        <f ca="1">IFERROR(__xludf.UNSUPPORTED("""COMPUTED_VALUE"""),44539.6666666666)</f>
        <v>44539.666666666599</v>
      </c>
      <c r="B743" s="1">
        <f ca="1">IFERROR(__xludf.UNSUPPORTED("""COMPUTED_VALUE"""),333.1)</f>
        <v>333.1</v>
      </c>
      <c r="C743" s="2">
        <f t="shared" ca="1" si="2"/>
        <v>-5.5825894856255916E-3</v>
      </c>
    </row>
    <row r="744" spans="1:3">
      <c r="A744" s="3">
        <f ca="1">IFERROR(__xludf.UNSUPPORTED("""COMPUTED_VALUE"""),44540.6666666666)</f>
        <v>44540.666666666599</v>
      </c>
      <c r="B744" s="1">
        <f ca="1">IFERROR(__xludf.UNSUPPORTED("""COMPUTED_VALUE"""),342.54)</f>
        <v>342.54</v>
      </c>
      <c r="C744" s="2">
        <f t="shared" ca="1" si="2"/>
        <v>2.8339837886520555E-2</v>
      </c>
    </row>
    <row r="745" spans="1:3">
      <c r="A745" s="3">
        <f ca="1">IFERROR(__xludf.UNSUPPORTED("""COMPUTED_VALUE"""),44543.6666666666)</f>
        <v>44543.666666666599</v>
      </c>
      <c r="B745" s="1">
        <f ca="1">IFERROR(__xludf.UNSUPPORTED("""COMPUTED_VALUE"""),339.4)</f>
        <v>339.4</v>
      </c>
      <c r="C745" s="2">
        <f t="shared" ca="1" si="2"/>
        <v>-9.1668126350208535E-3</v>
      </c>
    </row>
    <row r="746" spans="1:3">
      <c r="A746" s="3">
        <f ca="1">IFERROR(__xludf.UNSUPPORTED("""COMPUTED_VALUE"""),44544.6666666666)</f>
        <v>44544.666666666599</v>
      </c>
      <c r="B746" s="1">
        <f ca="1">IFERROR(__xludf.UNSUPPORTED("""COMPUTED_VALUE"""),328.34)</f>
        <v>328.34</v>
      </c>
      <c r="C746" s="2">
        <f t="shared" ca="1" si="2"/>
        <v>-3.2586918090748387E-2</v>
      </c>
    </row>
    <row r="747" spans="1:3">
      <c r="A747" s="3">
        <f ca="1">IFERROR(__xludf.UNSUPPORTED("""COMPUTED_VALUE"""),44545.6666666666)</f>
        <v>44545.666666666599</v>
      </c>
      <c r="B747" s="1">
        <f ca="1">IFERROR(__xludf.UNSUPPORTED("""COMPUTED_VALUE"""),334.65)</f>
        <v>334.65</v>
      </c>
      <c r="C747" s="2">
        <f t="shared" ca="1" si="2"/>
        <v>1.9217883900834509E-2</v>
      </c>
    </row>
    <row r="748" spans="1:3">
      <c r="A748" s="3">
        <f ca="1">IFERROR(__xludf.UNSUPPORTED("""COMPUTED_VALUE"""),44546.6666666666)</f>
        <v>44546.666666666599</v>
      </c>
      <c r="B748" s="1">
        <f ca="1">IFERROR(__xludf.UNSUPPORTED("""COMPUTED_VALUE"""),324.9)</f>
        <v>324.89999999999998</v>
      </c>
      <c r="C748" s="2">
        <f t="shared" ca="1" si="2"/>
        <v>-2.9134917077543704E-2</v>
      </c>
    </row>
    <row r="749" spans="1:3">
      <c r="A749" s="3">
        <f ca="1">IFERROR(__xludf.UNSUPPORTED("""COMPUTED_VALUE"""),44547.6666666666)</f>
        <v>44547.666666666599</v>
      </c>
      <c r="B749" s="1">
        <f ca="1">IFERROR(__xludf.UNSUPPORTED("""COMPUTED_VALUE"""),323.8)</f>
        <v>323.8</v>
      </c>
      <c r="C749" s="2">
        <f t="shared" ca="1" si="2"/>
        <v>-3.3856571252692089E-3</v>
      </c>
    </row>
    <row r="750" spans="1:3">
      <c r="A750" s="3">
        <f ca="1">IFERROR(__xludf.UNSUPPORTED("""COMPUTED_VALUE"""),44550.6666666666)</f>
        <v>44550.666666666599</v>
      </c>
      <c r="B750" s="1">
        <f ca="1">IFERROR(__xludf.UNSUPPORTED("""COMPUTED_VALUE"""),319.91)</f>
        <v>319.91000000000003</v>
      </c>
      <c r="C750" s="2">
        <f t="shared" ca="1" si="2"/>
        <v>-1.2013588634959809E-2</v>
      </c>
    </row>
    <row r="751" spans="1:3">
      <c r="A751" s="3">
        <f ca="1">IFERROR(__xludf.UNSUPPORTED("""COMPUTED_VALUE"""),44551.6666666666)</f>
        <v>44551.666666666599</v>
      </c>
      <c r="B751" s="1">
        <f ca="1">IFERROR(__xludf.UNSUPPORTED("""COMPUTED_VALUE"""),327.29)</f>
        <v>327.29000000000002</v>
      </c>
      <c r="C751" s="2">
        <f t="shared" ca="1" si="2"/>
        <v>2.3068988152917993E-2</v>
      </c>
    </row>
    <row r="752" spans="1:3">
      <c r="A752" s="3">
        <f ca="1">IFERROR(__xludf.UNSUPPORTED("""COMPUTED_VALUE"""),44552.6666666666)</f>
        <v>44552.666666666599</v>
      </c>
      <c r="B752" s="1">
        <f ca="1">IFERROR(__xludf.UNSUPPORTED("""COMPUTED_VALUE"""),333.2)</f>
        <v>333.2</v>
      </c>
      <c r="C752" s="2">
        <f t="shared" ca="1" si="2"/>
        <v>1.8057380304928254E-2</v>
      </c>
    </row>
    <row r="753" spans="1:3">
      <c r="A753" s="3">
        <f ca="1">IFERROR(__xludf.UNSUPPORTED("""COMPUTED_VALUE"""),44553.6666666666)</f>
        <v>44553.666666666599</v>
      </c>
      <c r="B753" s="1">
        <f ca="1">IFERROR(__xludf.UNSUPPORTED("""COMPUTED_VALUE"""),334.69)</f>
        <v>334.69</v>
      </c>
      <c r="C753" s="2">
        <f t="shared" ca="1" si="2"/>
        <v>4.4717887154862223E-3</v>
      </c>
    </row>
    <row r="754" spans="1:3">
      <c r="A754" s="3">
        <f ca="1">IFERROR(__xludf.UNSUPPORTED("""COMPUTED_VALUE"""),44557.6666666666)</f>
        <v>44557.666666666599</v>
      </c>
      <c r="B754" s="1">
        <f ca="1">IFERROR(__xludf.UNSUPPORTED("""COMPUTED_VALUE"""),342.45)</f>
        <v>342.45</v>
      </c>
      <c r="C754" s="2">
        <f t="shared" ca="1" si="2"/>
        <v>2.3185634467716366E-2</v>
      </c>
    </row>
    <row r="755" spans="1:3">
      <c r="A755" s="3">
        <f ca="1">IFERROR(__xludf.UNSUPPORTED("""COMPUTED_VALUE"""),44558.6666666666)</f>
        <v>44558.666666666599</v>
      </c>
      <c r="B755" s="1">
        <f ca="1">IFERROR(__xludf.UNSUPPORTED("""COMPUTED_VALUE"""),341.25)</f>
        <v>341.25</v>
      </c>
      <c r="C755" s="2">
        <f t="shared" ca="1" si="2"/>
        <v>-3.504161191414772E-3</v>
      </c>
    </row>
    <row r="756" spans="1:3">
      <c r="A756" s="3">
        <f ca="1">IFERROR(__xludf.UNSUPPORTED("""COMPUTED_VALUE"""),44559.6666666666)</f>
        <v>44559.666666666599</v>
      </c>
      <c r="B756" s="1">
        <f ca="1">IFERROR(__xludf.UNSUPPORTED("""COMPUTED_VALUE"""),341.95)</f>
        <v>341.95</v>
      </c>
      <c r="C756" s="2">
        <f t="shared" ca="1" si="2"/>
        <v>2.0512820512820179E-3</v>
      </c>
    </row>
    <row r="757" spans="1:3">
      <c r="A757" s="3">
        <f ca="1">IFERROR(__xludf.UNSUPPORTED("""COMPUTED_VALUE"""),44560.6666666666)</f>
        <v>44560.666666666599</v>
      </c>
      <c r="B757" s="1">
        <f ca="1">IFERROR(__xludf.UNSUPPORTED("""COMPUTED_VALUE"""),339.32)</f>
        <v>339.32</v>
      </c>
      <c r="C757" s="2">
        <f t="shared" ca="1" si="2"/>
        <v>-7.6911829214797358E-3</v>
      </c>
    </row>
    <row r="758" spans="1:3">
      <c r="A758" s="3">
        <f ca="1">IFERROR(__xludf.UNSUPPORTED("""COMPUTED_VALUE"""),44561.6666666666)</f>
        <v>44561.666666666599</v>
      </c>
      <c r="B758" s="1">
        <f ca="1">IFERROR(__xludf.UNSUPPORTED("""COMPUTED_VALUE"""),336.32)</f>
        <v>336.32</v>
      </c>
      <c r="C758" s="2">
        <f t="shared" ca="1" si="2"/>
        <v>-8.8412118354355765E-3</v>
      </c>
    </row>
    <row r="759" spans="1:3">
      <c r="A759" s="3">
        <f ca="1">IFERROR(__xludf.UNSUPPORTED("""COMPUTED_VALUE"""),44564.6666666666)</f>
        <v>44564.666666666599</v>
      </c>
      <c r="B759" s="1">
        <f ca="1">IFERROR(__xludf.UNSUPPORTED("""COMPUTED_VALUE"""),334.75)</f>
        <v>334.75</v>
      </c>
      <c r="C759" s="2">
        <f t="shared" ca="1" si="2"/>
        <v>-4.6681731684110172E-3</v>
      </c>
    </row>
    <row r="760" spans="1:3">
      <c r="A760" s="3">
        <f ca="1">IFERROR(__xludf.UNSUPPORTED("""COMPUTED_VALUE"""),44565.6666666666)</f>
        <v>44565.666666666599</v>
      </c>
      <c r="B760" s="1">
        <f ca="1">IFERROR(__xludf.UNSUPPORTED("""COMPUTED_VALUE"""),329.01)</f>
        <v>329.01</v>
      </c>
      <c r="C760" s="2">
        <f t="shared" ca="1" si="2"/>
        <v>-1.7147124719940281E-2</v>
      </c>
    </row>
    <row r="761" spans="1:3">
      <c r="A761" s="3">
        <f ca="1">IFERROR(__xludf.UNSUPPORTED("""COMPUTED_VALUE"""),44566.6666666666)</f>
        <v>44566.666666666599</v>
      </c>
      <c r="B761" s="1">
        <f ca="1">IFERROR(__xludf.UNSUPPORTED("""COMPUTED_VALUE"""),316.38)</f>
        <v>316.38</v>
      </c>
      <c r="C761" s="2">
        <f t="shared" ca="1" si="2"/>
        <v>-3.8387890945563954E-2</v>
      </c>
    </row>
    <row r="762" spans="1:3">
      <c r="A762" s="3">
        <f ca="1">IFERROR(__xludf.UNSUPPORTED("""COMPUTED_VALUE"""),44567.6666666666)</f>
        <v>44567.666666666599</v>
      </c>
      <c r="B762" s="1">
        <f ca="1">IFERROR(__xludf.UNSUPPORTED("""COMPUTED_VALUE"""),313.88)</f>
        <v>313.88</v>
      </c>
      <c r="C762" s="2">
        <f t="shared" ca="1" si="2"/>
        <v>-7.9018901321196034E-3</v>
      </c>
    </row>
    <row r="763" spans="1:3">
      <c r="A763" s="3">
        <f ca="1">IFERROR(__xludf.UNSUPPORTED("""COMPUTED_VALUE"""),44568.6666666666)</f>
        <v>44568.666666666599</v>
      </c>
      <c r="B763" s="1">
        <f ca="1">IFERROR(__xludf.UNSUPPORTED("""COMPUTED_VALUE"""),314.04)</f>
        <v>314.04000000000002</v>
      </c>
      <c r="C763" s="2">
        <f t="shared" ca="1" si="2"/>
        <v>5.097489486428731E-4</v>
      </c>
    </row>
    <row r="764" spans="1:3">
      <c r="A764" s="3">
        <f ca="1">IFERROR(__xludf.UNSUPPORTED("""COMPUTED_VALUE"""),44571.6666666666)</f>
        <v>44571.666666666599</v>
      </c>
      <c r="B764" s="1">
        <f ca="1">IFERROR(__xludf.UNSUPPORTED("""COMPUTED_VALUE"""),314.27)</f>
        <v>314.27</v>
      </c>
      <c r="C764" s="2">
        <f t="shared" ca="1" si="2"/>
        <v>7.3239077824468644E-4</v>
      </c>
    </row>
    <row r="765" spans="1:3">
      <c r="A765" s="3">
        <f ca="1">IFERROR(__xludf.UNSUPPORTED("""COMPUTED_VALUE"""),44572.6666666666)</f>
        <v>44572.666666666599</v>
      </c>
      <c r="B765" s="1">
        <f ca="1">IFERROR(__xludf.UNSUPPORTED("""COMPUTED_VALUE"""),314.98)</f>
        <v>314.98</v>
      </c>
      <c r="C765" s="2">
        <f t="shared" ca="1" si="2"/>
        <v>2.259203869284489E-3</v>
      </c>
    </row>
    <row r="766" spans="1:3">
      <c r="A766" s="3">
        <f ca="1">IFERROR(__xludf.UNSUPPORTED("""COMPUTED_VALUE"""),44573.6666666666)</f>
        <v>44573.666666666599</v>
      </c>
      <c r="B766" s="1">
        <f ca="1">IFERROR(__xludf.UNSUPPORTED("""COMPUTED_VALUE"""),318.27)</f>
        <v>318.27</v>
      </c>
      <c r="C766" s="2">
        <f t="shared" ca="1" si="2"/>
        <v>1.0445107625880893E-2</v>
      </c>
    </row>
    <row r="767" spans="1:3">
      <c r="A767" s="3">
        <f ca="1">IFERROR(__xludf.UNSUPPORTED("""COMPUTED_VALUE"""),44574.6666666666)</f>
        <v>44574.666666666599</v>
      </c>
      <c r="B767" s="1">
        <f ca="1">IFERROR(__xludf.UNSUPPORTED("""COMPUTED_VALUE"""),304.8)</f>
        <v>304.8</v>
      </c>
      <c r="C767" s="2">
        <f t="shared" ca="1" si="2"/>
        <v>-4.2322556320105481E-2</v>
      </c>
    </row>
    <row r="768" spans="1:3">
      <c r="A768" s="3">
        <f ca="1">IFERROR(__xludf.UNSUPPORTED("""COMPUTED_VALUE"""),44575.6666666666)</f>
        <v>44575.666666666599</v>
      </c>
      <c r="B768" s="1">
        <f ca="1">IFERROR(__xludf.UNSUPPORTED("""COMPUTED_VALUE"""),310.2)</f>
        <v>310.2</v>
      </c>
      <c r="C768" s="2">
        <f t="shared" ref="C768:C1022" ca="1" si="3">(B768-B767)/B767</f>
        <v>1.771653543307079E-2</v>
      </c>
    </row>
    <row r="769" spans="1:3">
      <c r="A769" s="3">
        <f ca="1">IFERROR(__xludf.UNSUPPORTED("""COMPUTED_VALUE"""),44579.6666666666)</f>
        <v>44579.666666666599</v>
      </c>
      <c r="B769" s="1">
        <f ca="1">IFERROR(__xludf.UNSUPPORTED("""COMPUTED_VALUE"""),302.65)</f>
        <v>302.64999999999998</v>
      </c>
      <c r="C769" s="2">
        <f t="shared" ca="1" si="3"/>
        <v>-2.433913604126374E-2</v>
      </c>
    </row>
    <row r="770" spans="1:3">
      <c r="A770" s="3">
        <f ca="1">IFERROR(__xludf.UNSUPPORTED("""COMPUTED_VALUE"""),44580.6666666666)</f>
        <v>44580.666666666599</v>
      </c>
      <c r="B770" s="1">
        <f ca="1">IFERROR(__xludf.UNSUPPORTED("""COMPUTED_VALUE"""),303.33)</f>
        <v>303.33</v>
      </c>
      <c r="C770" s="2">
        <f t="shared" ca="1" si="3"/>
        <v>2.2468197587973133E-3</v>
      </c>
    </row>
    <row r="771" spans="1:3">
      <c r="A771" s="3">
        <f ca="1">IFERROR(__xludf.UNSUPPORTED("""COMPUTED_VALUE"""),44581.6666666666)</f>
        <v>44581.666666666599</v>
      </c>
      <c r="B771" s="1">
        <f ca="1">IFERROR(__xludf.UNSUPPORTED("""COMPUTED_VALUE"""),301.6)</f>
        <v>301.60000000000002</v>
      </c>
      <c r="C771" s="2">
        <f t="shared" ca="1" si="3"/>
        <v>-5.7033593775754508E-3</v>
      </c>
    </row>
    <row r="772" spans="1:3">
      <c r="A772" s="3">
        <f ca="1">IFERROR(__xludf.UNSUPPORTED("""COMPUTED_VALUE"""),44582.6666666666)</f>
        <v>44582.666666666599</v>
      </c>
      <c r="B772" s="1">
        <f ca="1">IFERROR(__xludf.UNSUPPORTED("""COMPUTED_VALUE"""),296.03)</f>
        <v>296.02999999999997</v>
      </c>
      <c r="C772" s="2">
        <f t="shared" ca="1" si="3"/>
        <v>-1.8468169761273374E-2</v>
      </c>
    </row>
    <row r="773" spans="1:3">
      <c r="A773" s="3">
        <f ca="1">IFERROR(__xludf.UNSUPPORTED("""COMPUTED_VALUE"""),44585.6666666666)</f>
        <v>44585.666666666599</v>
      </c>
      <c r="B773" s="1">
        <f ca="1">IFERROR(__xludf.UNSUPPORTED("""COMPUTED_VALUE"""),296.37)</f>
        <v>296.37</v>
      </c>
      <c r="C773" s="2">
        <f t="shared" ca="1" si="3"/>
        <v>1.1485322433538218E-3</v>
      </c>
    </row>
    <row r="774" spans="1:3">
      <c r="A774" s="3">
        <f ca="1">IFERROR(__xludf.UNSUPPORTED("""COMPUTED_VALUE"""),44586.6666666666)</f>
        <v>44586.666666666599</v>
      </c>
      <c r="B774" s="1">
        <f ca="1">IFERROR(__xludf.UNSUPPORTED("""COMPUTED_VALUE"""),288.49)</f>
        <v>288.49</v>
      </c>
      <c r="C774" s="2">
        <f t="shared" ca="1" si="3"/>
        <v>-2.6588386138947921E-2</v>
      </c>
    </row>
    <row r="775" spans="1:3">
      <c r="A775" s="3">
        <f ca="1">IFERROR(__xludf.UNSUPPORTED("""COMPUTED_VALUE"""),44587.6666666666)</f>
        <v>44587.666666666599</v>
      </c>
      <c r="B775" s="1">
        <f ca="1">IFERROR(__xludf.UNSUPPORTED("""COMPUTED_VALUE"""),296.71)</f>
        <v>296.70999999999998</v>
      </c>
      <c r="C775" s="2">
        <f t="shared" ca="1" si="3"/>
        <v>2.8493188672050921E-2</v>
      </c>
    </row>
    <row r="776" spans="1:3">
      <c r="A776" s="3">
        <f ca="1">IFERROR(__xludf.UNSUPPORTED("""COMPUTED_VALUE"""),44588.6666666666)</f>
        <v>44588.666666666599</v>
      </c>
      <c r="B776" s="1">
        <f ca="1">IFERROR(__xludf.UNSUPPORTED("""COMPUTED_VALUE"""),299.84)</f>
        <v>299.83999999999997</v>
      </c>
      <c r="C776" s="2">
        <f t="shared" ca="1" si="3"/>
        <v>1.0549020929527133E-2</v>
      </c>
    </row>
    <row r="777" spans="1:3">
      <c r="A777" s="3">
        <f ca="1">IFERROR(__xludf.UNSUPPORTED("""COMPUTED_VALUE"""),44589.6666666666)</f>
        <v>44589.666666666599</v>
      </c>
      <c r="B777" s="1">
        <f ca="1">IFERROR(__xludf.UNSUPPORTED("""COMPUTED_VALUE"""),308.26)</f>
        <v>308.26</v>
      </c>
      <c r="C777" s="2">
        <f t="shared" ca="1" si="3"/>
        <v>2.8081643543223109E-2</v>
      </c>
    </row>
    <row r="778" spans="1:3">
      <c r="A778" s="3">
        <f ca="1">IFERROR(__xludf.UNSUPPORTED("""COMPUTED_VALUE"""),44592.6666666666)</f>
        <v>44592.666666666599</v>
      </c>
      <c r="B778" s="1">
        <f ca="1">IFERROR(__xludf.UNSUPPORTED("""COMPUTED_VALUE"""),310.98)</f>
        <v>310.98</v>
      </c>
      <c r="C778" s="2">
        <f t="shared" ca="1" si="3"/>
        <v>8.823720236164366E-3</v>
      </c>
    </row>
    <row r="779" spans="1:3">
      <c r="A779" s="3">
        <f ca="1">IFERROR(__xludf.UNSUPPORTED("""COMPUTED_VALUE"""),44593.6666666666)</f>
        <v>44593.666666666599</v>
      </c>
      <c r="B779" s="1">
        <f ca="1">IFERROR(__xludf.UNSUPPORTED("""COMPUTED_VALUE"""),308.76)</f>
        <v>308.76</v>
      </c>
      <c r="C779" s="2">
        <f t="shared" ca="1" si="3"/>
        <v>-7.1387227474436531E-3</v>
      </c>
    </row>
    <row r="780" spans="1:3">
      <c r="A780" s="3">
        <f ca="1">IFERROR(__xludf.UNSUPPORTED("""COMPUTED_VALUE"""),44594.6666666666)</f>
        <v>44594.666666666599</v>
      </c>
      <c r="B780" s="1">
        <f ca="1">IFERROR(__xludf.UNSUPPORTED("""COMPUTED_VALUE"""),313.46)</f>
        <v>313.45999999999998</v>
      </c>
      <c r="C780" s="2">
        <f t="shared" ca="1" si="3"/>
        <v>1.5222179038735552E-2</v>
      </c>
    </row>
    <row r="781" spans="1:3">
      <c r="A781" s="3">
        <f ca="1">IFERROR(__xludf.UNSUPPORTED("""COMPUTED_VALUE"""),44595.6666666666)</f>
        <v>44595.666666666599</v>
      </c>
      <c r="B781" s="1">
        <f ca="1">IFERROR(__xludf.UNSUPPORTED("""COMPUTED_VALUE"""),301.25)</f>
        <v>301.25</v>
      </c>
      <c r="C781" s="2">
        <f t="shared" ca="1" si="3"/>
        <v>-3.8952338416384805E-2</v>
      </c>
    </row>
    <row r="782" spans="1:3">
      <c r="A782" s="3">
        <f ca="1">IFERROR(__xludf.UNSUPPORTED("""COMPUTED_VALUE"""),44596.6666666666)</f>
        <v>44596.666666666599</v>
      </c>
      <c r="B782" s="1">
        <f ca="1">IFERROR(__xludf.UNSUPPORTED("""COMPUTED_VALUE"""),305.94)</f>
        <v>305.94</v>
      </c>
      <c r="C782" s="2">
        <f t="shared" ca="1" si="3"/>
        <v>1.5568464730290449E-2</v>
      </c>
    </row>
    <row r="783" spans="1:3">
      <c r="A783" s="3">
        <f ca="1">IFERROR(__xludf.UNSUPPORTED("""COMPUTED_VALUE"""),44599.6666666666)</f>
        <v>44599.666666666599</v>
      </c>
      <c r="B783" s="1">
        <f ca="1">IFERROR(__xludf.UNSUPPORTED("""COMPUTED_VALUE"""),300.95)</f>
        <v>300.95</v>
      </c>
      <c r="C783" s="2">
        <f t="shared" ca="1" si="3"/>
        <v>-1.6310387657710691E-2</v>
      </c>
    </row>
    <row r="784" spans="1:3">
      <c r="A784" s="3">
        <f ca="1">IFERROR(__xludf.UNSUPPORTED("""COMPUTED_VALUE"""),44600.6666666666)</f>
        <v>44600.666666666599</v>
      </c>
      <c r="B784" s="1">
        <f ca="1">IFERROR(__xludf.UNSUPPORTED("""COMPUTED_VALUE"""),304.56)</f>
        <v>304.56</v>
      </c>
      <c r="C784" s="2">
        <f t="shared" ca="1" si="3"/>
        <v>1.1995348064462581E-2</v>
      </c>
    </row>
    <row r="785" spans="1:3">
      <c r="A785" s="3">
        <f ca="1">IFERROR(__xludf.UNSUPPORTED("""COMPUTED_VALUE"""),44601.6666666666)</f>
        <v>44601.666666666599</v>
      </c>
      <c r="B785" s="1">
        <f ca="1">IFERROR(__xludf.UNSUPPORTED("""COMPUTED_VALUE"""),311.21)</f>
        <v>311.20999999999998</v>
      </c>
      <c r="C785" s="2">
        <f t="shared" ca="1" si="3"/>
        <v>2.1834778040451724E-2</v>
      </c>
    </row>
    <row r="786" spans="1:3">
      <c r="A786" s="3">
        <f ca="1">IFERROR(__xludf.UNSUPPORTED("""COMPUTED_VALUE"""),44602.6666666666)</f>
        <v>44602.666666666599</v>
      </c>
      <c r="B786" s="1">
        <f ca="1">IFERROR(__xludf.UNSUPPORTED("""COMPUTED_VALUE"""),302.38)</f>
        <v>302.38</v>
      </c>
      <c r="C786" s="2">
        <f t="shared" ca="1" si="3"/>
        <v>-2.8373124256932569E-2</v>
      </c>
    </row>
    <row r="787" spans="1:3">
      <c r="A787" s="3">
        <f ca="1">IFERROR(__xludf.UNSUPPORTED("""COMPUTED_VALUE"""),44603.6666666666)</f>
        <v>44603.666666666599</v>
      </c>
      <c r="B787" s="1">
        <f ca="1">IFERROR(__xludf.UNSUPPORTED("""COMPUTED_VALUE"""),295.04)</f>
        <v>295.04000000000002</v>
      </c>
      <c r="C787" s="2">
        <f t="shared" ca="1" si="3"/>
        <v>-2.4274092201865119E-2</v>
      </c>
    </row>
    <row r="788" spans="1:3">
      <c r="A788" s="3">
        <f ca="1">IFERROR(__xludf.UNSUPPORTED("""COMPUTED_VALUE"""),44606.6666666666)</f>
        <v>44606.666666666599</v>
      </c>
      <c r="B788" s="1">
        <f ca="1">IFERROR(__xludf.UNSUPPORTED("""COMPUTED_VALUE"""),295)</f>
        <v>295</v>
      </c>
      <c r="C788" s="2">
        <f t="shared" ca="1" si="3"/>
        <v>-1.3557483731026457E-4</v>
      </c>
    </row>
    <row r="789" spans="1:3">
      <c r="A789" s="3">
        <f ca="1">IFERROR(__xludf.UNSUPPORTED("""COMPUTED_VALUE"""),44607.6666666666)</f>
        <v>44607.666666666599</v>
      </c>
      <c r="B789" s="1">
        <f ca="1">IFERROR(__xludf.UNSUPPORTED("""COMPUTED_VALUE"""),300.47)</f>
        <v>300.47000000000003</v>
      </c>
      <c r="C789" s="2">
        <f t="shared" ca="1" si="3"/>
        <v>1.8542372881356024E-2</v>
      </c>
    </row>
    <row r="790" spans="1:3">
      <c r="A790" s="3">
        <f ca="1">IFERROR(__xludf.UNSUPPORTED("""COMPUTED_VALUE"""),44608.6666666666)</f>
        <v>44608.666666666599</v>
      </c>
      <c r="B790" s="1">
        <f ca="1">IFERROR(__xludf.UNSUPPORTED("""COMPUTED_VALUE"""),299.5)</f>
        <v>299.5</v>
      </c>
      <c r="C790" s="2">
        <f t="shared" ca="1" si="3"/>
        <v>-3.2282757014012288E-3</v>
      </c>
    </row>
    <row r="791" spans="1:3">
      <c r="A791" s="3">
        <f ca="1">IFERROR(__xludf.UNSUPPORTED("""COMPUTED_VALUE"""),44609.6666666666)</f>
        <v>44609.666666666599</v>
      </c>
      <c r="B791" s="1">
        <f ca="1">IFERROR(__xludf.UNSUPPORTED("""COMPUTED_VALUE"""),290.73)</f>
        <v>290.73</v>
      </c>
      <c r="C791" s="2">
        <f t="shared" ca="1" si="3"/>
        <v>-2.9282136894824649E-2</v>
      </c>
    </row>
    <row r="792" spans="1:3">
      <c r="A792" s="3">
        <f ca="1">IFERROR(__xludf.UNSUPPORTED("""COMPUTED_VALUE"""),44610.6666666666)</f>
        <v>44610.666666666599</v>
      </c>
      <c r="B792" s="1">
        <f ca="1">IFERROR(__xludf.UNSUPPORTED("""COMPUTED_VALUE"""),287.93)</f>
        <v>287.93</v>
      </c>
      <c r="C792" s="2">
        <f t="shared" ca="1" si="3"/>
        <v>-9.6309290406907146E-3</v>
      </c>
    </row>
    <row r="793" spans="1:3">
      <c r="A793" s="3">
        <f ca="1">IFERROR(__xludf.UNSUPPORTED("""COMPUTED_VALUE"""),44614.6666666666)</f>
        <v>44614.666666666599</v>
      </c>
      <c r="B793" s="1">
        <f ca="1">IFERROR(__xludf.UNSUPPORTED("""COMPUTED_VALUE"""),287.72)</f>
        <v>287.72000000000003</v>
      </c>
      <c r="C793" s="2">
        <f t="shared" ca="1" si="3"/>
        <v>-7.2934393776257953E-4</v>
      </c>
    </row>
    <row r="794" spans="1:3">
      <c r="A794" s="3">
        <f ca="1">IFERROR(__xludf.UNSUPPORTED("""COMPUTED_VALUE"""),44615.6666666666)</f>
        <v>44615.666666666599</v>
      </c>
      <c r="B794" s="1">
        <f ca="1">IFERROR(__xludf.UNSUPPORTED("""COMPUTED_VALUE"""),280.27)</f>
        <v>280.27</v>
      </c>
      <c r="C794" s="2">
        <f t="shared" ca="1" si="3"/>
        <v>-2.5893229528708622E-2</v>
      </c>
    </row>
    <row r="795" spans="1:3">
      <c r="A795" s="3">
        <f ca="1">IFERROR(__xludf.UNSUPPORTED("""COMPUTED_VALUE"""),44616.6666666666)</f>
        <v>44616.666666666599</v>
      </c>
      <c r="B795" s="1">
        <f ca="1">IFERROR(__xludf.UNSUPPORTED("""COMPUTED_VALUE"""),294.59)</f>
        <v>294.58999999999997</v>
      </c>
      <c r="C795" s="2">
        <f t="shared" ca="1" si="3"/>
        <v>5.1093588325543206E-2</v>
      </c>
    </row>
    <row r="796" spans="1:3">
      <c r="A796" s="3">
        <f ca="1">IFERROR(__xludf.UNSUPPORTED("""COMPUTED_VALUE"""),44617.6666666666)</f>
        <v>44617.666666666599</v>
      </c>
      <c r="B796" s="1">
        <f ca="1">IFERROR(__xludf.UNSUPPORTED("""COMPUTED_VALUE"""),297.31)</f>
        <v>297.31</v>
      </c>
      <c r="C796" s="2">
        <f t="shared" ca="1" si="3"/>
        <v>9.2331715265284893E-3</v>
      </c>
    </row>
    <row r="797" spans="1:3">
      <c r="A797" s="3">
        <f ca="1">IFERROR(__xludf.UNSUPPORTED("""COMPUTED_VALUE"""),44620.6666666666)</f>
        <v>44620.666666666599</v>
      </c>
      <c r="B797" s="1">
        <f ca="1">IFERROR(__xludf.UNSUPPORTED("""COMPUTED_VALUE"""),298.79)</f>
        <v>298.79000000000002</v>
      </c>
      <c r="C797" s="2">
        <f t="shared" ca="1" si="3"/>
        <v>4.9779691231375267E-3</v>
      </c>
    </row>
    <row r="798" spans="1:3">
      <c r="A798" s="3">
        <f ca="1">IFERROR(__xludf.UNSUPPORTED("""COMPUTED_VALUE"""),44621.6666666666)</f>
        <v>44621.666666666599</v>
      </c>
      <c r="B798" s="1">
        <f ca="1">IFERROR(__xludf.UNSUPPORTED("""COMPUTED_VALUE"""),294.95)</f>
        <v>294.95</v>
      </c>
      <c r="C798" s="2">
        <f t="shared" ca="1" si="3"/>
        <v>-1.2851835737474586E-2</v>
      </c>
    </row>
    <row r="799" spans="1:3">
      <c r="A799" s="3">
        <f ca="1">IFERROR(__xludf.UNSUPPORTED("""COMPUTED_VALUE"""),44622.6666666666)</f>
        <v>44622.666666666599</v>
      </c>
      <c r="B799" s="1">
        <f ca="1">IFERROR(__xludf.UNSUPPORTED("""COMPUTED_VALUE"""),300.19)</f>
        <v>300.19</v>
      </c>
      <c r="C799" s="2">
        <f t="shared" ca="1" si="3"/>
        <v>1.7765723003898996E-2</v>
      </c>
    </row>
    <row r="800" spans="1:3">
      <c r="A800" s="3">
        <f ca="1">IFERROR(__xludf.UNSUPPORTED("""COMPUTED_VALUE"""),44623.6666666666)</f>
        <v>44623.666666666599</v>
      </c>
      <c r="B800" s="1">
        <f ca="1">IFERROR(__xludf.UNSUPPORTED("""COMPUTED_VALUE"""),295.92)</f>
        <v>295.92</v>
      </c>
      <c r="C800" s="2">
        <f t="shared" ca="1" si="3"/>
        <v>-1.4224324594423471E-2</v>
      </c>
    </row>
    <row r="801" spans="1:3">
      <c r="A801" s="3">
        <f ca="1">IFERROR(__xludf.UNSUPPORTED("""COMPUTED_VALUE"""),44624.6666666666)</f>
        <v>44624.666666666599</v>
      </c>
      <c r="B801" s="1">
        <f ca="1">IFERROR(__xludf.UNSUPPORTED("""COMPUTED_VALUE"""),289.86)</f>
        <v>289.86</v>
      </c>
      <c r="C801" s="2">
        <f t="shared" ca="1" si="3"/>
        <v>-2.0478507704785084E-2</v>
      </c>
    </row>
    <row r="802" spans="1:3">
      <c r="A802" s="3">
        <f ca="1">IFERROR(__xludf.UNSUPPORTED("""COMPUTED_VALUE"""),44627.6666666666)</f>
        <v>44627.666666666599</v>
      </c>
      <c r="B802" s="1">
        <f ca="1">IFERROR(__xludf.UNSUPPORTED("""COMPUTED_VALUE"""),278.91)</f>
        <v>278.91000000000003</v>
      </c>
      <c r="C802" s="2">
        <f t="shared" ca="1" si="3"/>
        <v>-3.7776857793417468E-2</v>
      </c>
    </row>
    <row r="803" spans="1:3">
      <c r="A803" s="3">
        <f ca="1">IFERROR(__xludf.UNSUPPORTED("""COMPUTED_VALUE"""),44628.6666666666)</f>
        <v>44628.666666666599</v>
      </c>
      <c r="B803" s="1">
        <f ca="1">IFERROR(__xludf.UNSUPPORTED("""COMPUTED_VALUE"""),275.85)</f>
        <v>275.85000000000002</v>
      </c>
      <c r="C803" s="2">
        <f t="shared" ca="1" si="3"/>
        <v>-1.0971281058405944E-2</v>
      </c>
    </row>
    <row r="804" spans="1:3">
      <c r="A804" s="3">
        <f ca="1">IFERROR(__xludf.UNSUPPORTED("""COMPUTED_VALUE"""),44629.6666666666)</f>
        <v>44629.666666666599</v>
      </c>
      <c r="B804" s="1">
        <f ca="1">IFERROR(__xludf.UNSUPPORTED("""COMPUTED_VALUE"""),288.5)</f>
        <v>288.5</v>
      </c>
      <c r="C804" s="2">
        <f t="shared" ca="1" si="3"/>
        <v>4.5858256298712985E-2</v>
      </c>
    </row>
    <row r="805" spans="1:3">
      <c r="A805" s="3">
        <f ca="1">IFERROR(__xludf.UNSUPPORTED("""COMPUTED_VALUE"""),44630.6666666666)</f>
        <v>44630.666666666599</v>
      </c>
      <c r="B805" s="1">
        <f ca="1">IFERROR(__xludf.UNSUPPORTED("""COMPUTED_VALUE"""),285.59)</f>
        <v>285.58999999999997</v>
      </c>
      <c r="C805" s="2">
        <f t="shared" ca="1" si="3"/>
        <v>-1.0086655112651733E-2</v>
      </c>
    </row>
    <row r="806" spans="1:3">
      <c r="A806" s="3">
        <f ca="1">IFERROR(__xludf.UNSUPPORTED("""COMPUTED_VALUE"""),44631.6666666666)</f>
        <v>44631.666666666599</v>
      </c>
      <c r="B806" s="1">
        <f ca="1">IFERROR(__xludf.UNSUPPORTED("""COMPUTED_VALUE"""),280.07)</f>
        <v>280.07</v>
      </c>
      <c r="C806" s="2">
        <f t="shared" ca="1" si="3"/>
        <v>-1.9328407857417913E-2</v>
      </c>
    </row>
    <row r="807" spans="1:3">
      <c r="A807" s="3">
        <f ca="1">IFERROR(__xludf.UNSUPPORTED("""COMPUTED_VALUE"""),44634.6666666666)</f>
        <v>44634.666666666599</v>
      </c>
      <c r="B807" s="1">
        <f ca="1">IFERROR(__xludf.UNSUPPORTED("""COMPUTED_VALUE"""),276.44)</f>
        <v>276.44</v>
      </c>
      <c r="C807" s="2">
        <f t="shared" ca="1" si="3"/>
        <v>-1.2961045452922468E-2</v>
      </c>
    </row>
    <row r="808" spans="1:3">
      <c r="A808" s="3">
        <f ca="1">IFERROR(__xludf.UNSUPPORTED("""COMPUTED_VALUE"""),44635.6666666666)</f>
        <v>44635.666666666599</v>
      </c>
      <c r="B808" s="1">
        <f ca="1">IFERROR(__xludf.UNSUPPORTED("""COMPUTED_VALUE"""),287.15)</f>
        <v>287.14999999999998</v>
      </c>
      <c r="C808" s="2">
        <f t="shared" ca="1" si="3"/>
        <v>3.8742584285920922E-2</v>
      </c>
    </row>
    <row r="809" spans="1:3">
      <c r="A809" s="3">
        <f ca="1">IFERROR(__xludf.UNSUPPORTED("""COMPUTED_VALUE"""),44636.6666666666)</f>
        <v>44636.666666666599</v>
      </c>
      <c r="B809" s="1">
        <f ca="1">IFERROR(__xludf.UNSUPPORTED("""COMPUTED_VALUE"""),294.39)</f>
        <v>294.39</v>
      </c>
      <c r="C809" s="2">
        <f t="shared" ca="1" si="3"/>
        <v>2.5213303151662928E-2</v>
      </c>
    </row>
    <row r="810" spans="1:3">
      <c r="A810" s="3">
        <f ca="1">IFERROR(__xludf.UNSUPPORTED("""COMPUTED_VALUE"""),44637.6666666666)</f>
        <v>44637.666666666599</v>
      </c>
      <c r="B810" s="1">
        <f ca="1">IFERROR(__xludf.UNSUPPORTED("""COMPUTED_VALUE"""),295.22)</f>
        <v>295.22000000000003</v>
      </c>
      <c r="C810" s="2">
        <f t="shared" ca="1" si="3"/>
        <v>2.819389245558752E-3</v>
      </c>
    </row>
    <row r="811" spans="1:3">
      <c r="A811" s="3">
        <f ca="1">IFERROR(__xludf.UNSUPPORTED("""COMPUTED_VALUE"""),44638.6666666666)</f>
        <v>44638.666666666599</v>
      </c>
      <c r="B811" s="1">
        <f ca="1">IFERROR(__xludf.UNSUPPORTED("""COMPUTED_VALUE"""),300.43)</f>
        <v>300.43</v>
      </c>
      <c r="C811" s="2">
        <f t="shared" ca="1" si="3"/>
        <v>1.7647855836325381E-2</v>
      </c>
    </row>
    <row r="812" spans="1:3">
      <c r="A812" s="3">
        <f ca="1">IFERROR(__xludf.UNSUPPORTED("""COMPUTED_VALUE"""),44641.6666666666)</f>
        <v>44641.666666666599</v>
      </c>
      <c r="B812" s="1">
        <f ca="1">IFERROR(__xludf.UNSUPPORTED("""COMPUTED_VALUE"""),299.16)</f>
        <v>299.16000000000003</v>
      </c>
      <c r="C812" s="2">
        <f t="shared" ca="1" si="3"/>
        <v>-4.2272742402555729E-3</v>
      </c>
    </row>
    <row r="813" spans="1:3">
      <c r="A813" s="3">
        <f ca="1">IFERROR(__xludf.UNSUPPORTED("""COMPUTED_VALUE"""),44642.6666666666)</f>
        <v>44642.666666666599</v>
      </c>
      <c r="B813" s="1">
        <f ca="1">IFERROR(__xludf.UNSUPPORTED("""COMPUTED_VALUE"""),304.06)</f>
        <v>304.06</v>
      </c>
      <c r="C813" s="2">
        <f t="shared" ca="1" si="3"/>
        <v>1.6379195079556014E-2</v>
      </c>
    </row>
    <row r="814" spans="1:3">
      <c r="A814" s="3">
        <f ca="1">IFERROR(__xludf.UNSUPPORTED("""COMPUTED_VALUE"""),44643.6666666666)</f>
        <v>44643.666666666599</v>
      </c>
      <c r="B814" s="1">
        <f ca="1">IFERROR(__xludf.UNSUPPORTED("""COMPUTED_VALUE"""),299.49)</f>
        <v>299.49</v>
      </c>
      <c r="C814" s="2">
        <f t="shared" ca="1" si="3"/>
        <v>-1.5029928303624263E-2</v>
      </c>
    </row>
    <row r="815" spans="1:3">
      <c r="A815" s="3">
        <f ca="1">IFERROR(__xludf.UNSUPPORTED("""COMPUTED_VALUE"""),44644.6666666666)</f>
        <v>44644.666666666599</v>
      </c>
      <c r="B815" s="1">
        <f ca="1">IFERROR(__xludf.UNSUPPORTED("""COMPUTED_VALUE"""),304.1)</f>
        <v>304.10000000000002</v>
      </c>
      <c r="C815" s="2">
        <f t="shared" ca="1" si="3"/>
        <v>1.5392834485291707E-2</v>
      </c>
    </row>
    <row r="816" spans="1:3">
      <c r="A816" s="3">
        <f ca="1">IFERROR(__xludf.UNSUPPORTED("""COMPUTED_VALUE"""),44645.6666666666)</f>
        <v>44645.666666666599</v>
      </c>
      <c r="B816" s="1">
        <f ca="1">IFERROR(__xludf.UNSUPPORTED("""COMPUTED_VALUE"""),303.68)</f>
        <v>303.68</v>
      </c>
      <c r="C816" s="2">
        <f t="shared" ca="1" si="3"/>
        <v>-1.381124630055955E-3</v>
      </c>
    </row>
    <row r="817" spans="1:3">
      <c r="A817" s="3">
        <f ca="1">IFERROR(__xludf.UNSUPPORTED("""COMPUTED_VALUE"""),44648.6666666666)</f>
        <v>44648.666666666599</v>
      </c>
      <c r="B817" s="1">
        <f ca="1">IFERROR(__xludf.UNSUPPORTED("""COMPUTED_VALUE"""),310.7)</f>
        <v>310.7</v>
      </c>
      <c r="C817" s="2">
        <f t="shared" ca="1" si="3"/>
        <v>2.3116438356164323E-2</v>
      </c>
    </row>
    <row r="818" spans="1:3">
      <c r="A818" s="3">
        <f ca="1">IFERROR(__xludf.UNSUPPORTED("""COMPUTED_VALUE"""),44649.6666666666)</f>
        <v>44649.666666666599</v>
      </c>
      <c r="B818" s="1">
        <f ca="1">IFERROR(__xludf.UNSUPPORTED("""COMPUTED_VALUE"""),315.41)</f>
        <v>315.41000000000003</v>
      </c>
      <c r="C818" s="2">
        <f t="shared" ca="1" si="3"/>
        <v>1.5159317669778039E-2</v>
      </c>
    </row>
    <row r="819" spans="1:3">
      <c r="A819" s="3">
        <f ca="1">IFERROR(__xludf.UNSUPPORTED("""COMPUTED_VALUE"""),44650.6666666666)</f>
        <v>44650.666666666599</v>
      </c>
      <c r="B819" s="1">
        <f ca="1">IFERROR(__xludf.UNSUPPORTED("""COMPUTED_VALUE"""),313.86)</f>
        <v>313.86</v>
      </c>
      <c r="C819" s="2">
        <f t="shared" ca="1" si="3"/>
        <v>-4.9142386100631281E-3</v>
      </c>
    </row>
    <row r="820" spans="1:3">
      <c r="A820" s="3">
        <f ca="1">IFERROR(__xludf.UNSUPPORTED("""COMPUTED_VALUE"""),44651.6666666666)</f>
        <v>44651.666666666599</v>
      </c>
      <c r="B820" s="1">
        <f ca="1">IFERROR(__xludf.UNSUPPORTED("""COMPUTED_VALUE"""),308.31)</f>
        <v>308.31</v>
      </c>
      <c r="C820" s="2">
        <f t="shared" ca="1" si="3"/>
        <v>-1.7683043395144368E-2</v>
      </c>
    </row>
    <row r="821" spans="1:3">
      <c r="A821" s="3">
        <f ca="1">IFERROR(__xludf.UNSUPPORTED("""COMPUTED_VALUE"""),44652.6666666666)</f>
        <v>44652.666666666599</v>
      </c>
      <c r="B821" s="1">
        <f ca="1">IFERROR(__xludf.UNSUPPORTED("""COMPUTED_VALUE"""),309.42)</f>
        <v>309.42</v>
      </c>
      <c r="C821" s="2">
        <f t="shared" ca="1" si="3"/>
        <v>3.6002724530505453E-3</v>
      </c>
    </row>
    <row r="822" spans="1:3">
      <c r="A822" s="3">
        <f ca="1">IFERROR(__xludf.UNSUPPORTED("""COMPUTED_VALUE"""),44655.6666666666)</f>
        <v>44655.666666666599</v>
      </c>
      <c r="B822" s="1">
        <f ca="1">IFERROR(__xludf.UNSUPPORTED("""COMPUTED_VALUE"""),314.97)</f>
        <v>314.97000000000003</v>
      </c>
      <c r="C822" s="2">
        <f t="shared" ca="1" si="3"/>
        <v>1.7936784952491795E-2</v>
      </c>
    </row>
    <row r="823" spans="1:3">
      <c r="A823" s="3">
        <f ca="1">IFERROR(__xludf.UNSUPPORTED("""COMPUTED_VALUE"""),44656.6666666666)</f>
        <v>44656.666666666599</v>
      </c>
      <c r="B823" s="1">
        <f ca="1">IFERROR(__xludf.UNSUPPORTED("""COMPUTED_VALUE"""),310.88)</f>
        <v>310.88</v>
      </c>
      <c r="C823" s="2">
        <f t="shared" ca="1" si="3"/>
        <v>-1.2985363685430459E-2</v>
      </c>
    </row>
    <row r="824" spans="1:3">
      <c r="A824" s="3">
        <f ca="1">IFERROR(__xludf.UNSUPPORTED("""COMPUTED_VALUE"""),44657.6666666666)</f>
        <v>44657.666666666599</v>
      </c>
      <c r="B824" s="1">
        <f ca="1">IFERROR(__xludf.UNSUPPORTED("""COMPUTED_VALUE"""),299.5)</f>
        <v>299.5</v>
      </c>
      <c r="C824" s="2">
        <f t="shared" ca="1" si="3"/>
        <v>-3.6605764282038072E-2</v>
      </c>
    </row>
    <row r="825" spans="1:3">
      <c r="A825" s="3">
        <f ca="1">IFERROR(__xludf.UNSUPPORTED("""COMPUTED_VALUE"""),44658.6666666666)</f>
        <v>44658.666666666599</v>
      </c>
      <c r="B825" s="1">
        <f ca="1">IFERROR(__xludf.UNSUPPORTED("""COMPUTED_VALUE"""),301.37)</f>
        <v>301.37</v>
      </c>
      <c r="C825" s="2">
        <f t="shared" ca="1" si="3"/>
        <v>6.243739565943254E-3</v>
      </c>
    </row>
    <row r="826" spans="1:3">
      <c r="A826" s="3">
        <f ca="1">IFERROR(__xludf.UNSUPPORTED("""COMPUTED_VALUE"""),44659.6666666666)</f>
        <v>44659.666666666599</v>
      </c>
      <c r="B826" s="1">
        <f ca="1">IFERROR(__xludf.UNSUPPORTED("""COMPUTED_VALUE"""),296.97)</f>
        <v>296.97000000000003</v>
      </c>
      <c r="C826" s="2">
        <f t="shared" ca="1" si="3"/>
        <v>-1.4599993363639305E-2</v>
      </c>
    </row>
    <row r="827" spans="1:3">
      <c r="A827" s="3">
        <f ca="1">IFERROR(__xludf.UNSUPPORTED("""COMPUTED_VALUE"""),44662.6666666666)</f>
        <v>44662.666666666599</v>
      </c>
      <c r="B827" s="1">
        <f ca="1">IFERROR(__xludf.UNSUPPORTED("""COMPUTED_VALUE"""),285.26)</f>
        <v>285.26</v>
      </c>
      <c r="C827" s="2">
        <f t="shared" ca="1" si="3"/>
        <v>-3.9431592416742552E-2</v>
      </c>
    </row>
    <row r="828" spans="1:3">
      <c r="A828" s="3">
        <f ca="1">IFERROR(__xludf.UNSUPPORTED("""COMPUTED_VALUE"""),44663.6666666666)</f>
        <v>44663.666666666599</v>
      </c>
      <c r="B828" s="1">
        <f ca="1">IFERROR(__xludf.UNSUPPORTED("""COMPUTED_VALUE"""),282.06)</f>
        <v>282.06</v>
      </c>
      <c r="C828" s="2">
        <f t="shared" ca="1" si="3"/>
        <v>-1.1217836359812062E-2</v>
      </c>
    </row>
    <row r="829" spans="1:3">
      <c r="A829" s="3">
        <f ca="1">IFERROR(__xludf.UNSUPPORTED("""COMPUTED_VALUE"""),44664.6666666666)</f>
        <v>44664.666666666599</v>
      </c>
      <c r="B829" s="1">
        <f ca="1">IFERROR(__xludf.UNSUPPORTED("""COMPUTED_VALUE"""),287.62)</f>
        <v>287.62</v>
      </c>
      <c r="C829" s="2">
        <f t="shared" ca="1" si="3"/>
        <v>1.9712117989080347E-2</v>
      </c>
    </row>
    <row r="830" spans="1:3">
      <c r="A830" s="3">
        <f ca="1">IFERROR(__xludf.UNSUPPORTED("""COMPUTED_VALUE"""),44665.6666666666)</f>
        <v>44665.666666666599</v>
      </c>
      <c r="B830" s="1">
        <f ca="1">IFERROR(__xludf.UNSUPPORTED("""COMPUTED_VALUE"""),279.83)</f>
        <v>279.83</v>
      </c>
      <c r="C830" s="2">
        <f t="shared" ca="1" si="3"/>
        <v>-2.7084347402823242E-2</v>
      </c>
    </row>
    <row r="831" spans="1:3">
      <c r="A831" s="3">
        <f ca="1">IFERROR(__xludf.UNSUPPORTED("""COMPUTED_VALUE"""),44669.6666666666)</f>
        <v>44669.666666666599</v>
      </c>
      <c r="B831" s="1">
        <f ca="1">IFERROR(__xludf.UNSUPPORTED("""COMPUTED_VALUE"""),280.52)</f>
        <v>280.52</v>
      </c>
      <c r="C831" s="2">
        <f t="shared" ca="1" si="3"/>
        <v>2.4657827966979872E-3</v>
      </c>
    </row>
    <row r="832" spans="1:3">
      <c r="A832" s="3">
        <f ca="1">IFERROR(__xludf.UNSUPPORTED("""COMPUTED_VALUE"""),44670.6666666666)</f>
        <v>44670.666666666599</v>
      </c>
      <c r="B832" s="1">
        <f ca="1">IFERROR(__xludf.UNSUPPORTED("""COMPUTED_VALUE"""),285.3)</f>
        <v>285.3</v>
      </c>
      <c r="C832" s="2">
        <f t="shared" ca="1" si="3"/>
        <v>1.7039783259660737E-2</v>
      </c>
    </row>
    <row r="833" spans="1:3">
      <c r="A833" s="3">
        <f ca="1">IFERROR(__xludf.UNSUPPORTED("""COMPUTED_VALUE"""),44671.6666666666)</f>
        <v>44671.666666666599</v>
      </c>
      <c r="B833" s="1">
        <f ca="1">IFERROR(__xludf.UNSUPPORTED("""COMPUTED_VALUE"""),286.36)</f>
        <v>286.36</v>
      </c>
      <c r="C833" s="2">
        <f t="shared" ca="1" si="3"/>
        <v>3.7153873116018304E-3</v>
      </c>
    </row>
    <row r="834" spans="1:3">
      <c r="A834" s="3">
        <f ca="1">IFERROR(__xludf.UNSUPPORTED("""COMPUTED_VALUE"""),44672.6666666666)</f>
        <v>44672.666666666599</v>
      </c>
      <c r="B834" s="1">
        <f ca="1">IFERROR(__xludf.UNSUPPORTED("""COMPUTED_VALUE"""),280.81)</f>
        <v>280.81</v>
      </c>
      <c r="C834" s="2">
        <f t="shared" ca="1" si="3"/>
        <v>-1.9381198491409454E-2</v>
      </c>
    </row>
    <row r="835" spans="1:3">
      <c r="A835" s="3">
        <f ca="1">IFERROR(__xludf.UNSUPPORTED("""COMPUTED_VALUE"""),44673.6666666666)</f>
        <v>44673.666666666599</v>
      </c>
      <c r="B835" s="1">
        <f ca="1">IFERROR(__xludf.UNSUPPORTED("""COMPUTED_VALUE"""),274.03)</f>
        <v>274.02999999999997</v>
      </c>
      <c r="C835" s="2">
        <f t="shared" ca="1" si="3"/>
        <v>-2.4144439300594813E-2</v>
      </c>
    </row>
    <row r="836" spans="1:3">
      <c r="A836" s="3">
        <f ca="1">IFERROR(__xludf.UNSUPPORTED("""COMPUTED_VALUE"""),44676.6666666666)</f>
        <v>44676.666666666599</v>
      </c>
      <c r="B836" s="1">
        <f ca="1">IFERROR(__xludf.UNSUPPORTED("""COMPUTED_VALUE"""),280.72)</f>
        <v>280.72000000000003</v>
      </c>
      <c r="C836" s="2">
        <f t="shared" ca="1" si="3"/>
        <v>2.4413385395759789E-2</v>
      </c>
    </row>
    <row r="837" spans="1:3">
      <c r="A837" s="3">
        <f ca="1">IFERROR(__xludf.UNSUPPORTED("""COMPUTED_VALUE"""),44677.6666666666)</f>
        <v>44677.666666666599</v>
      </c>
      <c r="B837" s="1">
        <f ca="1">IFERROR(__xludf.UNSUPPORTED("""COMPUTED_VALUE"""),270.22)</f>
        <v>270.22000000000003</v>
      </c>
      <c r="C837" s="2">
        <f t="shared" ca="1" si="3"/>
        <v>-3.7403818751781129E-2</v>
      </c>
    </row>
    <row r="838" spans="1:3">
      <c r="A838" s="3">
        <f ca="1">IFERROR(__xludf.UNSUPPORTED("""COMPUTED_VALUE"""),44678.6666666666)</f>
        <v>44678.666666666599</v>
      </c>
      <c r="B838" s="1">
        <f ca="1">IFERROR(__xludf.UNSUPPORTED("""COMPUTED_VALUE"""),283.22)</f>
        <v>283.22000000000003</v>
      </c>
      <c r="C838" s="2">
        <f t="shared" ca="1" si="3"/>
        <v>4.8108948264377172E-2</v>
      </c>
    </row>
    <row r="839" spans="1:3">
      <c r="A839" s="3">
        <f ca="1">IFERROR(__xludf.UNSUPPORTED("""COMPUTED_VALUE"""),44679.6666666666)</f>
        <v>44679.666666666599</v>
      </c>
      <c r="B839" s="1">
        <f ca="1">IFERROR(__xludf.UNSUPPORTED("""COMPUTED_VALUE"""),289.63)</f>
        <v>289.63</v>
      </c>
      <c r="C839" s="2">
        <f t="shared" ca="1" si="3"/>
        <v>2.2632582444742488E-2</v>
      </c>
    </row>
    <row r="840" spans="1:3">
      <c r="A840" s="3">
        <f ca="1">IFERROR(__xludf.UNSUPPORTED("""COMPUTED_VALUE"""),44680.6666666666)</f>
        <v>44680.666666666599</v>
      </c>
      <c r="B840" s="1">
        <f ca="1">IFERROR(__xludf.UNSUPPORTED("""COMPUTED_VALUE"""),277.52)</f>
        <v>277.52</v>
      </c>
      <c r="C840" s="2">
        <f t="shared" ca="1" si="3"/>
        <v>-4.1811966992369623E-2</v>
      </c>
    </row>
    <row r="841" spans="1:3">
      <c r="A841" s="3">
        <f ca="1">IFERROR(__xludf.UNSUPPORTED("""COMPUTED_VALUE"""),44683.6666666666)</f>
        <v>44683.666666666599</v>
      </c>
      <c r="B841" s="1">
        <f ca="1">IFERROR(__xludf.UNSUPPORTED("""COMPUTED_VALUE"""),284.47)</f>
        <v>284.47000000000003</v>
      </c>
      <c r="C841" s="2">
        <f t="shared" ca="1" si="3"/>
        <v>2.5043240126837871E-2</v>
      </c>
    </row>
    <row r="842" spans="1:3">
      <c r="A842" s="3">
        <f ca="1">IFERROR(__xludf.UNSUPPORTED("""COMPUTED_VALUE"""),44684.6666666666)</f>
        <v>44684.666666666599</v>
      </c>
      <c r="B842" s="1">
        <f ca="1">IFERROR(__xludf.UNSUPPORTED("""COMPUTED_VALUE"""),281.78)</f>
        <v>281.77999999999997</v>
      </c>
      <c r="C842" s="2">
        <f t="shared" ca="1" si="3"/>
        <v>-9.4561816711781713E-3</v>
      </c>
    </row>
    <row r="843" spans="1:3">
      <c r="A843" s="3">
        <f ca="1">IFERROR(__xludf.UNSUPPORTED("""COMPUTED_VALUE"""),44685.6666666666)</f>
        <v>44685.666666666599</v>
      </c>
      <c r="B843" s="1">
        <f ca="1">IFERROR(__xludf.UNSUPPORTED("""COMPUTED_VALUE"""),289.98)</f>
        <v>289.98</v>
      </c>
      <c r="C843" s="2">
        <f t="shared" ca="1" si="3"/>
        <v>2.9100716871318214E-2</v>
      </c>
    </row>
    <row r="844" spans="1:3">
      <c r="A844" s="3">
        <f ca="1">IFERROR(__xludf.UNSUPPORTED("""COMPUTED_VALUE"""),44686.6666666666)</f>
        <v>44686.666666666599</v>
      </c>
      <c r="B844" s="1">
        <f ca="1">IFERROR(__xludf.UNSUPPORTED("""COMPUTED_VALUE"""),277.35)</f>
        <v>277.35000000000002</v>
      </c>
      <c r="C844" s="2">
        <f t="shared" ca="1" si="3"/>
        <v>-4.3554727912269796E-2</v>
      </c>
    </row>
    <row r="845" spans="1:3">
      <c r="A845" s="3">
        <f ca="1">IFERROR(__xludf.UNSUPPORTED("""COMPUTED_VALUE"""),44687.6666666666)</f>
        <v>44687.666666666599</v>
      </c>
      <c r="B845" s="1">
        <f ca="1">IFERROR(__xludf.UNSUPPORTED("""COMPUTED_VALUE"""),274.73)</f>
        <v>274.73</v>
      </c>
      <c r="C845" s="2">
        <f t="shared" ca="1" si="3"/>
        <v>-9.4465476834325011E-3</v>
      </c>
    </row>
    <row r="846" spans="1:3">
      <c r="A846" s="3">
        <f ca="1">IFERROR(__xludf.UNSUPPORTED("""COMPUTED_VALUE"""),44690.6666666666)</f>
        <v>44690.666666666599</v>
      </c>
      <c r="B846" s="1">
        <f ca="1">IFERROR(__xludf.UNSUPPORTED("""COMPUTED_VALUE"""),264.58)</f>
        <v>264.58</v>
      </c>
      <c r="C846" s="2">
        <f t="shared" ca="1" si="3"/>
        <v>-3.694536453973004E-2</v>
      </c>
    </row>
    <row r="847" spans="1:3">
      <c r="A847" s="3">
        <f ca="1">IFERROR(__xludf.UNSUPPORTED("""COMPUTED_VALUE"""),44691.6666666666)</f>
        <v>44691.666666666599</v>
      </c>
      <c r="B847" s="1">
        <f ca="1">IFERROR(__xludf.UNSUPPORTED("""COMPUTED_VALUE"""),269.5)</f>
        <v>269.5</v>
      </c>
      <c r="C847" s="2">
        <f t="shared" ca="1" si="3"/>
        <v>1.859550986469127E-2</v>
      </c>
    </row>
    <row r="848" spans="1:3">
      <c r="A848" s="3">
        <f ca="1">IFERROR(__xludf.UNSUPPORTED("""COMPUTED_VALUE"""),44692.6666666666)</f>
        <v>44692.666666666599</v>
      </c>
      <c r="B848" s="1">
        <f ca="1">IFERROR(__xludf.UNSUPPORTED("""COMPUTED_VALUE"""),260.55)</f>
        <v>260.55</v>
      </c>
      <c r="C848" s="2">
        <f t="shared" ca="1" si="3"/>
        <v>-3.320964749536174E-2</v>
      </c>
    </row>
    <row r="849" spans="1:3">
      <c r="A849" s="3">
        <f ca="1">IFERROR(__xludf.UNSUPPORTED("""COMPUTED_VALUE"""),44693.6666666666)</f>
        <v>44693.666666666599</v>
      </c>
      <c r="B849" s="1">
        <f ca="1">IFERROR(__xludf.UNSUPPORTED("""COMPUTED_VALUE"""),255.35)</f>
        <v>255.35</v>
      </c>
      <c r="C849" s="2">
        <f t="shared" ca="1" si="3"/>
        <v>-1.995778161581277E-2</v>
      </c>
    </row>
    <row r="850" spans="1:3">
      <c r="A850" s="3">
        <f ca="1">IFERROR(__xludf.UNSUPPORTED("""COMPUTED_VALUE"""),44694.6666666666)</f>
        <v>44694.666666666599</v>
      </c>
      <c r="B850" s="1">
        <f ca="1">IFERROR(__xludf.UNSUPPORTED("""COMPUTED_VALUE"""),261.12)</f>
        <v>261.12</v>
      </c>
      <c r="C850" s="2">
        <f t="shared" ca="1" si="3"/>
        <v>2.259643626395148E-2</v>
      </c>
    </row>
    <row r="851" spans="1:3">
      <c r="A851" s="3">
        <f ca="1">IFERROR(__xludf.UNSUPPORTED("""COMPUTED_VALUE"""),44697.6666666666)</f>
        <v>44697.666666666599</v>
      </c>
      <c r="B851" s="1">
        <f ca="1">IFERROR(__xludf.UNSUPPORTED("""COMPUTED_VALUE"""),261.5)</f>
        <v>261.5</v>
      </c>
      <c r="C851" s="2">
        <f t="shared" ca="1" si="3"/>
        <v>1.4552696078431197E-3</v>
      </c>
    </row>
    <row r="852" spans="1:3">
      <c r="A852" s="3">
        <f ca="1">IFERROR(__xludf.UNSUPPORTED("""COMPUTED_VALUE"""),44698.6666666666)</f>
        <v>44698.666666666599</v>
      </c>
      <c r="B852" s="1">
        <f ca="1">IFERROR(__xludf.UNSUPPORTED("""COMPUTED_VALUE"""),266.82)</f>
        <v>266.82</v>
      </c>
      <c r="C852" s="2">
        <f t="shared" ca="1" si="3"/>
        <v>2.0344168260038216E-2</v>
      </c>
    </row>
    <row r="853" spans="1:3">
      <c r="A853" s="3">
        <f ca="1">IFERROR(__xludf.UNSUPPORTED("""COMPUTED_VALUE"""),44699.6666666666)</f>
        <v>44699.666666666599</v>
      </c>
      <c r="B853" s="1">
        <f ca="1">IFERROR(__xludf.UNSUPPORTED("""COMPUTED_VALUE"""),254.08)</f>
        <v>254.08</v>
      </c>
      <c r="C853" s="2">
        <f t="shared" ca="1" si="3"/>
        <v>-4.7747545161532047E-2</v>
      </c>
    </row>
    <row r="854" spans="1:3">
      <c r="A854" s="3">
        <f ca="1">IFERROR(__xludf.UNSUPPORTED("""COMPUTED_VALUE"""),44700.6666666666)</f>
        <v>44700.666666666599</v>
      </c>
      <c r="B854" s="1">
        <f ca="1">IFERROR(__xludf.UNSUPPORTED("""COMPUTED_VALUE"""),253.14)</f>
        <v>253.14</v>
      </c>
      <c r="C854" s="2">
        <f t="shared" ca="1" si="3"/>
        <v>-3.6996221662469542E-3</v>
      </c>
    </row>
    <row r="855" spans="1:3">
      <c r="A855" s="3">
        <f ca="1">IFERROR(__xludf.UNSUPPORTED("""COMPUTED_VALUE"""),44701.6666666666)</f>
        <v>44701.666666666599</v>
      </c>
      <c r="B855" s="1">
        <f ca="1">IFERROR(__xludf.UNSUPPORTED("""COMPUTED_VALUE"""),252.56)</f>
        <v>252.56</v>
      </c>
      <c r="C855" s="2">
        <f t="shared" ca="1" si="3"/>
        <v>-2.2912222485580473E-3</v>
      </c>
    </row>
    <row r="856" spans="1:3">
      <c r="A856" s="3">
        <f ca="1">IFERROR(__xludf.UNSUPPORTED("""COMPUTED_VALUE"""),44704.6666666666)</f>
        <v>44704.666666666599</v>
      </c>
      <c r="B856" s="1">
        <f ca="1">IFERROR(__xludf.UNSUPPORTED("""COMPUTED_VALUE"""),260.65)</f>
        <v>260.64999999999998</v>
      </c>
      <c r="C856" s="2">
        <f t="shared" ca="1" si="3"/>
        <v>3.203199239784596E-2</v>
      </c>
    </row>
    <row r="857" spans="1:3">
      <c r="A857" s="3">
        <f ca="1">IFERROR(__xludf.UNSUPPORTED("""COMPUTED_VALUE"""),44705.6666666666)</f>
        <v>44705.666666666599</v>
      </c>
      <c r="B857" s="1">
        <f ca="1">IFERROR(__xludf.UNSUPPORTED("""COMPUTED_VALUE"""),259.62)</f>
        <v>259.62</v>
      </c>
      <c r="C857" s="2">
        <f t="shared" ca="1" si="3"/>
        <v>-3.9516593132552192E-3</v>
      </c>
    </row>
    <row r="858" spans="1:3">
      <c r="A858" s="3">
        <f ca="1">IFERROR(__xludf.UNSUPPORTED("""COMPUTED_VALUE"""),44706.6666666666)</f>
        <v>44706.666666666599</v>
      </c>
      <c r="B858" s="1">
        <f ca="1">IFERROR(__xludf.UNSUPPORTED("""COMPUTED_VALUE"""),262.52)</f>
        <v>262.52</v>
      </c>
      <c r="C858" s="2">
        <f t="shared" ca="1" si="3"/>
        <v>1.1170171789538469E-2</v>
      </c>
    </row>
    <row r="859" spans="1:3">
      <c r="A859" s="3">
        <f ca="1">IFERROR(__xludf.UNSUPPORTED("""COMPUTED_VALUE"""),44707.6666666666)</f>
        <v>44707.666666666599</v>
      </c>
      <c r="B859" s="1">
        <f ca="1">IFERROR(__xludf.UNSUPPORTED("""COMPUTED_VALUE"""),265.9)</f>
        <v>265.89999999999998</v>
      </c>
      <c r="C859" s="2">
        <f t="shared" ca="1" si="3"/>
        <v>1.2875209507847004E-2</v>
      </c>
    </row>
    <row r="860" spans="1:3">
      <c r="A860" s="3">
        <f ca="1">IFERROR(__xludf.UNSUPPORTED("""COMPUTED_VALUE"""),44708.6666666666)</f>
        <v>44708.666666666599</v>
      </c>
      <c r="B860" s="1">
        <f ca="1">IFERROR(__xludf.UNSUPPORTED("""COMPUTED_VALUE"""),273.24)</f>
        <v>273.24</v>
      </c>
      <c r="C860" s="2">
        <f t="shared" ca="1" si="3"/>
        <v>2.760436254230926E-2</v>
      </c>
    </row>
    <row r="861" spans="1:3">
      <c r="A861" s="3">
        <f ca="1">IFERROR(__xludf.UNSUPPORTED("""COMPUTED_VALUE"""),44712.6666666666)</f>
        <v>44712.666666666599</v>
      </c>
      <c r="B861" s="1">
        <f ca="1">IFERROR(__xludf.UNSUPPORTED("""COMPUTED_VALUE"""),271.87)</f>
        <v>271.87</v>
      </c>
      <c r="C861" s="2">
        <f t="shared" ca="1" si="3"/>
        <v>-5.0139071878202478E-3</v>
      </c>
    </row>
    <row r="862" spans="1:3">
      <c r="A862" s="3">
        <f ca="1">IFERROR(__xludf.UNSUPPORTED("""COMPUTED_VALUE"""),44713.6666666666)</f>
        <v>44713.666666666599</v>
      </c>
      <c r="B862" s="1">
        <f ca="1">IFERROR(__xludf.UNSUPPORTED("""COMPUTED_VALUE"""),272.42)</f>
        <v>272.42</v>
      </c>
      <c r="C862" s="2">
        <f t="shared" ca="1" si="3"/>
        <v>2.0230257108177119E-3</v>
      </c>
    </row>
    <row r="863" spans="1:3">
      <c r="A863" s="3">
        <f ca="1">IFERROR(__xludf.UNSUPPORTED("""COMPUTED_VALUE"""),44714.6666666666)</f>
        <v>44714.666666666599</v>
      </c>
      <c r="B863" s="1">
        <f ca="1">IFERROR(__xludf.UNSUPPORTED("""COMPUTED_VALUE"""),274.58)</f>
        <v>274.58</v>
      </c>
      <c r="C863" s="2">
        <f t="shared" ca="1" si="3"/>
        <v>7.9289332648115711E-3</v>
      </c>
    </row>
    <row r="864" spans="1:3">
      <c r="A864" s="3">
        <f ca="1">IFERROR(__xludf.UNSUPPORTED("""COMPUTED_VALUE"""),44715.6666666666)</f>
        <v>44715.666666666599</v>
      </c>
      <c r="B864" s="1">
        <f ca="1">IFERROR(__xludf.UNSUPPORTED("""COMPUTED_VALUE"""),270.02)</f>
        <v>270.02</v>
      </c>
      <c r="C864" s="2">
        <f t="shared" ca="1" si="3"/>
        <v>-1.6607181877776978E-2</v>
      </c>
    </row>
    <row r="865" spans="1:3">
      <c r="A865" s="3">
        <f ca="1">IFERROR(__xludf.UNSUPPORTED("""COMPUTED_VALUE"""),44718.6666666666)</f>
        <v>44718.666666666599</v>
      </c>
      <c r="B865" s="1">
        <f ca="1">IFERROR(__xludf.UNSUPPORTED("""COMPUTED_VALUE"""),268.75)</f>
        <v>268.75</v>
      </c>
      <c r="C865" s="2">
        <f t="shared" ca="1" si="3"/>
        <v>-4.7033553070142285E-3</v>
      </c>
    </row>
    <row r="866" spans="1:3">
      <c r="A866" s="3">
        <f ca="1">IFERROR(__xludf.UNSUPPORTED("""COMPUTED_VALUE"""),44719.6666666666)</f>
        <v>44719.666666666599</v>
      </c>
      <c r="B866" s="1">
        <f ca="1">IFERROR(__xludf.UNSUPPORTED("""COMPUTED_VALUE"""),272.5)</f>
        <v>272.5</v>
      </c>
      <c r="C866" s="2">
        <f t="shared" ca="1" si="3"/>
        <v>1.3953488372093023E-2</v>
      </c>
    </row>
    <row r="867" spans="1:3">
      <c r="A867" s="3">
        <f ca="1">IFERROR(__xludf.UNSUPPORTED("""COMPUTED_VALUE"""),44720.6666666666)</f>
        <v>44720.666666666599</v>
      </c>
      <c r="B867" s="1">
        <f ca="1">IFERROR(__xludf.UNSUPPORTED("""COMPUTED_VALUE"""),270.41)</f>
        <v>270.41000000000003</v>
      </c>
      <c r="C867" s="2">
        <f t="shared" ca="1" si="3"/>
        <v>-7.6697247706421102E-3</v>
      </c>
    </row>
    <row r="868" spans="1:3">
      <c r="A868" s="3">
        <f ca="1">IFERROR(__xludf.UNSUPPORTED("""COMPUTED_VALUE"""),44721.6666666666)</f>
        <v>44721.666666666599</v>
      </c>
      <c r="B868" s="1">
        <f ca="1">IFERROR(__xludf.UNSUPPORTED("""COMPUTED_VALUE"""),264.79)</f>
        <v>264.79000000000002</v>
      </c>
      <c r="C868" s="2">
        <f t="shared" ca="1" si="3"/>
        <v>-2.0783255057135477E-2</v>
      </c>
    </row>
    <row r="869" spans="1:3">
      <c r="A869" s="3">
        <f ca="1">IFERROR(__xludf.UNSUPPORTED("""COMPUTED_VALUE"""),44722.6666666666)</f>
        <v>44722.666666666599</v>
      </c>
      <c r="B869" s="1">
        <f ca="1">IFERROR(__xludf.UNSUPPORTED("""COMPUTED_VALUE"""),252.99)</f>
        <v>252.99</v>
      </c>
      <c r="C869" s="2">
        <f t="shared" ca="1" si="3"/>
        <v>-4.456361645077235E-2</v>
      </c>
    </row>
    <row r="870" spans="1:3">
      <c r="A870" s="3">
        <f ca="1">IFERROR(__xludf.UNSUPPORTED("""COMPUTED_VALUE"""),44725.6666666666)</f>
        <v>44725.666666666599</v>
      </c>
      <c r="B870" s="1">
        <f ca="1">IFERROR(__xludf.UNSUPPORTED("""COMPUTED_VALUE"""),242.26)</f>
        <v>242.26</v>
      </c>
      <c r="C870" s="2">
        <f t="shared" ca="1" si="3"/>
        <v>-4.2412743586703106E-2</v>
      </c>
    </row>
    <row r="871" spans="1:3">
      <c r="A871" s="3">
        <f ca="1">IFERROR(__xludf.UNSUPPORTED("""COMPUTED_VALUE"""),44726.6666666666)</f>
        <v>44726.666666666599</v>
      </c>
      <c r="B871" s="1">
        <f ca="1">IFERROR(__xludf.UNSUPPORTED("""COMPUTED_VALUE"""),244.49)</f>
        <v>244.49</v>
      </c>
      <c r="C871" s="2">
        <f t="shared" ca="1" si="3"/>
        <v>9.2049863782713535E-3</v>
      </c>
    </row>
    <row r="872" spans="1:3">
      <c r="A872" s="3">
        <f ca="1">IFERROR(__xludf.UNSUPPORTED("""COMPUTED_VALUE"""),44727.6666666666)</f>
        <v>44727.666666666599</v>
      </c>
      <c r="B872" s="1">
        <f ca="1">IFERROR(__xludf.UNSUPPORTED("""COMPUTED_VALUE"""),251.76)</f>
        <v>251.76</v>
      </c>
      <c r="C872" s="2">
        <f t="shared" ca="1" si="3"/>
        <v>2.9735367499693164E-2</v>
      </c>
    </row>
    <row r="873" spans="1:3">
      <c r="A873" s="3">
        <f ca="1">IFERROR(__xludf.UNSUPPORTED("""COMPUTED_VALUE"""),44728.6666666666)</f>
        <v>44728.666666666599</v>
      </c>
      <c r="B873" s="1">
        <f ca="1">IFERROR(__xludf.UNSUPPORTED("""COMPUTED_VALUE"""),244.97)</f>
        <v>244.97</v>
      </c>
      <c r="C873" s="2">
        <f t="shared" ca="1" si="3"/>
        <v>-2.6970130282808993E-2</v>
      </c>
    </row>
    <row r="874" spans="1:3">
      <c r="A874" s="3">
        <f ca="1">IFERROR(__xludf.UNSUPPORTED("""COMPUTED_VALUE"""),44729.6666666666)</f>
        <v>44729.666666666599</v>
      </c>
      <c r="B874" s="1">
        <f ca="1">IFERROR(__xludf.UNSUPPORTED("""COMPUTED_VALUE"""),247.65)</f>
        <v>247.65</v>
      </c>
      <c r="C874" s="2">
        <f t="shared" ca="1" si="3"/>
        <v>1.0940115116136698E-2</v>
      </c>
    </row>
    <row r="875" spans="1:3">
      <c r="A875" s="3">
        <f ca="1">IFERROR(__xludf.UNSUPPORTED("""COMPUTED_VALUE"""),44733.6666666666)</f>
        <v>44733.666666666599</v>
      </c>
      <c r="B875" s="1">
        <f ca="1">IFERROR(__xludf.UNSUPPORTED("""COMPUTED_VALUE"""),253.74)</f>
        <v>253.74</v>
      </c>
      <c r="C875" s="2">
        <f t="shared" ca="1" si="3"/>
        <v>2.4591156874621455E-2</v>
      </c>
    </row>
    <row r="876" spans="1:3">
      <c r="A876" s="3">
        <f ca="1">IFERROR(__xludf.UNSUPPORTED("""COMPUTED_VALUE"""),44734.6666666666)</f>
        <v>44734.666666666599</v>
      </c>
      <c r="B876" s="1">
        <f ca="1">IFERROR(__xludf.UNSUPPORTED("""COMPUTED_VALUE"""),253.13)</f>
        <v>253.13</v>
      </c>
      <c r="C876" s="2">
        <f t="shared" ca="1" si="3"/>
        <v>-2.4040356270198376E-3</v>
      </c>
    </row>
    <row r="877" spans="1:3">
      <c r="A877" s="3">
        <f ca="1">IFERROR(__xludf.UNSUPPORTED("""COMPUTED_VALUE"""),44735.6666666666)</f>
        <v>44735.666666666599</v>
      </c>
      <c r="B877" s="1">
        <f ca="1">IFERROR(__xludf.UNSUPPORTED("""COMPUTED_VALUE"""),258.86)</f>
        <v>258.86</v>
      </c>
      <c r="C877" s="2">
        <f t="shared" ca="1" si="3"/>
        <v>2.2636589894520675E-2</v>
      </c>
    </row>
    <row r="878" spans="1:3">
      <c r="A878" s="3">
        <f ca="1">IFERROR(__xludf.UNSUPPORTED("""COMPUTED_VALUE"""),44736.6666666666)</f>
        <v>44736.666666666599</v>
      </c>
      <c r="B878" s="1">
        <f ca="1">IFERROR(__xludf.UNSUPPORTED("""COMPUTED_VALUE"""),267.7)</f>
        <v>267.7</v>
      </c>
      <c r="C878" s="2">
        <f t="shared" ca="1" si="3"/>
        <v>3.41497334466506E-2</v>
      </c>
    </row>
    <row r="879" spans="1:3">
      <c r="A879" s="3">
        <f ca="1">IFERROR(__xludf.UNSUPPORTED("""COMPUTED_VALUE"""),44739.6666666666)</f>
        <v>44739.666666666599</v>
      </c>
      <c r="B879" s="1">
        <f ca="1">IFERROR(__xludf.UNSUPPORTED("""COMPUTED_VALUE"""),264.89)</f>
        <v>264.89</v>
      </c>
      <c r="C879" s="2">
        <f t="shared" ca="1" si="3"/>
        <v>-1.0496824803884955E-2</v>
      </c>
    </row>
    <row r="880" spans="1:3">
      <c r="A880" s="3">
        <f ca="1">IFERROR(__xludf.UNSUPPORTED("""COMPUTED_VALUE"""),44740.6666666666)</f>
        <v>44740.666666666599</v>
      </c>
      <c r="B880" s="1">
        <f ca="1">IFERROR(__xludf.UNSUPPORTED("""COMPUTED_VALUE"""),256.48)</f>
        <v>256.48</v>
      </c>
      <c r="C880" s="2">
        <f t="shared" ca="1" si="3"/>
        <v>-3.1749027898372792E-2</v>
      </c>
    </row>
    <row r="881" spans="1:3">
      <c r="A881" s="3">
        <f ca="1">IFERROR(__xludf.UNSUPPORTED("""COMPUTED_VALUE"""),44741.6666666666)</f>
        <v>44741.666666666599</v>
      </c>
      <c r="B881" s="1">
        <f ca="1">IFERROR(__xludf.UNSUPPORTED("""COMPUTED_VALUE"""),260.26)</f>
        <v>260.26</v>
      </c>
      <c r="C881" s="2">
        <f t="shared" ca="1" si="3"/>
        <v>1.4737991266375438E-2</v>
      </c>
    </row>
    <row r="882" spans="1:3">
      <c r="A882" s="3">
        <f ca="1">IFERROR(__xludf.UNSUPPORTED("""COMPUTED_VALUE"""),44742.6666666666)</f>
        <v>44742.666666666599</v>
      </c>
      <c r="B882" s="1">
        <f ca="1">IFERROR(__xludf.UNSUPPORTED("""COMPUTED_VALUE"""),256.83)</f>
        <v>256.83</v>
      </c>
      <c r="C882" s="2">
        <f t="shared" ca="1" si="3"/>
        <v>-1.3179128563743975E-2</v>
      </c>
    </row>
    <row r="883" spans="1:3">
      <c r="A883" s="3">
        <f ca="1">IFERROR(__xludf.UNSUPPORTED("""COMPUTED_VALUE"""),44743.6666666666)</f>
        <v>44743.666666666599</v>
      </c>
      <c r="B883" s="1">
        <f ca="1">IFERROR(__xludf.UNSUPPORTED("""COMPUTED_VALUE"""),259.58)</f>
        <v>259.58</v>
      </c>
      <c r="C883" s="2">
        <f t="shared" ca="1" si="3"/>
        <v>1.0707471868551182E-2</v>
      </c>
    </row>
    <row r="884" spans="1:3">
      <c r="A884" s="3">
        <f ca="1">IFERROR(__xludf.UNSUPPORTED("""COMPUTED_VALUE"""),44747.6666666666)</f>
        <v>44747.666666666599</v>
      </c>
      <c r="B884" s="1">
        <f ca="1">IFERROR(__xludf.UNSUPPORTED("""COMPUTED_VALUE"""),262.85)</f>
        <v>262.85000000000002</v>
      </c>
      <c r="C884" s="2">
        <f t="shared" ca="1" si="3"/>
        <v>1.2597272517143227E-2</v>
      </c>
    </row>
    <row r="885" spans="1:3">
      <c r="A885" s="3">
        <f ca="1">IFERROR(__xludf.UNSUPPORTED("""COMPUTED_VALUE"""),44748.6666666666)</f>
        <v>44748.666666666599</v>
      </c>
      <c r="B885" s="1">
        <f ca="1">IFERROR(__xludf.UNSUPPORTED("""COMPUTED_VALUE"""),266.21)</f>
        <v>266.20999999999998</v>
      </c>
      <c r="C885" s="2">
        <f t="shared" ca="1" si="3"/>
        <v>1.2782956058588384E-2</v>
      </c>
    </row>
    <row r="886" spans="1:3">
      <c r="A886" s="3">
        <f ca="1">IFERROR(__xludf.UNSUPPORTED("""COMPUTED_VALUE"""),44749.6666666666)</f>
        <v>44749.666666666599</v>
      </c>
      <c r="B886" s="1">
        <f ca="1">IFERROR(__xludf.UNSUPPORTED("""COMPUTED_VALUE"""),268.4)</f>
        <v>268.39999999999998</v>
      </c>
      <c r="C886" s="2">
        <f t="shared" ca="1" si="3"/>
        <v>8.2265880320047998E-3</v>
      </c>
    </row>
    <row r="887" spans="1:3">
      <c r="A887" s="3">
        <f ca="1">IFERROR(__xludf.UNSUPPORTED("""COMPUTED_VALUE"""),44750.6666666666)</f>
        <v>44750.666666666599</v>
      </c>
      <c r="B887" s="1">
        <f ca="1">IFERROR(__xludf.UNSUPPORTED("""COMPUTED_VALUE"""),267.66)</f>
        <v>267.66000000000003</v>
      </c>
      <c r="C887" s="2">
        <f t="shared" ca="1" si="3"/>
        <v>-2.7570789865870057E-3</v>
      </c>
    </row>
    <row r="888" spans="1:3">
      <c r="A888" s="3">
        <f ca="1">IFERROR(__xludf.UNSUPPORTED("""COMPUTED_VALUE"""),44753.6666666666)</f>
        <v>44753.666666666599</v>
      </c>
      <c r="B888" s="1">
        <f ca="1">IFERROR(__xludf.UNSUPPORTED("""COMPUTED_VALUE"""),264.51)</f>
        <v>264.51</v>
      </c>
      <c r="C888" s="2">
        <f t="shared" ca="1" si="3"/>
        <v>-1.1768661735037114E-2</v>
      </c>
    </row>
    <row r="889" spans="1:3">
      <c r="A889" s="3">
        <f ca="1">IFERROR(__xludf.UNSUPPORTED("""COMPUTED_VALUE"""),44754.6666666666)</f>
        <v>44754.666666666599</v>
      </c>
      <c r="B889" s="1">
        <f ca="1">IFERROR(__xludf.UNSUPPORTED("""COMPUTED_VALUE"""),253.67)</f>
        <v>253.67</v>
      </c>
      <c r="C889" s="2">
        <f t="shared" ca="1" si="3"/>
        <v>-4.0981437374768455E-2</v>
      </c>
    </row>
    <row r="890" spans="1:3">
      <c r="A890" s="3">
        <f ca="1">IFERROR(__xludf.UNSUPPORTED("""COMPUTED_VALUE"""),44755.6666666666)</f>
        <v>44755.666666666599</v>
      </c>
      <c r="B890" s="1">
        <f ca="1">IFERROR(__xludf.UNSUPPORTED("""COMPUTED_VALUE"""),252.72)</f>
        <v>252.72</v>
      </c>
      <c r="C890" s="2">
        <f t="shared" ca="1" si="3"/>
        <v>-3.7450230614577548E-3</v>
      </c>
    </row>
    <row r="891" spans="1:3">
      <c r="A891" s="3">
        <f ca="1">IFERROR(__xludf.UNSUPPORTED("""COMPUTED_VALUE"""),44756.6666666666)</f>
        <v>44756.666666666599</v>
      </c>
      <c r="B891" s="1">
        <f ca="1">IFERROR(__xludf.UNSUPPORTED("""COMPUTED_VALUE"""),254.08)</f>
        <v>254.08</v>
      </c>
      <c r="C891" s="2">
        <f t="shared" ca="1" si="3"/>
        <v>5.3814498258943242E-3</v>
      </c>
    </row>
    <row r="892" spans="1:3">
      <c r="A892" s="3">
        <f ca="1">IFERROR(__xludf.UNSUPPORTED("""COMPUTED_VALUE"""),44757.6666666666)</f>
        <v>44757.666666666599</v>
      </c>
      <c r="B892" s="1">
        <f ca="1">IFERROR(__xludf.UNSUPPORTED("""COMPUTED_VALUE"""),256.72)</f>
        <v>256.72000000000003</v>
      </c>
      <c r="C892" s="2">
        <f t="shared" ca="1" si="3"/>
        <v>1.039042821158696E-2</v>
      </c>
    </row>
    <row r="893" spans="1:3">
      <c r="A893" s="3">
        <f ca="1">IFERROR(__xludf.UNSUPPORTED("""COMPUTED_VALUE"""),44760.6666666666)</f>
        <v>44760.666666666599</v>
      </c>
      <c r="B893" s="1">
        <f ca="1">IFERROR(__xludf.UNSUPPORTED("""COMPUTED_VALUE"""),254.25)</f>
        <v>254.25</v>
      </c>
      <c r="C893" s="2">
        <f t="shared" ca="1" si="3"/>
        <v>-9.6213773761297406E-3</v>
      </c>
    </row>
    <row r="894" spans="1:3">
      <c r="A894" s="3">
        <f ca="1">IFERROR(__xludf.UNSUPPORTED("""COMPUTED_VALUE"""),44761.6666666666)</f>
        <v>44761.666666666599</v>
      </c>
      <c r="B894" s="1">
        <f ca="1">IFERROR(__xludf.UNSUPPORTED("""COMPUTED_VALUE"""),259.53)</f>
        <v>259.52999999999997</v>
      </c>
      <c r="C894" s="2">
        <f t="shared" ca="1" si="3"/>
        <v>2.0766961651917298E-2</v>
      </c>
    </row>
    <row r="895" spans="1:3">
      <c r="A895" s="3">
        <f ca="1">IFERROR(__xludf.UNSUPPORTED("""COMPUTED_VALUE"""),44762.6666666666)</f>
        <v>44762.666666666599</v>
      </c>
      <c r="B895" s="1">
        <f ca="1">IFERROR(__xludf.UNSUPPORTED("""COMPUTED_VALUE"""),262.27)</f>
        <v>262.27</v>
      </c>
      <c r="C895" s="2">
        <f t="shared" ca="1" si="3"/>
        <v>1.0557546333757212E-2</v>
      </c>
    </row>
    <row r="896" spans="1:3">
      <c r="A896" s="3">
        <f ca="1">IFERROR(__xludf.UNSUPPORTED("""COMPUTED_VALUE"""),44763.6666666666)</f>
        <v>44763.666666666599</v>
      </c>
      <c r="B896" s="1">
        <f ca="1">IFERROR(__xludf.UNSUPPORTED("""COMPUTED_VALUE"""),264.84)</f>
        <v>264.83999999999997</v>
      </c>
      <c r="C896" s="2">
        <f t="shared" ca="1" si="3"/>
        <v>9.7990620353071017E-3</v>
      </c>
    </row>
    <row r="897" spans="1:3">
      <c r="A897" s="3">
        <f ca="1">IFERROR(__xludf.UNSUPPORTED("""COMPUTED_VALUE"""),44764.6666666666)</f>
        <v>44764.666666666599</v>
      </c>
      <c r="B897" s="1">
        <f ca="1">IFERROR(__xludf.UNSUPPORTED("""COMPUTED_VALUE"""),260.36)</f>
        <v>260.36</v>
      </c>
      <c r="C897" s="2">
        <f t="shared" ca="1" si="3"/>
        <v>-1.6915873735085189E-2</v>
      </c>
    </row>
    <row r="898" spans="1:3">
      <c r="A898" s="3">
        <f ca="1">IFERROR(__xludf.UNSUPPORTED("""COMPUTED_VALUE"""),44767.6666666666)</f>
        <v>44767.666666666599</v>
      </c>
      <c r="B898" s="1">
        <f ca="1">IFERROR(__xludf.UNSUPPORTED("""COMPUTED_VALUE"""),258.83)</f>
        <v>258.83</v>
      </c>
      <c r="C898" s="2">
        <f t="shared" ca="1" si="3"/>
        <v>-5.8764787217699703E-3</v>
      </c>
    </row>
    <row r="899" spans="1:3">
      <c r="A899" s="3">
        <f ca="1">IFERROR(__xludf.UNSUPPORTED("""COMPUTED_VALUE"""),44768.6666666666)</f>
        <v>44768.666666666599</v>
      </c>
      <c r="B899" s="1">
        <f ca="1">IFERROR(__xludf.UNSUPPORTED("""COMPUTED_VALUE"""),251.9)</f>
        <v>251.9</v>
      </c>
      <c r="C899" s="2">
        <f t="shared" ca="1" si="3"/>
        <v>-2.6774330641733873E-2</v>
      </c>
    </row>
    <row r="900" spans="1:3">
      <c r="A900" s="3">
        <f ca="1">IFERROR(__xludf.UNSUPPORTED("""COMPUTED_VALUE"""),44769.6666666666)</f>
        <v>44769.666666666599</v>
      </c>
      <c r="B900" s="1">
        <f ca="1">IFERROR(__xludf.UNSUPPORTED("""COMPUTED_VALUE"""),268.74)</f>
        <v>268.74</v>
      </c>
      <c r="C900" s="2">
        <f t="shared" ca="1" si="3"/>
        <v>6.6851925367209228E-2</v>
      </c>
    </row>
    <row r="901" spans="1:3">
      <c r="A901" s="3">
        <f ca="1">IFERROR(__xludf.UNSUPPORTED("""COMPUTED_VALUE"""),44770.6666666666)</f>
        <v>44770.666666666599</v>
      </c>
      <c r="B901" s="1">
        <f ca="1">IFERROR(__xludf.UNSUPPORTED("""COMPUTED_VALUE"""),276.41)</f>
        <v>276.41000000000003</v>
      </c>
      <c r="C901" s="2">
        <f t="shared" ca="1" si="3"/>
        <v>2.8540596859418083E-2</v>
      </c>
    </row>
    <row r="902" spans="1:3">
      <c r="A902" s="3">
        <f ca="1">IFERROR(__xludf.UNSUPPORTED("""COMPUTED_VALUE"""),44771.6666666666)</f>
        <v>44771.666666666599</v>
      </c>
      <c r="B902" s="1">
        <f ca="1">IFERROR(__xludf.UNSUPPORTED("""COMPUTED_VALUE"""),280.74)</f>
        <v>280.74</v>
      </c>
      <c r="C902" s="2">
        <f t="shared" ca="1" si="3"/>
        <v>1.56651351253572E-2</v>
      </c>
    </row>
    <row r="903" spans="1:3">
      <c r="A903" s="3">
        <f ca="1">IFERROR(__xludf.UNSUPPORTED("""COMPUTED_VALUE"""),44774.6666666666)</f>
        <v>44774.666666666599</v>
      </c>
      <c r="B903" s="1">
        <f ca="1">IFERROR(__xludf.UNSUPPORTED("""COMPUTED_VALUE"""),278.01)</f>
        <v>278.01</v>
      </c>
      <c r="C903" s="2">
        <f t="shared" ca="1" si="3"/>
        <v>-9.7243000641163285E-3</v>
      </c>
    </row>
    <row r="904" spans="1:3">
      <c r="A904" s="3">
        <f ca="1">IFERROR(__xludf.UNSUPPORTED("""COMPUTED_VALUE"""),44775.6666666666)</f>
        <v>44775.666666666599</v>
      </c>
      <c r="B904" s="1">
        <f ca="1">IFERROR(__xludf.UNSUPPORTED("""COMPUTED_VALUE"""),274.82)</f>
        <v>274.82</v>
      </c>
      <c r="C904" s="2">
        <f t="shared" ca="1" si="3"/>
        <v>-1.1474407395417423E-2</v>
      </c>
    </row>
    <row r="905" spans="1:3">
      <c r="A905" s="3">
        <f ca="1">IFERROR(__xludf.UNSUPPORTED("""COMPUTED_VALUE"""),44776.6666666666)</f>
        <v>44776.666666666599</v>
      </c>
      <c r="B905" s="1">
        <f ca="1">IFERROR(__xludf.UNSUPPORTED("""COMPUTED_VALUE"""),282.47)</f>
        <v>282.47000000000003</v>
      </c>
      <c r="C905" s="2">
        <f t="shared" ca="1" si="3"/>
        <v>2.7836402008587564E-2</v>
      </c>
    </row>
    <row r="906" spans="1:3">
      <c r="A906" s="3">
        <f ca="1">IFERROR(__xludf.UNSUPPORTED("""COMPUTED_VALUE"""),44777.6666666666)</f>
        <v>44777.666666666599</v>
      </c>
      <c r="B906" s="1">
        <f ca="1">IFERROR(__xludf.UNSUPPORTED("""COMPUTED_VALUE"""),283.65)</f>
        <v>283.64999999999998</v>
      </c>
      <c r="C906" s="2">
        <f t="shared" ca="1" si="3"/>
        <v>4.1774347718339993E-3</v>
      </c>
    </row>
    <row r="907" spans="1:3">
      <c r="A907" s="3">
        <f ca="1">IFERROR(__xludf.UNSUPPORTED("""COMPUTED_VALUE"""),44778.6666666666)</f>
        <v>44778.666666666599</v>
      </c>
      <c r="B907" s="1">
        <f ca="1">IFERROR(__xludf.UNSUPPORTED("""COMPUTED_VALUE"""),282.91)</f>
        <v>282.91000000000003</v>
      </c>
      <c r="C907" s="2">
        <f t="shared" ca="1" si="3"/>
        <v>-2.6088489335446934E-3</v>
      </c>
    </row>
    <row r="908" spans="1:3">
      <c r="A908" s="3">
        <f ca="1">IFERROR(__xludf.UNSUPPORTED("""COMPUTED_VALUE"""),44781.6666666666)</f>
        <v>44781.666666666599</v>
      </c>
      <c r="B908" s="1">
        <f ca="1">IFERROR(__xludf.UNSUPPORTED("""COMPUTED_VALUE"""),280.32)</f>
        <v>280.32</v>
      </c>
      <c r="C908" s="2">
        <f t="shared" ca="1" si="3"/>
        <v>-9.1548549008519733E-3</v>
      </c>
    </row>
    <row r="909" spans="1:3">
      <c r="A909" s="3">
        <f ca="1">IFERROR(__xludf.UNSUPPORTED("""COMPUTED_VALUE"""),44782.6666666666)</f>
        <v>44782.666666666599</v>
      </c>
      <c r="B909" s="1">
        <f ca="1">IFERROR(__xludf.UNSUPPORTED("""COMPUTED_VALUE"""),282.3)</f>
        <v>282.3</v>
      </c>
      <c r="C909" s="2">
        <f t="shared" ca="1" si="3"/>
        <v>7.0633561643836263E-3</v>
      </c>
    </row>
    <row r="910" spans="1:3">
      <c r="A910" s="3">
        <f ca="1">IFERROR(__xludf.UNSUPPORTED("""COMPUTED_VALUE"""),44783.6666666666)</f>
        <v>44783.666666666599</v>
      </c>
      <c r="B910" s="1">
        <f ca="1">IFERROR(__xludf.UNSUPPORTED("""COMPUTED_VALUE"""),289.16)</f>
        <v>289.16000000000003</v>
      </c>
      <c r="C910" s="2">
        <f t="shared" ca="1" si="3"/>
        <v>2.4300389656393955E-2</v>
      </c>
    </row>
    <row r="911" spans="1:3">
      <c r="A911" s="3">
        <f ca="1">IFERROR(__xludf.UNSUPPORTED("""COMPUTED_VALUE"""),44784.6666666666)</f>
        <v>44784.666666666599</v>
      </c>
      <c r="B911" s="1">
        <f ca="1">IFERROR(__xludf.UNSUPPORTED("""COMPUTED_VALUE"""),287.02)</f>
        <v>287.02</v>
      </c>
      <c r="C911" s="2">
        <f t="shared" ca="1" si="3"/>
        <v>-7.4007469912852506E-3</v>
      </c>
    </row>
    <row r="912" spans="1:3">
      <c r="A912" s="3">
        <f ca="1">IFERROR(__xludf.UNSUPPORTED("""COMPUTED_VALUE"""),44785.6666666666)</f>
        <v>44785.666666666599</v>
      </c>
      <c r="B912" s="1">
        <f ca="1">IFERROR(__xludf.UNSUPPORTED("""COMPUTED_VALUE"""),291.91)</f>
        <v>291.91000000000003</v>
      </c>
      <c r="C912" s="2">
        <f t="shared" ca="1" si="3"/>
        <v>1.7037140268970956E-2</v>
      </c>
    </row>
    <row r="913" spans="1:3">
      <c r="A913" s="3">
        <f ca="1">IFERROR(__xludf.UNSUPPORTED("""COMPUTED_VALUE"""),44788.6666666666)</f>
        <v>44788.666666666599</v>
      </c>
      <c r="B913" s="1">
        <f ca="1">IFERROR(__xludf.UNSUPPORTED("""COMPUTED_VALUE"""),293.47)</f>
        <v>293.47000000000003</v>
      </c>
      <c r="C913" s="2">
        <f t="shared" ca="1" si="3"/>
        <v>5.3441129115138304E-3</v>
      </c>
    </row>
    <row r="914" spans="1:3">
      <c r="A914" s="3">
        <f ca="1">IFERROR(__xludf.UNSUPPORTED("""COMPUTED_VALUE"""),44789.6666666666)</f>
        <v>44789.666666666599</v>
      </c>
      <c r="B914" s="1">
        <f ca="1">IFERROR(__xludf.UNSUPPORTED("""COMPUTED_VALUE"""),292.71)</f>
        <v>292.70999999999998</v>
      </c>
      <c r="C914" s="2">
        <f t="shared" ca="1" si="3"/>
        <v>-2.5897025249601241E-3</v>
      </c>
    </row>
    <row r="915" spans="1:3">
      <c r="A915" s="3">
        <f ca="1">IFERROR(__xludf.UNSUPPORTED("""COMPUTED_VALUE"""),44790.6666666666)</f>
        <v>44790.666666666599</v>
      </c>
      <c r="B915" s="1">
        <f ca="1">IFERROR(__xludf.UNSUPPORTED("""COMPUTED_VALUE"""),291.32)</f>
        <v>291.32</v>
      </c>
      <c r="C915" s="2">
        <f t="shared" ca="1" si="3"/>
        <v>-4.7487274093812523E-3</v>
      </c>
    </row>
    <row r="916" spans="1:3">
      <c r="A916" s="3">
        <f ca="1">IFERROR(__xludf.UNSUPPORTED("""COMPUTED_VALUE"""),44791.6666666666)</f>
        <v>44791.666666666599</v>
      </c>
      <c r="B916" s="1">
        <f ca="1">IFERROR(__xludf.UNSUPPORTED("""COMPUTED_VALUE"""),290.17)</f>
        <v>290.17</v>
      </c>
      <c r="C916" s="2">
        <f t="shared" ca="1" si="3"/>
        <v>-3.947549086914655E-3</v>
      </c>
    </row>
    <row r="917" spans="1:3">
      <c r="A917" s="3">
        <f ca="1">IFERROR(__xludf.UNSUPPORTED("""COMPUTED_VALUE"""),44792.6666666666)</f>
        <v>44792.666666666599</v>
      </c>
      <c r="B917" s="1">
        <f ca="1">IFERROR(__xludf.UNSUPPORTED("""COMPUTED_VALUE"""),286.15)</f>
        <v>286.14999999999998</v>
      </c>
      <c r="C917" s="2">
        <f t="shared" ca="1" si="3"/>
        <v>-1.3853947685839469E-2</v>
      </c>
    </row>
    <row r="918" spans="1:3">
      <c r="A918" s="3">
        <f ca="1">IFERROR(__xludf.UNSUPPORTED("""COMPUTED_VALUE"""),44795.6666666666)</f>
        <v>44795.666666666599</v>
      </c>
      <c r="B918" s="1">
        <f ca="1">IFERROR(__xludf.UNSUPPORTED("""COMPUTED_VALUE"""),277.75)</f>
        <v>277.75</v>
      </c>
      <c r="C918" s="2">
        <f t="shared" ca="1" si="3"/>
        <v>-2.9355233269264296E-2</v>
      </c>
    </row>
    <row r="919" spans="1:3">
      <c r="A919" s="3">
        <f ca="1">IFERROR(__xludf.UNSUPPORTED("""COMPUTED_VALUE"""),44796.6666666666)</f>
        <v>44796.666666666599</v>
      </c>
      <c r="B919" s="1">
        <f ca="1">IFERROR(__xludf.UNSUPPORTED("""COMPUTED_VALUE"""),276.44)</f>
        <v>276.44</v>
      </c>
      <c r="C919" s="2">
        <f t="shared" ca="1" si="3"/>
        <v>-4.7164716471647244E-3</v>
      </c>
    </row>
    <row r="920" spans="1:3">
      <c r="A920" s="3">
        <f ca="1">IFERROR(__xludf.UNSUPPORTED("""COMPUTED_VALUE"""),44797.6666666666)</f>
        <v>44797.666666666599</v>
      </c>
      <c r="B920" s="1">
        <f ca="1">IFERROR(__xludf.UNSUPPORTED("""COMPUTED_VALUE"""),275.79)</f>
        <v>275.79000000000002</v>
      </c>
      <c r="C920" s="2">
        <f t="shared" ca="1" si="3"/>
        <v>-2.3513239762696326E-3</v>
      </c>
    </row>
    <row r="921" spans="1:3">
      <c r="A921" s="3">
        <f ca="1">IFERROR(__xludf.UNSUPPORTED("""COMPUTED_VALUE"""),44798.6666666666)</f>
        <v>44798.666666666599</v>
      </c>
      <c r="B921" s="1">
        <f ca="1">IFERROR(__xludf.UNSUPPORTED("""COMPUTED_VALUE"""),278.85)</f>
        <v>278.85000000000002</v>
      </c>
      <c r="C921" s="2">
        <f t="shared" ca="1" si="3"/>
        <v>1.1095398672903304E-2</v>
      </c>
    </row>
    <row r="922" spans="1:3">
      <c r="A922" s="3">
        <f ca="1">IFERROR(__xludf.UNSUPPORTED("""COMPUTED_VALUE"""),44799.6666666666)</f>
        <v>44799.666666666599</v>
      </c>
      <c r="B922" s="1">
        <f ca="1">IFERROR(__xludf.UNSUPPORTED("""COMPUTED_VALUE"""),268.09)</f>
        <v>268.08999999999997</v>
      </c>
      <c r="C922" s="2">
        <f t="shared" ca="1" si="3"/>
        <v>-3.8587053971669526E-2</v>
      </c>
    </row>
    <row r="923" spans="1:3">
      <c r="A923" s="3">
        <f ca="1">IFERROR(__xludf.UNSUPPORTED("""COMPUTED_VALUE"""),44802.6666666666)</f>
        <v>44802.666666666599</v>
      </c>
      <c r="B923" s="1">
        <f ca="1">IFERROR(__xludf.UNSUPPORTED("""COMPUTED_VALUE"""),265.23)</f>
        <v>265.23</v>
      </c>
      <c r="C923" s="2">
        <f t="shared" ca="1" si="3"/>
        <v>-1.0668059233839223E-2</v>
      </c>
    </row>
    <row r="924" spans="1:3">
      <c r="A924" s="3">
        <f ca="1">IFERROR(__xludf.UNSUPPORTED("""COMPUTED_VALUE"""),44803.6666666666)</f>
        <v>44803.666666666599</v>
      </c>
      <c r="B924" s="1">
        <f ca="1">IFERROR(__xludf.UNSUPPORTED("""COMPUTED_VALUE"""),262.97)</f>
        <v>262.97000000000003</v>
      </c>
      <c r="C924" s="2">
        <f t="shared" ca="1" si="3"/>
        <v>-8.520906383139128E-3</v>
      </c>
    </row>
    <row r="925" spans="1:3">
      <c r="A925" s="3">
        <f ca="1">IFERROR(__xludf.UNSUPPORTED("""COMPUTED_VALUE"""),44804.6666666666)</f>
        <v>44804.666666666599</v>
      </c>
      <c r="B925" s="1">
        <f ca="1">IFERROR(__xludf.UNSUPPORTED("""COMPUTED_VALUE"""),261.47)</f>
        <v>261.47000000000003</v>
      </c>
      <c r="C925" s="2">
        <f t="shared" ca="1" si="3"/>
        <v>-5.7040727079134493E-3</v>
      </c>
    </row>
    <row r="926" spans="1:3">
      <c r="A926" s="3">
        <f ca="1">IFERROR(__xludf.UNSUPPORTED("""COMPUTED_VALUE"""),44805.6666666666)</f>
        <v>44805.666666666599</v>
      </c>
      <c r="B926" s="1">
        <f ca="1">IFERROR(__xludf.UNSUPPORTED("""COMPUTED_VALUE"""),260.4)</f>
        <v>260.39999999999998</v>
      </c>
      <c r="C926" s="2">
        <f t="shared" ca="1" si="3"/>
        <v>-4.0922476765978882E-3</v>
      </c>
    </row>
    <row r="927" spans="1:3">
      <c r="A927" s="3">
        <f ca="1">IFERROR(__xludf.UNSUPPORTED("""COMPUTED_VALUE"""),44806.6666666666)</f>
        <v>44806.666666666599</v>
      </c>
      <c r="B927" s="1">
        <f ca="1">IFERROR(__xludf.UNSUPPORTED("""COMPUTED_VALUE"""),256.06)</f>
        <v>256.06</v>
      </c>
      <c r="C927" s="2">
        <f t="shared" ca="1" si="3"/>
        <v>-1.6666666666666573E-2</v>
      </c>
    </row>
    <row r="928" spans="1:3">
      <c r="A928" s="3">
        <f ca="1">IFERROR(__xludf.UNSUPPORTED("""COMPUTED_VALUE"""),44810.6666666666)</f>
        <v>44810.666666666599</v>
      </c>
      <c r="B928" s="1">
        <f ca="1">IFERROR(__xludf.UNSUPPORTED("""COMPUTED_VALUE"""),253.25)</f>
        <v>253.25</v>
      </c>
      <c r="C928" s="2">
        <f t="shared" ca="1" si="3"/>
        <v>-1.0973990470983372E-2</v>
      </c>
    </row>
    <row r="929" spans="1:3">
      <c r="A929" s="3">
        <f ca="1">IFERROR(__xludf.UNSUPPORTED("""COMPUTED_VALUE"""),44811.6666666666)</f>
        <v>44811.666666666599</v>
      </c>
      <c r="B929" s="1">
        <f ca="1">IFERROR(__xludf.UNSUPPORTED("""COMPUTED_VALUE"""),258.09)</f>
        <v>258.08999999999997</v>
      </c>
      <c r="C929" s="2">
        <f t="shared" ca="1" si="3"/>
        <v>1.9111549851924876E-2</v>
      </c>
    </row>
    <row r="930" spans="1:3">
      <c r="A930" s="3">
        <f ca="1">IFERROR(__xludf.UNSUPPORTED("""COMPUTED_VALUE"""),44812.6666666666)</f>
        <v>44812.666666666599</v>
      </c>
      <c r="B930" s="1">
        <f ca="1">IFERROR(__xludf.UNSUPPORTED("""COMPUTED_VALUE"""),258.52)</f>
        <v>258.52</v>
      </c>
      <c r="C930" s="2">
        <f t="shared" ca="1" si="3"/>
        <v>1.6660854740594632E-3</v>
      </c>
    </row>
    <row r="931" spans="1:3">
      <c r="A931" s="3">
        <f ca="1">IFERROR(__xludf.UNSUPPORTED("""COMPUTED_VALUE"""),44813.6666666666)</f>
        <v>44813.666666666599</v>
      </c>
      <c r="B931" s="1">
        <f ca="1">IFERROR(__xludf.UNSUPPORTED("""COMPUTED_VALUE"""),264.46)</f>
        <v>264.45999999999998</v>
      </c>
      <c r="C931" s="2">
        <f t="shared" ca="1" si="3"/>
        <v>2.2976945690855632E-2</v>
      </c>
    </row>
    <row r="932" spans="1:3">
      <c r="A932" s="3">
        <f ca="1">IFERROR(__xludf.UNSUPPORTED("""COMPUTED_VALUE"""),44816.6666666666)</f>
        <v>44816.666666666599</v>
      </c>
      <c r="B932" s="1">
        <f ca="1">IFERROR(__xludf.UNSUPPORTED("""COMPUTED_VALUE"""),266.65)</f>
        <v>266.64999999999998</v>
      </c>
      <c r="C932" s="2">
        <f t="shared" ca="1" si="3"/>
        <v>8.2810254858957794E-3</v>
      </c>
    </row>
    <row r="933" spans="1:3">
      <c r="A933" s="3">
        <f ca="1">IFERROR(__xludf.UNSUPPORTED("""COMPUTED_VALUE"""),44817.6666666666)</f>
        <v>44817.666666666599</v>
      </c>
      <c r="B933" s="1">
        <f ca="1">IFERROR(__xludf.UNSUPPORTED("""COMPUTED_VALUE"""),251.99)</f>
        <v>251.99</v>
      </c>
      <c r="C933" s="2">
        <f t="shared" ca="1" si="3"/>
        <v>-5.4978436152259398E-2</v>
      </c>
    </row>
    <row r="934" spans="1:3">
      <c r="A934" s="3">
        <f ca="1">IFERROR(__xludf.UNSUPPORTED("""COMPUTED_VALUE"""),44818.6666666666)</f>
        <v>44818.666666666599</v>
      </c>
      <c r="B934" s="1">
        <f ca="1">IFERROR(__xludf.UNSUPPORTED("""COMPUTED_VALUE"""),252.22)</f>
        <v>252.22</v>
      </c>
      <c r="C934" s="2">
        <f t="shared" ca="1" si="3"/>
        <v>9.1273463232663897E-4</v>
      </c>
    </row>
    <row r="935" spans="1:3">
      <c r="A935" s="3">
        <f ca="1">IFERROR(__xludf.UNSUPPORTED("""COMPUTED_VALUE"""),44819.6666666666)</f>
        <v>44819.666666666599</v>
      </c>
      <c r="B935" s="1">
        <f ca="1">IFERROR(__xludf.UNSUPPORTED("""COMPUTED_VALUE"""),245.38)</f>
        <v>245.38</v>
      </c>
      <c r="C935" s="2">
        <f t="shared" ca="1" si="3"/>
        <v>-2.7119181666798841E-2</v>
      </c>
    </row>
    <row r="936" spans="1:3">
      <c r="A936" s="3">
        <f ca="1">IFERROR(__xludf.UNSUPPORTED("""COMPUTED_VALUE"""),44820.6666666666)</f>
        <v>44820.666666666599</v>
      </c>
      <c r="B936" s="1">
        <f ca="1">IFERROR(__xludf.UNSUPPORTED("""COMPUTED_VALUE"""),244.74)</f>
        <v>244.74</v>
      </c>
      <c r="C936" s="2">
        <f t="shared" ca="1" si="3"/>
        <v>-2.6081995272637802E-3</v>
      </c>
    </row>
    <row r="937" spans="1:3">
      <c r="A937" s="3">
        <f ca="1">IFERROR(__xludf.UNSUPPORTED("""COMPUTED_VALUE"""),44823.6666666666)</f>
        <v>44823.666666666599</v>
      </c>
      <c r="B937" s="1">
        <f ca="1">IFERROR(__xludf.UNSUPPORTED("""COMPUTED_VALUE"""),244.52)</f>
        <v>244.52</v>
      </c>
      <c r="C937" s="2">
        <f t="shared" ca="1" si="3"/>
        <v>-8.9891313230366454E-4</v>
      </c>
    </row>
    <row r="938" spans="1:3">
      <c r="A938" s="3">
        <f ca="1">IFERROR(__xludf.UNSUPPORTED("""COMPUTED_VALUE"""),44824.6666666666)</f>
        <v>44824.666666666599</v>
      </c>
      <c r="B938" s="1">
        <f ca="1">IFERROR(__xludf.UNSUPPORTED("""COMPUTED_VALUE"""),242.45)</f>
        <v>242.45</v>
      </c>
      <c r="C938" s="2">
        <f t="shared" ca="1" si="3"/>
        <v>-8.4655651889416882E-3</v>
      </c>
    </row>
    <row r="939" spans="1:3">
      <c r="A939" s="3">
        <f ca="1">IFERROR(__xludf.UNSUPPORTED("""COMPUTED_VALUE"""),44825.6666666666)</f>
        <v>44825.666666666599</v>
      </c>
      <c r="B939" s="1">
        <f ca="1">IFERROR(__xludf.UNSUPPORTED("""COMPUTED_VALUE"""),238.95)</f>
        <v>238.95</v>
      </c>
      <c r="C939" s="2">
        <f t="shared" ca="1" si="3"/>
        <v>-1.4435966178593525E-2</v>
      </c>
    </row>
    <row r="940" spans="1:3">
      <c r="A940" s="3">
        <f ca="1">IFERROR(__xludf.UNSUPPORTED("""COMPUTED_VALUE"""),44826.6666666666)</f>
        <v>44826.666666666599</v>
      </c>
      <c r="B940" s="1">
        <f ca="1">IFERROR(__xludf.UNSUPPORTED("""COMPUTED_VALUE"""),240.98)</f>
        <v>240.98</v>
      </c>
      <c r="C940" s="2">
        <f t="shared" ca="1" si="3"/>
        <v>8.495501150868388E-3</v>
      </c>
    </row>
    <row r="941" spans="1:3">
      <c r="A941" s="3">
        <f ca="1">IFERROR(__xludf.UNSUPPORTED("""COMPUTED_VALUE"""),44827.6666666666)</f>
        <v>44827.666666666599</v>
      </c>
      <c r="B941" s="1">
        <f ca="1">IFERROR(__xludf.UNSUPPORTED("""COMPUTED_VALUE"""),237.92)</f>
        <v>237.92</v>
      </c>
      <c r="C941" s="2">
        <f t="shared" ca="1" si="3"/>
        <v>-1.2698149224002002E-2</v>
      </c>
    </row>
    <row r="942" spans="1:3">
      <c r="A942" s="3">
        <f ca="1">IFERROR(__xludf.UNSUPPORTED("""COMPUTED_VALUE"""),44830.6666666666)</f>
        <v>44830.666666666599</v>
      </c>
      <c r="B942" s="1">
        <f ca="1">IFERROR(__xludf.UNSUPPORTED("""COMPUTED_VALUE"""),237.45)</f>
        <v>237.45</v>
      </c>
      <c r="C942" s="2">
        <f t="shared" ca="1" si="3"/>
        <v>-1.9754539340954896E-3</v>
      </c>
    </row>
    <row r="943" spans="1:3">
      <c r="A943" s="3">
        <f ca="1">IFERROR(__xludf.UNSUPPORTED("""COMPUTED_VALUE"""),44831.6666666666)</f>
        <v>44831.666666666599</v>
      </c>
      <c r="B943" s="1">
        <f ca="1">IFERROR(__xludf.UNSUPPORTED("""COMPUTED_VALUE"""),236.41)</f>
        <v>236.41</v>
      </c>
      <c r="C943" s="2">
        <f t="shared" ca="1" si="3"/>
        <v>-4.3798694461991668E-3</v>
      </c>
    </row>
    <row r="944" spans="1:3">
      <c r="A944" s="3">
        <f ca="1">IFERROR(__xludf.UNSUPPORTED("""COMPUTED_VALUE"""),44832.6666666666)</f>
        <v>44832.666666666599</v>
      </c>
      <c r="B944" s="1">
        <f ca="1">IFERROR(__xludf.UNSUPPORTED("""COMPUTED_VALUE"""),241.07)</f>
        <v>241.07</v>
      </c>
      <c r="C944" s="2">
        <f t="shared" ca="1" si="3"/>
        <v>1.9711518125290796E-2</v>
      </c>
    </row>
    <row r="945" spans="1:3">
      <c r="A945" s="3">
        <f ca="1">IFERROR(__xludf.UNSUPPORTED("""COMPUTED_VALUE"""),44833.6666666666)</f>
        <v>44833.666666666599</v>
      </c>
      <c r="B945" s="1">
        <f ca="1">IFERROR(__xludf.UNSUPPORTED("""COMPUTED_VALUE"""),237.5)</f>
        <v>237.5</v>
      </c>
      <c r="C945" s="2">
        <f t="shared" ca="1" si="3"/>
        <v>-1.4808976645787503E-2</v>
      </c>
    </row>
    <row r="946" spans="1:3">
      <c r="A946" s="3">
        <f ca="1">IFERROR(__xludf.UNSUPPORTED("""COMPUTED_VALUE"""),44834.6666666666)</f>
        <v>44834.666666666599</v>
      </c>
      <c r="B946" s="1">
        <f ca="1">IFERROR(__xludf.UNSUPPORTED("""COMPUTED_VALUE"""),232.9)</f>
        <v>232.9</v>
      </c>
      <c r="C946" s="2">
        <f t="shared" ca="1" si="3"/>
        <v>-1.9368421052631556E-2</v>
      </c>
    </row>
    <row r="947" spans="1:3">
      <c r="A947" s="3">
        <f ca="1">IFERROR(__xludf.UNSUPPORTED("""COMPUTED_VALUE"""),44837.6666666666)</f>
        <v>44837.666666666599</v>
      </c>
      <c r="B947" s="1">
        <f ca="1">IFERROR(__xludf.UNSUPPORTED("""COMPUTED_VALUE"""),240.74)</f>
        <v>240.74</v>
      </c>
      <c r="C947" s="2">
        <f t="shared" ca="1" si="3"/>
        <v>3.3662516101331058E-2</v>
      </c>
    </row>
    <row r="948" spans="1:3">
      <c r="A948" s="3">
        <f ca="1">IFERROR(__xludf.UNSUPPORTED("""COMPUTED_VALUE"""),44838.6666666666)</f>
        <v>44838.666666666599</v>
      </c>
      <c r="B948" s="1">
        <f ca="1">IFERROR(__xludf.UNSUPPORTED("""COMPUTED_VALUE"""),248.88)</f>
        <v>248.88</v>
      </c>
      <c r="C948" s="2">
        <f t="shared" ca="1" si="3"/>
        <v>3.3812411730497573E-2</v>
      </c>
    </row>
    <row r="949" spans="1:3">
      <c r="A949" s="3">
        <f ca="1">IFERROR(__xludf.UNSUPPORTED("""COMPUTED_VALUE"""),44839.6666666666)</f>
        <v>44839.666666666599</v>
      </c>
      <c r="B949" s="1">
        <f ca="1">IFERROR(__xludf.UNSUPPORTED("""COMPUTED_VALUE"""),249.2)</f>
        <v>249.2</v>
      </c>
      <c r="C949" s="2">
        <f t="shared" ca="1" si="3"/>
        <v>1.2857602057216055E-3</v>
      </c>
    </row>
    <row r="950" spans="1:3">
      <c r="A950" s="3">
        <f ca="1">IFERROR(__xludf.UNSUPPORTED("""COMPUTED_VALUE"""),44840.6666666666)</f>
        <v>44840.666666666599</v>
      </c>
      <c r="B950" s="1">
        <f ca="1">IFERROR(__xludf.UNSUPPORTED("""COMPUTED_VALUE"""),246.79)</f>
        <v>246.79</v>
      </c>
      <c r="C950" s="2">
        <f t="shared" ca="1" si="3"/>
        <v>-9.6709470304975793E-3</v>
      </c>
    </row>
    <row r="951" spans="1:3">
      <c r="A951" s="3">
        <f ca="1">IFERROR(__xludf.UNSUPPORTED("""COMPUTED_VALUE"""),44841.6666666666)</f>
        <v>44841.666666666599</v>
      </c>
      <c r="B951" s="1">
        <f ca="1">IFERROR(__xludf.UNSUPPORTED("""COMPUTED_VALUE"""),234.24)</f>
        <v>234.24</v>
      </c>
      <c r="C951" s="2">
        <f t="shared" ca="1" si="3"/>
        <v>-5.0852951902427099E-2</v>
      </c>
    </row>
    <row r="952" spans="1:3">
      <c r="A952" s="3">
        <f ca="1">IFERROR(__xludf.UNSUPPORTED("""COMPUTED_VALUE"""),44844.6666666666)</f>
        <v>44844.666666666599</v>
      </c>
      <c r="B952" s="1">
        <f ca="1">IFERROR(__xludf.UNSUPPORTED("""COMPUTED_VALUE"""),229.25)</f>
        <v>229.25</v>
      </c>
      <c r="C952" s="2">
        <f t="shared" ca="1" si="3"/>
        <v>-2.1302937158469985E-2</v>
      </c>
    </row>
    <row r="953" spans="1:3">
      <c r="A953" s="3">
        <f ca="1">IFERROR(__xludf.UNSUPPORTED("""COMPUTED_VALUE"""),44845.6666666666)</f>
        <v>44845.666666666599</v>
      </c>
      <c r="B953" s="1">
        <f ca="1">IFERROR(__xludf.UNSUPPORTED("""COMPUTED_VALUE"""),225.41)</f>
        <v>225.41</v>
      </c>
      <c r="C953" s="2">
        <f t="shared" ca="1" si="3"/>
        <v>-1.6750272628135238E-2</v>
      </c>
    </row>
    <row r="954" spans="1:3">
      <c r="A954" s="3">
        <f ca="1">IFERROR(__xludf.UNSUPPORTED("""COMPUTED_VALUE"""),44846.6666666666)</f>
        <v>44846.666666666599</v>
      </c>
      <c r="B954" s="1">
        <f ca="1">IFERROR(__xludf.UNSUPPORTED("""COMPUTED_VALUE"""),225.75)</f>
        <v>225.75</v>
      </c>
      <c r="C954" s="2">
        <f t="shared" ca="1" si="3"/>
        <v>1.5083625393727139E-3</v>
      </c>
    </row>
    <row r="955" spans="1:3">
      <c r="A955" s="3">
        <f ca="1">IFERROR(__xludf.UNSUPPORTED("""COMPUTED_VALUE"""),44847.6666666666)</f>
        <v>44847.666666666599</v>
      </c>
      <c r="B955" s="1">
        <f ca="1">IFERROR(__xludf.UNSUPPORTED("""COMPUTED_VALUE"""),234.24)</f>
        <v>234.24</v>
      </c>
      <c r="C955" s="2">
        <f t="shared" ca="1" si="3"/>
        <v>3.7607973421926948E-2</v>
      </c>
    </row>
    <row r="956" spans="1:3">
      <c r="A956" s="3">
        <f ca="1">IFERROR(__xludf.UNSUPPORTED("""COMPUTED_VALUE"""),44848.6666666666)</f>
        <v>44848.666666666599</v>
      </c>
      <c r="B956" s="1">
        <f ca="1">IFERROR(__xludf.UNSUPPORTED("""COMPUTED_VALUE"""),228.56)</f>
        <v>228.56</v>
      </c>
      <c r="C956" s="2">
        <f t="shared" ca="1" si="3"/>
        <v>-2.4248633879781448E-2</v>
      </c>
    </row>
    <row r="957" spans="1:3">
      <c r="A957" s="3">
        <f ca="1">IFERROR(__xludf.UNSUPPORTED("""COMPUTED_VALUE"""),44851.6666666666)</f>
        <v>44851.666666666599</v>
      </c>
      <c r="B957" s="1">
        <f ca="1">IFERROR(__xludf.UNSUPPORTED("""COMPUTED_VALUE"""),237.53)</f>
        <v>237.53</v>
      </c>
      <c r="C957" s="2">
        <f t="shared" ca="1" si="3"/>
        <v>3.9245712285614277E-2</v>
      </c>
    </row>
    <row r="958" spans="1:3">
      <c r="A958" s="3">
        <f ca="1">IFERROR(__xludf.UNSUPPORTED("""COMPUTED_VALUE"""),44852.6666666666)</f>
        <v>44852.666666666599</v>
      </c>
      <c r="B958" s="1">
        <f ca="1">IFERROR(__xludf.UNSUPPORTED("""COMPUTED_VALUE"""),238.5)</f>
        <v>238.5</v>
      </c>
      <c r="C958" s="2">
        <f t="shared" ca="1" si="3"/>
        <v>4.0836946911968963E-3</v>
      </c>
    </row>
    <row r="959" spans="1:3">
      <c r="A959" s="3">
        <f ca="1">IFERROR(__xludf.UNSUPPORTED("""COMPUTED_VALUE"""),44853.6666666666)</f>
        <v>44853.666666666599</v>
      </c>
      <c r="B959" s="1">
        <f ca="1">IFERROR(__xludf.UNSUPPORTED("""COMPUTED_VALUE"""),236.48)</f>
        <v>236.48</v>
      </c>
      <c r="C959" s="2">
        <f t="shared" ca="1" si="3"/>
        <v>-8.4696016771488893E-3</v>
      </c>
    </row>
    <row r="960" spans="1:3">
      <c r="A960" s="3">
        <f ca="1">IFERROR(__xludf.UNSUPPORTED("""COMPUTED_VALUE"""),44854.6666666666)</f>
        <v>44854.666666666599</v>
      </c>
      <c r="B960" s="1">
        <f ca="1">IFERROR(__xludf.UNSUPPORTED("""COMPUTED_VALUE"""),236.15)</f>
        <v>236.15</v>
      </c>
      <c r="C960" s="2">
        <f t="shared" ca="1" si="3"/>
        <v>-1.3954668470905957E-3</v>
      </c>
    </row>
    <row r="961" spans="1:3">
      <c r="A961" s="3">
        <f ca="1">IFERROR(__xludf.UNSUPPORTED("""COMPUTED_VALUE"""),44855.6666666666)</f>
        <v>44855.666666666599</v>
      </c>
      <c r="B961" s="1">
        <f ca="1">IFERROR(__xludf.UNSUPPORTED("""COMPUTED_VALUE"""),242.12)</f>
        <v>242.12</v>
      </c>
      <c r="C961" s="2">
        <f t="shared" ca="1" si="3"/>
        <v>2.5280542028371791E-2</v>
      </c>
    </row>
    <row r="962" spans="1:3">
      <c r="A962" s="3">
        <f ca="1">IFERROR(__xludf.UNSUPPORTED("""COMPUTED_VALUE"""),44858.6666666666)</f>
        <v>44858.666666666599</v>
      </c>
      <c r="B962" s="1">
        <f ca="1">IFERROR(__xludf.UNSUPPORTED("""COMPUTED_VALUE"""),247.25)</f>
        <v>247.25</v>
      </c>
      <c r="C962" s="2">
        <f t="shared" ca="1" si="3"/>
        <v>2.1187840740128843E-2</v>
      </c>
    </row>
    <row r="963" spans="1:3">
      <c r="A963" s="3">
        <f ca="1">IFERROR(__xludf.UNSUPPORTED("""COMPUTED_VALUE"""),44859.6666666666)</f>
        <v>44859.666666666599</v>
      </c>
      <c r="B963" s="1">
        <f ca="1">IFERROR(__xludf.UNSUPPORTED("""COMPUTED_VALUE"""),250.66)</f>
        <v>250.66</v>
      </c>
      <c r="C963" s="2">
        <f t="shared" ca="1" si="3"/>
        <v>1.3791708796764396E-2</v>
      </c>
    </row>
    <row r="964" spans="1:3">
      <c r="A964" s="3">
        <f ca="1">IFERROR(__xludf.UNSUPPORTED("""COMPUTED_VALUE"""),44860.6666666666)</f>
        <v>44860.666666666599</v>
      </c>
      <c r="B964" s="1">
        <f ca="1">IFERROR(__xludf.UNSUPPORTED("""COMPUTED_VALUE"""),231.32)</f>
        <v>231.32</v>
      </c>
      <c r="C964" s="2">
        <f t="shared" ca="1" si="3"/>
        <v>-7.7156307348599712E-2</v>
      </c>
    </row>
    <row r="965" spans="1:3">
      <c r="A965" s="3">
        <f ca="1">IFERROR(__xludf.UNSUPPORTED("""COMPUTED_VALUE"""),44861.6666666666)</f>
        <v>44861.666666666599</v>
      </c>
      <c r="B965" s="1">
        <f ca="1">IFERROR(__xludf.UNSUPPORTED("""COMPUTED_VALUE"""),226.75)</f>
        <v>226.75</v>
      </c>
      <c r="C965" s="2">
        <f t="shared" ca="1" si="3"/>
        <v>-1.9756181912502134E-2</v>
      </c>
    </row>
    <row r="966" spans="1:3">
      <c r="A966" s="3">
        <f ca="1">IFERROR(__xludf.UNSUPPORTED("""COMPUTED_VALUE"""),44862.6666666666)</f>
        <v>44862.666666666599</v>
      </c>
      <c r="B966" s="1">
        <f ca="1">IFERROR(__xludf.UNSUPPORTED("""COMPUTED_VALUE"""),235.87)</f>
        <v>235.87</v>
      </c>
      <c r="C966" s="2">
        <f t="shared" ca="1" si="3"/>
        <v>4.0220507166482934E-2</v>
      </c>
    </row>
    <row r="967" spans="1:3">
      <c r="A967" s="3">
        <f ca="1">IFERROR(__xludf.UNSUPPORTED("""COMPUTED_VALUE"""),44865.6666666666)</f>
        <v>44865.666666666599</v>
      </c>
      <c r="B967" s="1">
        <f ca="1">IFERROR(__xludf.UNSUPPORTED("""COMPUTED_VALUE"""),232.13)</f>
        <v>232.13</v>
      </c>
      <c r="C967" s="2">
        <f t="shared" ca="1" si="3"/>
        <v>-1.5856191970153088E-2</v>
      </c>
    </row>
    <row r="968" spans="1:3">
      <c r="A968" s="3">
        <f ca="1">IFERROR(__xludf.UNSUPPORTED("""COMPUTED_VALUE"""),44866.6666666666)</f>
        <v>44866.666666666599</v>
      </c>
      <c r="B968" s="1">
        <f ca="1">IFERROR(__xludf.UNSUPPORTED("""COMPUTED_VALUE"""),228.17)</f>
        <v>228.17</v>
      </c>
      <c r="C968" s="2">
        <f t="shared" ca="1" si="3"/>
        <v>-1.7059406367121905E-2</v>
      </c>
    </row>
    <row r="969" spans="1:3">
      <c r="A969" s="3">
        <f ca="1">IFERROR(__xludf.UNSUPPORTED("""COMPUTED_VALUE"""),44867.6666666666)</f>
        <v>44867.666666666599</v>
      </c>
      <c r="B969" s="1">
        <f ca="1">IFERROR(__xludf.UNSUPPORTED("""COMPUTED_VALUE"""),220.1)</f>
        <v>220.1</v>
      </c>
      <c r="C969" s="2">
        <f t="shared" ca="1" si="3"/>
        <v>-3.5368365692246981E-2</v>
      </c>
    </row>
    <row r="970" spans="1:3">
      <c r="A970" s="3">
        <f ca="1">IFERROR(__xludf.UNSUPPORTED("""COMPUTED_VALUE"""),44868.6666666666)</f>
        <v>44868.666666666599</v>
      </c>
      <c r="B970" s="1">
        <f ca="1">IFERROR(__xludf.UNSUPPORTED("""COMPUTED_VALUE"""),214.25)</f>
        <v>214.25</v>
      </c>
      <c r="C970" s="2">
        <f t="shared" ca="1" si="3"/>
        <v>-2.6578827805542909E-2</v>
      </c>
    </row>
    <row r="971" spans="1:3">
      <c r="A971" s="3">
        <f ca="1">IFERROR(__xludf.UNSUPPORTED("""COMPUTED_VALUE"""),44869.6666666666)</f>
        <v>44869.666666666599</v>
      </c>
      <c r="B971" s="1">
        <f ca="1">IFERROR(__xludf.UNSUPPORTED("""COMPUTED_VALUE"""),221.39)</f>
        <v>221.39</v>
      </c>
      <c r="C971" s="2">
        <f t="shared" ca="1" si="3"/>
        <v>3.3325554259043114E-2</v>
      </c>
    </row>
    <row r="972" spans="1:3">
      <c r="A972" s="3">
        <f ca="1">IFERROR(__xludf.UNSUPPORTED("""COMPUTED_VALUE"""),44872.6666666666)</f>
        <v>44872.666666666599</v>
      </c>
      <c r="B972" s="1">
        <f ca="1">IFERROR(__xludf.UNSUPPORTED("""COMPUTED_VALUE"""),227.87)</f>
        <v>227.87</v>
      </c>
      <c r="C972" s="2">
        <f t="shared" ca="1" si="3"/>
        <v>2.926961470707809E-2</v>
      </c>
    </row>
    <row r="973" spans="1:3">
      <c r="A973" s="3">
        <f ca="1">IFERROR(__xludf.UNSUPPORTED("""COMPUTED_VALUE"""),44873.6666666666)</f>
        <v>44873.666666666599</v>
      </c>
      <c r="B973" s="1">
        <f ca="1">IFERROR(__xludf.UNSUPPORTED("""COMPUTED_VALUE"""),228.87)</f>
        <v>228.87</v>
      </c>
      <c r="C973" s="2">
        <f t="shared" ca="1" si="3"/>
        <v>4.3884671084390226E-3</v>
      </c>
    </row>
    <row r="974" spans="1:3">
      <c r="A974" s="3">
        <f ca="1">IFERROR(__xludf.UNSUPPORTED("""COMPUTED_VALUE"""),44874.6666666666)</f>
        <v>44874.666666666599</v>
      </c>
      <c r="B974" s="1">
        <f ca="1">IFERROR(__xludf.UNSUPPORTED("""COMPUTED_VALUE"""),224.51)</f>
        <v>224.51</v>
      </c>
      <c r="C974" s="2">
        <f t="shared" ca="1" si="3"/>
        <v>-1.9050115786254266E-2</v>
      </c>
    </row>
    <row r="975" spans="1:3">
      <c r="A975" s="3">
        <f ca="1">IFERROR(__xludf.UNSUPPORTED("""COMPUTED_VALUE"""),44875.6666666666)</f>
        <v>44875.666666666599</v>
      </c>
      <c r="B975" s="1">
        <f ca="1">IFERROR(__xludf.UNSUPPORTED("""COMPUTED_VALUE"""),242.98)</f>
        <v>242.98</v>
      </c>
      <c r="C975" s="2">
        <f t="shared" ca="1" si="3"/>
        <v>8.2268050420916658E-2</v>
      </c>
    </row>
    <row r="976" spans="1:3">
      <c r="A976" s="3">
        <f ca="1">IFERROR(__xludf.UNSUPPORTED("""COMPUTED_VALUE"""),44876.6666666666)</f>
        <v>44876.666666666599</v>
      </c>
      <c r="B976" s="1">
        <f ca="1">IFERROR(__xludf.UNSUPPORTED("""COMPUTED_VALUE"""),247.11)</f>
        <v>247.11</v>
      </c>
      <c r="C976" s="2">
        <f t="shared" ca="1" si="3"/>
        <v>1.6997283727055824E-2</v>
      </c>
    </row>
    <row r="977" spans="1:3">
      <c r="A977" s="3">
        <f ca="1">IFERROR(__xludf.UNSUPPORTED("""COMPUTED_VALUE"""),44879.6666666666)</f>
        <v>44879.666666666599</v>
      </c>
      <c r="B977" s="1">
        <f ca="1">IFERROR(__xludf.UNSUPPORTED("""COMPUTED_VALUE"""),241.55)</f>
        <v>241.55</v>
      </c>
      <c r="C977" s="2">
        <f t="shared" ca="1" si="3"/>
        <v>-2.2500101169519657E-2</v>
      </c>
    </row>
    <row r="978" spans="1:3">
      <c r="A978" s="3">
        <f ca="1">IFERROR(__xludf.UNSUPPORTED("""COMPUTED_VALUE"""),44880.6666666666)</f>
        <v>44880.666666666599</v>
      </c>
      <c r="B978" s="1">
        <f ca="1">IFERROR(__xludf.UNSUPPORTED("""COMPUTED_VALUE"""),241.97)</f>
        <v>241.97</v>
      </c>
      <c r="C978" s="2">
        <f t="shared" ca="1" si="3"/>
        <v>1.7387704409024527E-3</v>
      </c>
    </row>
    <row r="979" spans="1:3">
      <c r="A979" s="3">
        <f ca="1">IFERROR(__xludf.UNSUPPORTED("""COMPUTED_VALUE"""),44881.6666666666)</f>
        <v>44881.666666666599</v>
      </c>
      <c r="B979" s="1">
        <f ca="1">IFERROR(__xludf.UNSUPPORTED("""COMPUTED_VALUE"""),241.73)</f>
        <v>241.73</v>
      </c>
      <c r="C979" s="2">
        <f t="shared" ca="1" si="3"/>
        <v>-9.9185849485477172E-4</v>
      </c>
    </row>
    <row r="980" spans="1:3">
      <c r="A980" s="3">
        <f ca="1">IFERROR(__xludf.UNSUPPORTED("""COMPUTED_VALUE"""),44882.6666666666)</f>
        <v>44882.666666666599</v>
      </c>
      <c r="B980" s="1">
        <f ca="1">IFERROR(__xludf.UNSUPPORTED("""COMPUTED_VALUE"""),241.68)</f>
        <v>241.68</v>
      </c>
      <c r="C980" s="2">
        <f t="shared" ca="1" si="3"/>
        <v>-2.068423447647497E-4</v>
      </c>
    </row>
    <row r="981" spans="1:3">
      <c r="A981" s="3">
        <f ca="1">IFERROR(__xludf.UNSUPPORTED("""COMPUTED_VALUE"""),44883.6666666666)</f>
        <v>44883.666666666599</v>
      </c>
      <c r="B981" s="1">
        <f ca="1">IFERROR(__xludf.UNSUPPORTED("""COMPUTED_VALUE"""),241.22)</f>
        <v>241.22</v>
      </c>
      <c r="C981" s="2">
        <f t="shared" ca="1" si="3"/>
        <v>-1.9033432638199601E-3</v>
      </c>
    </row>
    <row r="982" spans="1:3">
      <c r="A982" s="3">
        <f ca="1">IFERROR(__xludf.UNSUPPORTED("""COMPUTED_VALUE"""),44886.6666666666)</f>
        <v>44886.666666666599</v>
      </c>
      <c r="B982" s="1">
        <f ca="1">IFERROR(__xludf.UNSUPPORTED("""COMPUTED_VALUE"""),242.05)</f>
        <v>242.05</v>
      </c>
      <c r="C982" s="2">
        <f t="shared" ca="1" si="3"/>
        <v>3.4408423845452801E-3</v>
      </c>
    </row>
    <row r="983" spans="1:3">
      <c r="A983" s="3">
        <f ca="1">IFERROR(__xludf.UNSUPPORTED("""COMPUTED_VALUE"""),44887.6666666666)</f>
        <v>44887.666666666599</v>
      </c>
      <c r="B983" s="1">
        <f ca="1">IFERROR(__xludf.UNSUPPORTED("""COMPUTED_VALUE"""),245.03)</f>
        <v>245.03</v>
      </c>
      <c r="C983" s="2">
        <f t="shared" ca="1" si="3"/>
        <v>1.2311505887213343E-2</v>
      </c>
    </row>
    <row r="984" spans="1:3">
      <c r="A984" s="3">
        <f ca="1">IFERROR(__xludf.UNSUPPORTED("""COMPUTED_VALUE"""),44888.6666666666)</f>
        <v>44888.666666666599</v>
      </c>
      <c r="B984" s="1">
        <f ca="1">IFERROR(__xludf.UNSUPPORTED("""COMPUTED_VALUE"""),247.58)</f>
        <v>247.58</v>
      </c>
      <c r="C984" s="2">
        <f t="shared" ca="1" si="3"/>
        <v>1.0406888952373225E-2</v>
      </c>
    </row>
    <row r="985" spans="1:3">
      <c r="A985" s="3">
        <f ca="1">IFERROR(__xludf.UNSUPPORTED("""COMPUTED_VALUE"""),44890.5451388888)</f>
        <v>44890.545138888803</v>
      </c>
      <c r="B985" s="1">
        <f ca="1">IFERROR(__xludf.UNSUPPORTED("""COMPUTED_VALUE"""),247.49)</f>
        <v>247.49</v>
      </c>
      <c r="C985" s="2">
        <f t="shared" ca="1" si="3"/>
        <v>-3.635188625898837E-4</v>
      </c>
    </row>
    <row r="986" spans="1:3">
      <c r="A986" s="3">
        <f ca="1">IFERROR(__xludf.UNSUPPORTED("""COMPUTED_VALUE"""),44893.6666666666)</f>
        <v>44893.666666666599</v>
      </c>
      <c r="B986" s="1">
        <f ca="1">IFERROR(__xludf.UNSUPPORTED("""COMPUTED_VALUE"""),241.76)</f>
        <v>241.76</v>
      </c>
      <c r="C986" s="2">
        <f t="shared" ca="1" si="3"/>
        <v>-2.3152450604064883E-2</v>
      </c>
    </row>
    <row r="987" spans="1:3">
      <c r="A987" s="3">
        <f ca="1">IFERROR(__xludf.UNSUPPORTED("""COMPUTED_VALUE"""),44894.6666666666)</f>
        <v>44894.666666666599</v>
      </c>
      <c r="B987" s="1">
        <f ca="1">IFERROR(__xludf.UNSUPPORTED("""COMPUTED_VALUE"""),240.33)</f>
        <v>240.33</v>
      </c>
      <c r="C987" s="2">
        <f t="shared" ca="1" si="3"/>
        <v>-5.9149569821309502E-3</v>
      </c>
    </row>
    <row r="988" spans="1:3">
      <c r="A988" s="3">
        <f ca="1">IFERROR(__xludf.UNSUPPORTED("""COMPUTED_VALUE"""),44895.6666666666)</f>
        <v>44895.666666666599</v>
      </c>
      <c r="B988" s="1">
        <f ca="1">IFERROR(__xludf.UNSUPPORTED("""COMPUTED_VALUE"""),255.14)</f>
        <v>255.14</v>
      </c>
      <c r="C988" s="2">
        <f t="shared" ca="1" si="3"/>
        <v>6.1623600882120308E-2</v>
      </c>
    </row>
    <row r="989" spans="1:3">
      <c r="A989" s="3">
        <f ca="1">IFERROR(__xludf.UNSUPPORTED("""COMPUTED_VALUE"""),44896.6666666666)</f>
        <v>44896.666666666599</v>
      </c>
      <c r="B989" s="1">
        <f ca="1">IFERROR(__xludf.UNSUPPORTED("""COMPUTED_VALUE"""),254.69)</f>
        <v>254.69</v>
      </c>
      <c r="C989" s="2">
        <f t="shared" ca="1" si="3"/>
        <v>-1.7637375558516449E-3</v>
      </c>
    </row>
    <row r="990" spans="1:3">
      <c r="A990" s="3">
        <f ca="1">IFERROR(__xludf.UNSUPPORTED("""COMPUTED_VALUE"""),44897.6666666666)</f>
        <v>44897.666666666599</v>
      </c>
      <c r="B990" s="1">
        <f ca="1">IFERROR(__xludf.UNSUPPORTED("""COMPUTED_VALUE"""),255.02)</f>
        <v>255.02</v>
      </c>
      <c r="C990" s="2">
        <f t="shared" ca="1" si="3"/>
        <v>1.2956928030154796E-3</v>
      </c>
    </row>
    <row r="991" spans="1:3">
      <c r="A991" s="3">
        <f ca="1">IFERROR(__xludf.UNSUPPORTED("""COMPUTED_VALUE"""),44900.6666666666)</f>
        <v>44900.666666666599</v>
      </c>
      <c r="B991" s="1">
        <f ca="1">IFERROR(__xludf.UNSUPPORTED("""COMPUTED_VALUE"""),250.2)</f>
        <v>250.2</v>
      </c>
      <c r="C991" s="2">
        <f t="shared" ca="1" si="3"/>
        <v>-1.8900478393851547E-2</v>
      </c>
    </row>
    <row r="992" spans="1:3">
      <c r="A992" s="3">
        <f ca="1">IFERROR(__xludf.UNSUPPORTED("""COMPUTED_VALUE"""),44901.6666666666)</f>
        <v>44901.666666666599</v>
      </c>
      <c r="B992" s="1">
        <f ca="1">IFERROR(__xludf.UNSUPPORTED("""COMPUTED_VALUE"""),245.12)</f>
        <v>245.12</v>
      </c>
      <c r="C992" s="2">
        <f t="shared" ca="1" si="3"/>
        <v>-2.0303756994404412E-2</v>
      </c>
    </row>
    <row r="993" spans="1:3">
      <c r="A993" s="3">
        <f ca="1">IFERROR(__xludf.UNSUPPORTED("""COMPUTED_VALUE"""),44902.6666666666)</f>
        <v>44902.666666666599</v>
      </c>
      <c r="B993" s="1">
        <f ca="1">IFERROR(__xludf.UNSUPPORTED("""COMPUTED_VALUE"""),244.37)</f>
        <v>244.37</v>
      </c>
      <c r="C993" s="2">
        <f t="shared" ca="1" si="3"/>
        <v>-3.0597258485639688E-3</v>
      </c>
    </row>
    <row r="994" spans="1:3">
      <c r="A994" s="3">
        <f ca="1">IFERROR(__xludf.UNSUPPORTED("""COMPUTED_VALUE"""),44903.6666666666)</f>
        <v>44903.666666666599</v>
      </c>
      <c r="B994" s="1">
        <f ca="1">IFERROR(__xludf.UNSUPPORTED("""COMPUTED_VALUE"""),247.4)</f>
        <v>247.4</v>
      </c>
      <c r="C994" s="2">
        <f t="shared" ca="1" si="3"/>
        <v>1.2399230674796419E-2</v>
      </c>
    </row>
    <row r="995" spans="1:3">
      <c r="A995" s="3">
        <f ca="1">IFERROR(__xludf.UNSUPPORTED("""COMPUTED_VALUE"""),44904.6666666666)</f>
        <v>44904.666666666599</v>
      </c>
      <c r="B995" s="1">
        <f ca="1">IFERROR(__xludf.UNSUPPORTED("""COMPUTED_VALUE"""),245.42)</f>
        <v>245.42</v>
      </c>
      <c r="C995" s="2">
        <f t="shared" ca="1" si="3"/>
        <v>-8.0032336297494663E-3</v>
      </c>
    </row>
    <row r="996" spans="1:3">
      <c r="A996" s="3">
        <f ca="1">IFERROR(__xludf.UNSUPPORTED("""COMPUTED_VALUE"""),44907.6666666666)</f>
        <v>44907.666666666599</v>
      </c>
      <c r="B996" s="1">
        <f ca="1">IFERROR(__xludf.UNSUPPORTED("""COMPUTED_VALUE"""),252.51)</f>
        <v>252.51</v>
      </c>
      <c r="C996" s="2">
        <f t="shared" ca="1" si="3"/>
        <v>2.8889251079781613E-2</v>
      </c>
    </row>
    <row r="997" spans="1:3">
      <c r="A997" s="3">
        <f ca="1">IFERROR(__xludf.UNSUPPORTED("""COMPUTED_VALUE"""),44908.6666666666)</f>
        <v>44908.666666666599</v>
      </c>
      <c r="B997" s="1">
        <f ca="1">IFERROR(__xludf.UNSUPPORTED("""COMPUTED_VALUE"""),256.92)</f>
        <v>256.92</v>
      </c>
      <c r="C997" s="2">
        <f t="shared" ca="1" si="3"/>
        <v>1.7464654865153955E-2</v>
      </c>
    </row>
    <row r="998" spans="1:3">
      <c r="A998" s="3">
        <f ca="1">IFERROR(__xludf.UNSUPPORTED("""COMPUTED_VALUE"""),44909.6666666666)</f>
        <v>44909.666666666599</v>
      </c>
      <c r="B998" s="1">
        <f ca="1">IFERROR(__xludf.UNSUPPORTED("""COMPUTED_VALUE"""),257.22)</f>
        <v>257.22000000000003</v>
      </c>
      <c r="C998" s="2">
        <f t="shared" ca="1" si="3"/>
        <v>1.1676786548342338E-3</v>
      </c>
    </row>
    <row r="999" spans="1:3">
      <c r="A999" s="3">
        <f ca="1">IFERROR(__xludf.UNSUPPORTED("""COMPUTED_VALUE"""),44910.6666666666)</f>
        <v>44910.666666666599</v>
      </c>
      <c r="B999" s="1">
        <f ca="1">IFERROR(__xludf.UNSUPPORTED("""COMPUTED_VALUE"""),249.01)</f>
        <v>249.01</v>
      </c>
      <c r="C999" s="2">
        <f t="shared" ca="1" si="3"/>
        <v>-3.191820231708279E-2</v>
      </c>
    </row>
    <row r="1000" spans="1:3">
      <c r="A1000" s="3">
        <f ca="1">IFERROR(__xludf.UNSUPPORTED("""COMPUTED_VALUE"""),44911.6666666666)</f>
        <v>44911.666666666599</v>
      </c>
      <c r="B1000" s="1">
        <f ca="1">IFERROR(__xludf.UNSUPPORTED("""COMPUTED_VALUE"""),244.69)</f>
        <v>244.69</v>
      </c>
      <c r="C1000" s="2">
        <f t="shared" ca="1" si="3"/>
        <v>-1.7348700855387308E-2</v>
      </c>
    </row>
    <row r="1001" spans="1:3">
      <c r="A1001" s="3">
        <f ca="1">IFERROR(__xludf.UNSUPPORTED("""COMPUTED_VALUE"""),44914.6666666666)</f>
        <v>44914.666666666599</v>
      </c>
      <c r="B1001" s="1">
        <f ca="1">IFERROR(__xludf.UNSUPPORTED("""COMPUTED_VALUE"""),240.45)</f>
        <v>240.45</v>
      </c>
      <c r="C1001" s="2">
        <f t="shared" ca="1" si="3"/>
        <v>-1.7328047733867379E-2</v>
      </c>
    </row>
    <row r="1002" spans="1:3">
      <c r="A1002" s="3">
        <f ca="1">IFERROR(__xludf.UNSUPPORTED("""COMPUTED_VALUE"""),44915.6666666666)</f>
        <v>44915.666666666599</v>
      </c>
      <c r="B1002" s="1">
        <f ca="1">IFERROR(__xludf.UNSUPPORTED("""COMPUTED_VALUE"""),241.8)</f>
        <v>241.8</v>
      </c>
      <c r="C1002" s="2">
        <f t="shared" ca="1" si="3"/>
        <v>5.6144728633812551E-3</v>
      </c>
    </row>
    <row r="1003" spans="1:3">
      <c r="A1003" s="3">
        <f ca="1">IFERROR(__xludf.UNSUPPORTED("""COMPUTED_VALUE"""),44916.6666666666)</f>
        <v>44916.666666666599</v>
      </c>
      <c r="B1003" s="1">
        <f ca="1">IFERROR(__xludf.UNSUPPORTED("""COMPUTED_VALUE"""),244.43)</f>
        <v>244.43</v>
      </c>
      <c r="C1003" s="2">
        <f t="shared" ca="1" si="3"/>
        <v>1.0876757650951179E-2</v>
      </c>
    </row>
    <row r="1004" spans="1:3">
      <c r="A1004" s="3">
        <f ca="1">IFERROR(__xludf.UNSUPPORTED("""COMPUTED_VALUE"""),44917.6666666666)</f>
        <v>44917.666666666599</v>
      </c>
      <c r="B1004" s="1">
        <f ca="1">IFERROR(__xludf.UNSUPPORTED("""COMPUTED_VALUE"""),238.19)</f>
        <v>238.19</v>
      </c>
      <c r="C1004" s="2">
        <f t="shared" ca="1" si="3"/>
        <v>-2.5528781246164582E-2</v>
      </c>
    </row>
    <row r="1005" spans="1:3">
      <c r="A1005" s="3">
        <f ca="1">IFERROR(__xludf.UNSUPPORTED("""COMPUTED_VALUE"""),44918.6666666666)</f>
        <v>44918.666666666599</v>
      </c>
      <c r="B1005" s="1">
        <f ca="1">IFERROR(__xludf.UNSUPPORTED("""COMPUTED_VALUE"""),238.73)</f>
        <v>238.73</v>
      </c>
      <c r="C1005" s="2">
        <f t="shared" ca="1" si="3"/>
        <v>2.2670976951173101E-3</v>
      </c>
    </row>
    <row r="1006" spans="1:3">
      <c r="A1006" s="3">
        <f ca="1">IFERROR(__xludf.UNSUPPORTED("""COMPUTED_VALUE"""),44922.6666666666)</f>
        <v>44922.666666666599</v>
      </c>
      <c r="B1006" s="1">
        <f ca="1">IFERROR(__xludf.UNSUPPORTED("""COMPUTED_VALUE"""),236.96)</f>
        <v>236.96</v>
      </c>
      <c r="C1006" s="2">
        <f t="shared" ca="1" si="3"/>
        <v>-7.4142336530808109E-3</v>
      </c>
    </row>
    <row r="1007" spans="1:3">
      <c r="A1007" s="3">
        <f ca="1">IFERROR(__xludf.UNSUPPORTED("""COMPUTED_VALUE"""),44923.6666666666)</f>
        <v>44923.666666666599</v>
      </c>
      <c r="B1007" s="1">
        <f ca="1">IFERROR(__xludf.UNSUPPORTED("""COMPUTED_VALUE"""),234.53)</f>
        <v>234.53</v>
      </c>
      <c r="C1007" s="2">
        <f t="shared" ca="1" si="3"/>
        <v>-1.0254895340985849E-2</v>
      </c>
    </row>
    <row r="1008" spans="1:3">
      <c r="A1008" s="3">
        <f ca="1">IFERROR(__xludf.UNSUPPORTED("""COMPUTED_VALUE"""),44924.6666666666)</f>
        <v>44924.666666666599</v>
      </c>
      <c r="B1008" s="1">
        <f ca="1">IFERROR(__xludf.UNSUPPORTED("""COMPUTED_VALUE"""),241.01)</f>
        <v>241.01</v>
      </c>
      <c r="C1008" s="2">
        <f t="shared" ca="1" si="3"/>
        <v>2.7629727540186711E-2</v>
      </c>
    </row>
    <row r="1009" spans="1:3">
      <c r="A1009" s="3">
        <f ca="1">IFERROR(__xludf.UNSUPPORTED("""COMPUTED_VALUE"""),44925.6666666666)</f>
        <v>44925.666666666599</v>
      </c>
      <c r="B1009" s="1">
        <f ca="1">IFERROR(__xludf.UNSUPPORTED("""COMPUTED_VALUE"""),239.82)</f>
        <v>239.82</v>
      </c>
      <c r="C1009" s="2">
        <f t="shared" ca="1" si="3"/>
        <v>-4.9375544583212224E-3</v>
      </c>
    </row>
    <row r="1010" spans="1:3">
      <c r="A1010" s="3">
        <f ca="1">IFERROR(__xludf.UNSUPPORTED("""COMPUTED_VALUE"""),44929.6666666666)</f>
        <v>44929.666666666599</v>
      </c>
      <c r="B1010" s="1">
        <f ca="1">IFERROR(__xludf.UNSUPPORTED("""COMPUTED_VALUE"""),239.58)</f>
        <v>239.58</v>
      </c>
      <c r="C1010" s="2">
        <f t="shared" ca="1" si="3"/>
        <v>-1.0007505629221112E-3</v>
      </c>
    </row>
    <row r="1011" spans="1:3">
      <c r="A1011" s="3">
        <f ca="1">IFERROR(__xludf.UNSUPPORTED("""COMPUTED_VALUE"""),44930.6666666666)</f>
        <v>44930.666666666599</v>
      </c>
      <c r="B1011" s="1">
        <f ca="1">IFERROR(__xludf.UNSUPPORTED("""COMPUTED_VALUE"""),229.1)</f>
        <v>229.1</v>
      </c>
      <c r="C1011" s="2">
        <f t="shared" ca="1" si="3"/>
        <v>-4.3743217296936379E-2</v>
      </c>
    </row>
    <row r="1012" spans="1:3">
      <c r="A1012" s="3">
        <f ca="1">IFERROR(__xludf.UNSUPPORTED("""COMPUTED_VALUE"""),44931.6666666666)</f>
        <v>44931.666666666599</v>
      </c>
      <c r="B1012" s="1">
        <f ca="1">IFERROR(__xludf.UNSUPPORTED("""COMPUTED_VALUE"""),222.31)</f>
        <v>222.31</v>
      </c>
      <c r="C1012" s="2">
        <f t="shared" ca="1" si="3"/>
        <v>-2.9637712789175E-2</v>
      </c>
    </row>
    <row r="1013" spans="1:3">
      <c r="A1013" s="3">
        <f ca="1">IFERROR(__xludf.UNSUPPORTED("""COMPUTED_VALUE"""),44932.6666666666)</f>
        <v>44932.666666666599</v>
      </c>
      <c r="B1013" s="1">
        <f ca="1">IFERROR(__xludf.UNSUPPORTED("""COMPUTED_VALUE"""),224.93)</f>
        <v>224.93</v>
      </c>
      <c r="C1013" s="2">
        <f t="shared" ca="1" si="3"/>
        <v>1.1785344788808442E-2</v>
      </c>
    </row>
    <row r="1014" spans="1:3">
      <c r="A1014" s="3">
        <f ca="1">IFERROR(__xludf.UNSUPPORTED("""COMPUTED_VALUE"""),44935.6666666666)</f>
        <v>44935.666666666599</v>
      </c>
      <c r="B1014" s="1">
        <f ca="1">IFERROR(__xludf.UNSUPPORTED("""COMPUTED_VALUE"""),227.12)</f>
        <v>227.12</v>
      </c>
      <c r="C1014" s="2">
        <f t="shared" ca="1" si="3"/>
        <v>9.7363624238651914E-3</v>
      </c>
    </row>
    <row r="1015" spans="1:3">
      <c r="A1015" s="3">
        <f ca="1">IFERROR(__xludf.UNSUPPORTED("""COMPUTED_VALUE"""),44936.6666666666)</f>
        <v>44936.666666666599</v>
      </c>
      <c r="B1015" s="1">
        <f ca="1">IFERROR(__xludf.UNSUPPORTED("""COMPUTED_VALUE"""),228.85)</f>
        <v>228.85</v>
      </c>
      <c r="C1015" s="2">
        <f t="shared" ca="1" si="3"/>
        <v>7.6171187037688878E-3</v>
      </c>
    </row>
    <row r="1016" spans="1:3">
      <c r="A1016" s="3">
        <f ca="1">IFERROR(__xludf.UNSUPPORTED("""COMPUTED_VALUE"""),44937.6666666666)</f>
        <v>44937.666666666599</v>
      </c>
      <c r="B1016" s="1">
        <f ca="1">IFERROR(__xludf.UNSUPPORTED("""COMPUTED_VALUE"""),235.77)</f>
        <v>235.77</v>
      </c>
      <c r="C1016" s="2">
        <f t="shared" ca="1" si="3"/>
        <v>3.0238147258029348E-2</v>
      </c>
    </row>
    <row r="1017" spans="1:3">
      <c r="A1017" s="3">
        <f ca="1">IFERROR(__xludf.UNSUPPORTED("""COMPUTED_VALUE"""),44938.6666666666)</f>
        <v>44938.666666666599</v>
      </c>
      <c r="B1017" s="1">
        <f ca="1">IFERROR(__xludf.UNSUPPORTED("""COMPUTED_VALUE"""),238.51)</f>
        <v>238.51</v>
      </c>
      <c r="C1017" s="2">
        <f t="shared" ca="1" si="3"/>
        <v>1.1621495525299999E-2</v>
      </c>
    </row>
    <row r="1018" spans="1:3">
      <c r="A1018" s="3">
        <f ca="1">IFERROR(__xludf.UNSUPPORTED("""COMPUTED_VALUE"""),44939.6666666666)</f>
        <v>44939.666666666599</v>
      </c>
      <c r="B1018" s="1">
        <f ca="1">IFERROR(__xludf.UNSUPPORTED("""COMPUTED_VALUE"""),239.23)</f>
        <v>239.23</v>
      </c>
      <c r="C1018" s="2">
        <f t="shared" ca="1" si="3"/>
        <v>3.018741352563829E-3</v>
      </c>
    </row>
    <row r="1019" spans="1:3">
      <c r="A1019" s="3">
        <f ca="1">IFERROR(__xludf.UNSUPPORTED("""COMPUTED_VALUE"""),44943.6666666666)</f>
        <v>44943.666666666599</v>
      </c>
      <c r="B1019" s="1">
        <f ca="1">IFERROR(__xludf.UNSUPPORTED("""COMPUTED_VALUE"""),240.35)</f>
        <v>240.35</v>
      </c>
      <c r="C1019" s="2">
        <f t="shared" ca="1" si="3"/>
        <v>4.6816870793796959E-3</v>
      </c>
    </row>
    <row r="1020" spans="1:3">
      <c r="A1020" s="3">
        <f ca="1">IFERROR(__xludf.UNSUPPORTED("""COMPUTED_VALUE"""),44944.6666666666)</f>
        <v>44944.666666666599</v>
      </c>
      <c r="B1020" s="1">
        <f ca="1">IFERROR(__xludf.UNSUPPORTED("""COMPUTED_VALUE"""),235.81)</f>
        <v>235.81</v>
      </c>
      <c r="C1020" s="2">
        <f t="shared" ca="1" si="3"/>
        <v>-1.8889120033284759E-2</v>
      </c>
    </row>
    <row r="1021" spans="1:3">
      <c r="A1021" s="3">
        <f ca="1">IFERROR(__xludf.UNSUPPORTED("""COMPUTED_VALUE"""),44945.6666666666)</f>
        <v>44945.666666666599</v>
      </c>
      <c r="B1021" s="1">
        <f ca="1">IFERROR(__xludf.UNSUPPORTED("""COMPUTED_VALUE"""),231.93)</f>
        <v>231.93</v>
      </c>
      <c r="C1021" s="2">
        <f t="shared" ca="1" si="3"/>
        <v>-1.6453924769941883E-2</v>
      </c>
    </row>
    <row r="1022" spans="1:3">
      <c r="A1022" s="3">
        <f ca="1">IFERROR(__xludf.UNSUPPORTED("""COMPUTED_VALUE"""),44946.6666666666)</f>
        <v>44946.666666666599</v>
      </c>
      <c r="B1022" s="1">
        <f ca="1">IFERROR(__xludf.UNSUPPORTED("""COMPUTED_VALUE"""),240.22)</f>
        <v>240.22</v>
      </c>
      <c r="C1022" s="2">
        <f t="shared" ca="1" si="3"/>
        <v>3.5743543310481574E-2</v>
      </c>
    </row>
    <row r="1023" spans="1:3">
      <c r="A1023" s="3">
        <f ca="1">IFERROR(__xludf.UNSUPPORTED("""COMPUTED_VALUE"""),44949.6666666666)</f>
        <v>44949.666666666599</v>
      </c>
      <c r="B1023" s="1">
        <f ca="1">IFERROR(__xludf.UNSUPPORTED("""COMPUTED_VALUE"""),242.58)</f>
        <v>242.58</v>
      </c>
      <c r="C1023" s="2">
        <f t="shared" ref="C1023:C1277" ca="1" si="4">(B1023-B1022)/B1022</f>
        <v>9.8243276996087484E-3</v>
      </c>
    </row>
    <row r="1024" spans="1:3">
      <c r="A1024" s="3">
        <f ca="1">IFERROR(__xludf.UNSUPPORTED("""COMPUTED_VALUE"""),44950.6666666666)</f>
        <v>44950.666666666599</v>
      </c>
      <c r="B1024" s="1">
        <f ca="1">IFERROR(__xludf.UNSUPPORTED("""COMPUTED_VALUE"""),242.04)</f>
        <v>242.04</v>
      </c>
      <c r="C1024" s="2">
        <f t="shared" ca="1" si="4"/>
        <v>-2.2260697501855901E-3</v>
      </c>
    </row>
    <row r="1025" spans="1:3">
      <c r="A1025" s="3">
        <f ca="1">IFERROR(__xludf.UNSUPPORTED("""COMPUTED_VALUE"""),44951.6666666666)</f>
        <v>44951.666666666599</v>
      </c>
      <c r="B1025" s="1">
        <f ca="1">IFERROR(__xludf.UNSUPPORTED("""COMPUTED_VALUE"""),240.61)</f>
        <v>240.61</v>
      </c>
      <c r="C1025" s="2">
        <f t="shared" ca="1" si="4"/>
        <v>-5.908114361262512E-3</v>
      </c>
    </row>
    <row r="1026" spans="1:3">
      <c r="A1026" s="3">
        <f ca="1">IFERROR(__xludf.UNSUPPORTED("""COMPUTED_VALUE"""),44952.6666666666)</f>
        <v>44952.666666666599</v>
      </c>
      <c r="B1026" s="1">
        <f ca="1">IFERROR(__xludf.UNSUPPORTED("""COMPUTED_VALUE"""),248)</f>
        <v>248</v>
      </c>
      <c r="C1026" s="2">
        <f t="shared" ca="1" si="4"/>
        <v>3.0713602925896619E-2</v>
      </c>
    </row>
    <row r="1027" spans="1:3">
      <c r="A1027" s="3">
        <f ca="1">IFERROR(__xludf.UNSUPPORTED("""COMPUTED_VALUE"""),44953.6666666666)</f>
        <v>44953.666666666599</v>
      </c>
      <c r="B1027" s="1">
        <f ca="1">IFERROR(__xludf.UNSUPPORTED("""COMPUTED_VALUE"""),248.16)</f>
        <v>248.16</v>
      </c>
      <c r="C1027" s="2">
        <f t="shared" ca="1" si="4"/>
        <v>6.4516129032256688E-4</v>
      </c>
    </row>
    <row r="1028" spans="1:3">
      <c r="A1028" s="3">
        <f ca="1">IFERROR(__xludf.UNSUPPORTED("""COMPUTED_VALUE"""),44956.6666666666)</f>
        <v>44956.666666666599</v>
      </c>
      <c r="B1028" s="1">
        <f ca="1">IFERROR(__xludf.UNSUPPORTED("""COMPUTED_VALUE"""),242.71)</f>
        <v>242.71</v>
      </c>
      <c r="C1028" s="2">
        <f t="shared" ca="1" si="4"/>
        <v>-2.1961637653126968E-2</v>
      </c>
    </row>
    <row r="1029" spans="1:3">
      <c r="A1029" s="3">
        <f ca="1">IFERROR(__xludf.UNSUPPORTED("""COMPUTED_VALUE"""),44957.6666666666)</f>
        <v>44957.666666666599</v>
      </c>
      <c r="B1029" s="1">
        <f ca="1">IFERROR(__xludf.UNSUPPORTED("""COMPUTED_VALUE"""),247.81)</f>
        <v>247.81</v>
      </c>
      <c r="C1029" s="2">
        <f t="shared" ca="1" si="4"/>
        <v>2.1012731243047235E-2</v>
      </c>
    </row>
    <row r="1030" spans="1:3">
      <c r="A1030" s="3">
        <f ca="1">IFERROR(__xludf.UNSUPPORTED("""COMPUTED_VALUE"""),44958.6666666666)</f>
        <v>44958.666666666599</v>
      </c>
      <c r="B1030" s="1">
        <f ca="1">IFERROR(__xludf.UNSUPPORTED("""COMPUTED_VALUE"""),252.75)</f>
        <v>252.75</v>
      </c>
      <c r="C1030" s="2">
        <f t="shared" ca="1" si="4"/>
        <v>1.9934627335458609E-2</v>
      </c>
    </row>
    <row r="1031" spans="1:3">
      <c r="A1031" s="3">
        <f ca="1">IFERROR(__xludf.UNSUPPORTED("""COMPUTED_VALUE"""),44959.6666666666)</f>
        <v>44959.666666666599</v>
      </c>
      <c r="B1031" s="1">
        <f ca="1">IFERROR(__xludf.UNSUPPORTED("""COMPUTED_VALUE"""),264.6)</f>
        <v>264.60000000000002</v>
      </c>
      <c r="C1031" s="2">
        <f t="shared" ca="1" si="4"/>
        <v>4.6884272997032732E-2</v>
      </c>
    </row>
    <row r="1032" spans="1:3">
      <c r="A1032" s="3">
        <f ca="1">IFERROR(__xludf.UNSUPPORTED("""COMPUTED_VALUE"""),44960.6666666666)</f>
        <v>44960.666666666599</v>
      </c>
      <c r="B1032" s="1">
        <f ca="1">IFERROR(__xludf.UNSUPPORTED("""COMPUTED_VALUE"""),258.35)</f>
        <v>258.35000000000002</v>
      </c>
      <c r="C1032" s="2">
        <f t="shared" ca="1" si="4"/>
        <v>-2.3620559334845047E-2</v>
      </c>
    </row>
    <row r="1033" spans="1:3">
      <c r="A1033" s="3">
        <f ca="1">IFERROR(__xludf.UNSUPPORTED("""COMPUTED_VALUE"""),44963.6666666666)</f>
        <v>44963.666666666599</v>
      </c>
      <c r="B1033" s="1">
        <f ca="1">IFERROR(__xludf.UNSUPPORTED("""COMPUTED_VALUE"""),256.77)</f>
        <v>256.77</v>
      </c>
      <c r="C1033" s="2">
        <f t="shared" ca="1" si="4"/>
        <v>-6.1157344687441098E-3</v>
      </c>
    </row>
    <row r="1034" spans="1:3">
      <c r="A1034" s="3">
        <f ca="1">IFERROR(__xludf.UNSUPPORTED("""COMPUTED_VALUE"""),44964.6666666666)</f>
        <v>44964.666666666599</v>
      </c>
      <c r="B1034" s="1">
        <f ca="1">IFERROR(__xludf.UNSUPPORTED("""COMPUTED_VALUE"""),267.56)</f>
        <v>267.56</v>
      </c>
      <c r="C1034" s="2">
        <f t="shared" ca="1" si="4"/>
        <v>4.2022043073567869E-2</v>
      </c>
    </row>
    <row r="1035" spans="1:3">
      <c r="A1035" s="3">
        <f ca="1">IFERROR(__xludf.UNSUPPORTED("""COMPUTED_VALUE"""),44965.6666666666)</f>
        <v>44965.666666666599</v>
      </c>
      <c r="B1035" s="1">
        <f ca="1">IFERROR(__xludf.UNSUPPORTED("""COMPUTED_VALUE"""),266.73)</f>
        <v>266.73</v>
      </c>
      <c r="C1035" s="2">
        <f t="shared" ca="1" si="4"/>
        <v>-3.1021079384062791E-3</v>
      </c>
    </row>
    <row r="1036" spans="1:3">
      <c r="A1036" s="3">
        <f ca="1">IFERROR(__xludf.UNSUPPORTED("""COMPUTED_VALUE"""),44966.6666666666)</f>
        <v>44966.666666666599</v>
      </c>
      <c r="B1036" s="1">
        <f ca="1">IFERROR(__xludf.UNSUPPORTED("""COMPUTED_VALUE"""),263.62)</f>
        <v>263.62</v>
      </c>
      <c r="C1036" s="2">
        <f t="shared" ca="1" si="4"/>
        <v>-1.1659730813931742E-2</v>
      </c>
    </row>
    <row r="1037" spans="1:3">
      <c r="A1037" s="3">
        <f ca="1">IFERROR(__xludf.UNSUPPORTED("""COMPUTED_VALUE"""),44967.6666666666)</f>
        <v>44967.666666666599</v>
      </c>
      <c r="B1037" s="1">
        <f ca="1">IFERROR(__xludf.UNSUPPORTED("""COMPUTED_VALUE"""),263.1)</f>
        <v>263.10000000000002</v>
      </c>
      <c r="C1037" s="2">
        <f t="shared" ca="1" si="4"/>
        <v>-1.9725362263863962E-3</v>
      </c>
    </row>
    <row r="1038" spans="1:3">
      <c r="A1038" s="3">
        <f ca="1">IFERROR(__xludf.UNSUPPORTED("""COMPUTED_VALUE"""),44970.6666666666)</f>
        <v>44970.666666666599</v>
      </c>
      <c r="B1038" s="1">
        <f ca="1">IFERROR(__xludf.UNSUPPORTED("""COMPUTED_VALUE"""),271.32)</f>
        <v>271.32</v>
      </c>
      <c r="C1038" s="2">
        <f t="shared" ca="1" si="4"/>
        <v>3.1242873432154959E-2</v>
      </c>
    </row>
    <row r="1039" spans="1:3">
      <c r="A1039" s="3">
        <f ca="1">IFERROR(__xludf.UNSUPPORTED("""COMPUTED_VALUE"""),44971.6666666666)</f>
        <v>44971.666666666599</v>
      </c>
      <c r="B1039" s="1">
        <f ca="1">IFERROR(__xludf.UNSUPPORTED("""COMPUTED_VALUE"""),272.17)</f>
        <v>272.17</v>
      </c>
      <c r="C1039" s="2">
        <f t="shared" ca="1" si="4"/>
        <v>3.1328320802005852E-3</v>
      </c>
    </row>
    <row r="1040" spans="1:3">
      <c r="A1040" s="3">
        <f ca="1">IFERROR(__xludf.UNSUPPORTED("""COMPUTED_VALUE"""),44972.6666666666)</f>
        <v>44972.666666666599</v>
      </c>
      <c r="B1040" s="1">
        <f ca="1">IFERROR(__xludf.UNSUPPORTED("""COMPUTED_VALUE"""),269.32)</f>
        <v>269.32</v>
      </c>
      <c r="C1040" s="2">
        <f t="shared" ca="1" si="4"/>
        <v>-1.0471396553624656E-2</v>
      </c>
    </row>
    <row r="1041" spans="1:3">
      <c r="A1041" s="3">
        <f ca="1">IFERROR(__xludf.UNSUPPORTED("""COMPUTED_VALUE"""),44973.6666666666)</f>
        <v>44973.666666666599</v>
      </c>
      <c r="B1041" s="1">
        <f ca="1">IFERROR(__xludf.UNSUPPORTED("""COMPUTED_VALUE"""),262.15)</f>
        <v>262.14999999999998</v>
      </c>
      <c r="C1041" s="2">
        <f t="shared" ca="1" si="4"/>
        <v>-2.662260507945944E-2</v>
      </c>
    </row>
    <row r="1042" spans="1:3">
      <c r="A1042" s="3">
        <f ca="1">IFERROR(__xludf.UNSUPPORTED("""COMPUTED_VALUE"""),44974.6666666666)</f>
        <v>44974.666666666599</v>
      </c>
      <c r="B1042" s="1">
        <f ca="1">IFERROR(__xludf.UNSUPPORTED("""COMPUTED_VALUE"""),258.06)</f>
        <v>258.06</v>
      </c>
      <c r="C1042" s="2">
        <f t="shared" ca="1" si="4"/>
        <v>-1.5601754720579727E-2</v>
      </c>
    </row>
    <row r="1043" spans="1:3">
      <c r="A1043" s="3">
        <f ca="1">IFERROR(__xludf.UNSUPPORTED("""COMPUTED_VALUE"""),44978.6666666666)</f>
        <v>44978.666666666599</v>
      </c>
      <c r="B1043" s="1">
        <f ca="1">IFERROR(__xludf.UNSUPPORTED("""COMPUTED_VALUE"""),252.67)</f>
        <v>252.67</v>
      </c>
      <c r="C1043" s="2">
        <f t="shared" ca="1" si="4"/>
        <v>-2.0886615515771582E-2</v>
      </c>
    </row>
    <row r="1044" spans="1:3">
      <c r="A1044" s="3">
        <f ca="1">IFERROR(__xludf.UNSUPPORTED("""COMPUTED_VALUE"""),44979.6666666666)</f>
        <v>44979.666666666599</v>
      </c>
      <c r="B1044" s="1">
        <f ca="1">IFERROR(__xludf.UNSUPPORTED("""COMPUTED_VALUE"""),251.51)</f>
        <v>251.51</v>
      </c>
      <c r="C1044" s="2">
        <f t="shared" ca="1" si="4"/>
        <v>-4.590968456880503E-3</v>
      </c>
    </row>
    <row r="1045" spans="1:3">
      <c r="A1045" s="3">
        <f ca="1">IFERROR(__xludf.UNSUPPORTED("""COMPUTED_VALUE"""),44980.6666666666)</f>
        <v>44980.666666666599</v>
      </c>
      <c r="B1045" s="1">
        <f ca="1">IFERROR(__xludf.UNSUPPORTED("""COMPUTED_VALUE"""),254.77)</f>
        <v>254.77</v>
      </c>
      <c r="C1045" s="2">
        <f t="shared" ca="1" si="4"/>
        <v>1.2961711263965725E-2</v>
      </c>
    </row>
    <row r="1046" spans="1:3">
      <c r="A1046" s="3">
        <f ca="1">IFERROR(__xludf.UNSUPPORTED("""COMPUTED_VALUE"""),44981.6666666666)</f>
        <v>44981.666666666599</v>
      </c>
      <c r="B1046" s="1">
        <f ca="1">IFERROR(__xludf.UNSUPPORTED("""COMPUTED_VALUE"""),249.22)</f>
        <v>249.22</v>
      </c>
      <c r="C1046" s="2">
        <f t="shared" ca="1" si="4"/>
        <v>-2.1784354515837857E-2</v>
      </c>
    </row>
    <row r="1047" spans="1:3">
      <c r="A1047" s="3">
        <f ca="1">IFERROR(__xludf.UNSUPPORTED("""COMPUTED_VALUE"""),44984.6666666666)</f>
        <v>44984.666666666599</v>
      </c>
      <c r="B1047" s="1">
        <f ca="1">IFERROR(__xludf.UNSUPPORTED("""COMPUTED_VALUE"""),250.16)</f>
        <v>250.16</v>
      </c>
      <c r="C1047" s="2">
        <f t="shared" ca="1" si="4"/>
        <v>3.7717679158975914E-3</v>
      </c>
    </row>
    <row r="1048" spans="1:3">
      <c r="A1048" s="3">
        <f ca="1">IFERROR(__xludf.UNSUPPORTED("""COMPUTED_VALUE"""),44985.6666666666)</f>
        <v>44985.666666666599</v>
      </c>
      <c r="B1048" s="1">
        <f ca="1">IFERROR(__xludf.UNSUPPORTED("""COMPUTED_VALUE"""),249.42)</f>
        <v>249.42</v>
      </c>
      <c r="C1048" s="2">
        <f t="shared" ca="1" si="4"/>
        <v>-2.9581068116405866E-3</v>
      </c>
    </row>
    <row r="1049" spans="1:3">
      <c r="A1049" s="3">
        <f ca="1">IFERROR(__xludf.UNSUPPORTED("""COMPUTED_VALUE"""),44986.6666666666)</f>
        <v>44986.666666666599</v>
      </c>
      <c r="B1049" s="1">
        <f ca="1">IFERROR(__xludf.UNSUPPORTED("""COMPUTED_VALUE"""),246.27)</f>
        <v>246.27</v>
      </c>
      <c r="C1049" s="2">
        <f t="shared" ca="1" si="4"/>
        <v>-1.26292999759441E-2</v>
      </c>
    </row>
    <row r="1050" spans="1:3">
      <c r="A1050" s="3">
        <f ca="1">IFERROR(__xludf.UNSUPPORTED("""COMPUTED_VALUE"""),44987.6666666666)</f>
        <v>44987.666666666599</v>
      </c>
      <c r="B1050" s="1">
        <f ca="1">IFERROR(__xludf.UNSUPPORTED("""COMPUTED_VALUE"""),251.11)</f>
        <v>251.11</v>
      </c>
      <c r="C1050" s="2">
        <f t="shared" ca="1" si="4"/>
        <v>1.965322613391807E-2</v>
      </c>
    </row>
    <row r="1051" spans="1:3">
      <c r="A1051" s="3">
        <f ca="1">IFERROR(__xludf.UNSUPPORTED("""COMPUTED_VALUE"""),44988.6666666666)</f>
        <v>44988.666666666599</v>
      </c>
      <c r="B1051" s="1">
        <f ca="1">IFERROR(__xludf.UNSUPPORTED("""COMPUTED_VALUE"""),255.29)</f>
        <v>255.29</v>
      </c>
      <c r="C1051" s="2">
        <f t="shared" ca="1" si="4"/>
        <v>1.6646091354386439E-2</v>
      </c>
    </row>
    <row r="1052" spans="1:3">
      <c r="A1052" s="3">
        <f ca="1">IFERROR(__xludf.UNSUPPORTED("""COMPUTED_VALUE"""),44991.6666666666)</f>
        <v>44991.666666666599</v>
      </c>
      <c r="B1052" s="1">
        <f ca="1">IFERROR(__xludf.UNSUPPORTED("""COMPUTED_VALUE"""),256.87)</f>
        <v>256.87</v>
      </c>
      <c r="C1052" s="2">
        <f t="shared" ca="1" si="4"/>
        <v>6.1890399153903897E-3</v>
      </c>
    </row>
    <row r="1053" spans="1:3">
      <c r="A1053" s="3">
        <f ca="1">IFERROR(__xludf.UNSUPPORTED("""COMPUTED_VALUE"""),44992.6666666666)</f>
        <v>44992.666666666599</v>
      </c>
      <c r="B1053" s="1">
        <f ca="1">IFERROR(__xludf.UNSUPPORTED("""COMPUTED_VALUE"""),254.15)</f>
        <v>254.15</v>
      </c>
      <c r="C1053" s="2">
        <f t="shared" ca="1" si="4"/>
        <v>-1.0589013898080736E-2</v>
      </c>
    </row>
    <row r="1054" spans="1:3">
      <c r="A1054" s="3">
        <f ca="1">IFERROR(__xludf.UNSUPPORTED("""COMPUTED_VALUE"""),44993.6666666666)</f>
        <v>44993.666666666599</v>
      </c>
      <c r="B1054" s="1">
        <f ca="1">IFERROR(__xludf.UNSUPPORTED("""COMPUTED_VALUE"""),253.7)</f>
        <v>253.7</v>
      </c>
      <c r="C1054" s="2">
        <f t="shared" ca="1" si="4"/>
        <v>-1.7706079087153926E-3</v>
      </c>
    </row>
    <row r="1055" spans="1:3">
      <c r="A1055" s="3">
        <f ca="1">IFERROR(__xludf.UNSUPPORTED("""COMPUTED_VALUE"""),44994.6666666666)</f>
        <v>44994.666666666599</v>
      </c>
      <c r="B1055" s="1">
        <f ca="1">IFERROR(__xludf.UNSUPPORTED("""COMPUTED_VALUE"""),252.32)</f>
        <v>252.32</v>
      </c>
      <c r="C1055" s="2">
        <f t="shared" ca="1" si="4"/>
        <v>-5.4394954670870929E-3</v>
      </c>
    </row>
    <row r="1056" spans="1:3">
      <c r="A1056" s="3">
        <f ca="1">IFERROR(__xludf.UNSUPPORTED("""COMPUTED_VALUE"""),44995.6666666666)</f>
        <v>44995.666666666599</v>
      </c>
      <c r="B1056" s="1">
        <f ca="1">IFERROR(__xludf.UNSUPPORTED("""COMPUTED_VALUE"""),248.59)</f>
        <v>248.59</v>
      </c>
      <c r="C1056" s="2">
        <f t="shared" ca="1" si="4"/>
        <v>-1.4782815472415939E-2</v>
      </c>
    </row>
    <row r="1057" spans="1:3">
      <c r="A1057" s="3">
        <f ca="1">IFERROR(__xludf.UNSUPPORTED("""COMPUTED_VALUE"""),44998.6666666666)</f>
        <v>44998.666666666599</v>
      </c>
      <c r="B1057" s="1">
        <f ca="1">IFERROR(__xludf.UNSUPPORTED("""COMPUTED_VALUE"""),253.92)</f>
        <v>253.92</v>
      </c>
      <c r="C1057" s="2">
        <f t="shared" ca="1" si="4"/>
        <v>2.1440926827305942E-2</v>
      </c>
    </row>
    <row r="1058" spans="1:3">
      <c r="A1058" s="3">
        <f ca="1">IFERROR(__xludf.UNSUPPORTED("""COMPUTED_VALUE"""),44999.6666666666)</f>
        <v>44999.666666666599</v>
      </c>
      <c r="B1058" s="1">
        <f ca="1">IFERROR(__xludf.UNSUPPORTED("""COMPUTED_VALUE"""),260.79)</f>
        <v>260.79000000000002</v>
      </c>
      <c r="C1058" s="2">
        <f t="shared" ca="1" si="4"/>
        <v>2.7055765595463268E-2</v>
      </c>
    </row>
    <row r="1059" spans="1:3">
      <c r="A1059" s="3">
        <f ca="1">IFERROR(__xludf.UNSUPPORTED("""COMPUTED_VALUE"""),45000.6666666666)</f>
        <v>45000.666666666599</v>
      </c>
      <c r="B1059" s="1">
        <f ca="1">IFERROR(__xludf.UNSUPPORTED("""COMPUTED_VALUE"""),265.44)</f>
        <v>265.44</v>
      </c>
      <c r="C1059" s="2">
        <f t="shared" ca="1" si="4"/>
        <v>1.7830438283676434E-2</v>
      </c>
    </row>
    <row r="1060" spans="1:3">
      <c r="A1060" s="3">
        <f ca="1">IFERROR(__xludf.UNSUPPORTED("""COMPUTED_VALUE"""),45001.6666666666)</f>
        <v>45001.666666666599</v>
      </c>
      <c r="B1060" s="1">
        <f ca="1">IFERROR(__xludf.UNSUPPORTED("""COMPUTED_VALUE"""),276.2)</f>
        <v>276.2</v>
      </c>
      <c r="C1060" s="2">
        <f t="shared" ca="1" si="4"/>
        <v>4.053646775165759E-2</v>
      </c>
    </row>
    <row r="1061" spans="1:3">
      <c r="A1061" s="3">
        <f ca="1">IFERROR(__xludf.UNSUPPORTED("""COMPUTED_VALUE"""),45002.6666666666)</f>
        <v>45002.666666666599</v>
      </c>
      <c r="B1061" s="1">
        <f ca="1">IFERROR(__xludf.UNSUPPORTED("""COMPUTED_VALUE"""),279.43)</f>
        <v>279.43</v>
      </c>
      <c r="C1061" s="2">
        <f t="shared" ca="1" si="4"/>
        <v>1.1694424330195578E-2</v>
      </c>
    </row>
    <row r="1062" spans="1:3">
      <c r="A1062" s="3">
        <f ca="1">IFERROR(__xludf.UNSUPPORTED("""COMPUTED_VALUE"""),45005.6666666666)</f>
        <v>45005.666666666599</v>
      </c>
      <c r="B1062" s="1">
        <f ca="1">IFERROR(__xludf.UNSUPPORTED("""COMPUTED_VALUE"""),272.23)</f>
        <v>272.23</v>
      </c>
      <c r="C1062" s="2">
        <f t="shared" ca="1" si="4"/>
        <v>-2.5766739433847434E-2</v>
      </c>
    </row>
    <row r="1063" spans="1:3">
      <c r="A1063" s="3">
        <f ca="1">IFERROR(__xludf.UNSUPPORTED("""COMPUTED_VALUE"""),45006.6666666666)</f>
        <v>45006.666666666599</v>
      </c>
      <c r="B1063" s="1">
        <f ca="1">IFERROR(__xludf.UNSUPPORTED("""COMPUTED_VALUE"""),273.78)</f>
        <v>273.77999999999997</v>
      </c>
      <c r="C1063" s="2">
        <f t="shared" ca="1" si="4"/>
        <v>5.6937148734524275E-3</v>
      </c>
    </row>
    <row r="1064" spans="1:3">
      <c r="A1064" s="3">
        <f ca="1">IFERROR(__xludf.UNSUPPORTED("""COMPUTED_VALUE"""),45007.6666666666)</f>
        <v>45007.666666666599</v>
      </c>
      <c r="B1064" s="1">
        <f ca="1">IFERROR(__xludf.UNSUPPORTED("""COMPUTED_VALUE"""),272.29)</f>
        <v>272.29000000000002</v>
      </c>
      <c r="C1064" s="2">
        <f t="shared" ca="1" si="4"/>
        <v>-5.4423259551462941E-3</v>
      </c>
    </row>
    <row r="1065" spans="1:3">
      <c r="A1065" s="3">
        <f ca="1">IFERROR(__xludf.UNSUPPORTED("""COMPUTED_VALUE"""),45008.6666666666)</f>
        <v>45008.666666666599</v>
      </c>
      <c r="B1065" s="1">
        <f ca="1">IFERROR(__xludf.UNSUPPORTED("""COMPUTED_VALUE"""),277.66)</f>
        <v>277.66000000000003</v>
      </c>
      <c r="C1065" s="2">
        <f t="shared" ca="1" si="4"/>
        <v>1.9721620331264476E-2</v>
      </c>
    </row>
    <row r="1066" spans="1:3">
      <c r="A1066" s="3">
        <f ca="1">IFERROR(__xludf.UNSUPPORTED("""COMPUTED_VALUE"""),45009.6666666666)</f>
        <v>45009.666666666599</v>
      </c>
      <c r="B1066" s="1">
        <f ca="1">IFERROR(__xludf.UNSUPPORTED("""COMPUTED_VALUE"""),280.57)</f>
        <v>280.57</v>
      </c>
      <c r="C1066" s="2">
        <f t="shared" ca="1" si="4"/>
        <v>1.0480443708132132E-2</v>
      </c>
    </row>
    <row r="1067" spans="1:3">
      <c r="A1067" s="3">
        <f ca="1">IFERROR(__xludf.UNSUPPORTED("""COMPUTED_VALUE"""),45012.6666666666)</f>
        <v>45012.666666666599</v>
      </c>
      <c r="B1067" s="1">
        <f ca="1">IFERROR(__xludf.UNSUPPORTED("""COMPUTED_VALUE"""),276.38)</f>
        <v>276.38</v>
      </c>
      <c r="C1067" s="2">
        <f t="shared" ca="1" si="4"/>
        <v>-1.49338845920804E-2</v>
      </c>
    </row>
    <row r="1068" spans="1:3">
      <c r="A1068" s="3">
        <f ca="1">IFERROR(__xludf.UNSUPPORTED("""COMPUTED_VALUE"""),45013.6666666666)</f>
        <v>45013.666666666599</v>
      </c>
      <c r="B1068" s="1">
        <f ca="1">IFERROR(__xludf.UNSUPPORTED("""COMPUTED_VALUE"""),275.23)</f>
        <v>275.23</v>
      </c>
      <c r="C1068" s="2">
        <f t="shared" ca="1" si="4"/>
        <v>-4.1609378392068064E-3</v>
      </c>
    </row>
    <row r="1069" spans="1:3">
      <c r="A1069" s="3">
        <f ca="1">IFERROR(__xludf.UNSUPPORTED("""COMPUTED_VALUE"""),45014.6666666666)</f>
        <v>45014.666666666599</v>
      </c>
      <c r="B1069" s="1">
        <f ca="1">IFERROR(__xludf.UNSUPPORTED("""COMPUTED_VALUE"""),280.51)</f>
        <v>280.51</v>
      </c>
      <c r="C1069" s="2">
        <f t="shared" ca="1" si="4"/>
        <v>1.918395523743768E-2</v>
      </c>
    </row>
    <row r="1070" spans="1:3">
      <c r="A1070" s="3">
        <f ca="1">IFERROR(__xludf.UNSUPPORTED("""COMPUTED_VALUE"""),45015.6666666666)</f>
        <v>45015.666666666599</v>
      </c>
      <c r="B1070" s="1">
        <f ca="1">IFERROR(__xludf.UNSUPPORTED("""COMPUTED_VALUE"""),284.05)</f>
        <v>284.05</v>
      </c>
      <c r="C1070" s="2">
        <f t="shared" ca="1" si="4"/>
        <v>1.2619870949342343E-2</v>
      </c>
    </row>
    <row r="1071" spans="1:3">
      <c r="A1071" s="3">
        <f ca="1">IFERROR(__xludf.UNSUPPORTED("""COMPUTED_VALUE"""),45016.6666666666)</f>
        <v>45016.666666666599</v>
      </c>
      <c r="B1071" s="1">
        <f ca="1">IFERROR(__xludf.UNSUPPORTED("""COMPUTED_VALUE"""),288.3)</f>
        <v>288.3</v>
      </c>
      <c r="C1071" s="2">
        <f t="shared" ca="1" si="4"/>
        <v>1.4962154550255236E-2</v>
      </c>
    </row>
    <row r="1072" spans="1:3">
      <c r="A1072" s="3">
        <f ca="1">IFERROR(__xludf.UNSUPPORTED("""COMPUTED_VALUE"""),45019.6666666666)</f>
        <v>45019.666666666599</v>
      </c>
      <c r="B1072" s="1">
        <f ca="1">IFERROR(__xludf.UNSUPPORTED("""COMPUTED_VALUE"""),287.23)</f>
        <v>287.23</v>
      </c>
      <c r="C1072" s="2">
        <f t="shared" ca="1" si="4"/>
        <v>-3.7114117238986927E-3</v>
      </c>
    </row>
    <row r="1073" spans="1:3">
      <c r="A1073" s="3">
        <f ca="1">IFERROR(__xludf.UNSUPPORTED("""COMPUTED_VALUE"""),45020.6666666666)</f>
        <v>45020.666666666599</v>
      </c>
      <c r="B1073" s="1">
        <f ca="1">IFERROR(__xludf.UNSUPPORTED("""COMPUTED_VALUE"""),287.18)</f>
        <v>287.18</v>
      </c>
      <c r="C1073" s="2">
        <f t="shared" ca="1" si="4"/>
        <v>-1.7407652404000755E-4</v>
      </c>
    </row>
    <row r="1074" spans="1:3">
      <c r="A1074" s="3">
        <f ca="1">IFERROR(__xludf.UNSUPPORTED("""COMPUTED_VALUE"""),45021.6666666666)</f>
        <v>45021.666666666599</v>
      </c>
      <c r="B1074" s="1">
        <f ca="1">IFERROR(__xludf.UNSUPPORTED("""COMPUTED_VALUE"""),284.34)</f>
        <v>284.33999999999997</v>
      </c>
      <c r="C1074" s="2">
        <f t="shared" ca="1" si="4"/>
        <v>-9.889268054878584E-3</v>
      </c>
    </row>
    <row r="1075" spans="1:3">
      <c r="A1075" s="3">
        <f ca="1">IFERROR(__xludf.UNSUPPORTED("""COMPUTED_VALUE"""),45022.6666666666)</f>
        <v>45022.666666666599</v>
      </c>
      <c r="B1075" s="1">
        <f ca="1">IFERROR(__xludf.UNSUPPORTED("""COMPUTED_VALUE"""),291.6)</f>
        <v>291.60000000000002</v>
      </c>
      <c r="C1075" s="2">
        <f t="shared" ca="1" si="4"/>
        <v>2.553281282971108E-2</v>
      </c>
    </row>
    <row r="1076" spans="1:3">
      <c r="A1076" s="3">
        <f ca="1">IFERROR(__xludf.UNSUPPORTED("""COMPUTED_VALUE"""),45026.6666666666)</f>
        <v>45026.666666666599</v>
      </c>
      <c r="B1076" s="1">
        <f ca="1">IFERROR(__xludf.UNSUPPORTED("""COMPUTED_VALUE"""),289.39)</f>
        <v>289.39</v>
      </c>
      <c r="C1076" s="2">
        <f t="shared" ca="1" si="4"/>
        <v>-7.5788751714678882E-3</v>
      </c>
    </row>
    <row r="1077" spans="1:3">
      <c r="A1077" s="3">
        <f ca="1">IFERROR(__xludf.UNSUPPORTED("""COMPUTED_VALUE"""),45027.6666666666)</f>
        <v>45027.666666666599</v>
      </c>
      <c r="B1077" s="1">
        <f ca="1">IFERROR(__xludf.UNSUPPORTED("""COMPUTED_VALUE"""),282.83)</f>
        <v>282.83</v>
      </c>
      <c r="C1077" s="2">
        <f t="shared" ca="1" si="4"/>
        <v>-2.266837140191438E-2</v>
      </c>
    </row>
    <row r="1078" spans="1:3">
      <c r="A1078" s="3">
        <f ca="1">IFERROR(__xludf.UNSUPPORTED("""COMPUTED_VALUE"""),45028.6666666666)</f>
        <v>45028.666666666599</v>
      </c>
      <c r="B1078" s="1">
        <f ca="1">IFERROR(__xludf.UNSUPPORTED("""COMPUTED_VALUE"""),283.49)</f>
        <v>283.49</v>
      </c>
      <c r="C1078" s="2">
        <f t="shared" ca="1" si="4"/>
        <v>2.3335572605452924E-3</v>
      </c>
    </row>
    <row r="1079" spans="1:3">
      <c r="A1079" s="3">
        <f ca="1">IFERROR(__xludf.UNSUPPORTED("""COMPUTED_VALUE"""),45029.6666666666)</f>
        <v>45029.666666666599</v>
      </c>
      <c r="B1079" s="1">
        <f ca="1">IFERROR(__xludf.UNSUPPORTED("""COMPUTED_VALUE"""),289.84)</f>
        <v>289.83999999999997</v>
      </c>
      <c r="C1079" s="2">
        <f t="shared" ca="1" si="4"/>
        <v>2.2399379166813522E-2</v>
      </c>
    </row>
    <row r="1080" spans="1:3">
      <c r="A1080" s="3">
        <f ca="1">IFERROR(__xludf.UNSUPPORTED("""COMPUTED_VALUE"""),45030.6666666666)</f>
        <v>45030.666666666599</v>
      </c>
      <c r="B1080" s="1">
        <f ca="1">IFERROR(__xludf.UNSUPPORTED("""COMPUTED_VALUE"""),286.14)</f>
        <v>286.14</v>
      </c>
      <c r="C1080" s="2">
        <f t="shared" ca="1" si="4"/>
        <v>-1.2765663814518317E-2</v>
      </c>
    </row>
    <row r="1081" spans="1:3">
      <c r="A1081" s="3">
        <f ca="1">IFERROR(__xludf.UNSUPPORTED("""COMPUTED_VALUE"""),45033.6666666666)</f>
        <v>45033.666666666599</v>
      </c>
      <c r="B1081" s="1">
        <f ca="1">IFERROR(__xludf.UNSUPPORTED("""COMPUTED_VALUE"""),288.8)</f>
        <v>288.8</v>
      </c>
      <c r="C1081" s="2">
        <f t="shared" ca="1" si="4"/>
        <v>9.2961487383799012E-3</v>
      </c>
    </row>
    <row r="1082" spans="1:3">
      <c r="A1082" s="3">
        <f ca="1">IFERROR(__xludf.UNSUPPORTED("""COMPUTED_VALUE"""),45034.6666666666)</f>
        <v>45034.666666666599</v>
      </c>
      <c r="B1082" s="1">
        <f ca="1">IFERROR(__xludf.UNSUPPORTED("""COMPUTED_VALUE"""),288.37)</f>
        <v>288.37</v>
      </c>
      <c r="C1082" s="2">
        <f t="shared" ca="1" si="4"/>
        <v>-1.4889196675900512E-3</v>
      </c>
    </row>
    <row r="1083" spans="1:3">
      <c r="A1083" s="3">
        <f ca="1">IFERROR(__xludf.UNSUPPORTED("""COMPUTED_VALUE"""),45035.6666666666)</f>
        <v>45035.666666666599</v>
      </c>
      <c r="B1083" s="1">
        <f ca="1">IFERROR(__xludf.UNSUPPORTED("""COMPUTED_VALUE"""),288.45)</f>
        <v>288.45</v>
      </c>
      <c r="C1083" s="2">
        <f t="shared" ca="1" si="4"/>
        <v>2.7742136838084436E-4</v>
      </c>
    </row>
    <row r="1084" spans="1:3">
      <c r="A1084" s="3">
        <f ca="1">IFERROR(__xludf.UNSUPPORTED("""COMPUTED_VALUE"""),45036.6666666666)</f>
        <v>45036.666666666599</v>
      </c>
      <c r="B1084" s="1">
        <f ca="1">IFERROR(__xludf.UNSUPPORTED("""COMPUTED_VALUE"""),286.11)</f>
        <v>286.11</v>
      </c>
      <c r="C1084" s="2">
        <f t="shared" ca="1" si="4"/>
        <v>-8.1123244929796334E-3</v>
      </c>
    </row>
    <row r="1085" spans="1:3">
      <c r="A1085" s="3">
        <f ca="1">IFERROR(__xludf.UNSUPPORTED("""COMPUTED_VALUE"""),45037.6666666666)</f>
        <v>45037.666666666599</v>
      </c>
      <c r="B1085" s="1">
        <f ca="1">IFERROR(__xludf.UNSUPPORTED("""COMPUTED_VALUE"""),285.76)</f>
        <v>285.76</v>
      </c>
      <c r="C1085" s="2">
        <f t="shared" ca="1" si="4"/>
        <v>-1.2233057215756972E-3</v>
      </c>
    </row>
    <row r="1086" spans="1:3">
      <c r="A1086" s="3">
        <f ca="1">IFERROR(__xludf.UNSUPPORTED("""COMPUTED_VALUE"""),45040.6666666666)</f>
        <v>45040.666666666599</v>
      </c>
      <c r="B1086" s="1">
        <f ca="1">IFERROR(__xludf.UNSUPPORTED("""COMPUTED_VALUE"""),281.77)</f>
        <v>281.77</v>
      </c>
      <c r="C1086" s="2">
        <f t="shared" ca="1" si="4"/>
        <v>-1.3962765957446841E-2</v>
      </c>
    </row>
    <row r="1087" spans="1:3">
      <c r="A1087" s="3">
        <f ca="1">IFERROR(__xludf.UNSUPPORTED("""COMPUTED_VALUE"""),45041.6666666666)</f>
        <v>45041.666666666599</v>
      </c>
      <c r="B1087" s="1">
        <f ca="1">IFERROR(__xludf.UNSUPPORTED("""COMPUTED_VALUE"""),275.42)</f>
        <v>275.42</v>
      </c>
      <c r="C1087" s="2">
        <f t="shared" ca="1" si="4"/>
        <v>-2.2536111012527827E-2</v>
      </c>
    </row>
    <row r="1088" spans="1:3">
      <c r="A1088" s="3">
        <f ca="1">IFERROR(__xludf.UNSUPPORTED("""COMPUTED_VALUE"""),45042.6666666666)</f>
        <v>45042.666666666599</v>
      </c>
      <c r="B1088" s="1">
        <f ca="1">IFERROR(__xludf.UNSUPPORTED("""COMPUTED_VALUE"""),295.37)</f>
        <v>295.37</v>
      </c>
      <c r="C1088" s="2">
        <f t="shared" ca="1" si="4"/>
        <v>7.2434826809962924E-2</v>
      </c>
    </row>
    <row r="1089" spans="1:3">
      <c r="A1089" s="3">
        <f ca="1">IFERROR(__xludf.UNSUPPORTED("""COMPUTED_VALUE"""),45043.6666666666)</f>
        <v>45043.666666666599</v>
      </c>
      <c r="B1089" s="1">
        <f ca="1">IFERROR(__xludf.UNSUPPORTED("""COMPUTED_VALUE"""),304.83)</f>
        <v>304.83</v>
      </c>
      <c r="C1089" s="2">
        <f t="shared" ca="1" si="4"/>
        <v>3.2027626366929546E-2</v>
      </c>
    </row>
    <row r="1090" spans="1:3">
      <c r="A1090" s="3">
        <f ca="1">IFERROR(__xludf.UNSUPPORTED("""COMPUTED_VALUE"""),45044.6666666666)</f>
        <v>45044.666666666599</v>
      </c>
      <c r="B1090" s="1">
        <f ca="1">IFERROR(__xludf.UNSUPPORTED("""COMPUTED_VALUE"""),307.26)</f>
        <v>307.26</v>
      </c>
      <c r="C1090" s="2">
        <f t="shared" ca="1" si="4"/>
        <v>7.9716563330381098E-3</v>
      </c>
    </row>
    <row r="1091" spans="1:3">
      <c r="A1091" s="3">
        <f ca="1">IFERROR(__xludf.UNSUPPORTED("""COMPUTED_VALUE"""),45047.6666666666)</f>
        <v>45047.666666666599</v>
      </c>
      <c r="B1091" s="1">
        <f ca="1">IFERROR(__xludf.UNSUPPORTED("""COMPUTED_VALUE"""),305.56)</f>
        <v>305.56</v>
      </c>
      <c r="C1091" s="2">
        <f t="shared" ca="1" si="4"/>
        <v>-5.5327735468332639E-3</v>
      </c>
    </row>
    <row r="1092" spans="1:3">
      <c r="A1092" s="3">
        <f ca="1">IFERROR(__xludf.UNSUPPORTED("""COMPUTED_VALUE"""),45048.6666666666)</f>
        <v>45048.666666666599</v>
      </c>
      <c r="B1092" s="1">
        <f ca="1">IFERROR(__xludf.UNSUPPORTED("""COMPUTED_VALUE"""),305.41)</f>
        <v>305.41000000000003</v>
      </c>
      <c r="C1092" s="2">
        <f t="shared" ca="1" si="4"/>
        <v>-4.9090195051700893E-4</v>
      </c>
    </row>
    <row r="1093" spans="1:3">
      <c r="A1093" s="3">
        <f ca="1">IFERROR(__xludf.UNSUPPORTED("""COMPUTED_VALUE"""),45049.6666666666)</f>
        <v>45049.666666666599</v>
      </c>
      <c r="B1093" s="1">
        <f ca="1">IFERROR(__xludf.UNSUPPORTED("""COMPUTED_VALUE"""),304.4)</f>
        <v>304.39999999999998</v>
      </c>
      <c r="C1093" s="2">
        <f t="shared" ca="1" si="4"/>
        <v>-3.3070298942406854E-3</v>
      </c>
    </row>
    <row r="1094" spans="1:3">
      <c r="A1094" s="3">
        <f ca="1">IFERROR(__xludf.UNSUPPORTED("""COMPUTED_VALUE"""),45050.6666666666)</f>
        <v>45050.666666666599</v>
      </c>
      <c r="B1094" s="1">
        <f ca="1">IFERROR(__xludf.UNSUPPORTED("""COMPUTED_VALUE"""),305.41)</f>
        <v>305.41000000000003</v>
      </c>
      <c r="C1094" s="2">
        <f t="shared" ca="1" si="4"/>
        <v>3.3180026281210508E-3</v>
      </c>
    </row>
    <row r="1095" spans="1:3">
      <c r="A1095" s="3">
        <f ca="1">IFERROR(__xludf.UNSUPPORTED("""COMPUTED_VALUE"""),45051.6666666666)</f>
        <v>45051.666666666599</v>
      </c>
      <c r="B1095" s="1">
        <f ca="1">IFERROR(__xludf.UNSUPPORTED("""COMPUTED_VALUE"""),310.65)</f>
        <v>310.64999999999998</v>
      </c>
      <c r="C1095" s="2">
        <f t="shared" ca="1" si="4"/>
        <v>1.7157264005762587E-2</v>
      </c>
    </row>
    <row r="1096" spans="1:3">
      <c r="A1096" s="3">
        <f ca="1">IFERROR(__xludf.UNSUPPORTED("""COMPUTED_VALUE"""),45054.6666666666)</f>
        <v>45054.666666666599</v>
      </c>
      <c r="B1096" s="1">
        <f ca="1">IFERROR(__xludf.UNSUPPORTED("""COMPUTED_VALUE"""),308.65)</f>
        <v>308.64999999999998</v>
      </c>
      <c r="C1096" s="2">
        <f t="shared" ca="1" si="4"/>
        <v>-6.4381136327056176E-3</v>
      </c>
    </row>
    <row r="1097" spans="1:3">
      <c r="A1097" s="3">
        <f ca="1">IFERROR(__xludf.UNSUPPORTED("""COMPUTED_VALUE"""),45055.6666666666)</f>
        <v>45055.666666666599</v>
      </c>
      <c r="B1097" s="1">
        <f ca="1">IFERROR(__xludf.UNSUPPORTED("""COMPUTED_VALUE"""),307)</f>
        <v>307</v>
      </c>
      <c r="C1097" s="2">
        <f t="shared" ca="1" si="4"/>
        <v>-5.3458610076137286E-3</v>
      </c>
    </row>
    <row r="1098" spans="1:3">
      <c r="A1098" s="3">
        <f ca="1">IFERROR(__xludf.UNSUPPORTED("""COMPUTED_VALUE"""),45056.6666666666)</f>
        <v>45056.666666666599</v>
      </c>
      <c r="B1098" s="1">
        <f ca="1">IFERROR(__xludf.UNSUPPORTED("""COMPUTED_VALUE"""),312.31)</f>
        <v>312.31</v>
      </c>
      <c r="C1098" s="2">
        <f t="shared" ca="1" si="4"/>
        <v>1.7296416938110758E-2</v>
      </c>
    </row>
    <row r="1099" spans="1:3">
      <c r="A1099" s="3">
        <f ca="1">IFERROR(__xludf.UNSUPPORTED("""COMPUTED_VALUE"""),45057.6666666666)</f>
        <v>45057.666666666599</v>
      </c>
      <c r="B1099" s="1">
        <f ca="1">IFERROR(__xludf.UNSUPPORTED("""COMPUTED_VALUE"""),310.11)</f>
        <v>310.11</v>
      </c>
      <c r="C1099" s="2">
        <f t="shared" ca="1" si="4"/>
        <v>-7.0442829240177666E-3</v>
      </c>
    </row>
    <row r="1100" spans="1:3">
      <c r="A1100" s="3">
        <f ca="1">IFERROR(__xludf.UNSUPPORTED("""COMPUTED_VALUE"""),45058.6666666666)</f>
        <v>45058.666666666599</v>
      </c>
      <c r="B1100" s="1">
        <f ca="1">IFERROR(__xludf.UNSUPPORTED("""COMPUTED_VALUE"""),308.97)</f>
        <v>308.97000000000003</v>
      </c>
      <c r="C1100" s="2">
        <f t="shared" ca="1" si="4"/>
        <v>-3.6761149269613565E-3</v>
      </c>
    </row>
    <row r="1101" spans="1:3">
      <c r="A1101" s="3">
        <f ca="1">IFERROR(__xludf.UNSUPPORTED("""COMPUTED_VALUE"""),45061.6666666666)</f>
        <v>45061.666666666599</v>
      </c>
      <c r="B1101" s="1">
        <f ca="1">IFERROR(__xludf.UNSUPPORTED("""COMPUTED_VALUE"""),309.46)</f>
        <v>309.45999999999998</v>
      </c>
      <c r="C1101" s="2">
        <f t="shared" ca="1" si="4"/>
        <v>1.5859144900797883E-3</v>
      </c>
    </row>
    <row r="1102" spans="1:3">
      <c r="A1102" s="3">
        <f ca="1">IFERROR(__xludf.UNSUPPORTED("""COMPUTED_VALUE"""),45062.6666666666)</f>
        <v>45062.666666666599</v>
      </c>
      <c r="B1102" s="1">
        <f ca="1">IFERROR(__xludf.UNSUPPORTED("""COMPUTED_VALUE"""),311.74)</f>
        <v>311.74</v>
      </c>
      <c r="C1102" s="2">
        <f t="shared" ca="1" si="4"/>
        <v>7.3676727202224186E-3</v>
      </c>
    </row>
    <row r="1103" spans="1:3">
      <c r="A1103" s="3">
        <f ca="1">IFERROR(__xludf.UNSUPPORTED("""COMPUTED_VALUE"""),45063.6666666666)</f>
        <v>45063.666666666599</v>
      </c>
      <c r="B1103" s="1">
        <f ca="1">IFERROR(__xludf.UNSUPPORTED("""COMPUTED_VALUE"""),314)</f>
        <v>314</v>
      </c>
      <c r="C1103" s="2">
        <f t="shared" ca="1" si="4"/>
        <v>7.2496311028420824E-3</v>
      </c>
    </row>
    <row r="1104" spans="1:3">
      <c r="A1104" s="3">
        <f ca="1">IFERROR(__xludf.UNSUPPORTED("""COMPUTED_VALUE"""),45064.6666666666)</f>
        <v>45064.666666666599</v>
      </c>
      <c r="B1104" s="1">
        <f ca="1">IFERROR(__xludf.UNSUPPORTED("""COMPUTED_VALUE"""),318.52)</f>
        <v>318.52</v>
      </c>
      <c r="C1104" s="2">
        <f t="shared" ca="1" si="4"/>
        <v>1.4394904458598668E-2</v>
      </c>
    </row>
    <row r="1105" spans="1:3">
      <c r="A1105" s="3">
        <f ca="1">IFERROR(__xludf.UNSUPPORTED("""COMPUTED_VALUE"""),45065.6666666666)</f>
        <v>45065.666666666599</v>
      </c>
      <c r="B1105" s="1">
        <f ca="1">IFERROR(__xludf.UNSUPPORTED("""COMPUTED_VALUE"""),318.34)</f>
        <v>318.33999999999997</v>
      </c>
      <c r="C1105" s="2">
        <f t="shared" ca="1" si="4"/>
        <v>-5.6511365063420451E-4</v>
      </c>
    </row>
    <row r="1106" spans="1:3">
      <c r="A1106" s="3">
        <f ca="1">IFERROR(__xludf.UNSUPPORTED("""COMPUTED_VALUE"""),45068.6666666666)</f>
        <v>45068.666666666599</v>
      </c>
      <c r="B1106" s="1">
        <f ca="1">IFERROR(__xludf.UNSUPPORTED("""COMPUTED_VALUE"""),321.18)</f>
        <v>321.18</v>
      </c>
      <c r="C1106" s="2">
        <f t="shared" ca="1" si="4"/>
        <v>8.9212791355155873E-3</v>
      </c>
    </row>
    <row r="1107" spans="1:3">
      <c r="A1107" s="3">
        <f ca="1">IFERROR(__xludf.UNSUPPORTED("""COMPUTED_VALUE"""),45069.6666666666)</f>
        <v>45069.666666666599</v>
      </c>
      <c r="B1107" s="1">
        <f ca="1">IFERROR(__xludf.UNSUPPORTED("""COMPUTED_VALUE"""),315.26)</f>
        <v>315.26</v>
      </c>
      <c r="C1107" s="2">
        <f t="shared" ca="1" si="4"/>
        <v>-1.8432031882433576E-2</v>
      </c>
    </row>
    <row r="1108" spans="1:3">
      <c r="A1108" s="3">
        <f ca="1">IFERROR(__xludf.UNSUPPORTED("""COMPUTED_VALUE"""),45070.6666666666)</f>
        <v>45070.666666666599</v>
      </c>
      <c r="B1108" s="1">
        <f ca="1">IFERROR(__xludf.UNSUPPORTED("""COMPUTED_VALUE"""),313.85)</f>
        <v>313.85000000000002</v>
      </c>
      <c r="C1108" s="2">
        <f t="shared" ca="1" si="4"/>
        <v>-4.4724988898051394E-3</v>
      </c>
    </row>
    <row r="1109" spans="1:3">
      <c r="A1109" s="3">
        <f ca="1">IFERROR(__xludf.UNSUPPORTED("""COMPUTED_VALUE"""),45071.6666666666)</f>
        <v>45071.666666666599</v>
      </c>
      <c r="B1109" s="1">
        <f ca="1">IFERROR(__xludf.UNSUPPORTED("""COMPUTED_VALUE"""),325.92)</f>
        <v>325.92</v>
      </c>
      <c r="C1109" s="2">
        <f t="shared" ca="1" si="4"/>
        <v>3.8457862036004438E-2</v>
      </c>
    </row>
    <row r="1110" spans="1:3">
      <c r="A1110" s="3">
        <f ca="1">IFERROR(__xludf.UNSUPPORTED("""COMPUTED_VALUE"""),45072.6666666666)</f>
        <v>45072.666666666599</v>
      </c>
      <c r="B1110" s="1">
        <f ca="1">IFERROR(__xludf.UNSUPPORTED("""COMPUTED_VALUE"""),332.89)</f>
        <v>332.89</v>
      </c>
      <c r="C1110" s="2">
        <f t="shared" ca="1" si="4"/>
        <v>2.1385616102110854E-2</v>
      </c>
    </row>
    <row r="1111" spans="1:3">
      <c r="A1111" s="3">
        <f ca="1">IFERROR(__xludf.UNSUPPORTED("""COMPUTED_VALUE"""),45076.6666666666)</f>
        <v>45076.666666666599</v>
      </c>
      <c r="B1111" s="1">
        <f ca="1">IFERROR(__xludf.UNSUPPORTED("""COMPUTED_VALUE"""),331.21)</f>
        <v>331.21</v>
      </c>
      <c r="C1111" s="2">
        <f t="shared" ca="1" si="4"/>
        <v>-5.0467121271291025E-3</v>
      </c>
    </row>
    <row r="1112" spans="1:3">
      <c r="A1112" s="3">
        <f ca="1">IFERROR(__xludf.UNSUPPORTED("""COMPUTED_VALUE"""),45077.6666666666)</f>
        <v>45077.666666666599</v>
      </c>
      <c r="B1112" s="1">
        <f ca="1">IFERROR(__xludf.UNSUPPORTED("""COMPUTED_VALUE"""),328.39)</f>
        <v>328.39</v>
      </c>
      <c r="C1112" s="2">
        <f t="shared" ca="1" si="4"/>
        <v>-8.5142356812897956E-3</v>
      </c>
    </row>
    <row r="1113" spans="1:3">
      <c r="A1113" s="3">
        <f ca="1">IFERROR(__xludf.UNSUPPORTED("""COMPUTED_VALUE"""),45078.6666666666)</f>
        <v>45078.666666666599</v>
      </c>
      <c r="B1113" s="1">
        <f ca="1">IFERROR(__xludf.UNSUPPORTED("""COMPUTED_VALUE"""),332.58)</f>
        <v>332.58</v>
      </c>
      <c r="C1113" s="2">
        <f t="shared" ca="1" si="4"/>
        <v>1.2759219221048137E-2</v>
      </c>
    </row>
    <row r="1114" spans="1:3">
      <c r="A1114" s="3">
        <f ca="1">IFERROR(__xludf.UNSUPPORTED("""COMPUTED_VALUE"""),45079.6666666666)</f>
        <v>45079.666666666599</v>
      </c>
      <c r="B1114" s="1">
        <f ca="1">IFERROR(__xludf.UNSUPPORTED("""COMPUTED_VALUE"""),335.4)</f>
        <v>335.4</v>
      </c>
      <c r="C1114" s="2">
        <f t="shared" ca="1" si="4"/>
        <v>8.4791629081724489E-3</v>
      </c>
    </row>
    <row r="1115" spans="1:3">
      <c r="A1115" s="3">
        <f ca="1">IFERROR(__xludf.UNSUPPORTED("""COMPUTED_VALUE"""),45082.6666666666)</f>
        <v>45082.666666666599</v>
      </c>
      <c r="B1115" s="1">
        <f ca="1">IFERROR(__xludf.UNSUPPORTED("""COMPUTED_VALUE"""),335.94)</f>
        <v>335.94</v>
      </c>
      <c r="C1115" s="2">
        <f t="shared" ca="1" si="4"/>
        <v>1.6100178890877176E-3</v>
      </c>
    </row>
    <row r="1116" spans="1:3">
      <c r="A1116" s="3">
        <f ca="1">IFERROR(__xludf.UNSUPPORTED("""COMPUTED_VALUE"""),45083.6666666666)</f>
        <v>45083.666666666599</v>
      </c>
      <c r="B1116" s="1">
        <f ca="1">IFERROR(__xludf.UNSUPPORTED("""COMPUTED_VALUE"""),333.68)</f>
        <v>333.68</v>
      </c>
      <c r="C1116" s="2">
        <f t="shared" ca="1" si="4"/>
        <v>-6.7273917961540482E-3</v>
      </c>
    </row>
    <row r="1117" spans="1:3">
      <c r="A1117" s="3">
        <f ca="1">IFERROR(__xludf.UNSUPPORTED("""COMPUTED_VALUE"""),45084.6666666666)</f>
        <v>45084.666666666599</v>
      </c>
      <c r="B1117" s="1">
        <f ca="1">IFERROR(__xludf.UNSUPPORTED("""COMPUTED_VALUE"""),323.38)</f>
        <v>323.38</v>
      </c>
      <c r="C1117" s="2">
        <f t="shared" ca="1" si="4"/>
        <v>-3.0867897386717847E-2</v>
      </c>
    </row>
    <row r="1118" spans="1:3">
      <c r="A1118" s="3">
        <f ca="1">IFERROR(__xludf.UNSUPPORTED("""COMPUTED_VALUE"""),45085.6666666666)</f>
        <v>45085.666666666599</v>
      </c>
      <c r="B1118" s="1">
        <f ca="1">IFERROR(__xludf.UNSUPPORTED("""COMPUTED_VALUE"""),325.26)</f>
        <v>325.26</v>
      </c>
      <c r="C1118" s="2">
        <f t="shared" ca="1" si="4"/>
        <v>5.8135939142803994E-3</v>
      </c>
    </row>
    <row r="1119" spans="1:3">
      <c r="A1119" s="3">
        <f ca="1">IFERROR(__xludf.UNSUPPORTED("""COMPUTED_VALUE"""),45086.6666666666)</f>
        <v>45086.666666666599</v>
      </c>
      <c r="B1119" s="1">
        <f ca="1">IFERROR(__xludf.UNSUPPORTED("""COMPUTED_VALUE"""),326.79)</f>
        <v>326.79000000000002</v>
      </c>
      <c r="C1119" s="2">
        <f t="shared" ca="1" si="4"/>
        <v>4.7039291643609102E-3</v>
      </c>
    </row>
    <row r="1120" spans="1:3">
      <c r="A1120" s="3">
        <f ca="1">IFERROR(__xludf.UNSUPPORTED("""COMPUTED_VALUE"""),45089.6666666666)</f>
        <v>45089.666666666599</v>
      </c>
      <c r="B1120" s="1">
        <f ca="1">IFERROR(__xludf.UNSUPPORTED("""COMPUTED_VALUE"""),331.85)</f>
        <v>331.85</v>
      </c>
      <c r="C1120" s="2">
        <f t="shared" ca="1" si="4"/>
        <v>1.5483949937268588E-2</v>
      </c>
    </row>
    <row r="1121" spans="1:3">
      <c r="A1121" s="3">
        <f ca="1">IFERROR(__xludf.UNSUPPORTED("""COMPUTED_VALUE"""),45090.6666666666)</f>
        <v>45090.666666666599</v>
      </c>
      <c r="B1121" s="1">
        <f ca="1">IFERROR(__xludf.UNSUPPORTED("""COMPUTED_VALUE"""),334.29)</f>
        <v>334.29</v>
      </c>
      <c r="C1121" s="2">
        <f t="shared" ca="1" si="4"/>
        <v>7.3527196022299159E-3</v>
      </c>
    </row>
    <row r="1122" spans="1:3">
      <c r="A1122" s="3">
        <f ca="1">IFERROR(__xludf.UNSUPPORTED("""COMPUTED_VALUE"""),45091.6666666666)</f>
        <v>45091.666666666599</v>
      </c>
      <c r="B1122" s="1">
        <f ca="1">IFERROR(__xludf.UNSUPPORTED("""COMPUTED_VALUE"""),337.34)</f>
        <v>337.34</v>
      </c>
      <c r="C1122" s="2">
        <f t="shared" ca="1" si="4"/>
        <v>9.1238146519487702E-3</v>
      </c>
    </row>
    <row r="1123" spans="1:3">
      <c r="A1123" s="3">
        <f ca="1">IFERROR(__xludf.UNSUPPORTED("""COMPUTED_VALUE"""),45092.6666666666)</f>
        <v>45092.666666666599</v>
      </c>
      <c r="B1123" s="1">
        <f ca="1">IFERROR(__xludf.UNSUPPORTED("""COMPUTED_VALUE"""),348.1)</f>
        <v>348.1</v>
      </c>
      <c r="C1123" s="2">
        <f t="shared" ca="1" si="4"/>
        <v>3.1896602833936229E-2</v>
      </c>
    </row>
    <row r="1124" spans="1:3">
      <c r="A1124" s="3">
        <f ca="1">IFERROR(__xludf.UNSUPPORTED("""COMPUTED_VALUE"""),45093.6666666666)</f>
        <v>45093.666666666599</v>
      </c>
      <c r="B1124" s="1">
        <f ca="1">IFERROR(__xludf.UNSUPPORTED("""COMPUTED_VALUE"""),342.33)</f>
        <v>342.33</v>
      </c>
      <c r="C1124" s="2">
        <f t="shared" ca="1" si="4"/>
        <v>-1.6575696638896978E-2</v>
      </c>
    </row>
    <row r="1125" spans="1:3">
      <c r="A1125" s="3">
        <f ca="1">IFERROR(__xludf.UNSUPPORTED("""COMPUTED_VALUE"""),45097.6666666666)</f>
        <v>45097.666666666599</v>
      </c>
      <c r="B1125" s="1">
        <f ca="1">IFERROR(__xludf.UNSUPPORTED("""COMPUTED_VALUE"""),338.05)</f>
        <v>338.05</v>
      </c>
      <c r="C1125" s="2">
        <f t="shared" ca="1" si="4"/>
        <v>-1.2502556013203554E-2</v>
      </c>
    </row>
    <row r="1126" spans="1:3">
      <c r="A1126" s="3">
        <f ca="1">IFERROR(__xludf.UNSUPPORTED("""COMPUTED_VALUE"""),45098.6666666666)</f>
        <v>45098.666666666599</v>
      </c>
      <c r="B1126" s="1">
        <f ca="1">IFERROR(__xludf.UNSUPPORTED("""COMPUTED_VALUE"""),333.56)</f>
        <v>333.56</v>
      </c>
      <c r="C1126" s="2">
        <f t="shared" ca="1" si="4"/>
        <v>-1.3282058867031531E-2</v>
      </c>
    </row>
    <row r="1127" spans="1:3">
      <c r="A1127" s="3">
        <f ca="1">IFERROR(__xludf.UNSUPPORTED("""COMPUTED_VALUE"""),45099.6666666666)</f>
        <v>45099.666666666599</v>
      </c>
      <c r="B1127" s="1">
        <f ca="1">IFERROR(__xludf.UNSUPPORTED("""COMPUTED_VALUE"""),339.71)</f>
        <v>339.71</v>
      </c>
      <c r="C1127" s="2">
        <f t="shared" ca="1" si="4"/>
        <v>1.8437462525482604E-2</v>
      </c>
    </row>
    <row r="1128" spans="1:3">
      <c r="A1128" s="3">
        <f ca="1">IFERROR(__xludf.UNSUPPORTED("""COMPUTED_VALUE"""),45100.6666666666)</f>
        <v>45100.666666666599</v>
      </c>
      <c r="B1128" s="1">
        <f ca="1">IFERROR(__xludf.UNSUPPORTED("""COMPUTED_VALUE"""),335.02)</f>
        <v>335.02</v>
      </c>
      <c r="C1128" s="2">
        <f t="shared" ca="1" si="4"/>
        <v>-1.380589326189985E-2</v>
      </c>
    </row>
    <row r="1129" spans="1:3">
      <c r="A1129" s="3">
        <f ca="1">IFERROR(__xludf.UNSUPPORTED("""COMPUTED_VALUE"""),45103.6666666666)</f>
        <v>45103.666666666599</v>
      </c>
      <c r="B1129" s="1">
        <f ca="1">IFERROR(__xludf.UNSUPPORTED("""COMPUTED_VALUE"""),328.6)</f>
        <v>328.6</v>
      </c>
      <c r="C1129" s="2">
        <f t="shared" ca="1" si="4"/>
        <v>-1.9163035042683896E-2</v>
      </c>
    </row>
    <row r="1130" spans="1:3">
      <c r="A1130" s="3">
        <f ca="1">IFERROR(__xludf.UNSUPPORTED("""COMPUTED_VALUE"""),45104.6666666666)</f>
        <v>45104.666666666599</v>
      </c>
      <c r="B1130" s="1">
        <f ca="1">IFERROR(__xludf.UNSUPPORTED("""COMPUTED_VALUE"""),334.57)</f>
        <v>334.57</v>
      </c>
      <c r="C1130" s="2">
        <f t="shared" ca="1" si="4"/>
        <v>1.8167985392574467E-2</v>
      </c>
    </row>
    <row r="1131" spans="1:3">
      <c r="A1131" s="3">
        <f ca="1">IFERROR(__xludf.UNSUPPORTED("""COMPUTED_VALUE"""),45105.6666666666)</f>
        <v>45105.666666666599</v>
      </c>
      <c r="B1131" s="1">
        <f ca="1">IFERROR(__xludf.UNSUPPORTED("""COMPUTED_VALUE"""),335.85)</f>
        <v>335.85</v>
      </c>
      <c r="C1131" s="2">
        <f t="shared" ca="1" si="4"/>
        <v>3.8258062587800149E-3</v>
      </c>
    </row>
    <row r="1132" spans="1:3">
      <c r="A1132" s="3">
        <f ca="1">IFERROR(__xludf.UNSUPPORTED("""COMPUTED_VALUE"""),45106.6666666666)</f>
        <v>45106.666666666599</v>
      </c>
      <c r="B1132" s="1">
        <f ca="1">IFERROR(__xludf.UNSUPPORTED("""COMPUTED_VALUE"""),335.05)</f>
        <v>335.05</v>
      </c>
      <c r="C1132" s="2">
        <f t="shared" ca="1" si="4"/>
        <v>-2.3820157808545819E-3</v>
      </c>
    </row>
    <row r="1133" spans="1:3">
      <c r="A1133" s="3">
        <f ca="1">IFERROR(__xludf.UNSUPPORTED("""COMPUTED_VALUE"""),45107.6666666666)</f>
        <v>45107.666666666599</v>
      </c>
      <c r="B1133" s="1">
        <f ca="1">IFERROR(__xludf.UNSUPPORTED("""COMPUTED_VALUE"""),340.54)</f>
        <v>340.54</v>
      </c>
      <c r="C1133" s="2">
        <f t="shared" ca="1" si="4"/>
        <v>1.6385614087449662E-2</v>
      </c>
    </row>
    <row r="1134" spans="1:3">
      <c r="A1134" s="3">
        <f ca="1">IFERROR(__xludf.UNSUPPORTED("""COMPUTED_VALUE"""),45110.5451388888)</f>
        <v>45110.545138888803</v>
      </c>
      <c r="B1134" s="1">
        <f ca="1">IFERROR(__xludf.UNSUPPORTED("""COMPUTED_VALUE"""),337.99)</f>
        <v>337.99</v>
      </c>
      <c r="C1134" s="2">
        <f t="shared" ca="1" si="4"/>
        <v>-7.4881071239795947E-3</v>
      </c>
    </row>
    <row r="1135" spans="1:3">
      <c r="A1135" s="3">
        <f ca="1">IFERROR(__xludf.UNSUPPORTED("""COMPUTED_VALUE"""),45112.6666666666)</f>
        <v>45112.666666666599</v>
      </c>
      <c r="B1135" s="1">
        <f ca="1">IFERROR(__xludf.UNSUPPORTED("""COMPUTED_VALUE"""),338.15)</f>
        <v>338.15</v>
      </c>
      <c r="C1135" s="2">
        <f t="shared" ca="1" si="4"/>
        <v>4.7338678659122505E-4</v>
      </c>
    </row>
    <row r="1136" spans="1:3">
      <c r="A1136" s="3">
        <f ca="1">IFERROR(__xludf.UNSUPPORTED("""COMPUTED_VALUE"""),45113.6666666666)</f>
        <v>45113.666666666599</v>
      </c>
      <c r="B1136" s="1">
        <f ca="1">IFERROR(__xludf.UNSUPPORTED("""COMPUTED_VALUE"""),341.27)</f>
        <v>341.27</v>
      </c>
      <c r="C1136" s="2">
        <f t="shared" ca="1" si="4"/>
        <v>9.2266745527133064E-3</v>
      </c>
    </row>
    <row r="1137" spans="1:3">
      <c r="A1137" s="3">
        <f ca="1">IFERROR(__xludf.UNSUPPORTED("""COMPUTED_VALUE"""),45114.6666666666)</f>
        <v>45114.666666666599</v>
      </c>
      <c r="B1137" s="1">
        <f ca="1">IFERROR(__xludf.UNSUPPORTED("""COMPUTED_VALUE"""),337.22)</f>
        <v>337.22</v>
      </c>
      <c r="C1137" s="2">
        <f t="shared" ca="1" si="4"/>
        <v>-1.186743634072715E-2</v>
      </c>
    </row>
    <row r="1138" spans="1:3">
      <c r="A1138" s="3">
        <f ca="1">IFERROR(__xludf.UNSUPPORTED("""COMPUTED_VALUE"""),45117.6666666666)</f>
        <v>45117.666666666599</v>
      </c>
      <c r="B1138" s="1">
        <f ca="1">IFERROR(__xludf.UNSUPPORTED("""COMPUTED_VALUE"""),331.83)</f>
        <v>331.83</v>
      </c>
      <c r="C1138" s="2">
        <f t="shared" ca="1" si="4"/>
        <v>-1.5983630864124437E-2</v>
      </c>
    </row>
    <row r="1139" spans="1:3">
      <c r="A1139" s="3">
        <f ca="1">IFERROR(__xludf.UNSUPPORTED("""COMPUTED_VALUE"""),45118.6666666666)</f>
        <v>45118.666666666599</v>
      </c>
      <c r="B1139" s="1">
        <f ca="1">IFERROR(__xludf.UNSUPPORTED("""COMPUTED_VALUE"""),332.47)</f>
        <v>332.47</v>
      </c>
      <c r="C1139" s="2">
        <f t="shared" ca="1" si="4"/>
        <v>1.9286984299190647E-3</v>
      </c>
    </row>
    <row r="1140" spans="1:3">
      <c r="A1140" s="3">
        <f ca="1">IFERROR(__xludf.UNSUPPORTED("""COMPUTED_VALUE"""),45119.6666666666)</f>
        <v>45119.666666666599</v>
      </c>
      <c r="B1140" s="1">
        <f ca="1">IFERROR(__xludf.UNSUPPORTED("""COMPUTED_VALUE"""),337.2)</f>
        <v>337.2</v>
      </c>
      <c r="C1140" s="2">
        <f t="shared" ca="1" si="4"/>
        <v>1.4226847535115833E-2</v>
      </c>
    </row>
    <row r="1141" spans="1:3">
      <c r="A1141" s="3">
        <f ca="1">IFERROR(__xludf.UNSUPPORTED("""COMPUTED_VALUE"""),45120.6666666666)</f>
        <v>45120.666666666599</v>
      </c>
      <c r="B1141" s="1">
        <f ca="1">IFERROR(__xludf.UNSUPPORTED("""COMPUTED_VALUE"""),342.66)</f>
        <v>342.66</v>
      </c>
      <c r="C1141" s="2">
        <f t="shared" ca="1" si="4"/>
        <v>1.6192170818505446E-2</v>
      </c>
    </row>
    <row r="1142" spans="1:3">
      <c r="A1142" s="3">
        <f ca="1">IFERROR(__xludf.UNSUPPORTED("""COMPUTED_VALUE"""),45121.6666666666)</f>
        <v>45121.666666666599</v>
      </c>
      <c r="B1142" s="1">
        <f ca="1">IFERROR(__xludf.UNSUPPORTED("""COMPUTED_VALUE"""),345.24)</f>
        <v>345.24</v>
      </c>
      <c r="C1142" s="2">
        <f t="shared" ca="1" si="4"/>
        <v>7.5293293643844744E-3</v>
      </c>
    </row>
    <row r="1143" spans="1:3">
      <c r="A1143" s="3">
        <f ca="1">IFERROR(__xludf.UNSUPPORTED("""COMPUTED_VALUE"""),45124.6666666666)</f>
        <v>45124.666666666599</v>
      </c>
      <c r="B1143" s="1">
        <f ca="1">IFERROR(__xludf.UNSUPPORTED("""COMPUTED_VALUE"""),345.73)</f>
        <v>345.73</v>
      </c>
      <c r="C1143" s="2">
        <f t="shared" ca="1" si="4"/>
        <v>1.4193025141930515E-3</v>
      </c>
    </row>
    <row r="1144" spans="1:3">
      <c r="A1144" s="3">
        <f ca="1">IFERROR(__xludf.UNSUPPORTED("""COMPUTED_VALUE"""),45125.6666666666)</f>
        <v>45125.666666666599</v>
      </c>
      <c r="B1144" s="1">
        <f ca="1">IFERROR(__xludf.UNSUPPORTED("""COMPUTED_VALUE"""),359.49)</f>
        <v>359.49</v>
      </c>
      <c r="C1144" s="2">
        <f t="shared" ca="1" si="4"/>
        <v>3.9799843808752469E-2</v>
      </c>
    </row>
    <row r="1145" spans="1:3">
      <c r="A1145" s="3">
        <f ca="1">IFERROR(__xludf.UNSUPPORTED("""COMPUTED_VALUE"""),45126.6666666666)</f>
        <v>45126.666666666599</v>
      </c>
      <c r="B1145" s="1">
        <f ca="1">IFERROR(__xludf.UNSUPPORTED("""COMPUTED_VALUE"""),355.08)</f>
        <v>355.08</v>
      </c>
      <c r="C1145" s="2">
        <f t="shared" ca="1" si="4"/>
        <v>-1.2267378786614439E-2</v>
      </c>
    </row>
    <row r="1146" spans="1:3">
      <c r="A1146" s="3">
        <f ca="1">IFERROR(__xludf.UNSUPPORTED("""COMPUTED_VALUE"""),45127.6666666666)</f>
        <v>45127.666666666599</v>
      </c>
      <c r="B1146" s="1">
        <f ca="1">IFERROR(__xludf.UNSUPPORTED("""COMPUTED_VALUE"""),346.87)</f>
        <v>346.87</v>
      </c>
      <c r="C1146" s="2">
        <f t="shared" ca="1" si="4"/>
        <v>-2.312155007322288E-2</v>
      </c>
    </row>
    <row r="1147" spans="1:3">
      <c r="A1147" s="3">
        <f ca="1">IFERROR(__xludf.UNSUPPORTED("""COMPUTED_VALUE"""),45128.6666666666)</f>
        <v>45128.666666666599</v>
      </c>
      <c r="B1147" s="1">
        <f ca="1">IFERROR(__xludf.UNSUPPORTED("""COMPUTED_VALUE"""),343.77)</f>
        <v>343.77</v>
      </c>
      <c r="C1147" s="2">
        <f t="shared" ca="1" si="4"/>
        <v>-8.937065759506509E-3</v>
      </c>
    </row>
    <row r="1148" spans="1:3">
      <c r="A1148" s="3">
        <f ca="1">IFERROR(__xludf.UNSUPPORTED("""COMPUTED_VALUE"""),45131.6666666666)</f>
        <v>45131.666666666599</v>
      </c>
      <c r="B1148" s="1">
        <f ca="1">IFERROR(__xludf.UNSUPPORTED("""COMPUTED_VALUE"""),345.11)</f>
        <v>345.11</v>
      </c>
      <c r="C1148" s="2">
        <f t="shared" ca="1" si="4"/>
        <v>3.8979550280711867E-3</v>
      </c>
    </row>
    <row r="1149" spans="1:3">
      <c r="A1149" s="3">
        <f ca="1">IFERROR(__xludf.UNSUPPORTED("""COMPUTED_VALUE"""),45132.6666666666)</f>
        <v>45132.666666666599</v>
      </c>
      <c r="B1149" s="1">
        <f ca="1">IFERROR(__xludf.UNSUPPORTED("""COMPUTED_VALUE"""),350.98)</f>
        <v>350.98</v>
      </c>
      <c r="C1149" s="2">
        <f t="shared" ca="1" si="4"/>
        <v>1.7009069572020526E-2</v>
      </c>
    </row>
    <row r="1150" spans="1:3">
      <c r="A1150" s="3">
        <f ca="1">IFERROR(__xludf.UNSUPPORTED("""COMPUTED_VALUE"""),45133.6666666666)</f>
        <v>45133.666666666599</v>
      </c>
      <c r="B1150" s="1">
        <f ca="1">IFERROR(__xludf.UNSUPPORTED("""COMPUTED_VALUE"""),337.77)</f>
        <v>337.77</v>
      </c>
      <c r="C1150" s="2">
        <f t="shared" ca="1" si="4"/>
        <v>-3.7637472220639456E-2</v>
      </c>
    </row>
    <row r="1151" spans="1:3">
      <c r="A1151" s="3">
        <f ca="1">IFERROR(__xludf.UNSUPPORTED("""COMPUTED_VALUE"""),45134.6666666666)</f>
        <v>45134.666666666599</v>
      </c>
      <c r="B1151" s="1">
        <f ca="1">IFERROR(__xludf.UNSUPPORTED("""COMPUTED_VALUE"""),330.72)</f>
        <v>330.72</v>
      </c>
      <c r="C1151" s="2">
        <f t="shared" ca="1" si="4"/>
        <v>-2.0872191135979972E-2</v>
      </c>
    </row>
    <row r="1152" spans="1:3">
      <c r="A1152" s="3">
        <f ca="1">IFERROR(__xludf.UNSUPPORTED("""COMPUTED_VALUE"""),45135.6666666666)</f>
        <v>45135.666666666599</v>
      </c>
      <c r="B1152" s="1">
        <f ca="1">IFERROR(__xludf.UNSUPPORTED("""COMPUTED_VALUE"""),338.37)</f>
        <v>338.37</v>
      </c>
      <c r="C1152" s="2">
        <f t="shared" ca="1" si="4"/>
        <v>2.3131349782293108E-2</v>
      </c>
    </row>
    <row r="1153" spans="1:3">
      <c r="A1153" s="3">
        <f ca="1">IFERROR(__xludf.UNSUPPORTED("""COMPUTED_VALUE"""),45138.6666666666)</f>
        <v>45138.666666666599</v>
      </c>
      <c r="B1153" s="1">
        <f ca="1">IFERROR(__xludf.UNSUPPORTED("""COMPUTED_VALUE"""),335.92)</f>
        <v>335.92</v>
      </c>
      <c r="C1153" s="2">
        <f t="shared" ca="1" si="4"/>
        <v>-7.2405946153618487E-3</v>
      </c>
    </row>
    <row r="1154" spans="1:3">
      <c r="A1154" s="3">
        <f ca="1">IFERROR(__xludf.UNSUPPORTED("""COMPUTED_VALUE"""),45139.6666666666)</f>
        <v>45139.666666666599</v>
      </c>
      <c r="B1154" s="1">
        <f ca="1">IFERROR(__xludf.UNSUPPORTED("""COMPUTED_VALUE"""),336.34)</f>
        <v>336.34</v>
      </c>
      <c r="C1154" s="2">
        <f t="shared" ca="1" si="4"/>
        <v>1.250297689926051E-3</v>
      </c>
    </row>
    <row r="1155" spans="1:3">
      <c r="A1155" s="3">
        <f ca="1">IFERROR(__xludf.UNSUPPORTED("""COMPUTED_VALUE"""),45140.6666666666)</f>
        <v>45140.666666666599</v>
      </c>
      <c r="B1155" s="1">
        <f ca="1">IFERROR(__xludf.UNSUPPORTED("""COMPUTED_VALUE"""),327.5)</f>
        <v>327.5</v>
      </c>
      <c r="C1155" s="2">
        <f t="shared" ca="1" si="4"/>
        <v>-2.6282927989534327E-2</v>
      </c>
    </row>
    <row r="1156" spans="1:3">
      <c r="A1156" s="3">
        <f ca="1">IFERROR(__xludf.UNSUPPORTED("""COMPUTED_VALUE"""),45141.6666666666)</f>
        <v>45141.666666666599</v>
      </c>
      <c r="B1156" s="1">
        <f ca="1">IFERROR(__xludf.UNSUPPORTED("""COMPUTED_VALUE"""),326.66)</f>
        <v>326.66000000000003</v>
      </c>
      <c r="C1156" s="2">
        <f t="shared" ca="1" si="4"/>
        <v>-2.5648854961831296E-3</v>
      </c>
    </row>
    <row r="1157" spans="1:3">
      <c r="A1157" s="3">
        <f ca="1">IFERROR(__xludf.UNSUPPORTED("""COMPUTED_VALUE"""),45142.6666666666)</f>
        <v>45142.666666666599</v>
      </c>
      <c r="B1157" s="1">
        <f ca="1">IFERROR(__xludf.UNSUPPORTED("""COMPUTED_VALUE"""),327.78)</f>
        <v>327.78</v>
      </c>
      <c r="C1157" s="2">
        <f t="shared" ca="1" si="4"/>
        <v>3.428641400844755E-3</v>
      </c>
    </row>
    <row r="1158" spans="1:3">
      <c r="A1158" s="3">
        <f ca="1">IFERROR(__xludf.UNSUPPORTED("""COMPUTED_VALUE"""),45145.6666666666)</f>
        <v>45145.666666666599</v>
      </c>
      <c r="B1158" s="1">
        <f ca="1">IFERROR(__xludf.UNSUPPORTED("""COMPUTED_VALUE"""),330.11)</f>
        <v>330.11</v>
      </c>
      <c r="C1158" s="2">
        <f t="shared" ca="1" si="4"/>
        <v>7.1084263835500677E-3</v>
      </c>
    </row>
    <row r="1159" spans="1:3">
      <c r="A1159" s="3">
        <f ca="1">IFERROR(__xludf.UNSUPPORTED("""COMPUTED_VALUE"""),45146.6666666666)</f>
        <v>45146.666666666599</v>
      </c>
      <c r="B1159" s="1">
        <f ca="1">IFERROR(__xludf.UNSUPPORTED("""COMPUTED_VALUE"""),326.05)</f>
        <v>326.05</v>
      </c>
      <c r="C1159" s="2">
        <f t="shared" ca="1" si="4"/>
        <v>-1.229893065947715E-2</v>
      </c>
    </row>
    <row r="1160" spans="1:3">
      <c r="A1160" s="3">
        <f ca="1">IFERROR(__xludf.UNSUPPORTED("""COMPUTED_VALUE"""),45147.6666666666)</f>
        <v>45147.666666666599</v>
      </c>
      <c r="B1160" s="1">
        <f ca="1">IFERROR(__xludf.UNSUPPORTED("""COMPUTED_VALUE"""),322.23)</f>
        <v>322.23</v>
      </c>
      <c r="C1160" s="2">
        <f t="shared" ca="1" si="4"/>
        <v>-1.1715994479374308E-2</v>
      </c>
    </row>
    <row r="1161" spans="1:3">
      <c r="A1161" s="3">
        <f ca="1">IFERROR(__xludf.UNSUPPORTED("""COMPUTED_VALUE"""),45148.6666666666)</f>
        <v>45148.666666666599</v>
      </c>
      <c r="B1161" s="1">
        <f ca="1">IFERROR(__xludf.UNSUPPORTED("""COMPUTED_VALUE"""),322.93)</f>
        <v>322.93</v>
      </c>
      <c r="C1161" s="2">
        <f t="shared" ca="1" si="4"/>
        <v>2.1723613567948006E-3</v>
      </c>
    </row>
    <row r="1162" spans="1:3">
      <c r="A1162" s="3">
        <f ca="1">IFERROR(__xludf.UNSUPPORTED("""COMPUTED_VALUE"""),45149.6666666666)</f>
        <v>45149.666666666599</v>
      </c>
      <c r="B1162" s="1">
        <f ca="1">IFERROR(__xludf.UNSUPPORTED("""COMPUTED_VALUE"""),321.01)</f>
        <v>321.01</v>
      </c>
      <c r="C1162" s="2">
        <f t="shared" ca="1" si="4"/>
        <v>-5.9455609574830953E-3</v>
      </c>
    </row>
    <row r="1163" spans="1:3">
      <c r="A1163" s="3">
        <f ca="1">IFERROR(__xludf.UNSUPPORTED("""COMPUTED_VALUE"""),45152.6666666666)</f>
        <v>45152.666666666599</v>
      </c>
      <c r="B1163" s="1">
        <f ca="1">IFERROR(__xludf.UNSUPPORTED("""COMPUTED_VALUE"""),324.04)</f>
        <v>324.04000000000002</v>
      </c>
      <c r="C1163" s="2">
        <f t="shared" ca="1" si="4"/>
        <v>9.4389582879038959E-3</v>
      </c>
    </row>
    <row r="1164" spans="1:3">
      <c r="A1164" s="3">
        <f ca="1">IFERROR(__xludf.UNSUPPORTED("""COMPUTED_VALUE"""),45153.6666666666)</f>
        <v>45153.666666666599</v>
      </c>
      <c r="B1164" s="1">
        <f ca="1">IFERROR(__xludf.UNSUPPORTED("""COMPUTED_VALUE"""),321.86)</f>
        <v>321.86</v>
      </c>
      <c r="C1164" s="2">
        <f t="shared" ca="1" si="4"/>
        <v>-6.7275644982101182E-3</v>
      </c>
    </row>
    <row r="1165" spans="1:3">
      <c r="A1165" s="3">
        <f ca="1">IFERROR(__xludf.UNSUPPORTED("""COMPUTED_VALUE"""),45154.6666666666)</f>
        <v>45154.666666666599</v>
      </c>
      <c r="B1165" s="1">
        <f ca="1">IFERROR(__xludf.UNSUPPORTED("""COMPUTED_VALUE"""),320.4)</f>
        <v>320.39999999999998</v>
      </c>
      <c r="C1165" s="2">
        <f t="shared" ca="1" si="4"/>
        <v>-4.5361337227367068E-3</v>
      </c>
    </row>
    <row r="1166" spans="1:3">
      <c r="A1166" s="3">
        <f ca="1">IFERROR(__xludf.UNSUPPORTED("""COMPUTED_VALUE"""),45155.6666666666)</f>
        <v>45155.666666666599</v>
      </c>
      <c r="B1166" s="1">
        <f ca="1">IFERROR(__xludf.UNSUPPORTED("""COMPUTED_VALUE"""),316.88)</f>
        <v>316.88</v>
      </c>
      <c r="C1166" s="2">
        <f t="shared" ca="1" si="4"/>
        <v>-1.0986267166042391E-2</v>
      </c>
    </row>
    <row r="1167" spans="1:3">
      <c r="A1167" s="3">
        <f ca="1">IFERROR(__xludf.UNSUPPORTED("""COMPUTED_VALUE"""),45156.6666666666)</f>
        <v>45156.666666666599</v>
      </c>
      <c r="B1167" s="1">
        <f ca="1">IFERROR(__xludf.UNSUPPORTED("""COMPUTED_VALUE"""),316.48)</f>
        <v>316.48</v>
      </c>
      <c r="C1167" s="2">
        <f t="shared" ca="1" si="4"/>
        <v>-1.2623074981064669E-3</v>
      </c>
    </row>
    <row r="1168" spans="1:3">
      <c r="A1168" s="3">
        <f ca="1">IFERROR(__xludf.UNSUPPORTED("""COMPUTED_VALUE"""),45159.6666666666)</f>
        <v>45159.666666666599</v>
      </c>
      <c r="B1168" s="1">
        <f ca="1">IFERROR(__xludf.UNSUPPORTED("""COMPUTED_VALUE"""),321.88)</f>
        <v>321.88</v>
      </c>
      <c r="C1168" s="2">
        <f t="shared" ca="1" si="4"/>
        <v>1.7062689585439765E-2</v>
      </c>
    </row>
    <row r="1169" spans="1:3">
      <c r="A1169" s="3">
        <f ca="1">IFERROR(__xludf.UNSUPPORTED("""COMPUTED_VALUE"""),45160.6666666666)</f>
        <v>45160.666666666599</v>
      </c>
      <c r="B1169" s="1">
        <f ca="1">IFERROR(__xludf.UNSUPPORTED("""COMPUTED_VALUE"""),322.46)</f>
        <v>322.45999999999998</v>
      </c>
      <c r="C1169" s="2">
        <f t="shared" ca="1" si="4"/>
        <v>1.8019137566794585E-3</v>
      </c>
    </row>
    <row r="1170" spans="1:3">
      <c r="A1170" s="3">
        <f ca="1">IFERROR(__xludf.UNSUPPORTED("""COMPUTED_VALUE"""),45161.6666666666)</f>
        <v>45161.666666666599</v>
      </c>
      <c r="B1170" s="1">
        <f ca="1">IFERROR(__xludf.UNSUPPORTED("""COMPUTED_VALUE"""),327)</f>
        <v>327</v>
      </c>
      <c r="C1170" s="2">
        <f t="shared" ca="1" si="4"/>
        <v>1.4079265645351426E-2</v>
      </c>
    </row>
    <row r="1171" spans="1:3">
      <c r="A1171" s="3">
        <f ca="1">IFERROR(__xludf.UNSUPPORTED("""COMPUTED_VALUE"""),45162.6666666666)</f>
        <v>45162.666666666599</v>
      </c>
      <c r="B1171" s="1">
        <f ca="1">IFERROR(__xludf.UNSUPPORTED("""COMPUTED_VALUE"""),319.97)</f>
        <v>319.97000000000003</v>
      </c>
      <c r="C1171" s="2">
        <f t="shared" ca="1" si="4"/>
        <v>-2.149847094801215E-2</v>
      </c>
    </row>
    <row r="1172" spans="1:3">
      <c r="A1172" s="3">
        <f ca="1">IFERROR(__xludf.UNSUPPORTED("""COMPUTED_VALUE"""),45163.6666666666)</f>
        <v>45163.666666666599</v>
      </c>
      <c r="B1172" s="1">
        <f ca="1">IFERROR(__xludf.UNSUPPORTED("""COMPUTED_VALUE"""),322.98)</f>
        <v>322.98</v>
      </c>
      <c r="C1172" s="2">
        <f t="shared" ca="1" si="4"/>
        <v>9.407131918617341E-3</v>
      </c>
    </row>
    <row r="1173" spans="1:3">
      <c r="A1173" s="3">
        <f ca="1">IFERROR(__xludf.UNSUPPORTED("""COMPUTED_VALUE"""),45166.6666666666)</f>
        <v>45166.666666666599</v>
      </c>
      <c r="B1173" s="1">
        <f ca="1">IFERROR(__xludf.UNSUPPORTED("""COMPUTED_VALUE"""),323.7)</f>
        <v>323.7</v>
      </c>
      <c r="C1173" s="2">
        <f t="shared" ca="1" si="4"/>
        <v>2.2292402006315265E-3</v>
      </c>
    </row>
    <row r="1174" spans="1:3">
      <c r="A1174" s="3">
        <f ca="1">IFERROR(__xludf.UNSUPPORTED("""COMPUTED_VALUE"""),45167.6666666666)</f>
        <v>45167.666666666599</v>
      </c>
      <c r="B1174" s="1">
        <f ca="1">IFERROR(__xludf.UNSUPPORTED("""COMPUTED_VALUE"""),328.41)</f>
        <v>328.41</v>
      </c>
      <c r="C1174" s="2">
        <f t="shared" ca="1" si="4"/>
        <v>1.4550509731232735E-2</v>
      </c>
    </row>
    <row r="1175" spans="1:3">
      <c r="A1175" s="3">
        <f ca="1">IFERROR(__xludf.UNSUPPORTED("""COMPUTED_VALUE"""),45168.6666666666)</f>
        <v>45168.666666666599</v>
      </c>
      <c r="B1175" s="1">
        <f ca="1">IFERROR(__xludf.UNSUPPORTED("""COMPUTED_VALUE"""),328.79)</f>
        <v>328.79</v>
      </c>
      <c r="C1175" s="2">
        <f t="shared" ca="1" si="4"/>
        <v>1.1570902225876052E-3</v>
      </c>
    </row>
    <row r="1176" spans="1:3">
      <c r="A1176" s="3">
        <f ca="1">IFERROR(__xludf.UNSUPPORTED("""COMPUTED_VALUE"""),45169.6666666666)</f>
        <v>45169.666666666599</v>
      </c>
      <c r="B1176" s="1">
        <f ca="1">IFERROR(__xludf.UNSUPPORTED("""COMPUTED_VALUE"""),327.76)</f>
        <v>327.76</v>
      </c>
      <c r="C1176" s="2">
        <f t="shared" ca="1" si="4"/>
        <v>-3.1326986830500607E-3</v>
      </c>
    </row>
    <row r="1177" spans="1:3">
      <c r="A1177" s="3">
        <f ca="1">IFERROR(__xludf.UNSUPPORTED("""COMPUTED_VALUE"""),45170.6666666666)</f>
        <v>45170.666666666599</v>
      </c>
      <c r="B1177" s="1">
        <f ca="1">IFERROR(__xludf.UNSUPPORTED("""COMPUTED_VALUE"""),328.66)</f>
        <v>328.66</v>
      </c>
      <c r="C1177" s="2">
        <f t="shared" ca="1" si="4"/>
        <v>2.7459116426654692E-3</v>
      </c>
    </row>
    <row r="1178" spans="1:3">
      <c r="A1178" s="3">
        <f ca="1">IFERROR(__xludf.UNSUPPORTED("""COMPUTED_VALUE"""),45174.6666666666)</f>
        <v>45174.666666666599</v>
      </c>
      <c r="B1178" s="1">
        <f ca="1">IFERROR(__xludf.UNSUPPORTED("""COMPUTED_VALUE"""),333.55)</f>
        <v>333.55</v>
      </c>
      <c r="C1178" s="2">
        <f t="shared" ca="1" si="4"/>
        <v>1.4878597943163105E-2</v>
      </c>
    </row>
    <row r="1179" spans="1:3">
      <c r="A1179" s="3">
        <f ca="1">IFERROR(__xludf.UNSUPPORTED("""COMPUTED_VALUE"""),45175.6666666666)</f>
        <v>45175.666666666599</v>
      </c>
      <c r="B1179" s="1">
        <f ca="1">IFERROR(__xludf.UNSUPPORTED("""COMPUTED_VALUE"""),332.88)</f>
        <v>332.88</v>
      </c>
      <c r="C1179" s="2">
        <f t="shared" ca="1" si="4"/>
        <v>-2.0086943486734101E-3</v>
      </c>
    </row>
    <row r="1180" spans="1:3">
      <c r="A1180" s="3">
        <f ca="1">IFERROR(__xludf.UNSUPPORTED("""COMPUTED_VALUE"""),45176.6666666666)</f>
        <v>45176.666666666599</v>
      </c>
      <c r="B1180" s="1">
        <f ca="1">IFERROR(__xludf.UNSUPPORTED("""COMPUTED_VALUE"""),329.91)</f>
        <v>329.91</v>
      </c>
      <c r="C1180" s="2">
        <f t="shared" ca="1" si="4"/>
        <v>-8.9221341023791468E-3</v>
      </c>
    </row>
    <row r="1181" spans="1:3">
      <c r="A1181" s="3">
        <f ca="1">IFERROR(__xludf.UNSUPPORTED("""COMPUTED_VALUE"""),45177.6666666666)</f>
        <v>45177.666666666599</v>
      </c>
      <c r="B1181" s="1">
        <f ca="1">IFERROR(__xludf.UNSUPPORTED("""COMPUTED_VALUE"""),334.27)</f>
        <v>334.27</v>
      </c>
      <c r="C1181" s="2">
        <f t="shared" ca="1" si="4"/>
        <v>1.3215725500894051E-2</v>
      </c>
    </row>
    <row r="1182" spans="1:3">
      <c r="A1182" s="3">
        <f ca="1">IFERROR(__xludf.UNSUPPORTED("""COMPUTED_VALUE"""),45180.6666666666)</f>
        <v>45180.666666666599</v>
      </c>
      <c r="B1182" s="1">
        <f ca="1">IFERROR(__xludf.UNSUPPORTED("""COMPUTED_VALUE"""),337.94)</f>
        <v>337.94</v>
      </c>
      <c r="C1182" s="2">
        <f t="shared" ca="1" si="4"/>
        <v>1.0979148592455249E-2</v>
      </c>
    </row>
    <row r="1183" spans="1:3">
      <c r="A1183" s="3">
        <f ca="1">IFERROR(__xludf.UNSUPPORTED("""COMPUTED_VALUE"""),45181.6666666666)</f>
        <v>45181.666666666599</v>
      </c>
      <c r="B1183" s="1">
        <f ca="1">IFERROR(__xludf.UNSUPPORTED("""COMPUTED_VALUE"""),331.77)</f>
        <v>331.77</v>
      </c>
      <c r="C1183" s="2">
        <f t="shared" ca="1" si="4"/>
        <v>-1.8257678877907368E-2</v>
      </c>
    </row>
    <row r="1184" spans="1:3">
      <c r="A1184" s="3">
        <f ca="1">IFERROR(__xludf.UNSUPPORTED("""COMPUTED_VALUE"""),45182.6666666666)</f>
        <v>45182.666666666599</v>
      </c>
      <c r="B1184" s="1">
        <f ca="1">IFERROR(__xludf.UNSUPPORTED("""COMPUTED_VALUE"""),336.06)</f>
        <v>336.06</v>
      </c>
      <c r="C1184" s="2">
        <f t="shared" ca="1" si="4"/>
        <v>1.2930644723754471E-2</v>
      </c>
    </row>
    <row r="1185" spans="1:3">
      <c r="A1185" s="3">
        <f ca="1">IFERROR(__xludf.UNSUPPORTED("""COMPUTED_VALUE"""),45183.6666666666)</f>
        <v>45183.666666666599</v>
      </c>
      <c r="B1185" s="1">
        <f ca="1">IFERROR(__xludf.UNSUPPORTED("""COMPUTED_VALUE"""),338.7)</f>
        <v>338.7</v>
      </c>
      <c r="C1185" s="2">
        <f t="shared" ca="1" si="4"/>
        <v>7.8557400464202409E-3</v>
      </c>
    </row>
    <row r="1186" spans="1:3">
      <c r="A1186" s="3">
        <f ca="1">IFERROR(__xludf.UNSUPPORTED("""COMPUTED_VALUE"""),45184.6666666666)</f>
        <v>45184.666666666599</v>
      </c>
      <c r="B1186" s="1">
        <f ca="1">IFERROR(__xludf.UNSUPPORTED("""COMPUTED_VALUE"""),330.22)</f>
        <v>330.22</v>
      </c>
      <c r="C1186" s="2">
        <f t="shared" ca="1" si="4"/>
        <v>-2.5036905816356543E-2</v>
      </c>
    </row>
    <row r="1187" spans="1:3">
      <c r="A1187" s="3">
        <f ca="1">IFERROR(__xludf.UNSUPPORTED("""COMPUTED_VALUE"""),45187.6666666666)</f>
        <v>45187.666666666599</v>
      </c>
      <c r="B1187" s="1">
        <f ca="1">IFERROR(__xludf.UNSUPPORTED("""COMPUTED_VALUE"""),329.06)</f>
        <v>329.06</v>
      </c>
      <c r="C1187" s="2">
        <f t="shared" ca="1" si="4"/>
        <v>-3.5128096420568859E-3</v>
      </c>
    </row>
    <row r="1188" spans="1:3">
      <c r="A1188" s="3">
        <f ca="1">IFERROR(__xludf.UNSUPPORTED("""COMPUTED_VALUE"""),45188.6666666666)</f>
        <v>45188.666666666599</v>
      </c>
      <c r="B1188" s="1">
        <f ca="1">IFERROR(__xludf.UNSUPPORTED("""COMPUTED_VALUE"""),328.65)</f>
        <v>328.65</v>
      </c>
      <c r="C1188" s="2">
        <f t="shared" ca="1" si="4"/>
        <v>-1.245973378715204E-3</v>
      </c>
    </row>
    <row r="1189" spans="1:3">
      <c r="A1189" s="3">
        <f ca="1">IFERROR(__xludf.UNSUPPORTED("""COMPUTED_VALUE"""),45189.6666666666)</f>
        <v>45189.666666666599</v>
      </c>
      <c r="B1189" s="1">
        <f ca="1">IFERROR(__xludf.UNSUPPORTED("""COMPUTED_VALUE"""),320.77)</f>
        <v>320.77</v>
      </c>
      <c r="C1189" s="2">
        <f t="shared" ca="1" si="4"/>
        <v>-2.3976875095085944E-2</v>
      </c>
    </row>
    <row r="1190" spans="1:3">
      <c r="A1190" s="3">
        <f ca="1">IFERROR(__xludf.UNSUPPORTED("""COMPUTED_VALUE"""),45190.6666666666)</f>
        <v>45190.666666666599</v>
      </c>
      <c r="B1190" s="1">
        <f ca="1">IFERROR(__xludf.UNSUPPORTED("""COMPUTED_VALUE"""),319.53)</f>
        <v>319.52999999999997</v>
      </c>
      <c r="C1190" s="2">
        <f t="shared" ca="1" si="4"/>
        <v>-3.8656981637934006E-3</v>
      </c>
    </row>
    <row r="1191" spans="1:3">
      <c r="A1191" s="3">
        <f ca="1">IFERROR(__xludf.UNSUPPORTED("""COMPUTED_VALUE"""),45191.6666666666)</f>
        <v>45191.666666666599</v>
      </c>
      <c r="B1191" s="1">
        <f ca="1">IFERROR(__xludf.UNSUPPORTED("""COMPUTED_VALUE"""),317.01)</f>
        <v>317.01</v>
      </c>
      <c r="C1191" s="2">
        <f t="shared" ca="1" si="4"/>
        <v>-7.8865834193971827E-3</v>
      </c>
    </row>
    <row r="1192" spans="1:3">
      <c r="A1192" s="3">
        <f ca="1">IFERROR(__xludf.UNSUPPORTED("""COMPUTED_VALUE"""),45194.6666666666)</f>
        <v>45194.666666666599</v>
      </c>
      <c r="B1192" s="1">
        <f ca="1">IFERROR(__xludf.UNSUPPORTED("""COMPUTED_VALUE"""),317.54)</f>
        <v>317.54000000000002</v>
      </c>
      <c r="C1192" s="2">
        <f t="shared" ca="1" si="4"/>
        <v>1.6718715497934752E-3</v>
      </c>
    </row>
    <row r="1193" spans="1:3">
      <c r="A1193" s="3">
        <f ca="1">IFERROR(__xludf.UNSUPPORTED("""COMPUTED_VALUE"""),45195.6666666666)</f>
        <v>45195.666666666599</v>
      </c>
      <c r="B1193" s="1">
        <f ca="1">IFERROR(__xludf.UNSUPPORTED("""COMPUTED_VALUE"""),312.14)</f>
        <v>312.14</v>
      </c>
      <c r="C1193" s="2">
        <f t="shared" ca="1" si="4"/>
        <v>-1.70057315613782E-2</v>
      </c>
    </row>
    <row r="1194" spans="1:3">
      <c r="A1194" s="3">
        <f ca="1">IFERROR(__xludf.UNSUPPORTED("""COMPUTED_VALUE"""),45196.6666666666)</f>
        <v>45196.666666666599</v>
      </c>
      <c r="B1194" s="1">
        <f ca="1">IFERROR(__xludf.UNSUPPORTED("""COMPUTED_VALUE"""),312.79)</f>
        <v>312.79000000000002</v>
      </c>
      <c r="C1194" s="2">
        <f t="shared" ca="1" si="4"/>
        <v>2.0823989235600505E-3</v>
      </c>
    </row>
    <row r="1195" spans="1:3">
      <c r="A1195" s="3">
        <f ca="1">IFERROR(__xludf.UNSUPPORTED("""COMPUTED_VALUE"""),45197.6666666666)</f>
        <v>45197.666666666599</v>
      </c>
      <c r="B1195" s="1">
        <f ca="1">IFERROR(__xludf.UNSUPPORTED("""COMPUTED_VALUE"""),313.64)</f>
        <v>313.64</v>
      </c>
      <c r="C1195" s="2">
        <f t="shared" ca="1" si="4"/>
        <v>2.71747818024862E-3</v>
      </c>
    </row>
    <row r="1196" spans="1:3">
      <c r="A1196" s="3">
        <f ca="1">IFERROR(__xludf.UNSUPPORTED("""COMPUTED_VALUE"""),45198.6666666666)</f>
        <v>45198.666666666599</v>
      </c>
      <c r="B1196" s="1">
        <f ca="1">IFERROR(__xludf.UNSUPPORTED("""COMPUTED_VALUE"""),315.75)</f>
        <v>315.75</v>
      </c>
      <c r="C1196" s="2">
        <f t="shared" ca="1" si="4"/>
        <v>6.7274582323683645E-3</v>
      </c>
    </row>
    <row r="1197" spans="1:3">
      <c r="A1197" s="3">
        <f ca="1">IFERROR(__xludf.UNSUPPORTED("""COMPUTED_VALUE"""),45201.6666666666)</f>
        <v>45201.666666666599</v>
      </c>
      <c r="B1197" s="1">
        <f ca="1">IFERROR(__xludf.UNSUPPORTED("""COMPUTED_VALUE"""),321.8)</f>
        <v>321.8</v>
      </c>
      <c r="C1197" s="2">
        <f t="shared" ca="1" si="4"/>
        <v>1.9160728424386417E-2</v>
      </c>
    </row>
    <row r="1198" spans="1:3">
      <c r="A1198" s="3">
        <f ca="1">IFERROR(__xludf.UNSUPPORTED("""COMPUTED_VALUE"""),45202.6666666666)</f>
        <v>45202.666666666599</v>
      </c>
      <c r="B1198" s="1">
        <f ca="1">IFERROR(__xludf.UNSUPPORTED("""COMPUTED_VALUE"""),313.39)</f>
        <v>313.39</v>
      </c>
      <c r="C1198" s="2">
        <f t="shared" ca="1" si="4"/>
        <v>-2.613424487259175E-2</v>
      </c>
    </row>
    <row r="1199" spans="1:3">
      <c r="A1199" s="3">
        <f ca="1">IFERROR(__xludf.UNSUPPORTED("""COMPUTED_VALUE"""),45203.6666666666)</f>
        <v>45203.666666666599</v>
      </c>
      <c r="B1199" s="1">
        <f ca="1">IFERROR(__xludf.UNSUPPORTED("""COMPUTED_VALUE"""),318.96)</f>
        <v>318.95999999999998</v>
      </c>
      <c r="C1199" s="2">
        <f t="shared" ca="1" si="4"/>
        <v>1.7773381409745024E-2</v>
      </c>
    </row>
    <row r="1200" spans="1:3">
      <c r="A1200" s="3">
        <f ca="1">IFERROR(__xludf.UNSUPPORTED("""COMPUTED_VALUE"""),45204.6666666666)</f>
        <v>45204.666666666599</v>
      </c>
      <c r="B1200" s="1">
        <f ca="1">IFERROR(__xludf.UNSUPPORTED("""COMPUTED_VALUE"""),319.36)</f>
        <v>319.36</v>
      </c>
      <c r="C1200" s="2">
        <f t="shared" ca="1" si="4"/>
        <v>1.254075746175176E-3</v>
      </c>
    </row>
    <row r="1201" spans="1:3">
      <c r="A1201" s="3">
        <f ca="1">IFERROR(__xludf.UNSUPPORTED("""COMPUTED_VALUE"""),45205.6666666666)</f>
        <v>45205.666666666599</v>
      </c>
      <c r="B1201" s="1">
        <f ca="1">IFERROR(__xludf.UNSUPPORTED("""COMPUTED_VALUE"""),327.26)</f>
        <v>327.26</v>
      </c>
      <c r="C1201" s="2">
        <f t="shared" ca="1" si="4"/>
        <v>2.4736973947895719E-2</v>
      </c>
    </row>
    <row r="1202" spans="1:3">
      <c r="A1202" s="3">
        <f ca="1">IFERROR(__xludf.UNSUPPORTED("""COMPUTED_VALUE"""),45208.6666666666)</f>
        <v>45208.666666666599</v>
      </c>
      <c r="B1202" s="1">
        <f ca="1">IFERROR(__xludf.UNSUPPORTED("""COMPUTED_VALUE"""),329.82)</f>
        <v>329.82</v>
      </c>
      <c r="C1202" s="2">
        <f t="shared" ca="1" si="4"/>
        <v>7.822526431583458E-3</v>
      </c>
    </row>
    <row r="1203" spans="1:3">
      <c r="A1203" s="3">
        <f ca="1">IFERROR(__xludf.UNSUPPORTED("""COMPUTED_VALUE"""),45209.6666666666)</f>
        <v>45209.666666666599</v>
      </c>
      <c r="B1203" s="1">
        <f ca="1">IFERROR(__xludf.UNSUPPORTED("""COMPUTED_VALUE"""),328.39)</f>
        <v>328.39</v>
      </c>
      <c r="C1203" s="2">
        <f t="shared" ca="1" si="4"/>
        <v>-4.3356982596568037E-3</v>
      </c>
    </row>
    <row r="1204" spans="1:3">
      <c r="A1204" s="3">
        <f ca="1">IFERROR(__xludf.UNSUPPORTED("""COMPUTED_VALUE"""),45210.6666666666)</f>
        <v>45210.666666666599</v>
      </c>
      <c r="B1204" s="1">
        <f ca="1">IFERROR(__xludf.UNSUPPORTED("""COMPUTED_VALUE"""),332.42)</f>
        <v>332.42</v>
      </c>
      <c r="C1204" s="2">
        <f t="shared" ca="1" si="4"/>
        <v>1.2271993666067876E-2</v>
      </c>
    </row>
    <row r="1205" spans="1:3">
      <c r="A1205" s="3">
        <f ca="1">IFERROR(__xludf.UNSUPPORTED("""COMPUTED_VALUE"""),45211.6666666666)</f>
        <v>45211.666666666599</v>
      </c>
      <c r="B1205" s="1">
        <f ca="1">IFERROR(__xludf.UNSUPPORTED("""COMPUTED_VALUE"""),331.16)</f>
        <v>331.16</v>
      </c>
      <c r="C1205" s="2">
        <f t="shared" ca="1" si="4"/>
        <v>-3.7903856566993289E-3</v>
      </c>
    </row>
    <row r="1206" spans="1:3">
      <c r="A1206" s="3">
        <f ca="1">IFERROR(__xludf.UNSUPPORTED("""COMPUTED_VALUE"""),45212.6666666666)</f>
        <v>45212.666666666599</v>
      </c>
      <c r="B1206" s="1">
        <f ca="1">IFERROR(__xludf.UNSUPPORTED("""COMPUTED_VALUE"""),327.73)</f>
        <v>327.73</v>
      </c>
      <c r="C1206" s="2">
        <f t="shared" ca="1" si="4"/>
        <v>-1.0357531102790212E-2</v>
      </c>
    </row>
    <row r="1207" spans="1:3">
      <c r="A1207" s="3">
        <f ca="1">IFERROR(__xludf.UNSUPPORTED("""COMPUTED_VALUE"""),45215.6666666666)</f>
        <v>45215.666666666599</v>
      </c>
      <c r="B1207" s="1">
        <f ca="1">IFERROR(__xludf.UNSUPPORTED("""COMPUTED_VALUE"""),332.64)</f>
        <v>332.64</v>
      </c>
      <c r="C1207" s="2">
        <f t="shared" ca="1" si="4"/>
        <v>1.4981844811277479E-2</v>
      </c>
    </row>
    <row r="1208" spans="1:3">
      <c r="A1208" s="3">
        <f ca="1">IFERROR(__xludf.UNSUPPORTED("""COMPUTED_VALUE"""),45216.6666666666)</f>
        <v>45216.666666666599</v>
      </c>
      <c r="B1208" s="1">
        <f ca="1">IFERROR(__xludf.UNSUPPORTED("""COMPUTED_VALUE"""),332.06)</f>
        <v>332.06</v>
      </c>
      <c r="C1208" s="2">
        <f t="shared" ca="1" si="4"/>
        <v>-1.7436267436266959E-3</v>
      </c>
    </row>
    <row r="1209" spans="1:3">
      <c r="A1209" s="3">
        <f ca="1">IFERROR(__xludf.UNSUPPORTED("""COMPUTED_VALUE"""),45217.6666666666)</f>
        <v>45217.666666666599</v>
      </c>
      <c r="B1209" s="1">
        <f ca="1">IFERROR(__xludf.UNSUPPORTED("""COMPUTED_VALUE"""),330.11)</f>
        <v>330.11</v>
      </c>
      <c r="C1209" s="2">
        <f t="shared" ca="1" si="4"/>
        <v>-5.8724326928867934E-3</v>
      </c>
    </row>
    <row r="1210" spans="1:3">
      <c r="A1210" s="3">
        <f ca="1">IFERROR(__xludf.UNSUPPORTED("""COMPUTED_VALUE"""),45218.6666666666)</f>
        <v>45218.666666666599</v>
      </c>
      <c r="B1210" s="1">
        <f ca="1">IFERROR(__xludf.UNSUPPORTED("""COMPUTED_VALUE"""),331.32)</f>
        <v>331.32</v>
      </c>
      <c r="C1210" s="2">
        <f t="shared" ca="1" si="4"/>
        <v>3.6654448517160327E-3</v>
      </c>
    </row>
    <row r="1211" spans="1:3">
      <c r="A1211" s="3">
        <f ca="1">IFERROR(__xludf.UNSUPPORTED("""COMPUTED_VALUE"""),45219.6666666666)</f>
        <v>45219.666666666599</v>
      </c>
      <c r="B1211" s="1">
        <f ca="1">IFERROR(__xludf.UNSUPPORTED("""COMPUTED_VALUE"""),326.67)</f>
        <v>326.67</v>
      </c>
      <c r="C1211" s="2">
        <f t="shared" ca="1" si="4"/>
        <v>-1.403477001086556E-2</v>
      </c>
    </row>
    <row r="1212" spans="1:3">
      <c r="A1212" s="3">
        <f ca="1">IFERROR(__xludf.UNSUPPORTED("""COMPUTED_VALUE"""),45222.6666666666)</f>
        <v>45222.666666666599</v>
      </c>
      <c r="B1212" s="1">
        <f ca="1">IFERROR(__xludf.UNSUPPORTED("""COMPUTED_VALUE"""),329.32)</f>
        <v>329.32</v>
      </c>
      <c r="C1212" s="2">
        <f t="shared" ca="1" si="4"/>
        <v>8.1121621207946165E-3</v>
      </c>
    </row>
    <row r="1213" spans="1:3">
      <c r="A1213" s="3">
        <f ca="1">IFERROR(__xludf.UNSUPPORTED("""COMPUTED_VALUE"""),45223.6666666666)</f>
        <v>45223.666666666599</v>
      </c>
      <c r="B1213" s="1">
        <f ca="1">IFERROR(__xludf.UNSUPPORTED("""COMPUTED_VALUE"""),330.53)</f>
        <v>330.53</v>
      </c>
      <c r="C1213" s="2">
        <f t="shared" ca="1" si="4"/>
        <v>3.6742378233935976E-3</v>
      </c>
    </row>
    <row r="1214" spans="1:3">
      <c r="A1214" s="3">
        <f ca="1">IFERROR(__xludf.UNSUPPORTED("""COMPUTED_VALUE"""),45224.6666666666)</f>
        <v>45224.666666666599</v>
      </c>
      <c r="B1214" s="1">
        <f ca="1">IFERROR(__xludf.UNSUPPORTED("""COMPUTED_VALUE"""),340.67)</f>
        <v>340.67</v>
      </c>
      <c r="C1214" s="2">
        <f t="shared" ca="1" si="4"/>
        <v>3.0678001996793162E-2</v>
      </c>
    </row>
    <row r="1215" spans="1:3">
      <c r="A1215" s="3">
        <f ca="1">IFERROR(__xludf.UNSUPPORTED("""COMPUTED_VALUE"""),45225.6666666666)</f>
        <v>45225.666666666599</v>
      </c>
      <c r="B1215" s="1">
        <f ca="1">IFERROR(__xludf.UNSUPPORTED("""COMPUTED_VALUE"""),327.89)</f>
        <v>327.89</v>
      </c>
      <c r="C1215" s="2">
        <f t="shared" ca="1" si="4"/>
        <v>-3.7514310036105405E-2</v>
      </c>
    </row>
    <row r="1216" spans="1:3">
      <c r="A1216" s="3">
        <f ca="1">IFERROR(__xludf.UNSUPPORTED("""COMPUTED_VALUE"""),45226.6666666666)</f>
        <v>45226.666666666599</v>
      </c>
      <c r="B1216" s="1">
        <f ca="1">IFERROR(__xludf.UNSUPPORTED("""COMPUTED_VALUE"""),329.81)</f>
        <v>329.81</v>
      </c>
      <c r="C1216" s="2">
        <f t="shared" ca="1" si="4"/>
        <v>5.8556223123609015E-3</v>
      </c>
    </row>
    <row r="1217" spans="1:3">
      <c r="A1217" s="3">
        <f ca="1">IFERROR(__xludf.UNSUPPORTED("""COMPUTED_VALUE"""),45229.6666666666)</f>
        <v>45229.666666666599</v>
      </c>
      <c r="B1217" s="1">
        <f ca="1">IFERROR(__xludf.UNSUPPORTED("""COMPUTED_VALUE"""),337.31)</f>
        <v>337.31</v>
      </c>
      <c r="C1217" s="2">
        <f t="shared" ca="1" si="4"/>
        <v>2.2740365665079896E-2</v>
      </c>
    </row>
    <row r="1218" spans="1:3">
      <c r="A1218" s="3">
        <f ca="1">IFERROR(__xludf.UNSUPPORTED("""COMPUTED_VALUE"""),45230.6666666666)</f>
        <v>45230.666666666599</v>
      </c>
      <c r="B1218" s="1">
        <f ca="1">IFERROR(__xludf.UNSUPPORTED("""COMPUTED_VALUE"""),338.11)</f>
        <v>338.11</v>
      </c>
      <c r="C1218" s="2">
        <f t="shared" ca="1" si="4"/>
        <v>2.3717055527556589E-3</v>
      </c>
    </row>
    <row r="1219" spans="1:3">
      <c r="A1219" s="3">
        <f ca="1">IFERROR(__xludf.UNSUPPORTED("""COMPUTED_VALUE"""),45231.6666666666)</f>
        <v>45231.666666666599</v>
      </c>
      <c r="B1219" s="1">
        <f ca="1">IFERROR(__xludf.UNSUPPORTED("""COMPUTED_VALUE"""),346.07)</f>
        <v>346.07</v>
      </c>
      <c r="C1219" s="2">
        <f t="shared" ca="1" si="4"/>
        <v>2.3542634054006032E-2</v>
      </c>
    </row>
    <row r="1220" spans="1:3">
      <c r="A1220" s="3">
        <f ca="1">IFERROR(__xludf.UNSUPPORTED("""COMPUTED_VALUE"""),45232.6666666666)</f>
        <v>45232.666666666599</v>
      </c>
      <c r="B1220" s="1">
        <f ca="1">IFERROR(__xludf.UNSUPPORTED("""COMPUTED_VALUE"""),348.32)</f>
        <v>348.32</v>
      </c>
      <c r="C1220" s="2">
        <f t="shared" ca="1" si="4"/>
        <v>6.5015748259022741E-3</v>
      </c>
    </row>
    <row r="1221" spans="1:3">
      <c r="A1221" s="3">
        <f ca="1">IFERROR(__xludf.UNSUPPORTED("""COMPUTED_VALUE"""),45233.6666666666)</f>
        <v>45233.666666666599</v>
      </c>
      <c r="B1221" s="1">
        <f ca="1">IFERROR(__xludf.UNSUPPORTED("""COMPUTED_VALUE"""),352.8)</f>
        <v>352.8</v>
      </c>
      <c r="C1221" s="2">
        <f t="shared" ca="1" si="4"/>
        <v>1.2861736334405197E-2</v>
      </c>
    </row>
    <row r="1222" spans="1:3">
      <c r="A1222" s="3">
        <f ca="1">IFERROR(__xludf.UNSUPPORTED("""COMPUTED_VALUE"""),45236.6666666666)</f>
        <v>45236.666666666599</v>
      </c>
      <c r="B1222" s="1">
        <f ca="1">IFERROR(__xludf.UNSUPPORTED("""COMPUTED_VALUE"""),356.53)</f>
        <v>356.53</v>
      </c>
      <c r="C1222" s="2">
        <f t="shared" ca="1" si="4"/>
        <v>1.0572562358276534E-2</v>
      </c>
    </row>
    <row r="1223" spans="1:3">
      <c r="A1223" s="3">
        <f ca="1">IFERROR(__xludf.UNSUPPORTED("""COMPUTED_VALUE"""),45237.6666666666)</f>
        <v>45237.666666666599</v>
      </c>
      <c r="B1223" s="1">
        <f ca="1">IFERROR(__xludf.UNSUPPORTED("""COMPUTED_VALUE"""),360.53)</f>
        <v>360.53</v>
      </c>
      <c r="C1223" s="2">
        <f t="shared" ca="1" si="4"/>
        <v>1.1219252236838416E-2</v>
      </c>
    </row>
    <row r="1224" spans="1:3">
      <c r="A1224" s="3">
        <f ca="1">IFERROR(__xludf.UNSUPPORTED("""COMPUTED_VALUE"""),45238.6666666666)</f>
        <v>45238.666666666599</v>
      </c>
      <c r="B1224" s="1">
        <f ca="1">IFERROR(__xludf.UNSUPPORTED("""COMPUTED_VALUE"""),363.2)</f>
        <v>363.2</v>
      </c>
      <c r="C1224" s="2">
        <f t="shared" ca="1" si="4"/>
        <v>7.4057637367209829E-3</v>
      </c>
    </row>
    <row r="1225" spans="1:3">
      <c r="A1225" s="3">
        <f ca="1">IFERROR(__xludf.UNSUPPORTED("""COMPUTED_VALUE"""),45239.6666666666)</f>
        <v>45239.666666666599</v>
      </c>
      <c r="B1225" s="1">
        <f ca="1">IFERROR(__xludf.UNSUPPORTED("""COMPUTED_VALUE"""),360.69)</f>
        <v>360.69</v>
      </c>
      <c r="C1225" s="2">
        <f t="shared" ca="1" si="4"/>
        <v>-6.9107929515418252E-3</v>
      </c>
    </row>
    <row r="1226" spans="1:3">
      <c r="A1226" s="3">
        <f ca="1">IFERROR(__xludf.UNSUPPORTED("""COMPUTED_VALUE"""),45240.6666666666)</f>
        <v>45240.666666666599</v>
      </c>
      <c r="B1226" s="1">
        <f ca="1">IFERROR(__xludf.UNSUPPORTED("""COMPUTED_VALUE"""),369.67)</f>
        <v>369.67</v>
      </c>
      <c r="C1226" s="2">
        <f t="shared" ca="1" si="4"/>
        <v>2.4896725720147547E-2</v>
      </c>
    </row>
    <row r="1227" spans="1:3">
      <c r="A1227" s="3">
        <f ca="1">IFERROR(__xludf.UNSUPPORTED("""COMPUTED_VALUE"""),45243.6666666666)</f>
        <v>45243.666666666599</v>
      </c>
      <c r="B1227" s="1">
        <f ca="1">IFERROR(__xludf.UNSUPPORTED("""COMPUTED_VALUE"""),366.68)</f>
        <v>366.68</v>
      </c>
      <c r="C1227" s="2">
        <f t="shared" ca="1" si="4"/>
        <v>-8.0882949657803144E-3</v>
      </c>
    </row>
    <row r="1228" spans="1:3">
      <c r="A1228" s="3">
        <f ca="1">IFERROR(__xludf.UNSUPPORTED("""COMPUTED_VALUE"""),45244.6666666666)</f>
        <v>45244.666666666599</v>
      </c>
      <c r="B1228" s="1">
        <f ca="1">IFERROR(__xludf.UNSUPPORTED("""COMPUTED_VALUE"""),370.27)</f>
        <v>370.27</v>
      </c>
      <c r="C1228" s="2">
        <f t="shared" ca="1" si="4"/>
        <v>9.790553070797358E-3</v>
      </c>
    </row>
    <row r="1229" spans="1:3">
      <c r="A1229" s="3">
        <f ca="1">IFERROR(__xludf.UNSUPPORTED("""COMPUTED_VALUE"""),45245.6666666666)</f>
        <v>45245.666666666599</v>
      </c>
      <c r="B1229" s="1">
        <f ca="1">IFERROR(__xludf.UNSUPPORTED("""COMPUTED_VALUE"""),369.67)</f>
        <v>369.67</v>
      </c>
      <c r="C1229" s="2">
        <f t="shared" ca="1" si="4"/>
        <v>-1.6204391390065788E-3</v>
      </c>
    </row>
    <row r="1230" spans="1:3">
      <c r="A1230" s="3">
        <f ca="1">IFERROR(__xludf.UNSUPPORTED("""COMPUTED_VALUE"""),45246.6666666666)</f>
        <v>45246.666666666599</v>
      </c>
      <c r="B1230" s="1">
        <f ca="1">IFERROR(__xludf.UNSUPPORTED("""COMPUTED_VALUE"""),376.17)</f>
        <v>376.17</v>
      </c>
      <c r="C1230" s="2">
        <f t="shared" ca="1" si="4"/>
        <v>1.7583249925609327E-2</v>
      </c>
    </row>
    <row r="1231" spans="1:3">
      <c r="A1231" s="3">
        <f ca="1">IFERROR(__xludf.UNSUPPORTED("""COMPUTED_VALUE"""),45247.6666666666)</f>
        <v>45247.666666666599</v>
      </c>
      <c r="B1231" s="1">
        <f ca="1">IFERROR(__xludf.UNSUPPORTED("""COMPUTED_VALUE"""),369.85)</f>
        <v>369.85</v>
      </c>
      <c r="C1231" s="2">
        <f t="shared" ca="1" si="4"/>
        <v>-1.6800914480155232E-2</v>
      </c>
    </row>
    <row r="1232" spans="1:3">
      <c r="A1232" s="3">
        <f ca="1">IFERROR(__xludf.UNSUPPORTED("""COMPUTED_VALUE"""),45250.6666666666)</f>
        <v>45250.666666666599</v>
      </c>
      <c r="B1232" s="1">
        <f ca="1">IFERROR(__xludf.UNSUPPORTED("""COMPUTED_VALUE"""),377.44)</f>
        <v>377.44</v>
      </c>
      <c r="C1232" s="2">
        <f t="shared" ca="1" si="4"/>
        <v>2.0521833175611667E-2</v>
      </c>
    </row>
    <row r="1233" spans="1:3">
      <c r="A1233" s="3">
        <f ca="1">IFERROR(__xludf.UNSUPPORTED("""COMPUTED_VALUE"""),45251.6666666666)</f>
        <v>45251.666666666599</v>
      </c>
      <c r="B1233" s="1">
        <f ca="1">IFERROR(__xludf.UNSUPPORTED("""COMPUTED_VALUE"""),373.07)</f>
        <v>373.07</v>
      </c>
      <c r="C1233" s="2">
        <f t="shared" ca="1" si="4"/>
        <v>-1.1577999152183141E-2</v>
      </c>
    </row>
    <row r="1234" spans="1:3">
      <c r="A1234" s="3">
        <f ca="1">IFERROR(__xludf.UNSUPPORTED("""COMPUTED_VALUE"""),45252.6666666666)</f>
        <v>45252.666666666599</v>
      </c>
      <c r="B1234" s="1">
        <f ca="1">IFERROR(__xludf.UNSUPPORTED("""COMPUTED_VALUE"""),377.85)</f>
        <v>377.85</v>
      </c>
      <c r="C1234" s="2">
        <f t="shared" ca="1" si="4"/>
        <v>1.2812608893773366E-2</v>
      </c>
    </row>
    <row r="1235" spans="1:3">
      <c r="A1235" s="3">
        <f ca="1">IFERROR(__xludf.UNSUPPORTED("""COMPUTED_VALUE"""),45254.5451388888)</f>
        <v>45254.545138888803</v>
      </c>
      <c r="B1235" s="1">
        <f ca="1">IFERROR(__xludf.UNSUPPORTED("""COMPUTED_VALUE"""),377.43)</f>
        <v>377.43</v>
      </c>
      <c r="C1235" s="2">
        <f t="shared" ca="1" si="4"/>
        <v>-1.1115522032553022E-3</v>
      </c>
    </row>
    <row r="1236" spans="1:3">
      <c r="A1236" s="3">
        <f ca="1">IFERROR(__xludf.UNSUPPORTED("""COMPUTED_VALUE"""),45257.6666666666)</f>
        <v>45257.666666666599</v>
      </c>
      <c r="B1236" s="1">
        <f ca="1">IFERROR(__xludf.UNSUPPORTED("""COMPUTED_VALUE"""),378.61)</f>
        <v>378.61</v>
      </c>
      <c r="C1236" s="2">
        <f t="shared" ca="1" si="4"/>
        <v>3.1264075457700948E-3</v>
      </c>
    </row>
    <row r="1237" spans="1:3">
      <c r="A1237" s="3">
        <f ca="1">IFERROR(__xludf.UNSUPPORTED("""COMPUTED_VALUE"""),45258.6666666666)</f>
        <v>45258.666666666599</v>
      </c>
      <c r="B1237" s="1">
        <f ca="1">IFERROR(__xludf.UNSUPPORTED("""COMPUTED_VALUE"""),382.7)</f>
        <v>382.7</v>
      </c>
      <c r="C1237" s="2">
        <f t="shared" ca="1" si="4"/>
        <v>1.0802672935210308E-2</v>
      </c>
    </row>
    <row r="1238" spans="1:3">
      <c r="A1238" s="3">
        <f ca="1">IFERROR(__xludf.UNSUPPORTED("""COMPUTED_VALUE"""),45259.6666666666)</f>
        <v>45259.666666666599</v>
      </c>
      <c r="B1238" s="1">
        <f ca="1">IFERROR(__xludf.UNSUPPORTED("""COMPUTED_VALUE"""),378.85)</f>
        <v>378.85</v>
      </c>
      <c r="C1238" s="2">
        <f t="shared" ca="1" si="4"/>
        <v>-1.0060099294486454E-2</v>
      </c>
    </row>
    <row r="1239" spans="1:3">
      <c r="A1239" s="3">
        <f ca="1">IFERROR(__xludf.UNSUPPORTED("""COMPUTED_VALUE"""),45260.6666666666)</f>
        <v>45260.666666666599</v>
      </c>
      <c r="B1239" s="1">
        <f ca="1">IFERROR(__xludf.UNSUPPORTED("""COMPUTED_VALUE"""),378.91)</f>
        <v>378.91</v>
      </c>
      <c r="C1239" s="2">
        <f t="shared" ca="1" si="4"/>
        <v>1.5837402665963381E-4</v>
      </c>
    </row>
    <row r="1240" spans="1:3">
      <c r="A1240" s="3">
        <f ca="1">IFERROR(__xludf.UNSUPPORTED("""COMPUTED_VALUE"""),45261.6666666666)</f>
        <v>45261.666666666599</v>
      </c>
      <c r="B1240" s="1">
        <f ca="1">IFERROR(__xludf.UNSUPPORTED("""COMPUTED_VALUE"""),374.51)</f>
        <v>374.51</v>
      </c>
      <c r="C1240" s="2">
        <f t="shared" ca="1" si="4"/>
        <v>-1.1612256208598437E-2</v>
      </c>
    </row>
    <row r="1241" spans="1:3">
      <c r="A1241" s="3">
        <f ca="1">IFERROR(__xludf.UNSUPPORTED("""COMPUTED_VALUE"""),45264.6666666666)</f>
        <v>45264.666666666599</v>
      </c>
      <c r="B1241" s="1">
        <f ca="1">IFERROR(__xludf.UNSUPPORTED("""COMPUTED_VALUE"""),369.14)</f>
        <v>369.14</v>
      </c>
      <c r="C1241" s="2">
        <f t="shared" ca="1" si="4"/>
        <v>-1.4338735948305798E-2</v>
      </c>
    </row>
    <row r="1242" spans="1:3">
      <c r="A1242" s="3">
        <f ca="1">IFERROR(__xludf.UNSUPPORTED("""COMPUTED_VALUE"""),45265.6666666666)</f>
        <v>45265.666666666599</v>
      </c>
      <c r="B1242" s="1">
        <f ca="1">IFERROR(__xludf.UNSUPPORTED("""COMPUTED_VALUE"""),372.52)</f>
        <v>372.52</v>
      </c>
      <c r="C1242" s="2">
        <f t="shared" ca="1" si="4"/>
        <v>9.1564176193314074E-3</v>
      </c>
    </row>
    <row r="1243" spans="1:3">
      <c r="A1243" s="3">
        <f ca="1">IFERROR(__xludf.UNSUPPORTED("""COMPUTED_VALUE"""),45266.6666666666)</f>
        <v>45266.666666666599</v>
      </c>
      <c r="B1243" s="1">
        <f ca="1">IFERROR(__xludf.UNSUPPORTED("""COMPUTED_VALUE"""),368.8)</f>
        <v>368.8</v>
      </c>
      <c r="C1243" s="2">
        <f t="shared" ca="1" si="4"/>
        <v>-9.9860410179318446E-3</v>
      </c>
    </row>
    <row r="1244" spans="1:3">
      <c r="A1244" s="3">
        <f ca="1">IFERROR(__xludf.UNSUPPORTED("""COMPUTED_VALUE"""),45267.6666666666)</f>
        <v>45267.666666666599</v>
      </c>
      <c r="B1244" s="1">
        <f ca="1">IFERROR(__xludf.UNSUPPORTED("""COMPUTED_VALUE"""),370.95)</f>
        <v>370.95</v>
      </c>
      <c r="C1244" s="2">
        <f t="shared" ca="1" si="4"/>
        <v>5.8297180043383329E-3</v>
      </c>
    </row>
    <row r="1245" spans="1:3">
      <c r="A1245" s="3">
        <f ca="1">IFERROR(__xludf.UNSUPPORTED("""COMPUTED_VALUE"""),45268.6666666666)</f>
        <v>45268.666666666599</v>
      </c>
      <c r="B1245" s="1">
        <f ca="1">IFERROR(__xludf.UNSUPPORTED("""COMPUTED_VALUE"""),374.23)</f>
        <v>374.23</v>
      </c>
      <c r="C1245" s="2">
        <f t="shared" ca="1" si="4"/>
        <v>8.8421620164443448E-3</v>
      </c>
    </row>
    <row r="1246" spans="1:3">
      <c r="A1246" s="3">
        <f ca="1">IFERROR(__xludf.UNSUPPORTED("""COMPUTED_VALUE"""),45271.6666666666)</f>
        <v>45271.666666666599</v>
      </c>
      <c r="B1246" s="1">
        <f ca="1">IFERROR(__xludf.UNSUPPORTED("""COMPUTED_VALUE"""),371.3)</f>
        <v>371.3</v>
      </c>
      <c r="C1246" s="2">
        <f t="shared" ca="1" si="4"/>
        <v>-7.8294097212944086E-3</v>
      </c>
    </row>
    <row r="1247" spans="1:3">
      <c r="A1247" s="3">
        <f ca="1">IFERROR(__xludf.UNSUPPORTED("""COMPUTED_VALUE"""),45272.6666666666)</f>
        <v>45272.666666666599</v>
      </c>
      <c r="B1247" s="1">
        <f ca="1">IFERROR(__xludf.UNSUPPORTED("""COMPUTED_VALUE"""),374.38)</f>
        <v>374.38</v>
      </c>
      <c r="C1247" s="2">
        <f t="shared" ca="1" si="4"/>
        <v>8.2951791004578085E-3</v>
      </c>
    </row>
    <row r="1248" spans="1:3">
      <c r="A1248" s="3">
        <f ca="1">IFERROR(__xludf.UNSUPPORTED("""COMPUTED_VALUE"""),45273.6666666666)</f>
        <v>45273.666666666599</v>
      </c>
      <c r="B1248" s="1">
        <f ca="1">IFERROR(__xludf.UNSUPPORTED("""COMPUTED_VALUE"""),374.37)</f>
        <v>374.37</v>
      </c>
      <c r="C1248" s="2">
        <f t="shared" ca="1" si="4"/>
        <v>-2.6710828569877944E-5</v>
      </c>
    </row>
    <row r="1249" spans="1:3">
      <c r="A1249" s="3">
        <f ca="1">IFERROR(__xludf.UNSUPPORTED("""COMPUTED_VALUE"""),45274.6666666666)</f>
        <v>45274.666666666599</v>
      </c>
      <c r="B1249" s="1">
        <f ca="1">IFERROR(__xludf.UNSUPPORTED("""COMPUTED_VALUE"""),365.93)</f>
        <v>365.93</v>
      </c>
      <c r="C1249" s="2">
        <f t="shared" ca="1" si="4"/>
        <v>-2.254454149638058E-2</v>
      </c>
    </row>
    <row r="1250" spans="1:3">
      <c r="A1250" s="3">
        <f ca="1">IFERROR(__xludf.UNSUPPORTED("""COMPUTED_VALUE"""),45275.6666666666)</f>
        <v>45275.666666666599</v>
      </c>
      <c r="B1250" s="1">
        <f ca="1">IFERROR(__xludf.UNSUPPORTED("""COMPUTED_VALUE"""),370.73)</f>
        <v>370.73</v>
      </c>
      <c r="C1250" s="2">
        <f t="shared" ca="1" si="4"/>
        <v>1.311726286448231E-2</v>
      </c>
    </row>
    <row r="1251" spans="1:3">
      <c r="A1251" s="3">
        <f ca="1">IFERROR(__xludf.UNSUPPORTED("""COMPUTED_VALUE"""),45278.6666666666)</f>
        <v>45278.666666666599</v>
      </c>
      <c r="B1251" s="1">
        <f ca="1">IFERROR(__xludf.UNSUPPORTED("""COMPUTED_VALUE"""),372.65)</f>
        <v>372.65</v>
      </c>
      <c r="C1251" s="2">
        <f t="shared" ca="1" si="4"/>
        <v>5.1789712189462926E-3</v>
      </c>
    </row>
    <row r="1252" spans="1:3">
      <c r="A1252" s="3">
        <f ca="1">IFERROR(__xludf.UNSUPPORTED("""COMPUTED_VALUE"""),45279.6666666666)</f>
        <v>45279.666666666599</v>
      </c>
      <c r="B1252" s="1">
        <f ca="1">IFERROR(__xludf.UNSUPPORTED("""COMPUTED_VALUE"""),373.26)</f>
        <v>373.26</v>
      </c>
      <c r="C1252" s="2">
        <f t="shared" ca="1" si="4"/>
        <v>1.6369247282973667E-3</v>
      </c>
    </row>
    <row r="1253" spans="1:3">
      <c r="A1253" s="3">
        <f ca="1">IFERROR(__xludf.UNSUPPORTED("""COMPUTED_VALUE"""),45280.6666666666)</f>
        <v>45280.666666666599</v>
      </c>
      <c r="B1253" s="1">
        <f ca="1">IFERROR(__xludf.UNSUPPORTED("""COMPUTED_VALUE"""),370.62)</f>
        <v>370.62</v>
      </c>
      <c r="C1253" s="2">
        <f t="shared" ca="1" si="4"/>
        <v>-7.0728178749396835E-3</v>
      </c>
    </row>
    <row r="1254" spans="1:3">
      <c r="A1254" s="3">
        <f ca="1">IFERROR(__xludf.UNSUPPORTED("""COMPUTED_VALUE"""),45281.6666666666)</f>
        <v>45281.666666666599</v>
      </c>
      <c r="B1254" s="1">
        <f ca="1">IFERROR(__xludf.UNSUPPORTED("""COMPUTED_VALUE"""),373.54)</f>
        <v>373.54</v>
      </c>
      <c r="C1254" s="2">
        <f t="shared" ca="1" si="4"/>
        <v>7.8786897630997131E-3</v>
      </c>
    </row>
    <row r="1255" spans="1:3">
      <c r="A1255" s="3">
        <f ca="1">IFERROR(__xludf.UNSUPPORTED("""COMPUTED_VALUE"""),45282.6666666666)</f>
        <v>45282.666666666599</v>
      </c>
      <c r="B1255" s="1">
        <f ca="1">IFERROR(__xludf.UNSUPPORTED("""COMPUTED_VALUE"""),374.58)</f>
        <v>374.58</v>
      </c>
      <c r="C1255" s="2">
        <f t="shared" ca="1" si="4"/>
        <v>2.7841730470631351E-3</v>
      </c>
    </row>
    <row r="1256" spans="1:3">
      <c r="A1256" s="3">
        <f ca="1">IFERROR(__xludf.UNSUPPORTED("""COMPUTED_VALUE"""),45286.6666666666)</f>
        <v>45286.666666666599</v>
      </c>
      <c r="B1256" s="1">
        <f ca="1">IFERROR(__xludf.UNSUPPORTED("""COMPUTED_VALUE"""),374.66)</f>
        <v>374.66</v>
      </c>
      <c r="C1256" s="2">
        <f t="shared" ca="1" si="4"/>
        <v>2.1357253457216332E-4</v>
      </c>
    </row>
    <row r="1257" spans="1:3">
      <c r="A1257" s="3">
        <f ca="1">IFERROR(__xludf.UNSUPPORTED("""COMPUTED_VALUE"""),45287.6666666666)</f>
        <v>45287.666666666599</v>
      </c>
      <c r="B1257" s="1">
        <f ca="1">IFERROR(__xludf.UNSUPPORTED("""COMPUTED_VALUE"""),374.07)</f>
        <v>374.07</v>
      </c>
      <c r="C1257" s="2">
        <f t="shared" ca="1" si="4"/>
        <v>-1.5747611167459344E-3</v>
      </c>
    </row>
    <row r="1258" spans="1:3">
      <c r="A1258" s="3">
        <f ca="1">IFERROR(__xludf.UNSUPPORTED("""COMPUTED_VALUE"""),45288.6666666666)</f>
        <v>45288.666666666599</v>
      </c>
      <c r="B1258" s="1">
        <f ca="1">IFERROR(__xludf.UNSUPPORTED("""COMPUTED_VALUE"""),375.28)</f>
        <v>375.28</v>
      </c>
      <c r="C1258" s="2">
        <f t="shared" ca="1" si="4"/>
        <v>3.2346886946292928E-3</v>
      </c>
    </row>
    <row r="1259" spans="1:3">
      <c r="A1259" s="3">
        <f ca="1">IFERROR(__xludf.UNSUPPORTED("""COMPUTED_VALUE"""),45289.6666666666)</f>
        <v>45289.666666666599</v>
      </c>
      <c r="B1259" s="1">
        <f ca="1">IFERROR(__xludf.UNSUPPORTED("""COMPUTED_VALUE"""),376.04)</f>
        <v>376.04</v>
      </c>
      <c r="C1259" s="2">
        <f t="shared" ca="1" si="4"/>
        <v>2.0251545512685138E-3</v>
      </c>
    </row>
    <row r="1260" spans="1:3">
      <c r="A1260" s="3">
        <f ca="1">IFERROR(__xludf.UNSUPPORTED("""COMPUTED_VALUE"""),45293.6666666666)</f>
        <v>45293.666666666599</v>
      </c>
      <c r="B1260" s="1">
        <f ca="1">IFERROR(__xludf.UNSUPPORTED("""COMPUTED_VALUE"""),370.87)</f>
        <v>370.87</v>
      </c>
      <c r="C1260" s="2">
        <f t="shared" ca="1" si="4"/>
        <v>-1.3748537389639442E-2</v>
      </c>
    </row>
    <row r="1261" spans="1:3">
      <c r="A1261" s="3">
        <f ca="1">IFERROR(__xludf.UNSUPPORTED("""COMPUTED_VALUE"""),45294.6666666666)</f>
        <v>45294.666666666599</v>
      </c>
      <c r="B1261" s="1">
        <f ca="1">IFERROR(__xludf.UNSUPPORTED("""COMPUTED_VALUE"""),370.6)</f>
        <v>370.6</v>
      </c>
      <c r="C1261" s="2">
        <f t="shared" ca="1" si="4"/>
        <v>-7.2801790384766042E-4</v>
      </c>
    </row>
    <row r="1262" spans="1:3">
      <c r="A1262" s="3">
        <f ca="1">IFERROR(__xludf.UNSUPPORTED("""COMPUTED_VALUE"""),45295.6666666666)</f>
        <v>45295.666666666599</v>
      </c>
      <c r="B1262" s="1">
        <f ca="1">IFERROR(__xludf.UNSUPPORTED("""COMPUTED_VALUE"""),367.94)</f>
        <v>367.94</v>
      </c>
      <c r="C1262" s="2">
        <f t="shared" ca="1" si="4"/>
        <v>-7.1775499190502561E-3</v>
      </c>
    </row>
    <row r="1263" spans="1:3">
      <c r="A1263" s="3">
        <f ca="1">IFERROR(__xludf.UNSUPPORTED("""COMPUTED_VALUE"""),45296.6666666666)</f>
        <v>45296.666666666599</v>
      </c>
      <c r="B1263" s="1">
        <f ca="1">IFERROR(__xludf.UNSUPPORTED("""COMPUTED_VALUE"""),367.75)</f>
        <v>367.75</v>
      </c>
      <c r="C1263" s="2">
        <f t="shared" ca="1" si="4"/>
        <v>-5.1638854161003894E-4</v>
      </c>
    </row>
    <row r="1264" spans="1:3">
      <c r="A1264" s="3">
        <f ca="1">IFERROR(__xludf.UNSUPPORTED("""COMPUTED_VALUE"""),45299.6666666666)</f>
        <v>45299.666666666599</v>
      </c>
      <c r="B1264" s="1">
        <f ca="1">IFERROR(__xludf.UNSUPPORTED("""COMPUTED_VALUE"""),374.69)</f>
        <v>374.69</v>
      </c>
      <c r="C1264" s="2">
        <f t="shared" ca="1" si="4"/>
        <v>1.8871515975526845E-2</v>
      </c>
    </row>
    <row r="1265" spans="1:3">
      <c r="A1265" s="3">
        <f ca="1">IFERROR(__xludf.UNSUPPORTED("""COMPUTED_VALUE"""),45300.6666666666)</f>
        <v>45300.666666666599</v>
      </c>
      <c r="B1265" s="1">
        <f ca="1">IFERROR(__xludf.UNSUPPORTED("""COMPUTED_VALUE"""),375.79)</f>
        <v>375.79</v>
      </c>
      <c r="C1265" s="2">
        <f t="shared" ca="1" si="4"/>
        <v>2.9357602284555838E-3</v>
      </c>
    </row>
    <row r="1266" spans="1:3">
      <c r="A1266" s="3">
        <f ca="1">IFERROR(__xludf.UNSUPPORTED("""COMPUTED_VALUE"""),45301.6666666666)</f>
        <v>45301.666666666599</v>
      </c>
      <c r="B1266" s="1">
        <f ca="1">IFERROR(__xludf.UNSUPPORTED("""COMPUTED_VALUE"""),382.77)</f>
        <v>382.77</v>
      </c>
      <c r="C1266" s="2">
        <f t="shared" ca="1" si="4"/>
        <v>1.8574203677585784E-2</v>
      </c>
    </row>
    <row r="1267" spans="1:3">
      <c r="A1267" s="3">
        <f ca="1">IFERROR(__xludf.UNSUPPORTED("""COMPUTED_VALUE"""),45302.6666666666)</f>
        <v>45302.666666666599</v>
      </c>
      <c r="B1267" s="1">
        <f ca="1">IFERROR(__xludf.UNSUPPORTED("""COMPUTED_VALUE"""),384.63)</f>
        <v>384.63</v>
      </c>
      <c r="C1267" s="2">
        <f t="shared" ca="1" si="4"/>
        <v>4.8593149933380715E-3</v>
      </c>
    </row>
    <row r="1268" spans="1:3">
      <c r="A1268" s="3">
        <f ca="1">IFERROR(__xludf.UNSUPPORTED("""COMPUTED_VALUE"""),45303.6666666666)</f>
        <v>45303.666666666599</v>
      </c>
      <c r="B1268" s="1">
        <f ca="1">IFERROR(__xludf.UNSUPPORTED("""COMPUTED_VALUE"""),388.47)</f>
        <v>388.47</v>
      </c>
      <c r="C1268" s="2">
        <f t="shared" ca="1" si="4"/>
        <v>9.9836206224164312E-3</v>
      </c>
    </row>
    <row r="1269" spans="1:3">
      <c r="A1269" s="3">
        <f ca="1">IFERROR(__xludf.UNSUPPORTED("""COMPUTED_VALUE"""),45307.6666666666)</f>
        <v>45307.666666666599</v>
      </c>
      <c r="B1269" s="1">
        <f ca="1">IFERROR(__xludf.UNSUPPORTED("""COMPUTED_VALUE"""),390.27)</f>
        <v>390.27</v>
      </c>
      <c r="C1269" s="2">
        <f t="shared" ca="1" si="4"/>
        <v>4.6335624372537245E-3</v>
      </c>
    </row>
    <row r="1270" spans="1:3">
      <c r="A1270" s="3">
        <f ca="1">IFERROR(__xludf.UNSUPPORTED("""COMPUTED_VALUE"""),45308.6666666666)</f>
        <v>45308.666666666599</v>
      </c>
      <c r="B1270" s="1">
        <f ca="1">IFERROR(__xludf.UNSUPPORTED("""COMPUTED_VALUE"""),389.47)</f>
        <v>389.47</v>
      </c>
      <c r="C1270" s="2">
        <f t="shared" ca="1" si="4"/>
        <v>-2.049862915417415E-3</v>
      </c>
    </row>
    <row r="1271" spans="1:3">
      <c r="A1271" s="3">
        <f ca="1">IFERROR(__xludf.UNSUPPORTED("""COMPUTED_VALUE"""),45309.6666666666)</f>
        <v>45309.666666666599</v>
      </c>
      <c r="B1271" s="1">
        <f ca="1">IFERROR(__xludf.UNSUPPORTED("""COMPUTED_VALUE"""),393.87)</f>
        <v>393.87</v>
      </c>
      <c r="C1271" s="2">
        <f t="shared" ca="1" si="4"/>
        <v>1.129740416463393E-2</v>
      </c>
    </row>
    <row r="1272" spans="1:3">
      <c r="A1272" s="3">
        <f ca="1">IFERROR(__xludf.UNSUPPORTED("""COMPUTED_VALUE"""),45310.6666666666)</f>
        <v>45310.666666666599</v>
      </c>
      <c r="B1272" s="1">
        <f ca="1">IFERROR(__xludf.UNSUPPORTED("""COMPUTED_VALUE"""),398.67)</f>
        <v>398.67</v>
      </c>
      <c r="C1272" s="2">
        <f t="shared" ca="1" si="4"/>
        <v>1.2186762129636711E-2</v>
      </c>
    </row>
    <row r="1273" spans="1:3">
      <c r="A1273" s="3">
        <f ca="1">IFERROR(__xludf.UNSUPPORTED("""COMPUTED_VALUE"""),45313.6666666666)</f>
        <v>45313.666666666599</v>
      </c>
      <c r="B1273" s="1">
        <f ca="1">IFERROR(__xludf.UNSUPPORTED("""COMPUTED_VALUE"""),396.51)</f>
        <v>396.51</v>
      </c>
      <c r="C1273" s="2">
        <f t="shared" ca="1" si="4"/>
        <v>-5.4180148995410359E-3</v>
      </c>
    </row>
    <row r="1274" spans="1:3">
      <c r="A1274" s="3">
        <f ca="1">IFERROR(__xludf.UNSUPPORTED("""COMPUTED_VALUE"""),45314.6666666666)</f>
        <v>45314.666666666599</v>
      </c>
      <c r="B1274" s="1">
        <f ca="1">IFERROR(__xludf.UNSUPPORTED("""COMPUTED_VALUE"""),398.9)</f>
        <v>398.9</v>
      </c>
      <c r="C1274" s="2">
        <f t="shared" ca="1" si="4"/>
        <v>6.0275907291114632E-3</v>
      </c>
    </row>
    <row r="1275" spans="1:3">
      <c r="A1275" s="3">
        <f ca="1">IFERROR(__xludf.UNSUPPORTED("""COMPUTED_VALUE"""),45315.6666666666)</f>
        <v>45315.666666666599</v>
      </c>
      <c r="B1275" s="1">
        <f ca="1">IFERROR(__xludf.UNSUPPORTED("""COMPUTED_VALUE"""),402.56)</f>
        <v>402.56</v>
      </c>
      <c r="C1275" s="2">
        <f t="shared" ca="1" si="4"/>
        <v>9.1752318876912146E-3</v>
      </c>
    </row>
    <row r="1276" spans="1:3">
      <c r="A1276" s="3">
        <f ca="1">IFERROR(__xludf.UNSUPPORTED("""COMPUTED_VALUE"""),45316.6666666666)</f>
        <v>45316.666666666599</v>
      </c>
      <c r="B1276" s="1">
        <f ca="1">IFERROR(__xludf.UNSUPPORTED("""COMPUTED_VALUE"""),404.87)</f>
        <v>404.87</v>
      </c>
      <c r="C1276" s="2">
        <f t="shared" ca="1" si="4"/>
        <v>5.738275039745634E-3</v>
      </c>
    </row>
    <row r="1277" spans="1:3">
      <c r="A1277" s="3">
        <f ca="1">IFERROR(__xludf.UNSUPPORTED("""COMPUTED_VALUE"""),45317.6666666666)</f>
        <v>45317.666666666599</v>
      </c>
      <c r="B1277" s="1">
        <f ca="1">IFERROR(__xludf.UNSUPPORTED("""COMPUTED_VALUE"""),403.93)</f>
        <v>403.93</v>
      </c>
      <c r="C1277" s="2">
        <f t="shared" ca="1" si="4"/>
        <v>-2.3217329019191288E-3</v>
      </c>
    </row>
    <row r="1278" spans="1:3">
      <c r="A1278" s="3">
        <f ca="1">IFERROR(__xludf.UNSUPPORTED("""COMPUTED_VALUE"""),45320.6666666666)</f>
        <v>45320.666666666599</v>
      </c>
      <c r="B1278" s="1">
        <f ca="1">IFERROR(__xludf.UNSUPPORTED("""COMPUTED_VALUE"""),409.72)</f>
        <v>409.72</v>
      </c>
      <c r="C1278" s="2">
        <f t="shared" ref="C1278:C1532" ca="1" si="5">(B1278-B1277)/B1277</f>
        <v>1.4334166811081179E-2</v>
      </c>
    </row>
    <row r="1279" spans="1:3">
      <c r="A1279" s="3">
        <f ca="1">IFERROR(__xludf.UNSUPPORTED("""COMPUTED_VALUE"""),45321.6666666666)</f>
        <v>45321.666666666599</v>
      </c>
      <c r="B1279" s="1">
        <f ca="1">IFERROR(__xludf.UNSUPPORTED("""COMPUTED_VALUE"""),408.59)</f>
        <v>408.59</v>
      </c>
      <c r="C1279" s="2">
        <f t="shared" ca="1" si="5"/>
        <v>-2.7579810602363863E-3</v>
      </c>
    </row>
    <row r="1280" spans="1:3">
      <c r="A1280" s="3">
        <f ca="1">IFERROR(__xludf.UNSUPPORTED("""COMPUTED_VALUE"""),45322.6666666666)</f>
        <v>45322.666666666599</v>
      </c>
      <c r="B1280" s="1">
        <f ca="1">IFERROR(__xludf.UNSUPPORTED("""COMPUTED_VALUE"""),397.58)</f>
        <v>397.58</v>
      </c>
      <c r="C1280" s="2">
        <f t="shared" ca="1" si="5"/>
        <v>-2.6946327614479043E-2</v>
      </c>
    </row>
    <row r="1281" spans="1:3">
      <c r="A1281" s="3">
        <f ca="1">IFERROR(__xludf.UNSUPPORTED("""COMPUTED_VALUE"""),45323.6666666666)</f>
        <v>45323.666666666599</v>
      </c>
      <c r="B1281" s="1">
        <f ca="1">IFERROR(__xludf.UNSUPPORTED("""COMPUTED_VALUE"""),403.78)</f>
        <v>403.78</v>
      </c>
      <c r="C1281" s="2">
        <f t="shared" ca="1" si="5"/>
        <v>1.5594345792041825E-2</v>
      </c>
    </row>
    <row r="1282" spans="1:3">
      <c r="A1282" s="3">
        <f ca="1">IFERROR(__xludf.UNSUPPORTED("""COMPUTED_VALUE"""),45324.6666666666)</f>
        <v>45324.666666666599</v>
      </c>
      <c r="B1282" s="1">
        <f ca="1">IFERROR(__xludf.UNSUPPORTED("""COMPUTED_VALUE"""),411.22)</f>
        <v>411.22</v>
      </c>
      <c r="C1282" s="2">
        <f t="shared" ca="1" si="5"/>
        <v>1.8425875476744898E-2</v>
      </c>
    </row>
    <row r="1283" spans="1:3">
      <c r="A1283" s="3">
        <f ca="1">IFERROR(__xludf.UNSUPPORTED("""COMPUTED_VALUE"""),45327.6666666666)</f>
        <v>45327.666666666599</v>
      </c>
      <c r="B1283" s="1">
        <f ca="1">IFERROR(__xludf.UNSUPPORTED("""COMPUTED_VALUE"""),405.65)</f>
        <v>405.65</v>
      </c>
      <c r="C1283" s="2">
        <f t="shared" ca="1" si="5"/>
        <v>-1.3545061037887383E-2</v>
      </c>
    </row>
    <row r="1284" spans="1:3">
      <c r="A1284" s="3">
        <f ca="1">IFERROR(__xludf.UNSUPPORTED("""COMPUTED_VALUE"""),45328.6666666666)</f>
        <v>45328.666666666599</v>
      </c>
      <c r="B1284" s="1">
        <f ca="1">IFERROR(__xludf.UNSUPPORTED("""COMPUTED_VALUE"""),405.49)</f>
        <v>405.49</v>
      </c>
      <c r="C1284" s="2">
        <f t="shared" ca="1" si="5"/>
        <v>-3.9442869468746006E-4</v>
      </c>
    </row>
    <row r="1285" spans="1:3">
      <c r="A1285" s="3">
        <f ca="1">IFERROR(__xludf.UNSUPPORTED("""COMPUTED_VALUE"""),45329.6666666666)</f>
        <v>45329.666666666599</v>
      </c>
      <c r="B1285" s="1">
        <f ca="1">IFERROR(__xludf.UNSUPPORTED("""COMPUTED_VALUE"""),414.05)</f>
        <v>414.05</v>
      </c>
      <c r="C1285" s="2">
        <f t="shared" ca="1" si="5"/>
        <v>2.1110261658733882E-2</v>
      </c>
    </row>
    <row r="1286" spans="1:3">
      <c r="A1286" s="3">
        <f ca="1">IFERROR(__xludf.UNSUPPORTED("""COMPUTED_VALUE"""),45330.6666666666)</f>
        <v>45330.666666666599</v>
      </c>
      <c r="B1286" s="1">
        <f ca="1">IFERROR(__xludf.UNSUPPORTED("""COMPUTED_VALUE"""),414.11)</f>
        <v>414.11</v>
      </c>
      <c r="C1286" s="2">
        <f t="shared" ca="1" si="5"/>
        <v>1.4491003501993061E-4</v>
      </c>
    </row>
    <row r="1287" spans="1:3">
      <c r="A1287" s="3">
        <f ca="1">IFERROR(__xludf.UNSUPPORTED("""COMPUTED_VALUE"""),45331.6666666666)</f>
        <v>45331.666666666599</v>
      </c>
      <c r="B1287" s="1">
        <f ca="1">IFERROR(__xludf.UNSUPPORTED("""COMPUTED_VALUE"""),420.55)</f>
        <v>420.55</v>
      </c>
      <c r="C1287" s="2">
        <f t="shared" ca="1" si="5"/>
        <v>1.5551423534809585E-2</v>
      </c>
    </row>
    <row r="1288" spans="1:3">
      <c r="A1288" s="3">
        <f ca="1">IFERROR(__xludf.UNSUPPORTED("""COMPUTED_VALUE"""),45334.6666666666)</f>
        <v>45334.666666666599</v>
      </c>
      <c r="B1288" s="1">
        <f ca="1">IFERROR(__xludf.UNSUPPORTED("""COMPUTED_VALUE"""),415.26)</f>
        <v>415.26</v>
      </c>
      <c r="C1288" s="2">
        <f t="shared" ca="1" si="5"/>
        <v>-1.2578765901795316E-2</v>
      </c>
    </row>
    <row r="1289" spans="1:3">
      <c r="A1289" s="3">
        <f ca="1">IFERROR(__xludf.UNSUPPORTED("""COMPUTED_VALUE"""),45335.6666666666)</f>
        <v>45335.666666666599</v>
      </c>
      <c r="B1289" s="1">
        <f ca="1">IFERROR(__xludf.UNSUPPORTED("""COMPUTED_VALUE"""),406.32)</f>
        <v>406.32</v>
      </c>
      <c r="C1289" s="2">
        <f t="shared" ca="1" si="5"/>
        <v>-2.1528680826470158E-2</v>
      </c>
    </row>
    <row r="1290" spans="1:3">
      <c r="A1290" s="3">
        <f ca="1">IFERROR(__xludf.UNSUPPORTED("""COMPUTED_VALUE"""),45336.6666666666)</f>
        <v>45336.666666666599</v>
      </c>
      <c r="B1290" s="1">
        <f ca="1">IFERROR(__xludf.UNSUPPORTED("""COMPUTED_VALUE"""),409.49)</f>
        <v>409.49</v>
      </c>
      <c r="C1290" s="2">
        <f t="shared" ca="1" si="5"/>
        <v>7.801732624532428E-3</v>
      </c>
    </row>
    <row r="1291" spans="1:3">
      <c r="A1291" s="3">
        <f ca="1">IFERROR(__xludf.UNSUPPORTED("""COMPUTED_VALUE"""),45337.6666666666)</f>
        <v>45337.666666666599</v>
      </c>
      <c r="B1291" s="1">
        <f ca="1">IFERROR(__xludf.UNSUPPORTED("""COMPUTED_VALUE"""),406.56)</f>
        <v>406.56</v>
      </c>
      <c r="C1291" s="2">
        <f t="shared" ca="1" si="5"/>
        <v>-7.155241886248765E-3</v>
      </c>
    </row>
    <row r="1292" spans="1:3">
      <c r="A1292" s="3">
        <f ca="1">IFERROR(__xludf.UNSUPPORTED("""COMPUTED_VALUE"""),45338.6666666666)</f>
        <v>45338.666666666599</v>
      </c>
      <c r="B1292" s="1">
        <f ca="1">IFERROR(__xludf.UNSUPPORTED("""COMPUTED_VALUE"""),404.06)</f>
        <v>404.06</v>
      </c>
      <c r="C1292" s="2">
        <f t="shared" ca="1" si="5"/>
        <v>-6.1491538764266033E-3</v>
      </c>
    </row>
    <row r="1293" spans="1:3">
      <c r="A1293" s="3">
        <f ca="1">IFERROR(__xludf.UNSUPPORTED("""COMPUTED_VALUE"""),45342.6666666666)</f>
        <v>45342.666666666599</v>
      </c>
      <c r="B1293" s="1">
        <f ca="1">IFERROR(__xludf.UNSUPPORTED("""COMPUTED_VALUE"""),402.79)</f>
        <v>402.79</v>
      </c>
      <c r="C1293" s="2">
        <f t="shared" ca="1" si="5"/>
        <v>-3.143097559768306E-3</v>
      </c>
    </row>
    <row r="1294" spans="1:3">
      <c r="A1294" s="3">
        <f ca="1">IFERROR(__xludf.UNSUPPORTED("""COMPUTED_VALUE"""),45343.6666666666)</f>
        <v>45343.666666666599</v>
      </c>
      <c r="B1294" s="1">
        <f ca="1">IFERROR(__xludf.UNSUPPORTED("""COMPUTED_VALUE"""),402.18)</f>
        <v>402.18</v>
      </c>
      <c r="C1294" s="2">
        <f t="shared" ca="1" si="5"/>
        <v>-1.5144368032970373E-3</v>
      </c>
    </row>
    <row r="1295" spans="1:3">
      <c r="A1295" s="3">
        <f ca="1">IFERROR(__xludf.UNSUPPORTED("""COMPUTED_VALUE"""),45344.6666666666)</f>
        <v>45344.666666666599</v>
      </c>
      <c r="B1295" s="1">
        <f ca="1">IFERROR(__xludf.UNSUPPORTED("""COMPUTED_VALUE"""),411.65)</f>
        <v>411.65</v>
      </c>
      <c r="C1295" s="2">
        <f t="shared" ca="1" si="5"/>
        <v>2.3546670644984759E-2</v>
      </c>
    </row>
    <row r="1296" spans="1:3">
      <c r="A1296" s="3">
        <f ca="1">IFERROR(__xludf.UNSUPPORTED("""COMPUTED_VALUE"""),45345.6666666666)</f>
        <v>45345.666666666599</v>
      </c>
      <c r="B1296" s="1">
        <f ca="1">IFERROR(__xludf.UNSUPPORTED("""COMPUTED_VALUE"""),410.34)</f>
        <v>410.34</v>
      </c>
      <c r="C1296" s="2">
        <f t="shared" ca="1" si="5"/>
        <v>-3.1823150734847623E-3</v>
      </c>
    </row>
    <row r="1297" spans="1:3">
      <c r="A1297" s="3">
        <f ca="1">IFERROR(__xludf.UNSUPPORTED("""COMPUTED_VALUE"""),45348.6666666666)</f>
        <v>45348.666666666599</v>
      </c>
      <c r="B1297" s="1">
        <f ca="1">IFERROR(__xludf.UNSUPPORTED("""COMPUTED_VALUE"""),407.54)</f>
        <v>407.54</v>
      </c>
      <c r="C1297" s="2">
        <f t="shared" ca="1" si="5"/>
        <v>-6.8236096895256488E-3</v>
      </c>
    </row>
    <row r="1298" spans="1:3">
      <c r="A1298" s="3">
        <f ca="1">IFERROR(__xludf.UNSUPPORTED("""COMPUTED_VALUE"""),45349.6666666666)</f>
        <v>45349.666666666599</v>
      </c>
      <c r="B1298" s="1">
        <f ca="1">IFERROR(__xludf.UNSUPPORTED("""COMPUTED_VALUE"""),407.48)</f>
        <v>407.48</v>
      </c>
      <c r="C1298" s="2">
        <f t="shared" ca="1" si="5"/>
        <v>-1.4722481228836989E-4</v>
      </c>
    </row>
    <row r="1299" spans="1:3">
      <c r="A1299" s="3">
        <f ca="1">IFERROR(__xludf.UNSUPPORTED("""COMPUTED_VALUE"""),45350.6666666666)</f>
        <v>45350.666666666599</v>
      </c>
      <c r="B1299" s="1">
        <f ca="1">IFERROR(__xludf.UNSUPPORTED("""COMPUTED_VALUE"""),407.72)</f>
        <v>407.72</v>
      </c>
      <c r="C1299" s="2">
        <f t="shared" ca="1" si="5"/>
        <v>5.8898596250124937E-4</v>
      </c>
    </row>
    <row r="1300" spans="1:3">
      <c r="A1300" s="3">
        <f ca="1">IFERROR(__xludf.UNSUPPORTED("""COMPUTED_VALUE"""),45351.6666666666)</f>
        <v>45351.666666666599</v>
      </c>
      <c r="B1300" s="1">
        <f ca="1">IFERROR(__xludf.UNSUPPORTED("""COMPUTED_VALUE"""),413.64)</f>
        <v>413.64</v>
      </c>
      <c r="C1300" s="2">
        <f t="shared" ca="1" si="5"/>
        <v>1.4519768468556751E-2</v>
      </c>
    </row>
    <row r="1301" spans="1:3">
      <c r="A1301" s="3">
        <f ca="1">IFERROR(__xludf.UNSUPPORTED("""COMPUTED_VALUE"""),45352.6666666666)</f>
        <v>45352.666666666599</v>
      </c>
      <c r="B1301" s="1">
        <f ca="1">IFERROR(__xludf.UNSUPPORTED("""COMPUTED_VALUE"""),415.5)</f>
        <v>415.5</v>
      </c>
      <c r="C1301" s="2">
        <f t="shared" ca="1" si="5"/>
        <v>4.4966637655933029E-3</v>
      </c>
    </row>
    <row r="1302" spans="1:3">
      <c r="A1302" s="3">
        <f ca="1">IFERROR(__xludf.UNSUPPORTED("""COMPUTED_VALUE"""),45355.6666666666)</f>
        <v>45355.666666666599</v>
      </c>
      <c r="B1302" s="1">
        <f ca="1">IFERROR(__xludf.UNSUPPORTED("""COMPUTED_VALUE"""),414.92)</f>
        <v>414.92</v>
      </c>
      <c r="C1302" s="2">
        <f t="shared" ca="1" si="5"/>
        <v>-1.3959085439229461E-3</v>
      </c>
    </row>
    <row r="1303" spans="1:3">
      <c r="A1303" s="3">
        <f ca="1">IFERROR(__xludf.UNSUPPORTED("""COMPUTED_VALUE"""),45356.6666666666)</f>
        <v>45356.666666666599</v>
      </c>
      <c r="B1303" s="1">
        <f ca="1">IFERROR(__xludf.UNSUPPORTED("""COMPUTED_VALUE"""),402.65)</f>
        <v>402.65</v>
      </c>
      <c r="C1303" s="2">
        <f t="shared" ca="1" si="5"/>
        <v>-2.95719656801312E-2</v>
      </c>
    </row>
    <row r="1304" spans="1:3">
      <c r="A1304" s="3">
        <f ca="1">IFERROR(__xludf.UNSUPPORTED("""COMPUTED_VALUE"""),45357.6666666666)</f>
        <v>45357.666666666599</v>
      </c>
      <c r="B1304" s="1">
        <f ca="1">IFERROR(__xludf.UNSUPPORTED("""COMPUTED_VALUE"""),402.09)</f>
        <v>402.09</v>
      </c>
      <c r="C1304" s="2">
        <f t="shared" ca="1" si="5"/>
        <v>-1.390786042468651E-3</v>
      </c>
    </row>
    <row r="1305" spans="1:3">
      <c r="A1305" s="3">
        <f ca="1">IFERROR(__xludf.UNSUPPORTED("""COMPUTED_VALUE"""),45358.6666666666)</f>
        <v>45358.666666666599</v>
      </c>
      <c r="B1305" s="1">
        <f ca="1">IFERROR(__xludf.UNSUPPORTED("""COMPUTED_VALUE"""),409.14)</f>
        <v>409.14</v>
      </c>
      <c r="C1305" s="2">
        <f t="shared" ca="1" si="5"/>
        <v>1.7533388047452091E-2</v>
      </c>
    </row>
    <row r="1306" spans="1:3">
      <c r="A1306" s="3">
        <f ca="1">IFERROR(__xludf.UNSUPPORTED("""COMPUTED_VALUE"""),45359.6666666666)</f>
        <v>45359.666666666599</v>
      </c>
      <c r="B1306" s="1">
        <f ca="1">IFERROR(__xludf.UNSUPPORTED("""COMPUTED_VALUE"""),406.22)</f>
        <v>406.22</v>
      </c>
      <c r="C1306" s="2">
        <f t="shared" ca="1" si="5"/>
        <v>-7.1369213472160121E-3</v>
      </c>
    </row>
    <row r="1307" spans="1:3">
      <c r="A1307" s="3">
        <f ca="1">IFERROR(__xludf.UNSUPPORTED("""COMPUTED_VALUE"""),45362.6666666666)</f>
        <v>45362.666666666599</v>
      </c>
      <c r="B1307" s="1">
        <f ca="1">IFERROR(__xludf.UNSUPPORTED("""COMPUTED_VALUE"""),404.52)</f>
        <v>404.52</v>
      </c>
      <c r="C1307" s="2">
        <f t="shared" ca="1" si="5"/>
        <v>-4.1849244251884335E-3</v>
      </c>
    </row>
    <row r="1308" spans="1:3">
      <c r="A1308" s="3">
        <f ca="1">IFERROR(__xludf.UNSUPPORTED("""COMPUTED_VALUE"""),45363.6666666666)</f>
        <v>45363.666666666599</v>
      </c>
      <c r="B1308" s="1">
        <f ca="1">IFERROR(__xludf.UNSUPPORTED("""COMPUTED_VALUE"""),415.28)</f>
        <v>415.28</v>
      </c>
      <c r="C1308" s="2">
        <f t="shared" ca="1" si="5"/>
        <v>2.6599426480767307E-2</v>
      </c>
    </row>
    <row r="1309" spans="1:3">
      <c r="A1309" s="3">
        <f ca="1">IFERROR(__xludf.UNSUPPORTED("""COMPUTED_VALUE"""),45364.6666666666)</f>
        <v>45364.666666666599</v>
      </c>
      <c r="B1309" s="1">
        <f ca="1">IFERROR(__xludf.UNSUPPORTED("""COMPUTED_VALUE"""),415.1)</f>
        <v>415.1</v>
      </c>
      <c r="C1309" s="2">
        <f t="shared" ca="1" si="5"/>
        <v>-4.3344249662866015E-4</v>
      </c>
    </row>
    <row r="1310" spans="1:3">
      <c r="A1310" s="3">
        <f ca="1">IFERROR(__xludf.UNSUPPORTED("""COMPUTED_VALUE"""),45365.6666666666)</f>
        <v>45365.666666666599</v>
      </c>
      <c r="B1310" s="1">
        <f ca="1">IFERROR(__xludf.UNSUPPORTED("""COMPUTED_VALUE"""),425.22)</f>
        <v>425.22</v>
      </c>
      <c r="C1310" s="2">
        <f t="shared" ca="1" si="5"/>
        <v>2.4379667549987966E-2</v>
      </c>
    </row>
    <row r="1311" spans="1:3">
      <c r="A1311" s="3">
        <f ca="1">IFERROR(__xludf.UNSUPPORTED("""COMPUTED_VALUE"""),45366.6666666666)</f>
        <v>45366.666666666599</v>
      </c>
      <c r="B1311" s="1">
        <f ca="1">IFERROR(__xludf.UNSUPPORTED("""COMPUTED_VALUE"""),416.42)</f>
        <v>416.42</v>
      </c>
      <c r="C1311" s="2">
        <f t="shared" ca="1" si="5"/>
        <v>-2.0695169559286984E-2</v>
      </c>
    </row>
    <row r="1312" spans="1:3">
      <c r="A1312" s="3">
        <f ca="1">IFERROR(__xludf.UNSUPPORTED("""COMPUTED_VALUE"""),45369.6666666666)</f>
        <v>45369.666666666599</v>
      </c>
      <c r="B1312" s="1">
        <f ca="1">IFERROR(__xludf.UNSUPPORTED("""COMPUTED_VALUE"""),417.32)</f>
        <v>417.32</v>
      </c>
      <c r="C1312" s="2">
        <f t="shared" ca="1" si="5"/>
        <v>2.1612794774505963E-3</v>
      </c>
    </row>
    <row r="1313" spans="1:3">
      <c r="A1313" s="3">
        <f ca="1">IFERROR(__xludf.UNSUPPORTED("""COMPUTED_VALUE"""),45370.6666666666)</f>
        <v>45370.666666666599</v>
      </c>
      <c r="B1313" s="1">
        <f ca="1">IFERROR(__xludf.UNSUPPORTED("""COMPUTED_VALUE"""),421.41)</f>
        <v>421.41</v>
      </c>
      <c r="C1313" s="2">
        <f t="shared" ca="1" si="5"/>
        <v>9.8006326080706217E-3</v>
      </c>
    </row>
    <row r="1314" spans="1:3">
      <c r="A1314" s="3">
        <f ca="1">IFERROR(__xludf.UNSUPPORTED("""COMPUTED_VALUE"""),45371.6666666666)</f>
        <v>45371.666666666599</v>
      </c>
      <c r="B1314" s="1">
        <f ca="1">IFERROR(__xludf.UNSUPPORTED("""COMPUTED_VALUE"""),425.23)</f>
        <v>425.23</v>
      </c>
      <c r="C1314" s="2">
        <f t="shared" ca="1" si="5"/>
        <v>9.0648062456989455E-3</v>
      </c>
    </row>
    <row r="1315" spans="1:3">
      <c r="A1315" s="3">
        <f ca="1">IFERROR(__xludf.UNSUPPORTED("""COMPUTED_VALUE"""),45372.6666666666)</f>
        <v>45372.666666666599</v>
      </c>
      <c r="B1315" s="1">
        <f ca="1">IFERROR(__xludf.UNSUPPORTED("""COMPUTED_VALUE"""),429.37)</f>
        <v>429.37</v>
      </c>
      <c r="C1315" s="2">
        <f t="shared" ca="1" si="5"/>
        <v>9.7359076264609424E-3</v>
      </c>
    </row>
    <row r="1316" spans="1:3">
      <c r="A1316" s="3">
        <f ca="1">IFERROR(__xludf.UNSUPPORTED("""COMPUTED_VALUE"""),45373.6666666666)</f>
        <v>45373.666666666599</v>
      </c>
      <c r="B1316" s="1">
        <f ca="1">IFERROR(__xludf.UNSUPPORTED("""COMPUTED_VALUE"""),428.74)</f>
        <v>428.74</v>
      </c>
      <c r="C1316" s="2">
        <f t="shared" ca="1" si="5"/>
        <v>-1.4672659943638247E-3</v>
      </c>
    </row>
    <row r="1317" spans="1:3">
      <c r="A1317" s="3">
        <f ca="1">IFERROR(__xludf.UNSUPPORTED("""COMPUTED_VALUE"""),45376.6666666666)</f>
        <v>45376.666666666599</v>
      </c>
      <c r="B1317" s="1">
        <f ca="1">IFERROR(__xludf.UNSUPPORTED("""COMPUTED_VALUE"""),422.86)</f>
        <v>422.86</v>
      </c>
      <c r="C1317" s="2">
        <f t="shared" ca="1" si="5"/>
        <v>-1.3714605588468525E-2</v>
      </c>
    </row>
    <row r="1318" spans="1:3">
      <c r="A1318" s="3">
        <f ca="1">IFERROR(__xludf.UNSUPPORTED("""COMPUTED_VALUE"""),45377.6666666666)</f>
        <v>45377.666666666599</v>
      </c>
      <c r="B1318" s="1">
        <f ca="1">IFERROR(__xludf.UNSUPPORTED("""COMPUTED_VALUE"""),421.65)</f>
        <v>421.65</v>
      </c>
      <c r="C1318" s="2">
        <f t="shared" ca="1" si="5"/>
        <v>-2.861467152249057E-3</v>
      </c>
    </row>
    <row r="1319" spans="1:3">
      <c r="A1319" s="3">
        <f ca="1">IFERROR(__xludf.UNSUPPORTED("""COMPUTED_VALUE"""),45378.6666666666)</f>
        <v>45378.666666666599</v>
      </c>
      <c r="B1319" s="1">
        <f ca="1">IFERROR(__xludf.UNSUPPORTED("""COMPUTED_VALUE"""),421.43)</f>
        <v>421.43</v>
      </c>
      <c r="C1319" s="2">
        <f t="shared" ca="1" si="5"/>
        <v>-5.217597533498647E-4</v>
      </c>
    </row>
    <row r="1320" spans="1:3">
      <c r="A1320" s="3">
        <f ca="1">IFERROR(__xludf.UNSUPPORTED("""COMPUTED_VALUE"""),45379.6666666666)</f>
        <v>45379.666666666599</v>
      </c>
      <c r="B1320" s="1">
        <f ca="1">IFERROR(__xludf.UNSUPPORTED("""COMPUTED_VALUE"""),420.72)</f>
        <v>420.72</v>
      </c>
      <c r="C1320" s="2">
        <f t="shared" ca="1" si="5"/>
        <v>-1.6847400517285896E-3</v>
      </c>
    </row>
    <row r="1321" spans="1:3">
      <c r="A1321" s="3">
        <f ca="1">IFERROR(__xludf.UNSUPPORTED("""COMPUTED_VALUE"""),45383.6666666666)</f>
        <v>45383.666666666599</v>
      </c>
      <c r="B1321" s="1">
        <f ca="1">IFERROR(__xludf.UNSUPPORTED("""COMPUTED_VALUE"""),424.57)</f>
        <v>424.57</v>
      </c>
      <c r="C1321" s="2">
        <f t="shared" ca="1" si="5"/>
        <v>9.1509792736260837E-3</v>
      </c>
    </row>
    <row r="1322" spans="1:3">
      <c r="A1322" s="3">
        <f ca="1">IFERROR(__xludf.UNSUPPORTED("""COMPUTED_VALUE"""),45384.6666666666)</f>
        <v>45384.666666666599</v>
      </c>
      <c r="B1322" s="1">
        <f ca="1">IFERROR(__xludf.UNSUPPORTED("""COMPUTED_VALUE"""),421.44)</f>
        <v>421.44</v>
      </c>
      <c r="C1322" s="2">
        <f t="shared" ca="1" si="5"/>
        <v>-7.3721647784817474E-3</v>
      </c>
    </row>
    <row r="1323" spans="1:3">
      <c r="A1323" s="3">
        <f ca="1">IFERROR(__xludf.UNSUPPORTED("""COMPUTED_VALUE"""),45385.6666666666)</f>
        <v>45385.666666666599</v>
      </c>
      <c r="B1323" s="1">
        <f ca="1">IFERROR(__xludf.UNSUPPORTED("""COMPUTED_VALUE"""),420.45)</f>
        <v>420.45</v>
      </c>
      <c r="C1323" s="2">
        <f t="shared" ca="1" si="5"/>
        <v>-2.3490888382688142E-3</v>
      </c>
    </row>
    <row r="1324" spans="1:3">
      <c r="A1324" s="3">
        <f ca="1">IFERROR(__xludf.UNSUPPORTED("""COMPUTED_VALUE"""),45386.6666666666)</f>
        <v>45386.666666666599</v>
      </c>
      <c r="B1324" s="1">
        <f ca="1">IFERROR(__xludf.UNSUPPORTED("""COMPUTED_VALUE"""),417.88)</f>
        <v>417.88</v>
      </c>
      <c r="C1324" s="2">
        <f t="shared" ca="1" si="5"/>
        <v>-6.1124985134974269E-3</v>
      </c>
    </row>
    <row r="1325" spans="1:3">
      <c r="A1325" s="3">
        <f ca="1">IFERROR(__xludf.UNSUPPORTED("""COMPUTED_VALUE"""),45387.6666666666)</f>
        <v>45387.666666666599</v>
      </c>
      <c r="B1325" s="1">
        <f ca="1">IFERROR(__xludf.UNSUPPORTED("""COMPUTED_VALUE"""),425.52)</f>
        <v>425.52</v>
      </c>
      <c r="C1325" s="2">
        <f t="shared" ca="1" si="5"/>
        <v>1.8282760601129478E-2</v>
      </c>
    </row>
    <row r="1326" spans="1:3">
      <c r="A1326" s="3">
        <f ca="1">IFERROR(__xludf.UNSUPPORTED("""COMPUTED_VALUE"""),45390.6666666666)</f>
        <v>45390.666666666599</v>
      </c>
      <c r="B1326" s="1">
        <f ca="1">IFERROR(__xludf.UNSUPPORTED("""COMPUTED_VALUE"""),424.59)</f>
        <v>424.59</v>
      </c>
      <c r="C1326" s="2">
        <f t="shared" ca="1" si="5"/>
        <v>-2.1855611957134961E-3</v>
      </c>
    </row>
    <row r="1327" spans="1:3">
      <c r="A1327" s="3">
        <f ca="1">IFERROR(__xludf.UNSUPPORTED("""COMPUTED_VALUE"""),45391.6666666666)</f>
        <v>45391.666666666599</v>
      </c>
      <c r="B1327" s="1">
        <f ca="1">IFERROR(__xludf.UNSUPPORTED("""COMPUTED_VALUE"""),426.28)</f>
        <v>426.28</v>
      </c>
      <c r="C1327" s="2">
        <f t="shared" ca="1" si="5"/>
        <v>3.9803104171082637E-3</v>
      </c>
    </row>
    <row r="1328" spans="1:3">
      <c r="A1328" s="3">
        <f ca="1">IFERROR(__xludf.UNSUPPORTED("""COMPUTED_VALUE"""),45392.6666666666)</f>
        <v>45392.666666666599</v>
      </c>
      <c r="B1328" s="1">
        <f ca="1">IFERROR(__xludf.UNSUPPORTED("""COMPUTED_VALUE"""),423.26)</f>
        <v>423.26</v>
      </c>
      <c r="C1328" s="2">
        <f t="shared" ca="1" si="5"/>
        <v>-7.0845453692408326E-3</v>
      </c>
    </row>
    <row r="1329" spans="1:3">
      <c r="A1329" s="3">
        <f ca="1">IFERROR(__xludf.UNSUPPORTED("""COMPUTED_VALUE"""),45393.6666666666)</f>
        <v>45393.666666666599</v>
      </c>
      <c r="B1329" s="1">
        <f ca="1">IFERROR(__xludf.UNSUPPORTED("""COMPUTED_VALUE"""),427.93)</f>
        <v>427.93</v>
      </c>
      <c r="C1329" s="2">
        <f t="shared" ca="1" si="5"/>
        <v>1.1033407361905249E-2</v>
      </c>
    </row>
    <row r="1330" spans="1:3">
      <c r="A1330" s="3">
        <f ca="1">IFERROR(__xludf.UNSUPPORTED("""COMPUTED_VALUE"""),45394.6666666666)</f>
        <v>45394.666666666599</v>
      </c>
      <c r="B1330" s="1">
        <f ca="1">IFERROR(__xludf.UNSUPPORTED("""COMPUTED_VALUE"""),421.9)</f>
        <v>421.9</v>
      </c>
      <c r="C1330" s="2">
        <f t="shared" ca="1" si="5"/>
        <v>-1.4091089664197485E-2</v>
      </c>
    </row>
    <row r="1331" spans="1:3">
      <c r="A1331" s="3">
        <f ca="1">IFERROR(__xludf.UNSUPPORTED("""COMPUTED_VALUE"""),45397.6666666666)</f>
        <v>45397.666666666599</v>
      </c>
      <c r="B1331" s="1">
        <f ca="1">IFERROR(__xludf.UNSUPPORTED("""COMPUTED_VALUE"""),413.64)</f>
        <v>413.64</v>
      </c>
      <c r="C1331" s="2">
        <f t="shared" ca="1" si="5"/>
        <v>-1.9578099075610315E-2</v>
      </c>
    </row>
    <row r="1332" spans="1:3">
      <c r="A1332" s="3">
        <f ca="1">IFERROR(__xludf.UNSUPPORTED("""COMPUTED_VALUE"""),45398.6666666666)</f>
        <v>45398.666666666599</v>
      </c>
      <c r="B1332" s="1">
        <f ca="1">IFERROR(__xludf.UNSUPPORTED("""COMPUTED_VALUE"""),414.58)</f>
        <v>414.58</v>
      </c>
      <c r="C1332" s="2">
        <f t="shared" ca="1" si="5"/>
        <v>2.2725074944396038E-3</v>
      </c>
    </row>
    <row r="1333" spans="1:3">
      <c r="A1333" s="3">
        <f ca="1">IFERROR(__xludf.UNSUPPORTED("""COMPUTED_VALUE"""),45399.6666666666)</f>
        <v>45399.666666666599</v>
      </c>
      <c r="B1333" s="1">
        <f ca="1">IFERROR(__xludf.UNSUPPORTED("""COMPUTED_VALUE"""),411.84)</f>
        <v>411.84</v>
      </c>
      <c r="C1333" s="2">
        <f t="shared" ca="1" si="5"/>
        <v>-6.6090983646099888E-3</v>
      </c>
    </row>
    <row r="1334" spans="1:3">
      <c r="A1334" s="3">
        <f ca="1">IFERROR(__xludf.UNSUPPORTED("""COMPUTED_VALUE"""),45400.6666666666)</f>
        <v>45400.666666666599</v>
      </c>
      <c r="B1334" s="1">
        <f ca="1">IFERROR(__xludf.UNSUPPORTED("""COMPUTED_VALUE"""),404.27)</f>
        <v>404.27</v>
      </c>
      <c r="C1334" s="2">
        <f t="shared" ca="1" si="5"/>
        <v>-1.8380924630924615E-2</v>
      </c>
    </row>
    <row r="1335" spans="1:3">
      <c r="A1335" s="3">
        <f ca="1">IFERROR(__xludf.UNSUPPORTED("""COMPUTED_VALUE"""),45401.6666666666)</f>
        <v>45401.666666666599</v>
      </c>
      <c r="B1335" s="1">
        <f ca="1">IFERROR(__xludf.UNSUPPORTED("""COMPUTED_VALUE"""),399.12)</f>
        <v>399.12</v>
      </c>
      <c r="C1335" s="2">
        <f t="shared" ca="1" si="5"/>
        <v>-1.2739011056966823E-2</v>
      </c>
    </row>
    <row r="1336" spans="1:3">
      <c r="A1336" s="3">
        <f ca="1">IFERROR(__xludf.UNSUPPORTED("""COMPUTED_VALUE"""),45404.6666666666)</f>
        <v>45404.666666666599</v>
      </c>
      <c r="B1336" s="1">
        <f ca="1">IFERROR(__xludf.UNSUPPORTED("""COMPUTED_VALUE"""),400.96)</f>
        <v>400.96</v>
      </c>
      <c r="C1336" s="2">
        <f t="shared" ca="1" si="5"/>
        <v>4.6101423130887323E-3</v>
      </c>
    </row>
    <row r="1337" spans="1:3">
      <c r="A1337" s="3">
        <f ca="1">IFERROR(__xludf.UNSUPPORTED("""COMPUTED_VALUE"""),45405.6666666666)</f>
        <v>45405.666666666599</v>
      </c>
      <c r="B1337" s="1">
        <f ca="1">IFERROR(__xludf.UNSUPPORTED("""COMPUTED_VALUE"""),407.57)</f>
        <v>407.57</v>
      </c>
      <c r="C1337" s="2">
        <f t="shared" ca="1" si="5"/>
        <v>1.6485434956105383E-2</v>
      </c>
    </row>
    <row r="1338" spans="1:3">
      <c r="A1338" s="3">
        <f ca="1">IFERROR(__xludf.UNSUPPORTED("""COMPUTED_VALUE"""),45406.6666666666)</f>
        <v>45406.666666666599</v>
      </c>
      <c r="B1338" s="1">
        <f ca="1">IFERROR(__xludf.UNSUPPORTED("""COMPUTED_VALUE"""),409.06)</f>
        <v>409.06</v>
      </c>
      <c r="C1338" s="2">
        <f t="shared" ca="1" si="5"/>
        <v>3.6558137252496728E-3</v>
      </c>
    </row>
    <row r="1339" spans="1:3">
      <c r="A1339" s="3">
        <f ca="1">IFERROR(__xludf.UNSUPPORTED("""COMPUTED_VALUE"""),45407.6666666666)</f>
        <v>45407.666666666599</v>
      </c>
      <c r="B1339" s="1">
        <f ca="1">IFERROR(__xludf.UNSUPPORTED("""COMPUTED_VALUE"""),399.04)</f>
        <v>399.04</v>
      </c>
      <c r="C1339" s="2">
        <f t="shared" ca="1" si="5"/>
        <v>-2.4495184080574932E-2</v>
      </c>
    </row>
    <row r="1340" spans="1:3">
      <c r="A1340" s="3">
        <f ca="1">IFERROR(__xludf.UNSUPPORTED("""COMPUTED_VALUE"""),45408.6666666666)</f>
        <v>45408.666666666599</v>
      </c>
      <c r="B1340" s="1">
        <f ca="1">IFERROR(__xludf.UNSUPPORTED("""COMPUTED_VALUE"""),406.32)</f>
        <v>406.32</v>
      </c>
      <c r="C1340" s="2">
        <f t="shared" ca="1" si="5"/>
        <v>1.8243785084202015E-2</v>
      </c>
    </row>
    <row r="1341" spans="1:3">
      <c r="A1341" s="3">
        <f ca="1">IFERROR(__xludf.UNSUPPORTED("""COMPUTED_VALUE"""),45411.6666666666)</f>
        <v>45411.666666666599</v>
      </c>
      <c r="B1341" s="1">
        <f ca="1">IFERROR(__xludf.UNSUPPORTED("""COMPUTED_VALUE"""),402.25)</f>
        <v>402.25</v>
      </c>
      <c r="C1341" s="2">
        <f t="shared" ca="1" si="5"/>
        <v>-1.0016735577869643E-2</v>
      </c>
    </row>
    <row r="1342" spans="1:3">
      <c r="A1342" s="3">
        <f ca="1">IFERROR(__xludf.UNSUPPORTED("""COMPUTED_VALUE"""),45412.6666666666)</f>
        <v>45412.666666666599</v>
      </c>
      <c r="B1342" s="1">
        <f ca="1">IFERROR(__xludf.UNSUPPORTED("""COMPUTED_VALUE"""),389.33)</f>
        <v>389.33</v>
      </c>
      <c r="C1342" s="2">
        <f t="shared" ca="1" si="5"/>
        <v>-3.2119328775637078E-2</v>
      </c>
    </row>
    <row r="1343" spans="1:3">
      <c r="A1343" s="3">
        <f ca="1">IFERROR(__xludf.UNSUPPORTED("""COMPUTED_VALUE"""),45413.6666666666)</f>
        <v>45413.666666666599</v>
      </c>
      <c r="B1343" s="1">
        <f ca="1">IFERROR(__xludf.UNSUPPORTED("""COMPUTED_VALUE"""),394.94)</f>
        <v>394.94</v>
      </c>
      <c r="C1343" s="2">
        <f t="shared" ca="1" si="5"/>
        <v>1.4409369943235851E-2</v>
      </c>
    </row>
    <row r="1344" spans="1:3">
      <c r="A1344" s="3">
        <f ca="1">IFERROR(__xludf.UNSUPPORTED("""COMPUTED_VALUE"""),45414.6666666666)</f>
        <v>45414.666666666599</v>
      </c>
      <c r="B1344" s="1">
        <f ca="1">IFERROR(__xludf.UNSUPPORTED("""COMPUTED_VALUE"""),397.84)</f>
        <v>397.84</v>
      </c>
      <c r="C1344" s="2">
        <f t="shared" ca="1" si="5"/>
        <v>7.3428875272192667E-3</v>
      </c>
    </row>
    <row r="1345" spans="1:3">
      <c r="A1345" s="3">
        <f ca="1">IFERROR(__xludf.UNSUPPORTED("""COMPUTED_VALUE"""),45415.6666666666)</f>
        <v>45415.666666666599</v>
      </c>
      <c r="B1345" s="1">
        <f ca="1">IFERROR(__xludf.UNSUPPORTED("""COMPUTED_VALUE"""),406.66)</f>
        <v>406.66</v>
      </c>
      <c r="C1345" s="2">
        <f t="shared" ca="1" si="5"/>
        <v>2.2169716468932361E-2</v>
      </c>
    </row>
    <row r="1346" spans="1:3">
      <c r="A1346" s="3">
        <f ca="1">IFERROR(__xludf.UNSUPPORTED("""COMPUTED_VALUE"""),45418.6666666666)</f>
        <v>45418.666666666599</v>
      </c>
      <c r="B1346" s="1">
        <f ca="1">IFERROR(__xludf.UNSUPPORTED("""COMPUTED_VALUE"""),413.54)</f>
        <v>413.54</v>
      </c>
      <c r="C1346" s="2">
        <f t="shared" ca="1" si="5"/>
        <v>1.691831013623173E-2</v>
      </c>
    </row>
    <row r="1347" spans="1:3">
      <c r="A1347" s="3">
        <f ca="1">IFERROR(__xludf.UNSUPPORTED("""COMPUTED_VALUE"""),45419.6666666666)</f>
        <v>45419.666666666599</v>
      </c>
      <c r="B1347" s="1">
        <f ca="1">IFERROR(__xludf.UNSUPPORTED("""COMPUTED_VALUE"""),409.34)</f>
        <v>409.34</v>
      </c>
      <c r="C1347" s="2">
        <f t="shared" ca="1" si="5"/>
        <v>-1.0156212216472518E-2</v>
      </c>
    </row>
    <row r="1348" spans="1:3">
      <c r="A1348" s="3">
        <f ca="1">IFERROR(__xludf.UNSUPPORTED("""COMPUTED_VALUE"""),45420.6666666666)</f>
        <v>45420.666666666599</v>
      </c>
      <c r="B1348" s="1">
        <f ca="1">IFERROR(__xludf.UNSUPPORTED("""COMPUTED_VALUE"""),410.54)</f>
        <v>410.54</v>
      </c>
      <c r="C1348" s="2">
        <f t="shared" ca="1" si="5"/>
        <v>2.9315483461182525E-3</v>
      </c>
    </row>
    <row r="1349" spans="1:3">
      <c r="A1349" s="3">
        <f ca="1">IFERROR(__xludf.UNSUPPORTED("""COMPUTED_VALUE"""),45421.6666666666)</f>
        <v>45421.666666666599</v>
      </c>
      <c r="B1349" s="1">
        <f ca="1">IFERROR(__xludf.UNSUPPORTED("""COMPUTED_VALUE"""),412.32)</f>
        <v>412.32</v>
      </c>
      <c r="C1349" s="2">
        <f t="shared" ca="1" si="5"/>
        <v>4.3357529108003423E-3</v>
      </c>
    </row>
    <row r="1350" spans="1:3">
      <c r="A1350" s="3">
        <f ca="1">IFERROR(__xludf.UNSUPPORTED("""COMPUTED_VALUE"""),45422.6666666666)</f>
        <v>45422.666666666599</v>
      </c>
      <c r="B1350" s="1">
        <f ca="1">IFERROR(__xludf.UNSUPPORTED("""COMPUTED_VALUE"""),414.74)</f>
        <v>414.74</v>
      </c>
      <c r="C1350" s="2">
        <f t="shared" ca="1" si="5"/>
        <v>5.8692277842452853E-3</v>
      </c>
    </row>
    <row r="1351" spans="1:3">
      <c r="A1351" s="3">
        <f ca="1">IFERROR(__xludf.UNSUPPORTED("""COMPUTED_VALUE"""),45425.6666666666)</f>
        <v>45425.666666666599</v>
      </c>
      <c r="B1351" s="1">
        <f ca="1">IFERROR(__xludf.UNSUPPORTED("""COMPUTED_VALUE"""),413.72)</f>
        <v>413.72</v>
      </c>
      <c r="C1351" s="2">
        <f t="shared" ca="1" si="5"/>
        <v>-2.4593721367603362E-3</v>
      </c>
    </row>
    <row r="1352" spans="1:3">
      <c r="A1352" s="3">
        <f ca="1">IFERROR(__xludf.UNSUPPORTED("""COMPUTED_VALUE"""),45426.6666666666)</f>
        <v>45426.666666666599</v>
      </c>
      <c r="B1352" s="1">
        <f ca="1">IFERROR(__xludf.UNSUPPORTED("""COMPUTED_VALUE"""),416.56)</f>
        <v>416.56</v>
      </c>
      <c r="C1352" s="2">
        <f t="shared" ca="1" si="5"/>
        <v>6.8645460698056049E-3</v>
      </c>
    </row>
    <row r="1353" spans="1:3">
      <c r="A1353" s="3">
        <f ca="1">IFERROR(__xludf.UNSUPPORTED("""COMPUTED_VALUE"""),45427.6666666666)</f>
        <v>45427.666666666599</v>
      </c>
      <c r="B1353" s="1">
        <f ca="1">IFERROR(__xludf.UNSUPPORTED("""COMPUTED_VALUE"""),423.08)</f>
        <v>423.08</v>
      </c>
      <c r="C1353" s="2">
        <f t="shared" ca="1" si="5"/>
        <v>1.5652006913769882E-2</v>
      </c>
    </row>
    <row r="1354" spans="1:3">
      <c r="A1354" s="3">
        <f ca="1">IFERROR(__xludf.UNSUPPORTED("""COMPUTED_VALUE"""),45428.6666666666)</f>
        <v>45428.666666666599</v>
      </c>
      <c r="B1354" s="1">
        <f ca="1">IFERROR(__xludf.UNSUPPORTED("""COMPUTED_VALUE"""),420.99)</f>
        <v>420.99</v>
      </c>
      <c r="C1354" s="2">
        <f t="shared" ca="1" si="5"/>
        <v>-4.9399640729885013E-3</v>
      </c>
    </row>
    <row r="1355" spans="1:3">
      <c r="A1355" s="3">
        <f ca="1">IFERROR(__xludf.UNSUPPORTED("""COMPUTED_VALUE"""),45429.6666666666)</f>
        <v>45429.666666666599</v>
      </c>
      <c r="B1355" s="1">
        <f ca="1">IFERROR(__xludf.UNSUPPORTED("""COMPUTED_VALUE"""),420.21)</f>
        <v>420.21</v>
      </c>
      <c r="C1355" s="2">
        <f t="shared" ca="1" si="5"/>
        <v>-1.8527756003706253E-3</v>
      </c>
    </row>
    <row r="1356" spans="1:3">
      <c r="A1356" s="3">
        <f ca="1">IFERROR(__xludf.UNSUPPORTED("""COMPUTED_VALUE"""),45432.6666666666)</f>
        <v>45432.666666666599</v>
      </c>
      <c r="B1356" s="1">
        <f ca="1">IFERROR(__xludf.UNSUPPORTED("""COMPUTED_VALUE"""),425.34)</f>
        <v>425.34</v>
      </c>
      <c r="C1356" s="2">
        <f t="shared" ca="1" si="5"/>
        <v>1.2208181623473967E-2</v>
      </c>
    </row>
    <row r="1357" spans="1:3">
      <c r="A1357" s="3">
        <f ca="1">IFERROR(__xludf.UNSUPPORTED("""COMPUTED_VALUE"""),45433.6666666666)</f>
        <v>45433.666666666599</v>
      </c>
      <c r="B1357" s="1">
        <f ca="1">IFERROR(__xludf.UNSUPPORTED("""COMPUTED_VALUE"""),429.04)</f>
        <v>429.04</v>
      </c>
      <c r="C1357" s="2">
        <f t="shared" ca="1" si="5"/>
        <v>8.6989232143697883E-3</v>
      </c>
    </row>
    <row r="1358" spans="1:3">
      <c r="A1358" s="3">
        <f ca="1">IFERROR(__xludf.UNSUPPORTED("""COMPUTED_VALUE"""),45434.6666666666)</f>
        <v>45434.666666666599</v>
      </c>
      <c r="B1358" s="1">
        <f ca="1">IFERROR(__xludf.UNSUPPORTED("""COMPUTED_VALUE"""),430.52)</f>
        <v>430.52</v>
      </c>
      <c r="C1358" s="2">
        <f t="shared" ca="1" si="5"/>
        <v>3.4495618124183321E-3</v>
      </c>
    </row>
    <row r="1359" spans="1:3">
      <c r="A1359" s="3">
        <f ca="1">IFERROR(__xludf.UNSUPPORTED("""COMPUTED_VALUE"""),45435.6666666666)</f>
        <v>45435.666666666599</v>
      </c>
      <c r="B1359" s="1">
        <f ca="1">IFERROR(__xludf.UNSUPPORTED("""COMPUTED_VALUE"""),427)</f>
        <v>427</v>
      </c>
      <c r="C1359" s="2">
        <f t="shared" ca="1" si="5"/>
        <v>-8.1761590634581022E-3</v>
      </c>
    </row>
    <row r="1360" spans="1:3">
      <c r="A1360" s="3">
        <f ca="1">IFERROR(__xludf.UNSUPPORTED("""COMPUTED_VALUE"""),45436.6666666666)</f>
        <v>45436.666666666599</v>
      </c>
      <c r="B1360" s="1">
        <f ca="1">IFERROR(__xludf.UNSUPPORTED("""COMPUTED_VALUE"""),430.16)</f>
        <v>430.16</v>
      </c>
      <c r="C1360" s="2">
        <f t="shared" ca="1" si="5"/>
        <v>7.4004683840750004E-3</v>
      </c>
    </row>
    <row r="1361" spans="1:3">
      <c r="A1361" s="3">
        <f ca="1">IFERROR(__xludf.UNSUPPORTED("""COMPUTED_VALUE"""),45440.6666666666)</f>
        <v>45440.666666666599</v>
      </c>
      <c r="B1361" s="1">
        <f ca="1">IFERROR(__xludf.UNSUPPORTED("""COMPUTED_VALUE"""),430.32)</f>
        <v>430.32</v>
      </c>
      <c r="C1361" s="2">
        <f t="shared" ca="1" si="5"/>
        <v>3.7195462153609855E-4</v>
      </c>
    </row>
    <row r="1362" spans="1:3">
      <c r="A1362" s="3">
        <f ca="1">IFERROR(__xludf.UNSUPPORTED("""COMPUTED_VALUE"""),45441.6666666666)</f>
        <v>45441.666666666599</v>
      </c>
      <c r="B1362" s="1">
        <f ca="1">IFERROR(__xludf.UNSUPPORTED("""COMPUTED_VALUE"""),429.17)</f>
        <v>429.17</v>
      </c>
      <c r="C1362" s="2">
        <f t="shared" ca="1" si="5"/>
        <v>-2.6724298196690306E-3</v>
      </c>
    </row>
    <row r="1363" spans="1:3">
      <c r="A1363" s="3">
        <f ca="1">IFERROR(__xludf.UNSUPPORTED("""COMPUTED_VALUE"""),45442.6666666666)</f>
        <v>45442.666666666599</v>
      </c>
      <c r="B1363" s="1">
        <f ca="1">IFERROR(__xludf.UNSUPPORTED("""COMPUTED_VALUE"""),414.67)</f>
        <v>414.67</v>
      </c>
      <c r="C1363" s="2">
        <f t="shared" ca="1" si="5"/>
        <v>-3.3786145350327375E-2</v>
      </c>
    </row>
    <row r="1364" spans="1:3">
      <c r="A1364" s="3">
        <f ca="1">IFERROR(__xludf.UNSUPPORTED("""COMPUTED_VALUE"""),45443.6666666666)</f>
        <v>45443.666666666599</v>
      </c>
      <c r="B1364" s="1">
        <f ca="1">IFERROR(__xludf.UNSUPPORTED("""COMPUTED_VALUE"""),415.13)</f>
        <v>415.13</v>
      </c>
      <c r="C1364" s="2">
        <f t="shared" ca="1" si="5"/>
        <v>1.1093158415124787E-3</v>
      </c>
    </row>
    <row r="1365" spans="1:3">
      <c r="A1365" s="3">
        <f ca="1">IFERROR(__xludf.UNSUPPORTED("""COMPUTED_VALUE"""),45446.6666666666)</f>
        <v>45446.666666666599</v>
      </c>
      <c r="B1365" s="1">
        <f ca="1">IFERROR(__xludf.UNSUPPORTED("""COMPUTED_VALUE"""),413.52)</f>
        <v>413.52</v>
      </c>
      <c r="C1365" s="2">
        <f t="shared" ca="1" si="5"/>
        <v>-3.8783031821357492E-3</v>
      </c>
    </row>
    <row r="1366" spans="1:3">
      <c r="A1366" s="3">
        <f ca="1">IFERROR(__xludf.UNSUPPORTED("""COMPUTED_VALUE"""),45447.6666666666)</f>
        <v>45447.666666666599</v>
      </c>
      <c r="B1366" s="1">
        <f ca="1">IFERROR(__xludf.UNSUPPORTED("""COMPUTED_VALUE"""),416.07)</f>
        <v>416.07</v>
      </c>
      <c r="C1366" s="2">
        <f t="shared" ca="1" si="5"/>
        <v>6.1665699361578919E-3</v>
      </c>
    </row>
    <row r="1367" spans="1:3">
      <c r="A1367" s="3">
        <f ca="1">IFERROR(__xludf.UNSUPPORTED("""COMPUTED_VALUE"""),45448.6666666666)</f>
        <v>45448.666666666599</v>
      </c>
      <c r="B1367" s="1">
        <f ca="1">IFERROR(__xludf.UNSUPPORTED("""COMPUTED_VALUE"""),424.01)</f>
        <v>424.01</v>
      </c>
      <c r="C1367" s="2">
        <f t="shared" ca="1" si="5"/>
        <v>1.9083327324729008E-2</v>
      </c>
    </row>
    <row r="1368" spans="1:3">
      <c r="A1368" s="3">
        <f ca="1">IFERROR(__xludf.UNSUPPORTED("""COMPUTED_VALUE"""),45449.6666666666)</f>
        <v>45449.666666666599</v>
      </c>
      <c r="B1368" s="1">
        <f ca="1">IFERROR(__xludf.UNSUPPORTED("""COMPUTED_VALUE"""),424.52)</f>
        <v>424.52</v>
      </c>
      <c r="C1368" s="2">
        <f t="shared" ca="1" si="5"/>
        <v>1.2028018207117543E-3</v>
      </c>
    </row>
    <row r="1369" spans="1:3">
      <c r="A1369" s="3">
        <f ca="1">IFERROR(__xludf.UNSUPPORTED("""COMPUTED_VALUE"""),45450.6666666666)</f>
        <v>45450.666666666599</v>
      </c>
      <c r="B1369" s="1">
        <f ca="1">IFERROR(__xludf.UNSUPPORTED("""COMPUTED_VALUE"""),423.85)</f>
        <v>423.85</v>
      </c>
      <c r="C1369" s="2">
        <f t="shared" ca="1" si="5"/>
        <v>-1.5782530858380267E-3</v>
      </c>
    </row>
    <row r="1370" spans="1:3">
      <c r="A1370" s="3">
        <f ca="1">IFERROR(__xludf.UNSUPPORTED("""COMPUTED_VALUE"""),45453.6666666666)</f>
        <v>45453.666666666599</v>
      </c>
      <c r="B1370" s="1">
        <f ca="1">IFERROR(__xludf.UNSUPPORTED("""COMPUTED_VALUE"""),427.87)</f>
        <v>427.87</v>
      </c>
      <c r="C1370" s="2">
        <f t="shared" ca="1" si="5"/>
        <v>9.4844874365930913E-3</v>
      </c>
    </row>
    <row r="1371" spans="1:3">
      <c r="A1371" s="3">
        <f ca="1">IFERROR(__xludf.UNSUPPORTED("""COMPUTED_VALUE"""),45454.6666666666)</f>
        <v>45454.666666666599</v>
      </c>
      <c r="B1371" s="1">
        <f ca="1">IFERROR(__xludf.UNSUPPORTED("""COMPUTED_VALUE"""),432.68)</f>
        <v>432.68</v>
      </c>
      <c r="C1371" s="2">
        <f t="shared" ca="1" si="5"/>
        <v>1.1241732301867395E-2</v>
      </c>
    </row>
    <row r="1372" spans="1:3">
      <c r="A1372" s="3">
        <f ca="1">IFERROR(__xludf.UNSUPPORTED("""COMPUTED_VALUE"""),45455.6666666666)</f>
        <v>45455.666666666599</v>
      </c>
      <c r="B1372" s="1">
        <f ca="1">IFERROR(__xludf.UNSUPPORTED("""COMPUTED_VALUE"""),441.06)</f>
        <v>441.06</v>
      </c>
      <c r="C1372" s="2">
        <f t="shared" ca="1" si="5"/>
        <v>1.9367662013497263E-2</v>
      </c>
    </row>
    <row r="1373" spans="1:3">
      <c r="A1373" s="3">
        <f ca="1">IFERROR(__xludf.UNSUPPORTED("""COMPUTED_VALUE"""),45456.6666666666)</f>
        <v>45456.666666666599</v>
      </c>
      <c r="B1373" s="1">
        <f ca="1">IFERROR(__xludf.UNSUPPORTED("""COMPUTED_VALUE"""),441.58)</f>
        <v>441.58</v>
      </c>
      <c r="C1373" s="2">
        <f t="shared" ca="1" si="5"/>
        <v>1.1789779168366703E-3</v>
      </c>
    </row>
    <row r="1374" spans="1:3">
      <c r="A1374" s="3">
        <f ca="1">IFERROR(__xludf.UNSUPPORTED("""COMPUTED_VALUE"""),45457.6666666666)</f>
        <v>45457.666666666599</v>
      </c>
      <c r="B1374" s="1">
        <f ca="1">IFERROR(__xludf.UNSUPPORTED("""COMPUTED_VALUE"""),442.57)</f>
        <v>442.57</v>
      </c>
      <c r="C1374" s="2">
        <f t="shared" ca="1" si="5"/>
        <v>2.2419493636487366E-3</v>
      </c>
    </row>
    <row r="1375" spans="1:3">
      <c r="A1375" s="3">
        <f ca="1">IFERROR(__xludf.UNSUPPORTED("""COMPUTED_VALUE"""),45460.6666666666)</f>
        <v>45460.666666666599</v>
      </c>
      <c r="B1375" s="1">
        <f ca="1">IFERROR(__xludf.UNSUPPORTED("""COMPUTED_VALUE"""),448.37)</f>
        <v>448.37</v>
      </c>
      <c r="C1375" s="2">
        <f t="shared" ca="1" si="5"/>
        <v>1.3105271482477374E-2</v>
      </c>
    </row>
    <row r="1376" spans="1:3">
      <c r="A1376" s="3">
        <f ca="1">IFERROR(__xludf.UNSUPPORTED("""COMPUTED_VALUE"""),45461.6666666666)</f>
        <v>45461.666666666599</v>
      </c>
      <c r="B1376" s="1">
        <f ca="1">IFERROR(__xludf.UNSUPPORTED("""COMPUTED_VALUE"""),446.34)</f>
        <v>446.34</v>
      </c>
      <c r="C1376" s="2">
        <f t="shared" ca="1" si="5"/>
        <v>-4.527510761201752E-3</v>
      </c>
    </row>
    <row r="1377" spans="1:3">
      <c r="A1377" s="3">
        <f ca="1">IFERROR(__xludf.UNSUPPORTED("""COMPUTED_VALUE"""),45463.6666666666)</f>
        <v>45463.666666666599</v>
      </c>
      <c r="B1377" s="1">
        <f ca="1">IFERROR(__xludf.UNSUPPORTED("""COMPUTED_VALUE"""),445.7)</f>
        <v>445.7</v>
      </c>
      <c r="C1377" s="2">
        <f t="shared" ca="1" si="5"/>
        <v>-1.4338844826813336E-3</v>
      </c>
    </row>
    <row r="1378" spans="1:3">
      <c r="A1378" s="3">
        <f ca="1">IFERROR(__xludf.UNSUPPORTED("""COMPUTED_VALUE"""),45464.6666666666)</f>
        <v>45464.666666666599</v>
      </c>
      <c r="B1378" s="1">
        <f ca="1">IFERROR(__xludf.UNSUPPORTED("""COMPUTED_VALUE"""),449.78)</f>
        <v>449.78</v>
      </c>
      <c r="C1378" s="2">
        <f t="shared" ca="1" si="5"/>
        <v>9.1541395557549563E-3</v>
      </c>
    </row>
    <row r="1379" spans="1:3">
      <c r="A1379" s="3">
        <f ca="1">IFERROR(__xludf.UNSUPPORTED("""COMPUTED_VALUE"""),45467.6666666666)</f>
        <v>45467.666666666599</v>
      </c>
      <c r="B1379" s="1">
        <f ca="1">IFERROR(__xludf.UNSUPPORTED("""COMPUTED_VALUE"""),447.67)</f>
        <v>447.67</v>
      </c>
      <c r="C1379" s="2">
        <f t="shared" ca="1" si="5"/>
        <v>-4.691182355818304E-3</v>
      </c>
    </row>
    <row r="1380" spans="1:3">
      <c r="A1380" s="3">
        <f ca="1">IFERROR(__xludf.UNSUPPORTED("""COMPUTED_VALUE"""),45468.6666666666)</f>
        <v>45468.666666666599</v>
      </c>
      <c r="B1380" s="1">
        <f ca="1">IFERROR(__xludf.UNSUPPORTED("""COMPUTED_VALUE"""),450.95)</f>
        <v>450.95</v>
      </c>
      <c r="C1380" s="2">
        <f t="shared" ca="1" si="5"/>
        <v>7.3268255634730325E-3</v>
      </c>
    </row>
    <row r="1381" spans="1:3">
      <c r="A1381" s="3">
        <f ca="1">IFERROR(__xludf.UNSUPPORTED("""COMPUTED_VALUE"""),45469.6666666666)</f>
        <v>45469.666666666599</v>
      </c>
      <c r="B1381" s="1">
        <f ca="1">IFERROR(__xludf.UNSUPPORTED("""COMPUTED_VALUE"""),452.16)</f>
        <v>452.16</v>
      </c>
      <c r="C1381" s="2">
        <f t="shared" ca="1" si="5"/>
        <v>2.6832243042466714E-3</v>
      </c>
    </row>
    <row r="1382" spans="1:3">
      <c r="A1382" s="3">
        <f ca="1">IFERROR(__xludf.UNSUPPORTED("""COMPUTED_VALUE"""),45470.6666666666)</f>
        <v>45470.666666666599</v>
      </c>
      <c r="B1382" s="1">
        <f ca="1">IFERROR(__xludf.UNSUPPORTED("""COMPUTED_VALUE"""),452.85)</f>
        <v>452.85</v>
      </c>
      <c r="C1382" s="2">
        <f t="shared" ca="1" si="5"/>
        <v>1.526008492568997E-3</v>
      </c>
    </row>
    <row r="1383" spans="1:3">
      <c r="A1383" s="3">
        <f ca="1">IFERROR(__xludf.UNSUPPORTED("""COMPUTED_VALUE"""),45471.6666666666)</f>
        <v>45471.666666666599</v>
      </c>
      <c r="B1383" s="1">
        <f ca="1">IFERROR(__xludf.UNSUPPORTED("""COMPUTED_VALUE"""),446.95)</f>
        <v>446.95</v>
      </c>
      <c r="C1383" s="2">
        <f t="shared" ca="1" si="5"/>
        <v>-1.3028596665562622E-2</v>
      </c>
    </row>
    <row r="1384" spans="1:3">
      <c r="A1384" s="3">
        <f ca="1">IFERROR(__xludf.UNSUPPORTED("""COMPUTED_VALUE"""),45474.6666666666)</f>
        <v>45474.666666666599</v>
      </c>
      <c r="B1384" s="1">
        <f ca="1">IFERROR(__xludf.UNSUPPORTED("""COMPUTED_VALUE"""),456.73)</f>
        <v>456.73</v>
      </c>
      <c r="C1384" s="2">
        <f t="shared" ca="1" si="5"/>
        <v>2.1881642241861572E-2</v>
      </c>
    </row>
    <row r="1385" spans="1:3">
      <c r="A1385" s="3">
        <f ca="1">IFERROR(__xludf.UNSUPPORTED("""COMPUTED_VALUE"""),45475.6666666666)</f>
        <v>45475.666666666599</v>
      </c>
      <c r="B1385" s="1">
        <f ca="1">IFERROR(__xludf.UNSUPPORTED("""COMPUTED_VALUE"""),459.28)</f>
        <v>459.28</v>
      </c>
      <c r="C1385" s="2">
        <f t="shared" ca="1" si="5"/>
        <v>5.5831672979658759E-3</v>
      </c>
    </row>
    <row r="1386" spans="1:3">
      <c r="A1386" s="3">
        <f ca="1">IFERROR(__xludf.UNSUPPORTED("""COMPUTED_VALUE"""),45476.5451388888)</f>
        <v>45476.545138888803</v>
      </c>
      <c r="B1386" s="1">
        <f ca="1">IFERROR(__xludf.UNSUPPORTED("""COMPUTED_VALUE"""),460.77)</f>
        <v>460.77</v>
      </c>
      <c r="C1386" s="2">
        <f t="shared" ca="1" si="5"/>
        <v>3.2442083260756168E-3</v>
      </c>
    </row>
    <row r="1387" spans="1:3">
      <c r="A1387" s="3">
        <f ca="1">IFERROR(__xludf.UNSUPPORTED("""COMPUTED_VALUE"""),45478.6666666666)</f>
        <v>45478.666666666599</v>
      </c>
      <c r="B1387" s="1">
        <f ca="1">IFERROR(__xludf.UNSUPPORTED("""COMPUTED_VALUE"""),467.56)</f>
        <v>467.56</v>
      </c>
      <c r="C1387" s="2">
        <f t="shared" ca="1" si="5"/>
        <v>1.4736202443735531E-2</v>
      </c>
    </row>
    <row r="1388" spans="1:3">
      <c r="A1388" s="3">
        <f ca="1">IFERROR(__xludf.UNSUPPORTED("""COMPUTED_VALUE"""),45481.6666666666)</f>
        <v>45481.666666666599</v>
      </c>
      <c r="B1388" s="1">
        <f ca="1">IFERROR(__xludf.UNSUPPORTED("""COMPUTED_VALUE"""),466.24)</f>
        <v>466.24</v>
      </c>
      <c r="C1388" s="2">
        <f t="shared" ca="1" si="5"/>
        <v>-2.8231670801608204E-3</v>
      </c>
    </row>
    <row r="1389" spans="1:3">
      <c r="A1389" s="3">
        <f ca="1">IFERROR(__xludf.UNSUPPORTED("""COMPUTED_VALUE"""),45482.6666666666)</f>
        <v>45482.666666666599</v>
      </c>
      <c r="B1389" s="1">
        <f ca="1">IFERROR(__xludf.UNSUPPORTED("""COMPUTED_VALUE"""),459.54)</f>
        <v>459.54</v>
      </c>
      <c r="C1389" s="2">
        <f t="shared" ca="1" si="5"/>
        <v>-1.4370281400137243E-2</v>
      </c>
    </row>
    <row r="1390" spans="1:3">
      <c r="A1390" s="3">
        <f ca="1">IFERROR(__xludf.UNSUPPORTED("""COMPUTED_VALUE"""),45483.6666666666)</f>
        <v>45483.666666666599</v>
      </c>
      <c r="B1390" s="1">
        <f ca="1">IFERROR(__xludf.UNSUPPORTED("""COMPUTED_VALUE"""),466.25)</f>
        <v>466.25</v>
      </c>
      <c r="C1390" s="2">
        <f t="shared" ca="1" si="5"/>
        <v>1.4601558079818904E-2</v>
      </c>
    </row>
    <row r="1391" spans="1:3">
      <c r="A1391" s="3">
        <f ca="1">IFERROR(__xludf.UNSUPPORTED("""COMPUTED_VALUE"""),45484.6666666666)</f>
        <v>45484.666666666599</v>
      </c>
      <c r="B1391" s="1">
        <f ca="1">IFERROR(__xludf.UNSUPPORTED("""COMPUTED_VALUE"""),454.7)</f>
        <v>454.7</v>
      </c>
      <c r="C1391" s="2">
        <f t="shared" ca="1" si="5"/>
        <v>-2.4772117962466512E-2</v>
      </c>
    </row>
    <row r="1392" spans="1:3">
      <c r="A1392" s="3">
        <f ca="1">IFERROR(__xludf.UNSUPPORTED("""COMPUTED_VALUE"""),45485.6666666666)</f>
        <v>45485.666666666599</v>
      </c>
      <c r="B1392" s="1">
        <f ca="1">IFERROR(__xludf.UNSUPPORTED("""COMPUTED_VALUE"""),453.55)</f>
        <v>453.55</v>
      </c>
      <c r="C1392" s="2">
        <f t="shared" ca="1" si="5"/>
        <v>-2.5291400923685447E-3</v>
      </c>
    </row>
    <row r="1393" spans="1:3">
      <c r="A1393" s="3">
        <f ca="1">IFERROR(__xludf.UNSUPPORTED("""COMPUTED_VALUE"""),45488.6666666666)</f>
        <v>45488.666666666599</v>
      </c>
      <c r="B1393" s="1">
        <f ca="1">IFERROR(__xludf.UNSUPPORTED("""COMPUTED_VALUE"""),453.96)</f>
        <v>453.96</v>
      </c>
      <c r="C1393" s="2">
        <f t="shared" ca="1" si="5"/>
        <v>9.0397971557704365E-4</v>
      </c>
    </row>
    <row r="1394" spans="1:3">
      <c r="A1394" s="3">
        <f ca="1">IFERROR(__xludf.UNSUPPORTED("""COMPUTED_VALUE"""),45489.6666666666)</f>
        <v>45489.666666666599</v>
      </c>
      <c r="B1394" s="1">
        <f ca="1">IFERROR(__xludf.UNSUPPORTED("""COMPUTED_VALUE"""),449.52)</f>
        <v>449.52</v>
      </c>
      <c r="C1394" s="2">
        <f t="shared" ca="1" si="5"/>
        <v>-9.7805974094633836E-3</v>
      </c>
    </row>
    <row r="1395" spans="1:3">
      <c r="A1395" s="3">
        <f ca="1">IFERROR(__xludf.UNSUPPORTED("""COMPUTED_VALUE"""),45490.6666666666)</f>
        <v>45490.666666666599</v>
      </c>
      <c r="B1395" s="1">
        <f ca="1">IFERROR(__xludf.UNSUPPORTED("""COMPUTED_VALUE"""),443.52)</f>
        <v>443.52</v>
      </c>
      <c r="C1395" s="2">
        <f t="shared" ca="1" si="5"/>
        <v>-1.3347570742124934E-2</v>
      </c>
    </row>
    <row r="1396" spans="1:3">
      <c r="A1396" s="3">
        <f ca="1">IFERROR(__xludf.UNSUPPORTED("""COMPUTED_VALUE"""),45491.6666666666)</f>
        <v>45491.666666666599</v>
      </c>
      <c r="B1396" s="1">
        <f ca="1">IFERROR(__xludf.UNSUPPORTED("""COMPUTED_VALUE"""),440.37)</f>
        <v>440.37</v>
      </c>
      <c r="C1396" s="2">
        <f t="shared" ca="1" si="5"/>
        <v>-7.1022727272726767E-3</v>
      </c>
    </row>
    <row r="1397" spans="1:3">
      <c r="A1397" s="3">
        <f ca="1">IFERROR(__xludf.UNSUPPORTED("""COMPUTED_VALUE"""),45492.6666666666)</f>
        <v>45492.666666666599</v>
      </c>
      <c r="B1397" s="1">
        <f ca="1">IFERROR(__xludf.UNSUPPORTED("""COMPUTED_VALUE"""),437.11)</f>
        <v>437.11</v>
      </c>
      <c r="C1397" s="2">
        <f t="shared" ca="1" si="5"/>
        <v>-7.4028657719644635E-3</v>
      </c>
    </row>
    <row r="1398" spans="1:3">
      <c r="A1398" s="3">
        <f ca="1">IFERROR(__xludf.UNSUPPORTED("""COMPUTED_VALUE"""),45495.6666666666)</f>
        <v>45495.666666666599</v>
      </c>
      <c r="B1398" s="1">
        <f ca="1">IFERROR(__xludf.UNSUPPORTED("""COMPUTED_VALUE"""),442.94)</f>
        <v>442.94</v>
      </c>
      <c r="C1398" s="2">
        <f t="shared" ca="1" si="5"/>
        <v>1.3337603806822045E-2</v>
      </c>
    </row>
    <row r="1399" spans="1:3">
      <c r="A1399" s="3">
        <f ca="1">IFERROR(__xludf.UNSUPPORTED("""COMPUTED_VALUE"""),45496.6666666666)</f>
        <v>45496.666666666599</v>
      </c>
      <c r="B1399" s="1">
        <f ca="1">IFERROR(__xludf.UNSUPPORTED("""COMPUTED_VALUE"""),444.85)</f>
        <v>444.85</v>
      </c>
      <c r="C1399" s="2">
        <f t="shared" ca="1" si="5"/>
        <v>4.3120964464713621E-3</v>
      </c>
    </row>
    <row r="1400" spans="1:3">
      <c r="A1400" s="3">
        <f ca="1">IFERROR(__xludf.UNSUPPORTED("""COMPUTED_VALUE"""),45497.6666666666)</f>
        <v>45497.666666666599</v>
      </c>
      <c r="B1400" s="1">
        <f ca="1">IFERROR(__xludf.UNSUPPORTED("""COMPUTED_VALUE"""),428.9)</f>
        <v>428.9</v>
      </c>
      <c r="C1400" s="2">
        <f t="shared" ca="1" si="5"/>
        <v>-3.5854782510958853E-2</v>
      </c>
    </row>
    <row r="1401" spans="1:3">
      <c r="A1401" s="3">
        <f ca="1">IFERROR(__xludf.UNSUPPORTED("""COMPUTED_VALUE"""),45498.6666666666)</f>
        <v>45498.666666666599</v>
      </c>
      <c r="B1401" s="1">
        <f ca="1">IFERROR(__xludf.UNSUPPORTED("""COMPUTED_VALUE"""),418.4)</f>
        <v>418.4</v>
      </c>
      <c r="C1401" s="2">
        <f t="shared" ca="1" si="5"/>
        <v>-2.4481231056190256E-2</v>
      </c>
    </row>
    <row r="1402" spans="1:3">
      <c r="A1402" s="3">
        <f ca="1">IFERROR(__xludf.UNSUPPORTED("""COMPUTED_VALUE"""),45499.6666666666)</f>
        <v>45499.666666666599</v>
      </c>
      <c r="B1402" s="1">
        <f ca="1">IFERROR(__xludf.UNSUPPORTED("""COMPUTED_VALUE"""),425.27)</f>
        <v>425.27</v>
      </c>
      <c r="C1402" s="2">
        <f t="shared" ca="1" si="5"/>
        <v>1.6419694072657757E-2</v>
      </c>
    </row>
    <row r="1403" spans="1:3">
      <c r="A1403" s="3">
        <f ca="1">IFERROR(__xludf.UNSUPPORTED("""COMPUTED_VALUE"""),45502.6666666666)</f>
        <v>45502.666666666599</v>
      </c>
      <c r="B1403" s="1">
        <f ca="1">IFERROR(__xludf.UNSUPPORTED("""COMPUTED_VALUE"""),426.73)</f>
        <v>426.73</v>
      </c>
      <c r="C1403" s="2">
        <f t="shared" ca="1" si="5"/>
        <v>3.4331130811015038E-3</v>
      </c>
    </row>
    <row r="1404" spans="1:3">
      <c r="A1404" s="3">
        <f ca="1">IFERROR(__xludf.UNSUPPORTED("""COMPUTED_VALUE"""),45503.6666666666)</f>
        <v>45503.666666666599</v>
      </c>
      <c r="B1404" s="1">
        <f ca="1">IFERROR(__xludf.UNSUPPORTED("""COMPUTED_VALUE"""),422.92)</f>
        <v>422.92</v>
      </c>
      <c r="C1404" s="2">
        <f t="shared" ca="1" si="5"/>
        <v>-8.9283621962365015E-3</v>
      </c>
    </row>
    <row r="1405" spans="1:3">
      <c r="A1405" s="3">
        <f ca="1">IFERROR(__xludf.UNSUPPORTED("""COMPUTED_VALUE"""),45504.6666666666)</f>
        <v>45504.666666666599</v>
      </c>
      <c r="B1405" s="1">
        <f ca="1">IFERROR(__xludf.UNSUPPORTED("""COMPUTED_VALUE"""),418.35)</f>
        <v>418.35</v>
      </c>
      <c r="C1405" s="2">
        <f t="shared" ca="1" si="5"/>
        <v>-1.0805826160976055E-2</v>
      </c>
    </row>
    <row r="1406" spans="1:3">
      <c r="A1406" s="3">
        <f ca="1">IFERROR(__xludf.UNSUPPORTED("""COMPUTED_VALUE"""),45505.6666666666)</f>
        <v>45505.666666666599</v>
      </c>
      <c r="B1406" s="1">
        <f ca="1">IFERROR(__xludf.UNSUPPORTED("""COMPUTED_VALUE"""),417.11)</f>
        <v>417.11</v>
      </c>
      <c r="C1406" s="2">
        <f t="shared" ca="1" si="5"/>
        <v>-2.9640253376359725E-3</v>
      </c>
    </row>
    <row r="1407" spans="1:3">
      <c r="A1407" s="3">
        <f ca="1">IFERROR(__xludf.UNSUPPORTED("""COMPUTED_VALUE"""),45506.6666666666)</f>
        <v>45506.666666666599</v>
      </c>
      <c r="B1407" s="1">
        <f ca="1">IFERROR(__xludf.UNSUPPORTED("""COMPUTED_VALUE"""),408.49)</f>
        <v>408.49</v>
      </c>
      <c r="C1407" s="2">
        <f t="shared" ca="1" si="5"/>
        <v>-2.0666011363908811E-2</v>
      </c>
    </row>
    <row r="1408" spans="1:3">
      <c r="A1408" s="3">
        <f ca="1">IFERROR(__xludf.UNSUPPORTED("""COMPUTED_VALUE"""),45509.6666666666)</f>
        <v>45509.666666666599</v>
      </c>
      <c r="B1408" s="1">
        <f ca="1">IFERROR(__xludf.UNSUPPORTED("""COMPUTED_VALUE"""),395.15)</f>
        <v>395.15</v>
      </c>
      <c r="C1408" s="2">
        <f t="shared" ca="1" si="5"/>
        <v>-3.2656858185022966E-2</v>
      </c>
    </row>
    <row r="1409" spans="1:3">
      <c r="A1409" s="3">
        <f ca="1">IFERROR(__xludf.UNSUPPORTED("""COMPUTED_VALUE"""),45510.6666666666)</f>
        <v>45510.666666666599</v>
      </c>
      <c r="B1409" s="1">
        <f ca="1">IFERROR(__xludf.UNSUPPORTED("""COMPUTED_VALUE"""),399.61)</f>
        <v>399.61</v>
      </c>
      <c r="C1409" s="2">
        <f t="shared" ca="1" si="5"/>
        <v>1.1286853093761956E-2</v>
      </c>
    </row>
    <row r="1410" spans="1:3">
      <c r="A1410" s="3">
        <f ca="1">IFERROR(__xludf.UNSUPPORTED("""COMPUTED_VALUE"""),45511.6666666666)</f>
        <v>45511.666666666599</v>
      </c>
      <c r="B1410" s="1">
        <f ca="1">IFERROR(__xludf.UNSUPPORTED("""COMPUTED_VALUE"""),398.43)</f>
        <v>398.43</v>
      </c>
      <c r="C1410" s="2">
        <f t="shared" ca="1" si="5"/>
        <v>-2.9528790570806708E-3</v>
      </c>
    </row>
    <row r="1411" spans="1:3">
      <c r="A1411" s="3">
        <f ca="1">IFERROR(__xludf.UNSUPPORTED("""COMPUTED_VALUE"""),45512.6666666666)</f>
        <v>45512.666666666599</v>
      </c>
      <c r="B1411" s="1">
        <f ca="1">IFERROR(__xludf.UNSUPPORTED("""COMPUTED_VALUE"""),402.69)</f>
        <v>402.69</v>
      </c>
      <c r="C1411" s="2">
        <f t="shared" ca="1" si="5"/>
        <v>1.0691965966418169E-2</v>
      </c>
    </row>
    <row r="1412" spans="1:3">
      <c r="A1412" s="3">
        <f ca="1">IFERROR(__xludf.UNSUPPORTED("""COMPUTED_VALUE"""),45513.6666666666)</f>
        <v>45513.666666666599</v>
      </c>
      <c r="B1412" s="1">
        <f ca="1">IFERROR(__xludf.UNSUPPORTED("""COMPUTED_VALUE"""),406.02)</f>
        <v>406.02</v>
      </c>
      <c r="C1412" s="2">
        <f t="shared" ca="1" si="5"/>
        <v>8.2693883632570572E-3</v>
      </c>
    </row>
    <row r="1413" spans="1:3">
      <c r="A1413" s="3">
        <f ca="1">IFERROR(__xludf.UNSUPPORTED("""COMPUTED_VALUE"""),45516.6666666666)</f>
        <v>45516.666666666599</v>
      </c>
      <c r="B1413" s="1">
        <f ca="1">IFERROR(__xludf.UNSUPPORTED("""COMPUTED_VALUE"""),406.81)</f>
        <v>406.81</v>
      </c>
      <c r="C1413" s="2">
        <f t="shared" ca="1" si="5"/>
        <v>1.9457169597557275E-3</v>
      </c>
    </row>
    <row r="1414" spans="1:3">
      <c r="A1414" s="3">
        <f ca="1">IFERROR(__xludf.UNSUPPORTED("""COMPUTED_VALUE"""),45517.6666666666)</f>
        <v>45517.666666666599</v>
      </c>
      <c r="B1414" s="1">
        <f ca="1">IFERROR(__xludf.UNSUPPORTED("""COMPUTED_VALUE"""),414.01)</f>
        <v>414.01</v>
      </c>
      <c r="C1414" s="2">
        <f t="shared" ca="1" si="5"/>
        <v>1.7698679973451953E-2</v>
      </c>
    </row>
    <row r="1415" spans="1:3">
      <c r="A1415" s="3">
        <f ca="1">IFERROR(__xludf.UNSUPPORTED("""COMPUTED_VALUE"""),45518.6666666666)</f>
        <v>45518.666666666599</v>
      </c>
      <c r="B1415" s="1">
        <f ca="1">IFERROR(__xludf.UNSUPPORTED("""COMPUTED_VALUE"""),416.86)</f>
        <v>416.86</v>
      </c>
      <c r="C1415" s="2">
        <f t="shared" ca="1" si="5"/>
        <v>6.8838916934374113E-3</v>
      </c>
    </row>
    <row r="1416" spans="1:3">
      <c r="A1416" s="3">
        <f ca="1">IFERROR(__xludf.UNSUPPORTED("""COMPUTED_VALUE"""),45519.6666666666)</f>
        <v>45519.666666666599</v>
      </c>
      <c r="B1416" s="1">
        <f ca="1">IFERROR(__xludf.UNSUPPORTED("""COMPUTED_VALUE"""),421.03)</f>
        <v>421.03</v>
      </c>
      <c r="C1416" s="2">
        <f t="shared" ca="1" si="5"/>
        <v>1.000335844168296E-2</v>
      </c>
    </row>
    <row r="1417" spans="1:3">
      <c r="A1417" s="3">
        <f ca="1">IFERROR(__xludf.UNSUPPORTED("""COMPUTED_VALUE"""),45520.6666666666)</f>
        <v>45520.666666666599</v>
      </c>
      <c r="B1417" s="1">
        <f ca="1">IFERROR(__xludf.UNSUPPORTED("""COMPUTED_VALUE"""),418.47)</f>
        <v>418.47</v>
      </c>
      <c r="C1417" s="2">
        <f t="shared" ca="1" si="5"/>
        <v>-6.0803268175663146E-3</v>
      </c>
    </row>
    <row r="1418" spans="1:3">
      <c r="A1418" s="3">
        <f ca="1">IFERROR(__xludf.UNSUPPORTED("""COMPUTED_VALUE"""),45523.6666666666)</f>
        <v>45523.666666666599</v>
      </c>
      <c r="B1418" s="1">
        <f ca="1">IFERROR(__xludf.UNSUPPORTED("""COMPUTED_VALUE"""),421.53)</f>
        <v>421.53</v>
      </c>
      <c r="C1418" s="2">
        <f t="shared" ca="1" si="5"/>
        <v>7.3123521399382158E-3</v>
      </c>
    </row>
    <row r="1419" spans="1:3">
      <c r="A1419" s="3">
        <f ca="1">IFERROR(__xludf.UNSUPPORTED("""COMPUTED_VALUE"""),45524.6666666666)</f>
        <v>45524.666666666599</v>
      </c>
      <c r="B1419" s="1">
        <f ca="1">IFERROR(__xludf.UNSUPPORTED("""COMPUTED_VALUE"""),424.8)</f>
        <v>424.8</v>
      </c>
      <c r="C1419" s="2">
        <f t="shared" ca="1" si="5"/>
        <v>7.7574549854103831E-3</v>
      </c>
    </row>
    <row r="1420" spans="1:3">
      <c r="A1420" s="3">
        <f ca="1">IFERROR(__xludf.UNSUPPORTED("""COMPUTED_VALUE"""),45525.6666666666)</f>
        <v>45525.666666666599</v>
      </c>
      <c r="B1420" s="1">
        <f ca="1">IFERROR(__xludf.UNSUPPORTED("""COMPUTED_VALUE"""),424.14)</f>
        <v>424.14</v>
      </c>
      <c r="C1420" s="2">
        <f t="shared" ca="1" si="5"/>
        <v>-1.5536723163842396E-3</v>
      </c>
    </row>
    <row r="1421" spans="1:3">
      <c r="A1421" s="3">
        <f ca="1">IFERROR(__xludf.UNSUPPORTED("""COMPUTED_VALUE"""),45526.6666666666)</f>
        <v>45526.666666666599</v>
      </c>
      <c r="B1421" s="1">
        <f ca="1">IFERROR(__xludf.UNSUPPORTED("""COMPUTED_VALUE"""),415.55)</f>
        <v>415.55</v>
      </c>
      <c r="C1421" s="2">
        <f t="shared" ca="1" si="5"/>
        <v>-2.0252746734568717E-2</v>
      </c>
    </row>
    <row r="1422" spans="1:3">
      <c r="A1422" s="3">
        <f ca="1">IFERROR(__xludf.UNSUPPORTED("""COMPUTED_VALUE"""),45527.6666666666)</f>
        <v>45527.666666666599</v>
      </c>
      <c r="B1422" s="1">
        <f ca="1">IFERROR(__xludf.UNSUPPORTED("""COMPUTED_VALUE"""),416.79)</f>
        <v>416.79</v>
      </c>
      <c r="C1422" s="2">
        <f t="shared" ca="1" si="5"/>
        <v>2.9839971122608811E-3</v>
      </c>
    </row>
    <row r="1423" spans="1:3">
      <c r="A1423" s="3">
        <f ca="1">IFERROR(__xludf.UNSUPPORTED("""COMPUTED_VALUE"""),45530.6666666666)</f>
        <v>45530.666666666599</v>
      </c>
      <c r="B1423" s="1">
        <f ca="1">IFERROR(__xludf.UNSUPPORTED("""COMPUTED_VALUE"""),413.49)</f>
        <v>413.49</v>
      </c>
      <c r="C1423" s="2">
        <f t="shared" ca="1" si="5"/>
        <v>-7.9176563737134078E-3</v>
      </c>
    </row>
    <row r="1424" spans="1:3">
      <c r="A1424" s="3">
        <f ca="1">IFERROR(__xludf.UNSUPPORTED("""COMPUTED_VALUE"""),45531.6666666666)</f>
        <v>45531.666666666599</v>
      </c>
      <c r="B1424" s="1">
        <f ca="1">IFERROR(__xludf.UNSUPPORTED("""COMPUTED_VALUE"""),413.84)</f>
        <v>413.84</v>
      </c>
      <c r="C1424" s="2">
        <f t="shared" ca="1" si="5"/>
        <v>8.4645336041975832E-4</v>
      </c>
    </row>
    <row r="1425" spans="1:3">
      <c r="A1425" s="3">
        <f ca="1">IFERROR(__xludf.UNSUPPORTED("""COMPUTED_VALUE"""),45532.6666666666)</f>
        <v>45532.666666666599</v>
      </c>
      <c r="B1425" s="1">
        <f ca="1">IFERROR(__xludf.UNSUPPORTED("""COMPUTED_VALUE"""),410.6)</f>
        <v>410.6</v>
      </c>
      <c r="C1425" s="2">
        <f t="shared" ca="1" si="5"/>
        <v>-7.829112700560489E-3</v>
      </c>
    </row>
    <row r="1426" spans="1:3">
      <c r="A1426" s="3">
        <f ca="1">IFERROR(__xludf.UNSUPPORTED("""COMPUTED_VALUE"""),45533.6666666666)</f>
        <v>45533.666666666599</v>
      </c>
      <c r="B1426" s="1">
        <f ca="1">IFERROR(__xludf.UNSUPPORTED("""COMPUTED_VALUE"""),413.12)</f>
        <v>413.12</v>
      </c>
      <c r="C1426" s="2">
        <f t="shared" ca="1" si="5"/>
        <v>6.1373599610325905E-3</v>
      </c>
    </row>
    <row r="1427" spans="1:3">
      <c r="A1427" s="3">
        <f ca="1">IFERROR(__xludf.UNSUPPORTED("""COMPUTED_VALUE"""),45534.6666666666)</f>
        <v>45534.666666666599</v>
      </c>
      <c r="B1427" s="1">
        <f ca="1">IFERROR(__xludf.UNSUPPORTED("""COMPUTED_VALUE"""),417.14)</f>
        <v>417.14</v>
      </c>
      <c r="C1427" s="2">
        <f t="shared" ca="1" si="5"/>
        <v>9.7308288148721476E-3</v>
      </c>
    </row>
    <row r="1428" spans="1:3">
      <c r="A1428" s="3">
        <f ca="1">IFERROR(__xludf.UNSUPPORTED("""COMPUTED_VALUE"""),45538.6666666666)</f>
        <v>45538.666666666599</v>
      </c>
      <c r="B1428" s="1">
        <f ca="1">IFERROR(__xludf.UNSUPPORTED("""COMPUTED_VALUE"""),409.44)</f>
        <v>409.44</v>
      </c>
      <c r="C1428" s="2">
        <f t="shared" ca="1" si="5"/>
        <v>-1.8459030541305051E-2</v>
      </c>
    </row>
    <row r="1429" spans="1:3">
      <c r="A1429" s="3">
        <f ca="1">IFERROR(__xludf.UNSUPPORTED("""COMPUTED_VALUE"""),45539.6666666666)</f>
        <v>45539.666666666599</v>
      </c>
      <c r="B1429" s="1">
        <f ca="1">IFERROR(__xludf.UNSUPPORTED("""COMPUTED_VALUE"""),408.9)</f>
        <v>408.9</v>
      </c>
      <c r="C1429" s="2">
        <f t="shared" ca="1" si="5"/>
        <v>-1.3188745603751966E-3</v>
      </c>
    </row>
    <row r="1430" spans="1:3">
      <c r="A1430" s="3">
        <f ca="1">IFERROR(__xludf.UNSUPPORTED("""COMPUTED_VALUE"""),45540.6666666666)</f>
        <v>45540.666666666599</v>
      </c>
      <c r="B1430" s="1">
        <f ca="1">IFERROR(__xludf.UNSUPPORTED("""COMPUTED_VALUE"""),408.39)</f>
        <v>408.39</v>
      </c>
      <c r="C1430" s="2">
        <f t="shared" ca="1" si="5"/>
        <v>-1.247248716067476E-3</v>
      </c>
    </row>
    <row r="1431" spans="1:3">
      <c r="A1431" s="3">
        <f ca="1">IFERROR(__xludf.UNSUPPORTED("""COMPUTED_VALUE"""),45541.6666666666)</f>
        <v>45541.666666666599</v>
      </c>
      <c r="B1431" s="1">
        <f ca="1">IFERROR(__xludf.UNSUPPORTED("""COMPUTED_VALUE"""),401.7)</f>
        <v>401.7</v>
      </c>
      <c r="C1431" s="2">
        <f t="shared" ca="1" si="5"/>
        <v>-1.6381400132226543E-2</v>
      </c>
    </row>
    <row r="1432" spans="1:3">
      <c r="A1432" s="3">
        <f ca="1">IFERROR(__xludf.UNSUPPORTED("""COMPUTED_VALUE"""),45544.6666666666)</f>
        <v>45544.666666666599</v>
      </c>
      <c r="B1432" s="1">
        <f ca="1">IFERROR(__xludf.UNSUPPORTED("""COMPUTED_VALUE"""),405.72)</f>
        <v>405.72</v>
      </c>
      <c r="C1432" s="2">
        <f t="shared" ca="1" si="5"/>
        <v>1.0007468259895541E-2</v>
      </c>
    </row>
    <row r="1433" spans="1:3">
      <c r="A1433" s="3">
        <f ca="1">IFERROR(__xludf.UNSUPPORTED("""COMPUTED_VALUE"""),45545.6666666666)</f>
        <v>45545.666666666599</v>
      </c>
      <c r="B1433" s="1">
        <f ca="1">IFERROR(__xludf.UNSUPPORTED("""COMPUTED_VALUE"""),414.2)</f>
        <v>414.2</v>
      </c>
      <c r="C1433" s="2">
        <f t="shared" ca="1" si="5"/>
        <v>2.0901114068815837E-2</v>
      </c>
    </row>
    <row r="1434" spans="1:3">
      <c r="A1434" s="3">
        <f ca="1">IFERROR(__xludf.UNSUPPORTED("""COMPUTED_VALUE"""),45546.6666666666)</f>
        <v>45546.666666666599</v>
      </c>
      <c r="B1434" s="1">
        <f ca="1">IFERROR(__xludf.UNSUPPORTED("""COMPUTED_VALUE"""),423.04)</f>
        <v>423.04</v>
      </c>
      <c r="C1434" s="2">
        <f t="shared" ca="1" si="5"/>
        <v>2.13423466924192E-2</v>
      </c>
    </row>
    <row r="1435" spans="1:3">
      <c r="A1435" s="3">
        <f ca="1">IFERROR(__xludf.UNSUPPORTED("""COMPUTED_VALUE"""),45547.6666666666)</f>
        <v>45547.666666666599</v>
      </c>
      <c r="B1435" s="1">
        <f ca="1">IFERROR(__xludf.UNSUPPORTED("""COMPUTED_VALUE"""),427)</f>
        <v>427</v>
      </c>
      <c r="C1435" s="2">
        <f t="shared" ca="1" si="5"/>
        <v>9.3608169440241567E-3</v>
      </c>
    </row>
    <row r="1436" spans="1:3">
      <c r="A1436" s="3">
        <f ca="1">IFERROR(__xludf.UNSUPPORTED("""COMPUTED_VALUE"""),45548.6666666666)</f>
        <v>45548.666666666599</v>
      </c>
      <c r="B1436" s="1">
        <f ca="1">IFERROR(__xludf.UNSUPPORTED("""COMPUTED_VALUE"""),430.59)</f>
        <v>430.59</v>
      </c>
      <c r="C1436" s="2">
        <f t="shared" ca="1" si="5"/>
        <v>8.4074941451990053E-3</v>
      </c>
    </row>
    <row r="1437" spans="1:3">
      <c r="A1437" s="3">
        <f ca="1">IFERROR(__xludf.UNSUPPORTED("""COMPUTED_VALUE"""),45551.6666666666)</f>
        <v>45551.666666666599</v>
      </c>
      <c r="B1437" s="1">
        <f ca="1">IFERROR(__xludf.UNSUPPORTED("""COMPUTED_VALUE"""),431.34)</f>
        <v>431.34</v>
      </c>
      <c r="C1437" s="2">
        <f t="shared" ca="1" si="5"/>
        <v>1.7417961401797535E-3</v>
      </c>
    </row>
    <row r="1438" spans="1:3">
      <c r="A1438" s="3">
        <f ca="1">IFERROR(__xludf.UNSUPPORTED("""COMPUTED_VALUE"""),45552.6666666666)</f>
        <v>45552.666666666599</v>
      </c>
      <c r="B1438" s="1">
        <f ca="1">IFERROR(__xludf.UNSUPPORTED("""COMPUTED_VALUE"""),435.15)</f>
        <v>435.15</v>
      </c>
      <c r="C1438" s="2">
        <f t="shared" ca="1" si="5"/>
        <v>8.8329392126860543E-3</v>
      </c>
    </row>
    <row r="1439" spans="1:3">
      <c r="A1439" s="3">
        <f ca="1">IFERROR(__xludf.UNSUPPORTED("""COMPUTED_VALUE"""),45553.6666666666)</f>
        <v>45553.666666666599</v>
      </c>
      <c r="B1439" s="1">
        <f ca="1">IFERROR(__xludf.UNSUPPORTED("""COMPUTED_VALUE"""),430.81)</f>
        <v>430.81</v>
      </c>
      <c r="C1439" s="2">
        <f t="shared" ca="1" si="5"/>
        <v>-9.973572331379927E-3</v>
      </c>
    </row>
    <row r="1440" spans="1:3">
      <c r="A1440" s="3">
        <f ca="1">IFERROR(__xludf.UNSUPPORTED("""COMPUTED_VALUE"""),45554.6666666666)</f>
        <v>45554.666666666599</v>
      </c>
      <c r="B1440" s="1">
        <f ca="1">IFERROR(__xludf.UNSUPPORTED("""COMPUTED_VALUE"""),438.69)</f>
        <v>438.69</v>
      </c>
      <c r="C1440" s="2">
        <f t="shared" ca="1" si="5"/>
        <v>1.8291126018430387E-2</v>
      </c>
    </row>
    <row r="1441" spans="1:3">
      <c r="A1441" s="3">
        <f ca="1">IFERROR(__xludf.UNSUPPORTED("""COMPUTED_VALUE"""),45555.6666666666)</f>
        <v>45555.666666666599</v>
      </c>
      <c r="B1441" s="1">
        <f ca="1">IFERROR(__xludf.UNSUPPORTED("""COMPUTED_VALUE"""),435.27)</f>
        <v>435.27</v>
      </c>
      <c r="C1441" s="2">
        <f t="shared" ca="1" si="5"/>
        <v>-7.7959379060384693E-3</v>
      </c>
    </row>
    <row r="1442" spans="1:3">
      <c r="A1442" s="3">
        <f ca="1">IFERROR(__xludf.UNSUPPORTED("""COMPUTED_VALUE"""),45558.6666666666)</f>
        <v>45558.666666666599</v>
      </c>
      <c r="B1442" s="1">
        <f ca="1">IFERROR(__xludf.UNSUPPORTED("""COMPUTED_VALUE"""),433.51)</f>
        <v>433.51</v>
      </c>
      <c r="C1442" s="2">
        <f t="shared" ca="1" si="5"/>
        <v>-4.0434672731867365E-3</v>
      </c>
    </row>
    <row r="1443" spans="1:3">
      <c r="A1443" s="3">
        <f ca="1">IFERROR(__xludf.UNSUPPORTED("""COMPUTED_VALUE"""),45559.6666666666)</f>
        <v>45559.666666666599</v>
      </c>
      <c r="B1443" s="1">
        <f ca="1">IFERROR(__xludf.UNSUPPORTED("""COMPUTED_VALUE"""),429.17)</f>
        <v>429.17</v>
      </c>
      <c r="C1443" s="2">
        <f t="shared" ca="1" si="5"/>
        <v>-1.0011303084127184E-2</v>
      </c>
    </row>
    <row r="1444" spans="1:3">
      <c r="A1444" s="3">
        <f ca="1">IFERROR(__xludf.UNSUPPORTED("""COMPUTED_VALUE"""),45560.6666666666)</f>
        <v>45560.666666666599</v>
      </c>
      <c r="B1444" s="1">
        <f ca="1">IFERROR(__xludf.UNSUPPORTED("""COMPUTED_VALUE"""),432.11)</f>
        <v>432.11</v>
      </c>
      <c r="C1444" s="2">
        <f t="shared" ca="1" si="5"/>
        <v>6.85043222965258E-3</v>
      </c>
    </row>
    <row r="1445" spans="1:3">
      <c r="A1445" s="3">
        <f ca="1">IFERROR(__xludf.UNSUPPORTED("""COMPUTED_VALUE"""),45561.6666666666)</f>
        <v>45561.666666666599</v>
      </c>
      <c r="B1445" s="1">
        <f ca="1">IFERROR(__xludf.UNSUPPORTED("""COMPUTED_VALUE"""),431.31)</f>
        <v>431.31</v>
      </c>
      <c r="C1445" s="2">
        <f t="shared" ca="1" si="5"/>
        <v>-1.8513804355372737E-3</v>
      </c>
    </row>
    <row r="1446" spans="1:3">
      <c r="A1446" s="3">
        <f ca="1">IFERROR(__xludf.UNSUPPORTED("""COMPUTED_VALUE"""),45562.6666666666)</f>
        <v>45562.666666666599</v>
      </c>
      <c r="B1446" s="1">
        <f ca="1">IFERROR(__xludf.UNSUPPORTED("""COMPUTED_VALUE"""),428.02)</f>
        <v>428.02</v>
      </c>
      <c r="C1446" s="2">
        <f t="shared" ca="1" si="5"/>
        <v>-7.6279242308316996E-3</v>
      </c>
    </row>
    <row r="1447" spans="1:3">
      <c r="A1447" s="3">
        <f ca="1">IFERROR(__xludf.UNSUPPORTED("""COMPUTED_VALUE"""),45565.6666666666)</f>
        <v>45565.666666666599</v>
      </c>
      <c r="B1447" s="1">
        <f ca="1">IFERROR(__xludf.UNSUPPORTED("""COMPUTED_VALUE"""),430.3)</f>
        <v>430.3</v>
      </c>
      <c r="C1447" s="2">
        <f t="shared" ca="1" si="5"/>
        <v>5.3268538853325307E-3</v>
      </c>
    </row>
    <row r="1448" spans="1:3">
      <c r="A1448" s="3">
        <f ca="1">IFERROR(__xludf.UNSUPPORTED("""COMPUTED_VALUE"""),45566.6666666666)</f>
        <v>45566.666666666599</v>
      </c>
      <c r="B1448" s="1">
        <f ca="1">IFERROR(__xludf.UNSUPPORTED("""COMPUTED_VALUE"""),420.69)</f>
        <v>420.69</v>
      </c>
      <c r="C1448" s="2">
        <f t="shared" ca="1" si="5"/>
        <v>-2.2333255867999103E-2</v>
      </c>
    </row>
    <row r="1449" spans="1:3">
      <c r="A1449" s="3">
        <f ca="1">IFERROR(__xludf.UNSUPPORTED("""COMPUTED_VALUE"""),45567.6666666666)</f>
        <v>45567.666666666599</v>
      </c>
      <c r="B1449" s="1">
        <f ca="1">IFERROR(__xludf.UNSUPPORTED("""COMPUTED_VALUE"""),417.13)</f>
        <v>417.13</v>
      </c>
      <c r="C1449" s="2">
        <f t="shared" ca="1" si="5"/>
        <v>-8.462288145665459E-3</v>
      </c>
    </row>
    <row r="1450" spans="1:3">
      <c r="A1450" s="3">
        <f ca="1">IFERROR(__xludf.UNSUPPORTED("""COMPUTED_VALUE"""),45568.6666666666)</f>
        <v>45568.666666666599</v>
      </c>
      <c r="B1450" s="1">
        <f ca="1">IFERROR(__xludf.UNSUPPORTED("""COMPUTED_VALUE"""),416.54)</f>
        <v>416.54</v>
      </c>
      <c r="C1450" s="2">
        <f t="shared" ca="1" si="5"/>
        <v>-1.4144271570013544E-3</v>
      </c>
    </row>
    <row r="1451" spans="1:3">
      <c r="A1451" s="3">
        <f ca="1">IFERROR(__xludf.UNSUPPORTED("""COMPUTED_VALUE"""),45569.6666666666)</f>
        <v>45569.666666666599</v>
      </c>
      <c r="B1451" s="1">
        <f ca="1">IFERROR(__xludf.UNSUPPORTED("""COMPUTED_VALUE"""),416.06)</f>
        <v>416.06</v>
      </c>
      <c r="C1451" s="2">
        <f t="shared" ca="1" si="5"/>
        <v>-1.1523503144956503E-3</v>
      </c>
    </row>
    <row r="1452" spans="1:3">
      <c r="A1452" s="3">
        <f ca="1">IFERROR(__xludf.UNSUPPORTED("""COMPUTED_VALUE"""),45572.6666666666)</f>
        <v>45572.666666666599</v>
      </c>
      <c r="B1452" s="1">
        <f ca="1">IFERROR(__xludf.UNSUPPORTED("""COMPUTED_VALUE"""),409.54)</f>
        <v>409.54</v>
      </c>
      <c r="C1452" s="2">
        <f t="shared" ca="1" si="5"/>
        <v>-1.5670816709128448E-2</v>
      </c>
    </row>
    <row r="1453" spans="1:3">
      <c r="A1453" s="3">
        <f ca="1">IFERROR(__xludf.UNSUPPORTED("""COMPUTED_VALUE"""),45573.6666666666)</f>
        <v>45573.666666666599</v>
      </c>
      <c r="B1453" s="1">
        <f ca="1">IFERROR(__xludf.UNSUPPORTED("""COMPUTED_VALUE"""),414.71)</f>
        <v>414.71</v>
      </c>
      <c r="C1453" s="2">
        <f t="shared" ca="1" si="5"/>
        <v>1.2623919519460758E-2</v>
      </c>
    </row>
    <row r="1454" spans="1:3">
      <c r="A1454" s="3">
        <f ca="1">IFERROR(__xludf.UNSUPPORTED("""COMPUTED_VALUE"""),45574.6666666666)</f>
        <v>45574.666666666599</v>
      </c>
      <c r="B1454" s="1">
        <f ca="1">IFERROR(__xludf.UNSUPPORTED("""COMPUTED_VALUE"""),417.46)</f>
        <v>417.46</v>
      </c>
      <c r="C1454" s="2">
        <f t="shared" ca="1" si="5"/>
        <v>6.6311398326541439E-3</v>
      </c>
    </row>
    <row r="1455" spans="1:3">
      <c r="A1455" s="3">
        <f ca="1">IFERROR(__xludf.UNSUPPORTED("""COMPUTED_VALUE"""),45575.6666666666)</f>
        <v>45575.666666666599</v>
      </c>
      <c r="B1455" s="1">
        <f ca="1">IFERROR(__xludf.UNSUPPORTED("""COMPUTED_VALUE"""),415.84)</f>
        <v>415.84</v>
      </c>
      <c r="C1455" s="2">
        <f t="shared" ca="1" si="5"/>
        <v>-3.8806113160542439E-3</v>
      </c>
    </row>
    <row r="1456" spans="1:3">
      <c r="A1456" s="3">
        <f ca="1">IFERROR(__xludf.UNSUPPORTED("""COMPUTED_VALUE"""),45576.6666666666)</f>
        <v>45576.666666666599</v>
      </c>
      <c r="B1456" s="1">
        <f ca="1">IFERROR(__xludf.UNSUPPORTED("""COMPUTED_VALUE"""),416.32)</f>
        <v>416.32</v>
      </c>
      <c r="C1456" s="2">
        <f t="shared" ca="1" si="5"/>
        <v>1.1542901115814213E-3</v>
      </c>
    </row>
    <row r="1457" spans="1:3">
      <c r="A1457" s="3">
        <f ca="1">IFERROR(__xludf.UNSUPPORTED("""COMPUTED_VALUE"""),45579.6666666666)</f>
        <v>45579.666666666599</v>
      </c>
      <c r="B1457" s="1">
        <f ca="1">IFERROR(__xludf.UNSUPPORTED("""COMPUTED_VALUE"""),419.14)</f>
        <v>419.14</v>
      </c>
      <c r="C1457" s="2">
        <f t="shared" ca="1" si="5"/>
        <v>6.7736356648731583E-3</v>
      </c>
    </row>
    <row r="1458" spans="1:3">
      <c r="A1458" s="3">
        <f ca="1">IFERROR(__xludf.UNSUPPORTED("""COMPUTED_VALUE"""),45580.6666666666)</f>
        <v>45580.666666666599</v>
      </c>
      <c r="B1458" s="1">
        <f ca="1">IFERROR(__xludf.UNSUPPORTED("""COMPUTED_VALUE"""),419.14)</f>
        <v>419.14</v>
      </c>
      <c r="C1458" s="2">
        <f t="shared" ca="1" si="5"/>
        <v>0</v>
      </c>
    </row>
    <row r="1459" spans="1:3">
      <c r="A1459" s="3">
        <f ca="1">IFERROR(__xludf.UNSUPPORTED("""COMPUTED_VALUE"""),45581.6666666666)</f>
        <v>45581.666666666599</v>
      </c>
      <c r="B1459" s="1">
        <f ca="1">IFERROR(__xludf.UNSUPPORTED("""COMPUTED_VALUE"""),416.12)</f>
        <v>416.12</v>
      </c>
      <c r="C1459" s="2">
        <f t="shared" ca="1" si="5"/>
        <v>-7.2052297561673471E-3</v>
      </c>
    </row>
    <row r="1460" spans="1:3">
      <c r="A1460" s="3">
        <f ca="1">IFERROR(__xludf.UNSUPPORTED("""COMPUTED_VALUE"""),45582.6666666666)</f>
        <v>45582.666666666599</v>
      </c>
      <c r="B1460" s="1">
        <f ca="1">IFERROR(__xludf.UNSUPPORTED("""COMPUTED_VALUE"""),416.72)</f>
        <v>416.72</v>
      </c>
      <c r="C1460" s="2">
        <f t="shared" ca="1" si="5"/>
        <v>1.4418917619917879E-3</v>
      </c>
    </row>
    <row r="1461" spans="1:3">
      <c r="A1461" s="3">
        <f ca="1">IFERROR(__xludf.UNSUPPORTED("""COMPUTED_VALUE"""),45583.6666666666)</f>
        <v>45583.666666666599</v>
      </c>
      <c r="B1461" s="1">
        <f ca="1">IFERROR(__xludf.UNSUPPORTED("""COMPUTED_VALUE"""),418.16)</f>
        <v>418.16</v>
      </c>
      <c r="C1461" s="2">
        <f t="shared" ca="1" si="5"/>
        <v>3.4555576886158516E-3</v>
      </c>
    </row>
    <row r="1462" spans="1:3">
      <c r="A1462" s="3">
        <f ca="1">IFERROR(__xludf.UNSUPPORTED("""COMPUTED_VALUE"""),45586.6666666666)</f>
        <v>45586.666666666599</v>
      </c>
      <c r="B1462" s="1">
        <f ca="1">IFERROR(__xludf.UNSUPPORTED("""COMPUTED_VALUE"""),418.78)</f>
        <v>418.78</v>
      </c>
      <c r="C1462" s="2">
        <f t="shared" ca="1" si="5"/>
        <v>1.4826860531852585E-3</v>
      </c>
    </row>
    <row r="1463" spans="1:3">
      <c r="A1463" s="3">
        <f ca="1">IFERROR(__xludf.UNSUPPORTED("""COMPUTED_VALUE"""),45587.6666666666)</f>
        <v>45587.666666666599</v>
      </c>
      <c r="B1463" s="1">
        <f ca="1">IFERROR(__xludf.UNSUPPORTED("""COMPUTED_VALUE"""),427.51)</f>
        <v>427.51</v>
      </c>
      <c r="C1463" s="2">
        <f t="shared" ca="1" si="5"/>
        <v>2.0846267730073115E-2</v>
      </c>
    </row>
    <row r="1464" spans="1:3">
      <c r="A1464" s="3">
        <f ca="1">IFERROR(__xludf.UNSUPPORTED("""COMPUTED_VALUE"""),45588.6666666666)</f>
        <v>45588.666666666599</v>
      </c>
      <c r="B1464" s="1">
        <f ca="1">IFERROR(__xludf.UNSUPPORTED("""COMPUTED_VALUE"""),424.6)</f>
        <v>424.6</v>
      </c>
      <c r="C1464" s="2">
        <f t="shared" ca="1" si="5"/>
        <v>-6.8068583191035724E-3</v>
      </c>
    </row>
    <row r="1465" spans="1:3">
      <c r="A1465" s="3">
        <f ca="1">IFERROR(__xludf.UNSUPPORTED("""COMPUTED_VALUE"""),45589.6666666666)</f>
        <v>45589.666666666599</v>
      </c>
      <c r="B1465" s="1">
        <f ca="1">IFERROR(__xludf.UNSUPPORTED("""COMPUTED_VALUE"""),424.73)</f>
        <v>424.73</v>
      </c>
      <c r="C1465" s="2">
        <f t="shared" ca="1" si="5"/>
        <v>3.061705134243887E-4</v>
      </c>
    </row>
    <row r="1466" spans="1:3">
      <c r="A1466" s="3">
        <f ca="1">IFERROR(__xludf.UNSUPPORTED("""COMPUTED_VALUE"""),45590.6666666666)</f>
        <v>45590.666666666599</v>
      </c>
      <c r="B1466" s="1">
        <f ca="1">IFERROR(__xludf.UNSUPPORTED("""COMPUTED_VALUE"""),428.15)</f>
        <v>428.15</v>
      </c>
      <c r="C1466" s="2">
        <f t="shared" ca="1" si="5"/>
        <v>8.0521743225106749E-3</v>
      </c>
    </row>
    <row r="1467" spans="1:3">
      <c r="A1467" s="3">
        <f ca="1">IFERROR(__xludf.UNSUPPORTED("""COMPUTED_VALUE"""),45593.6666666666)</f>
        <v>45593.666666666599</v>
      </c>
      <c r="B1467" s="1">
        <f ca="1">IFERROR(__xludf.UNSUPPORTED("""COMPUTED_VALUE"""),426.59)</f>
        <v>426.59</v>
      </c>
      <c r="C1467" s="2">
        <f t="shared" ca="1" si="5"/>
        <v>-3.6435828564755396E-3</v>
      </c>
    </row>
    <row r="1468" spans="1:3">
      <c r="A1468" s="3">
        <f ca="1">IFERROR(__xludf.UNSUPPORTED("""COMPUTED_VALUE"""),45595.6666666666)</f>
        <v>45595.666666666599</v>
      </c>
      <c r="B1468" s="1">
        <f ca="1">IFERROR(__xludf.UNSUPPORTED("""COMPUTED_VALUE"""),432.53)</f>
        <v>432.53</v>
      </c>
      <c r="C1468" s="2">
        <f t="shared" ca="1" si="5"/>
        <v>1.3924377036498741E-2</v>
      </c>
    </row>
    <row r="1469" spans="1:3">
      <c r="A1469" s="3">
        <f ca="1">IFERROR(__xludf.UNSUPPORTED("""COMPUTED_VALUE"""),45596.6666666666)</f>
        <v>45596.666666666599</v>
      </c>
      <c r="B1469" s="1">
        <f ca="1">IFERROR(__xludf.UNSUPPORTED("""COMPUTED_VALUE"""),406.35)</f>
        <v>406.35</v>
      </c>
      <c r="C1469" s="2">
        <f t="shared" ca="1" si="5"/>
        <v>-6.0527593461725086E-2</v>
      </c>
    </row>
    <row r="1470" spans="1:3">
      <c r="A1470" s="3">
        <f ca="1">IFERROR(__xludf.UNSUPPORTED("""COMPUTED_VALUE"""),45597.6666666666)</f>
        <v>45597.666666666599</v>
      </c>
      <c r="B1470" s="1">
        <f ca="1">IFERROR(__xludf.UNSUPPORTED("""COMPUTED_VALUE"""),410.37)</f>
        <v>410.37</v>
      </c>
      <c r="C1470" s="2">
        <f t="shared" ca="1" si="5"/>
        <v>9.8929494278331039E-3</v>
      </c>
    </row>
    <row r="1471" spans="1:3">
      <c r="A1471" s="3">
        <f ca="1">IFERROR(__xludf.UNSUPPORTED("""COMPUTED_VALUE"""),45600.6666666666)</f>
        <v>45600.666666666599</v>
      </c>
      <c r="B1471" s="1">
        <f ca="1">IFERROR(__xludf.UNSUPPORTED("""COMPUTED_VALUE"""),408.46)</f>
        <v>408.46</v>
      </c>
      <c r="C1471" s="2">
        <f t="shared" ca="1" si="5"/>
        <v>-4.6543363306285179E-3</v>
      </c>
    </row>
    <row r="1472" spans="1:3">
      <c r="A1472" s="3">
        <f ca="1">IFERROR(__xludf.UNSUPPORTED("""COMPUTED_VALUE"""),45601.6666666666)</f>
        <v>45601.666666666599</v>
      </c>
      <c r="B1472" s="1">
        <f ca="1">IFERROR(__xludf.UNSUPPORTED("""COMPUTED_VALUE"""),411.46)</f>
        <v>411.46</v>
      </c>
      <c r="C1472" s="2">
        <f t="shared" ca="1" si="5"/>
        <v>7.3446604318660336E-3</v>
      </c>
    </row>
    <row r="1473" spans="1:3">
      <c r="A1473" s="3">
        <f ca="1">IFERROR(__xludf.UNSUPPORTED("""COMPUTED_VALUE"""),45602.6666666666)</f>
        <v>45602.666666666599</v>
      </c>
      <c r="B1473" s="1">
        <f ca="1">IFERROR(__xludf.UNSUPPORTED("""COMPUTED_VALUE"""),420.18)</f>
        <v>420.18</v>
      </c>
      <c r="C1473" s="2">
        <f t="shared" ca="1" si="5"/>
        <v>2.119282554804848E-2</v>
      </c>
    </row>
    <row r="1474" spans="1:3">
      <c r="A1474" s="3">
        <f ca="1">IFERROR(__xludf.UNSUPPORTED("""COMPUTED_VALUE"""),45603.6666666666)</f>
        <v>45603.666666666599</v>
      </c>
      <c r="B1474" s="1">
        <f ca="1">IFERROR(__xludf.UNSUPPORTED("""COMPUTED_VALUE"""),425.43)</f>
        <v>425.43</v>
      </c>
      <c r="C1474" s="2">
        <f t="shared" ca="1" si="5"/>
        <v>1.2494645152077681E-2</v>
      </c>
    </row>
    <row r="1475" spans="1:3">
      <c r="A1475" s="3">
        <f ca="1">IFERROR(__xludf.UNSUPPORTED("""COMPUTED_VALUE"""),45604.6666666666)</f>
        <v>45604.666666666599</v>
      </c>
      <c r="B1475" s="1">
        <f ca="1">IFERROR(__xludf.UNSUPPORTED("""COMPUTED_VALUE"""),422.54)</f>
        <v>422.54</v>
      </c>
      <c r="C1475" s="2">
        <f t="shared" ca="1" si="5"/>
        <v>-6.7931269539054278E-3</v>
      </c>
    </row>
    <row r="1476" spans="1:3">
      <c r="A1476" s="3">
        <f ca="1">IFERROR(__xludf.UNSUPPORTED("""COMPUTED_VALUE"""),45607.6666666666)</f>
        <v>45607.666666666599</v>
      </c>
      <c r="B1476" s="1">
        <f ca="1">IFERROR(__xludf.UNSUPPORTED("""COMPUTED_VALUE"""),418.01)</f>
        <v>418.01</v>
      </c>
      <c r="C1476" s="2">
        <f t="shared" ca="1" si="5"/>
        <v>-1.072087849671044E-2</v>
      </c>
    </row>
    <row r="1477" spans="1:3">
      <c r="A1477" s="3">
        <f ca="1">IFERROR(__xludf.UNSUPPORTED("""COMPUTED_VALUE"""),45608.6666666666)</f>
        <v>45608.666666666599</v>
      </c>
      <c r="B1477" s="1">
        <f ca="1">IFERROR(__xludf.UNSUPPORTED("""COMPUTED_VALUE"""),423.03)</f>
        <v>423.03</v>
      </c>
      <c r="C1477" s="2">
        <f t="shared" ca="1" si="5"/>
        <v>1.2009282074591473E-2</v>
      </c>
    </row>
    <row r="1478" spans="1:3">
      <c r="A1478" s="3">
        <f ca="1">IFERROR(__xludf.UNSUPPORTED("""COMPUTED_VALUE"""),45609.6666666666)</f>
        <v>45609.666666666599</v>
      </c>
      <c r="B1478" s="1">
        <f ca="1">IFERROR(__xludf.UNSUPPORTED("""COMPUTED_VALUE"""),425.2)</f>
        <v>425.2</v>
      </c>
      <c r="C1478" s="2">
        <f t="shared" ca="1" si="5"/>
        <v>5.1296598349999199E-3</v>
      </c>
    </row>
    <row r="1479" spans="1:3">
      <c r="A1479" s="3">
        <f ca="1">IFERROR(__xludf.UNSUPPORTED("""COMPUTED_VALUE"""),45610.6666666666)</f>
        <v>45610.666666666599</v>
      </c>
      <c r="B1479" s="1">
        <f ca="1">IFERROR(__xludf.UNSUPPORTED("""COMPUTED_VALUE"""),426.89)</f>
        <v>426.89</v>
      </c>
      <c r="C1479" s="2">
        <f t="shared" ca="1" si="5"/>
        <v>3.9746001881467491E-3</v>
      </c>
    </row>
    <row r="1480" spans="1:3">
      <c r="A1480" s="3">
        <f ca="1">IFERROR(__xludf.UNSUPPORTED("""COMPUTED_VALUE"""),45611.6666666666)</f>
        <v>45611.666666666599</v>
      </c>
      <c r="B1480" s="1">
        <f ca="1">IFERROR(__xludf.UNSUPPORTED("""COMPUTED_VALUE"""),415)</f>
        <v>415</v>
      </c>
      <c r="C1480" s="2">
        <f t="shared" ca="1" si="5"/>
        <v>-2.7852608400290441E-2</v>
      </c>
    </row>
    <row r="1481" spans="1:3">
      <c r="A1481" s="3">
        <f ca="1">IFERROR(__xludf.UNSUPPORTED("""COMPUTED_VALUE"""),45614.6666666666)</f>
        <v>45614.666666666599</v>
      </c>
      <c r="B1481" s="1">
        <f ca="1">IFERROR(__xludf.UNSUPPORTED("""COMPUTED_VALUE"""),415.76)</f>
        <v>415.76</v>
      </c>
      <c r="C1481" s="2">
        <f t="shared" ca="1" si="5"/>
        <v>1.8313253012047974E-3</v>
      </c>
    </row>
    <row r="1482" spans="1:3">
      <c r="A1482" s="3">
        <f ca="1">IFERROR(__xludf.UNSUPPORTED("""COMPUTED_VALUE"""),45615.6666666666)</f>
        <v>45615.666666666599</v>
      </c>
      <c r="B1482" s="1">
        <f ca="1">IFERROR(__xludf.UNSUPPORTED("""COMPUTED_VALUE"""),417.79)</f>
        <v>417.79</v>
      </c>
      <c r="C1482" s="2">
        <f t="shared" ca="1" si="5"/>
        <v>4.8826245911103268E-3</v>
      </c>
    </row>
    <row r="1483" spans="1:3">
      <c r="A1483" s="3">
        <f ca="1">IFERROR(__xludf.UNSUPPORTED("""COMPUTED_VALUE"""),45616.6666666666)</f>
        <v>45616.666666666599</v>
      </c>
      <c r="B1483" s="1">
        <f ca="1">IFERROR(__xludf.UNSUPPORTED("""COMPUTED_VALUE"""),415.49)</f>
        <v>415.49</v>
      </c>
      <c r="C1483" s="2">
        <f t="shared" ca="1" si="5"/>
        <v>-5.5051580937791984E-3</v>
      </c>
    </row>
    <row r="1484" spans="1:3">
      <c r="A1484" s="3">
        <f ca="1">IFERROR(__xludf.UNSUPPORTED("""COMPUTED_VALUE"""),45617.6666666666)</f>
        <v>45617.666666666599</v>
      </c>
      <c r="B1484" s="1">
        <f ca="1">IFERROR(__xludf.UNSUPPORTED("""COMPUTED_VALUE"""),412.87)</f>
        <v>412.87</v>
      </c>
      <c r="C1484" s="2">
        <f t="shared" ca="1" si="5"/>
        <v>-6.3058076006642866E-3</v>
      </c>
    </row>
    <row r="1485" spans="1:3">
      <c r="A1485" s="3">
        <f ca="1">IFERROR(__xludf.UNSUPPORTED("""COMPUTED_VALUE"""),45618.6666666666)</f>
        <v>45618.666666666599</v>
      </c>
      <c r="B1485" s="1">
        <f ca="1">IFERROR(__xludf.UNSUPPORTED("""COMPUTED_VALUE"""),417)</f>
        <v>417</v>
      </c>
      <c r="C1485" s="2">
        <f t="shared" ca="1" si="5"/>
        <v>1.0003148690871207E-2</v>
      </c>
    </row>
    <row r="1486" spans="1:3">
      <c r="A1486" s="3">
        <f ca="1">IFERROR(__xludf.UNSUPPORTED("""COMPUTED_VALUE"""),45621.6666666666)</f>
        <v>45621.666666666599</v>
      </c>
      <c r="B1486" s="1">
        <f ca="1">IFERROR(__xludf.UNSUPPORTED("""COMPUTED_VALUE"""),418.79)</f>
        <v>418.79</v>
      </c>
      <c r="C1486" s="2">
        <f t="shared" ca="1" si="5"/>
        <v>4.292565947242255E-3</v>
      </c>
    </row>
    <row r="1487" spans="1:3">
      <c r="A1487" s="3">
        <f ca="1">IFERROR(__xludf.UNSUPPORTED("""COMPUTED_VALUE"""),45622.6666666666)</f>
        <v>45622.666666666599</v>
      </c>
      <c r="B1487" s="1">
        <f ca="1">IFERROR(__xludf.UNSUPPORTED("""COMPUTED_VALUE"""),427.99)</f>
        <v>427.99</v>
      </c>
      <c r="C1487" s="2">
        <f t="shared" ca="1" si="5"/>
        <v>2.1968050813056635E-2</v>
      </c>
    </row>
    <row r="1488" spans="1:3">
      <c r="A1488" s="3">
        <f ca="1">IFERROR(__xludf.UNSUPPORTED("""COMPUTED_VALUE"""),45623.6666666666)</f>
        <v>45623.666666666599</v>
      </c>
      <c r="B1488" s="1">
        <f ca="1">IFERROR(__xludf.UNSUPPORTED("""COMPUTED_VALUE"""),422.99)</f>
        <v>422.99</v>
      </c>
      <c r="C1488" s="2">
        <f t="shared" ca="1" si="5"/>
        <v>-1.1682515946634267E-2</v>
      </c>
    </row>
    <row r="1489" spans="1:3">
      <c r="A1489" s="3">
        <f ca="1">IFERROR(__xludf.UNSUPPORTED("""COMPUTED_VALUE"""),45625.5451388888)</f>
        <v>45625.545138888803</v>
      </c>
      <c r="B1489" s="1">
        <f ca="1">IFERROR(__xludf.UNSUPPORTED("""COMPUTED_VALUE"""),423.46)</f>
        <v>423.46</v>
      </c>
      <c r="C1489" s="2">
        <f t="shared" ca="1" si="5"/>
        <v>1.1111373791341886E-3</v>
      </c>
    </row>
    <row r="1490" spans="1:3">
      <c r="A1490" s="3">
        <f ca="1">IFERROR(__xludf.UNSUPPORTED("""COMPUTED_VALUE"""),45628.6666666666)</f>
        <v>45628.666666666599</v>
      </c>
      <c r="B1490" s="1">
        <f ca="1">IFERROR(__xludf.UNSUPPORTED("""COMPUTED_VALUE"""),430.98)</f>
        <v>430.98</v>
      </c>
      <c r="C1490" s="2">
        <f t="shared" ca="1" si="5"/>
        <v>1.7758465970811974E-2</v>
      </c>
    </row>
    <row r="1491" spans="1:3">
      <c r="A1491" s="3">
        <f ca="1">IFERROR(__xludf.UNSUPPORTED("""COMPUTED_VALUE"""),45629.6666666666)</f>
        <v>45629.666666666599</v>
      </c>
      <c r="B1491" s="1">
        <f ca="1">IFERROR(__xludf.UNSUPPORTED("""COMPUTED_VALUE"""),431.2)</f>
        <v>431.2</v>
      </c>
      <c r="C1491" s="2">
        <f t="shared" ca="1" si="5"/>
        <v>5.1046452271560265E-4</v>
      </c>
    </row>
    <row r="1492" spans="1:3">
      <c r="A1492" s="3">
        <f ca="1">IFERROR(__xludf.UNSUPPORTED("""COMPUTED_VALUE"""),45630.6666666666)</f>
        <v>45630.666666666599</v>
      </c>
      <c r="B1492" s="1">
        <f ca="1">IFERROR(__xludf.UNSUPPORTED("""COMPUTED_VALUE"""),437.42)</f>
        <v>437.42</v>
      </c>
      <c r="C1492" s="2">
        <f t="shared" ca="1" si="5"/>
        <v>1.4424860853432345E-2</v>
      </c>
    </row>
    <row r="1493" spans="1:3">
      <c r="A1493" s="3">
        <f ca="1">IFERROR(__xludf.UNSUPPORTED("""COMPUTED_VALUE"""),45631.6666666666)</f>
        <v>45631.666666666599</v>
      </c>
      <c r="B1493" s="1">
        <f ca="1">IFERROR(__xludf.UNSUPPORTED("""COMPUTED_VALUE"""),442.62)</f>
        <v>442.62</v>
      </c>
      <c r="C1493" s="2">
        <f t="shared" ca="1" si="5"/>
        <v>1.1887888070961521E-2</v>
      </c>
    </row>
    <row r="1494" spans="1:3">
      <c r="A1494" s="3">
        <f ca="1">IFERROR(__xludf.UNSUPPORTED("""COMPUTED_VALUE"""),45632.6666666666)</f>
        <v>45632.666666666599</v>
      </c>
      <c r="B1494" s="1">
        <f ca="1">IFERROR(__xludf.UNSUPPORTED("""COMPUTED_VALUE"""),443.57)</f>
        <v>443.57</v>
      </c>
      <c r="C1494" s="2">
        <f t="shared" ca="1" si="5"/>
        <v>2.1463106050336376E-3</v>
      </c>
    </row>
    <row r="1495" spans="1:3">
      <c r="A1495" s="3">
        <f ca="1">IFERROR(__xludf.UNSUPPORTED("""COMPUTED_VALUE"""),45635.6666666666)</f>
        <v>45635.666666666599</v>
      </c>
      <c r="B1495" s="1">
        <f ca="1">IFERROR(__xludf.UNSUPPORTED("""COMPUTED_VALUE"""),446.02)</f>
        <v>446.02</v>
      </c>
      <c r="C1495" s="2">
        <f t="shared" ca="1" si="5"/>
        <v>5.5233672250151918E-3</v>
      </c>
    </row>
    <row r="1496" spans="1:3">
      <c r="A1496" s="3">
        <f ca="1">IFERROR(__xludf.UNSUPPORTED("""COMPUTED_VALUE"""),45636.6666666666)</f>
        <v>45636.666666666599</v>
      </c>
      <c r="B1496" s="1">
        <f ca="1">IFERROR(__xludf.UNSUPPORTED("""COMPUTED_VALUE"""),443.33)</f>
        <v>443.33</v>
      </c>
      <c r="C1496" s="2">
        <f t="shared" ca="1" si="5"/>
        <v>-6.0311196807318005E-3</v>
      </c>
    </row>
    <row r="1497" spans="1:3">
      <c r="A1497" s="3">
        <f ca="1">IFERROR(__xludf.UNSUPPORTED("""COMPUTED_VALUE"""),45637.6666666666)</f>
        <v>45637.666666666599</v>
      </c>
      <c r="B1497" s="1">
        <f ca="1">IFERROR(__xludf.UNSUPPORTED("""COMPUTED_VALUE"""),448.99)</f>
        <v>448.99</v>
      </c>
      <c r="C1497" s="2">
        <f t="shared" ca="1" si="5"/>
        <v>1.2767013285814236E-2</v>
      </c>
    </row>
    <row r="1498" spans="1:3">
      <c r="A1498" s="3">
        <f ca="1">IFERROR(__xludf.UNSUPPORTED("""COMPUTED_VALUE"""),45638.6666666666)</f>
        <v>45638.666666666599</v>
      </c>
      <c r="B1498" s="1">
        <f ca="1">IFERROR(__xludf.UNSUPPORTED("""COMPUTED_VALUE"""),449.56)</f>
        <v>449.56</v>
      </c>
      <c r="C1498" s="2">
        <f t="shared" ca="1" si="5"/>
        <v>1.2695160248557722E-3</v>
      </c>
    </row>
    <row r="1499" spans="1:3">
      <c r="A1499" s="3">
        <f ca="1">IFERROR(__xludf.UNSUPPORTED("""COMPUTED_VALUE"""),45639.6666666666)</f>
        <v>45639.666666666599</v>
      </c>
      <c r="B1499" s="1">
        <f ca="1">IFERROR(__xludf.UNSUPPORTED("""COMPUTED_VALUE"""),447.27)</f>
        <v>447.27</v>
      </c>
      <c r="C1499" s="2">
        <f t="shared" ca="1" si="5"/>
        <v>-5.0938695613489196E-3</v>
      </c>
    </row>
    <row r="1500" spans="1:3">
      <c r="A1500" s="3">
        <f ca="1">IFERROR(__xludf.UNSUPPORTED("""COMPUTED_VALUE"""),45642.6666666666)</f>
        <v>45642.666666666599</v>
      </c>
      <c r="B1500" s="1">
        <f ca="1">IFERROR(__xludf.UNSUPPORTED("""COMPUTED_VALUE"""),451.59)</f>
        <v>451.59</v>
      </c>
      <c r="C1500" s="2">
        <f t="shared" ca="1" si="5"/>
        <v>9.6585954792407121E-3</v>
      </c>
    </row>
    <row r="1501" spans="1:3">
      <c r="A1501" s="3">
        <f ca="1">IFERROR(__xludf.UNSUPPORTED("""COMPUTED_VALUE"""),45643.6666666666)</f>
        <v>45643.666666666599</v>
      </c>
      <c r="B1501" s="1">
        <f ca="1">IFERROR(__xludf.UNSUPPORTED("""COMPUTED_VALUE"""),454.46)</f>
        <v>454.46</v>
      </c>
      <c r="C1501" s="2">
        <f t="shared" ca="1" si="5"/>
        <v>6.3553223056312244E-3</v>
      </c>
    </row>
    <row r="1502" spans="1:3">
      <c r="A1502" s="3">
        <f ca="1">IFERROR(__xludf.UNSUPPORTED("""COMPUTED_VALUE"""),45644.6666666666)</f>
        <v>45644.666666666599</v>
      </c>
      <c r="B1502" s="1">
        <f ca="1">IFERROR(__xludf.UNSUPPORTED("""COMPUTED_VALUE"""),437.39)</f>
        <v>437.39</v>
      </c>
      <c r="C1502" s="2">
        <f t="shared" ca="1" si="5"/>
        <v>-3.7561061479558143E-2</v>
      </c>
    </row>
    <row r="1503" spans="1:3">
      <c r="A1503" s="3">
        <f ca="1">IFERROR(__xludf.UNSUPPORTED("""COMPUTED_VALUE"""),45645.6666666666)</f>
        <v>45645.666666666599</v>
      </c>
      <c r="B1503" s="1">
        <f ca="1">IFERROR(__xludf.UNSUPPORTED("""COMPUTED_VALUE"""),437.03)</f>
        <v>437.03</v>
      </c>
      <c r="C1503" s="2">
        <f t="shared" ca="1" si="5"/>
        <v>-8.2306408468418033E-4</v>
      </c>
    </row>
    <row r="1504" spans="1:3">
      <c r="A1504" s="3">
        <f ca="1">IFERROR(__xludf.UNSUPPORTED("""COMPUTED_VALUE"""),45646.6666666666)</f>
        <v>45646.666666666599</v>
      </c>
      <c r="B1504" s="1">
        <f ca="1">IFERROR(__xludf.UNSUPPORTED("""COMPUTED_VALUE"""),436.6)</f>
        <v>436.6</v>
      </c>
      <c r="C1504" s="2">
        <f t="shared" ca="1" si="5"/>
        <v>-9.8391414777006161E-4</v>
      </c>
    </row>
    <row r="1505" spans="1:3">
      <c r="A1505" s="3">
        <f ca="1">IFERROR(__xludf.UNSUPPORTED("""COMPUTED_VALUE"""),45649.6666666666)</f>
        <v>45649.666666666599</v>
      </c>
      <c r="B1505" s="1">
        <f ca="1">IFERROR(__xludf.UNSUPPORTED("""COMPUTED_VALUE"""),435.25)</f>
        <v>435.25</v>
      </c>
      <c r="C1505" s="2">
        <f t="shared" ca="1" si="5"/>
        <v>-3.0920751259734831E-3</v>
      </c>
    </row>
    <row r="1506" spans="1:3">
      <c r="A1506" s="3">
        <f ca="1">IFERROR(__xludf.UNSUPPORTED("""COMPUTED_VALUE"""),45650.5451388888)</f>
        <v>45650.545138888803</v>
      </c>
      <c r="B1506" s="1">
        <f ca="1">IFERROR(__xludf.UNSUPPORTED("""COMPUTED_VALUE"""),439.33)</f>
        <v>439.33</v>
      </c>
      <c r="C1506" s="2">
        <f t="shared" ca="1" si="5"/>
        <v>9.3739230327397685E-3</v>
      </c>
    </row>
    <row r="1507" spans="1:3">
      <c r="A1507" s="3">
        <f ca="1">IFERROR(__xludf.UNSUPPORTED("""COMPUTED_VALUE"""),45652.6666666666)</f>
        <v>45652.666666666599</v>
      </c>
      <c r="B1507" s="1">
        <f ca="1">IFERROR(__xludf.UNSUPPORTED("""COMPUTED_VALUE"""),438.11)</f>
        <v>438.11</v>
      </c>
      <c r="C1507" s="2">
        <f t="shared" ca="1" si="5"/>
        <v>-2.7769558190880897E-3</v>
      </c>
    </row>
    <row r="1508" spans="1:3">
      <c r="A1508" s="3">
        <f ca="1">IFERROR(__xludf.UNSUPPORTED("""COMPUTED_VALUE"""),45653.6666666666)</f>
        <v>45653.666666666599</v>
      </c>
      <c r="B1508" s="1">
        <f ca="1">IFERROR(__xludf.UNSUPPORTED("""COMPUTED_VALUE"""),430.53)</f>
        <v>430.53</v>
      </c>
      <c r="C1508" s="2">
        <f t="shared" ca="1" si="5"/>
        <v>-1.730159092465372E-2</v>
      </c>
    </row>
    <row r="1509" spans="1:3">
      <c r="A1509" s="3">
        <f ca="1">IFERROR(__xludf.UNSUPPORTED("""COMPUTED_VALUE"""),45656.6666666666)</f>
        <v>45656.666666666599</v>
      </c>
      <c r="B1509" s="1">
        <f ca="1">IFERROR(__xludf.UNSUPPORTED("""COMPUTED_VALUE"""),424.83)</f>
        <v>424.83</v>
      </c>
      <c r="C1509" s="2">
        <f t="shared" ca="1" si="5"/>
        <v>-1.3239495505539657E-2</v>
      </c>
    </row>
    <row r="1510" spans="1:3">
      <c r="A1510" s="3">
        <f ca="1">IFERROR(__xludf.UNSUPPORTED("""COMPUTED_VALUE"""),45657.6666666666)</f>
        <v>45657.666666666599</v>
      </c>
      <c r="B1510" s="1">
        <f ca="1">IFERROR(__xludf.UNSUPPORTED("""COMPUTED_VALUE"""),421.5)</f>
        <v>421.5</v>
      </c>
      <c r="C1510" s="2">
        <f t="shared" ca="1" si="5"/>
        <v>-7.838429489442798E-3</v>
      </c>
    </row>
    <row r="1511" spans="1:3">
      <c r="A1511" s="3">
        <f ca="1">IFERROR(__xludf.UNSUPPORTED("""COMPUTED_VALUE"""),45659.6666666666)</f>
        <v>45659.666666666599</v>
      </c>
      <c r="B1511" s="1">
        <f ca="1">IFERROR(__xludf.UNSUPPORTED("""COMPUTED_VALUE"""),418.58)</f>
        <v>418.58</v>
      </c>
      <c r="C1511" s="2">
        <f t="shared" ca="1" si="5"/>
        <v>-6.9276393831554355E-3</v>
      </c>
    </row>
    <row r="1512" spans="1:3">
      <c r="A1512" s="3">
        <f ca="1">IFERROR(__xludf.UNSUPPORTED("""COMPUTED_VALUE"""),45660.6666666666)</f>
        <v>45660.666666666599</v>
      </c>
      <c r="B1512" s="1">
        <f ca="1">IFERROR(__xludf.UNSUPPORTED("""COMPUTED_VALUE"""),423.35)</f>
        <v>423.35</v>
      </c>
      <c r="C1512" s="2">
        <f t="shared" ca="1" si="5"/>
        <v>1.1395671078408044E-2</v>
      </c>
    </row>
    <row r="1513" spans="1:3">
      <c r="A1513" s="3">
        <f ca="1">IFERROR(__xludf.UNSUPPORTED("""COMPUTED_VALUE"""),45663.6666666666)</f>
        <v>45663.666666666599</v>
      </c>
      <c r="B1513" s="1">
        <f ca="1">IFERROR(__xludf.UNSUPPORTED("""COMPUTED_VALUE"""),427.85)</f>
        <v>427.85</v>
      </c>
      <c r="C1513" s="2">
        <f t="shared" ca="1" si="5"/>
        <v>1.0629502775481279E-2</v>
      </c>
    </row>
    <row r="1514" spans="1:3">
      <c r="A1514" s="3">
        <f ca="1">IFERROR(__xludf.UNSUPPORTED("""COMPUTED_VALUE"""),45664.6666666666)</f>
        <v>45664.666666666599</v>
      </c>
      <c r="B1514" s="1">
        <f ca="1">IFERROR(__xludf.UNSUPPORTED("""COMPUTED_VALUE"""),422.37)</f>
        <v>422.37</v>
      </c>
      <c r="C1514" s="2">
        <f t="shared" ca="1" si="5"/>
        <v>-1.2808227182423788E-2</v>
      </c>
    </row>
    <row r="1515" spans="1:3">
      <c r="A1515" s="3">
        <f ca="1">IFERROR(__xludf.UNSUPPORTED("""COMPUTED_VALUE"""),45665.6666666666)</f>
        <v>45665.666666666599</v>
      </c>
      <c r="B1515" s="1">
        <f ca="1">IFERROR(__xludf.UNSUPPORTED("""COMPUTED_VALUE"""),424.56)</f>
        <v>424.56</v>
      </c>
      <c r="C1515" s="2">
        <f t="shared" ca="1" si="5"/>
        <v>5.1850273456921598E-3</v>
      </c>
    </row>
    <row r="1516" spans="1:3">
      <c r="A1516" s="3">
        <f ca="1">IFERROR(__xludf.UNSUPPORTED("""COMPUTED_VALUE"""),45667.6666666666)</f>
        <v>45667.666666666599</v>
      </c>
      <c r="B1516" s="1">
        <f ca="1">IFERROR(__xludf.UNSUPPORTED("""COMPUTED_VALUE"""),418.95)</f>
        <v>418.95</v>
      </c>
      <c r="C1516" s="2">
        <f t="shared" ca="1" si="5"/>
        <v>-1.3213680045223322E-2</v>
      </c>
    </row>
    <row r="1517" spans="1:3">
      <c r="A1517" s="3">
        <f ca="1">IFERROR(__xludf.UNSUPPORTED("""COMPUTED_VALUE"""),45670.6666666666)</f>
        <v>45670.666666666599</v>
      </c>
      <c r="B1517" s="1">
        <f ca="1">IFERROR(__xludf.UNSUPPORTED("""COMPUTED_VALUE"""),417.19)</f>
        <v>417.19</v>
      </c>
      <c r="C1517" s="2">
        <f t="shared" ca="1" si="5"/>
        <v>-4.2009786370688414E-3</v>
      </c>
    </row>
    <row r="1518" spans="1:3">
      <c r="A1518" s="3">
        <f ca="1">IFERROR(__xludf.UNSUPPORTED("""COMPUTED_VALUE"""),45671.6666666666)</f>
        <v>45671.666666666599</v>
      </c>
      <c r="B1518" s="1">
        <f ca="1">IFERROR(__xludf.UNSUPPORTED("""COMPUTED_VALUE"""),415.67)</f>
        <v>415.67</v>
      </c>
      <c r="C1518" s="2">
        <f t="shared" ca="1" si="5"/>
        <v>-3.6434238596322584E-3</v>
      </c>
    </row>
    <row r="1519" spans="1:3">
      <c r="A1519" s="3">
        <f ca="1">IFERROR(__xludf.UNSUPPORTED("""COMPUTED_VALUE"""),45672.6666666666)</f>
        <v>45672.666666666599</v>
      </c>
      <c r="B1519" s="1">
        <f ca="1">IFERROR(__xludf.UNSUPPORTED("""COMPUTED_VALUE"""),426.31)</f>
        <v>426.31</v>
      </c>
      <c r="C1519" s="2">
        <f t="shared" ca="1" si="5"/>
        <v>2.559722857074118E-2</v>
      </c>
    </row>
    <row r="1520" spans="1:3">
      <c r="A1520" s="3">
        <f ca="1">IFERROR(__xludf.UNSUPPORTED("""COMPUTED_VALUE"""),45673.6666666666)</f>
        <v>45673.666666666599</v>
      </c>
      <c r="B1520" s="1">
        <f ca="1">IFERROR(__xludf.UNSUPPORTED("""COMPUTED_VALUE"""),424.58)</f>
        <v>424.58</v>
      </c>
      <c r="C1520" s="2">
        <f t="shared" ca="1" si="5"/>
        <v>-4.058079801083761E-3</v>
      </c>
    </row>
    <row r="1521" spans="1:3">
      <c r="A1521" s="3">
        <f ca="1">IFERROR(__xludf.UNSUPPORTED("""COMPUTED_VALUE"""),45674.6666666666)</f>
        <v>45674.666666666599</v>
      </c>
      <c r="B1521" s="1">
        <f ca="1">IFERROR(__xludf.UNSUPPORTED("""COMPUTED_VALUE"""),429.03)</f>
        <v>429.03</v>
      </c>
      <c r="C1521" s="2">
        <f t="shared" ca="1" si="5"/>
        <v>1.0480945875924417E-2</v>
      </c>
    </row>
    <row r="1522" spans="1:3">
      <c r="A1522" s="3">
        <f ca="1">IFERROR(__xludf.UNSUPPORTED("""COMPUTED_VALUE"""),45678.6666666666)</f>
        <v>45678.666666666599</v>
      </c>
      <c r="B1522" s="1">
        <f ca="1">IFERROR(__xludf.UNSUPPORTED("""COMPUTED_VALUE"""),428.5)</f>
        <v>428.5</v>
      </c>
      <c r="C1522" s="2">
        <f t="shared" ca="1" si="5"/>
        <v>-1.235344847679586E-3</v>
      </c>
    </row>
    <row r="1523" spans="1:3">
      <c r="A1523" s="3">
        <f ca="1">IFERROR(__xludf.UNSUPPORTED("""COMPUTED_VALUE"""),45679.6666666666)</f>
        <v>45679.666666666599</v>
      </c>
      <c r="B1523" s="1">
        <f ca="1">IFERROR(__xludf.UNSUPPORTED("""COMPUTED_VALUE"""),446.2)</f>
        <v>446.2</v>
      </c>
      <c r="C1523" s="2">
        <f t="shared" ca="1" si="5"/>
        <v>4.1306884480746764E-2</v>
      </c>
    </row>
    <row r="1524" spans="1:3">
      <c r="A1524" s="3">
        <f ca="1">IFERROR(__xludf.UNSUPPORTED("""COMPUTED_VALUE"""),45680.6666666666)</f>
        <v>45680.666666666599</v>
      </c>
      <c r="B1524" s="1">
        <f ca="1">IFERROR(__xludf.UNSUPPORTED("""COMPUTED_VALUE"""),446.71)</f>
        <v>446.71</v>
      </c>
      <c r="C1524" s="2">
        <f t="shared" ca="1" si="5"/>
        <v>1.1429852084266941E-3</v>
      </c>
    </row>
    <row r="1525" spans="1:3">
      <c r="A1525" s="3">
        <f ca="1">IFERROR(__xludf.UNSUPPORTED("""COMPUTED_VALUE"""),45681.6666666666)</f>
        <v>45681.666666666599</v>
      </c>
      <c r="B1525" s="1">
        <f ca="1">IFERROR(__xludf.UNSUPPORTED("""COMPUTED_VALUE"""),444.06)</f>
        <v>444.06</v>
      </c>
      <c r="C1525" s="2">
        <f t="shared" ca="1" si="5"/>
        <v>-5.9322603031048719E-3</v>
      </c>
    </row>
    <row r="1526" spans="1:3">
      <c r="A1526" s="3">
        <f ca="1">IFERROR(__xludf.UNSUPPORTED("""COMPUTED_VALUE"""),45684.6666666666)</f>
        <v>45684.666666666599</v>
      </c>
      <c r="B1526" s="1">
        <f ca="1">IFERROR(__xludf.UNSUPPORTED("""COMPUTED_VALUE"""),434.56)</f>
        <v>434.56</v>
      </c>
      <c r="C1526" s="2">
        <f t="shared" ca="1" si="5"/>
        <v>-2.1393505382155564E-2</v>
      </c>
    </row>
    <row r="1527" spans="1:3">
      <c r="A1527" s="3">
        <f ca="1">IFERROR(__xludf.UNSUPPORTED("""COMPUTED_VALUE"""),45685.6666666666)</f>
        <v>45685.666666666599</v>
      </c>
      <c r="B1527" s="1">
        <f ca="1">IFERROR(__xludf.UNSUPPORTED("""COMPUTED_VALUE"""),447.2)</f>
        <v>447.2</v>
      </c>
      <c r="C1527" s="2">
        <f t="shared" ca="1" si="5"/>
        <v>2.9086892488954314E-2</v>
      </c>
    </row>
    <row r="1528" spans="1:3">
      <c r="A1528" s="3">
        <f ca="1">IFERROR(__xludf.UNSUPPORTED("""COMPUTED_VALUE"""),45686.6666666666)</f>
        <v>45686.666666666599</v>
      </c>
      <c r="B1528" s="1">
        <f ca="1">IFERROR(__xludf.UNSUPPORTED("""COMPUTED_VALUE"""),442.33)</f>
        <v>442.33</v>
      </c>
      <c r="C1528" s="2">
        <f t="shared" ca="1" si="5"/>
        <v>-1.0889982110912353E-2</v>
      </c>
    </row>
    <row r="1529" spans="1:3">
      <c r="A1529" s="3">
        <f ca="1">IFERROR(__xludf.UNSUPPORTED("""COMPUTED_VALUE"""),45687.6666666666)</f>
        <v>45687.666666666599</v>
      </c>
      <c r="B1529" s="1">
        <f ca="1">IFERROR(__xludf.UNSUPPORTED("""COMPUTED_VALUE"""),414.99)</f>
        <v>414.99</v>
      </c>
      <c r="C1529" s="2">
        <f t="shared" ca="1" si="5"/>
        <v>-6.1809056586711222E-2</v>
      </c>
    </row>
    <row r="1530" spans="1:3">
      <c r="A1530" s="3">
        <f ca="1">IFERROR(__xludf.UNSUPPORTED("""COMPUTED_VALUE"""),45688.6666666666)</f>
        <v>45688.666666666599</v>
      </c>
      <c r="B1530" s="1">
        <f ca="1">IFERROR(__xludf.UNSUPPORTED("""COMPUTED_VALUE"""),415.06)</f>
        <v>415.06</v>
      </c>
      <c r="C1530" s="2">
        <f t="shared" ca="1" si="5"/>
        <v>1.6867876334367859E-4</v>
      </c>
    </row>
    <row r="1531" spans="1:3">
      <c r="A1531" s="3">
        <f ca="1">IFERROR(__xludf.UNSUPPORTED("""COMPUTED_VALUE"""),45691.6666666666)</f>
        <v>45691.666666666599</v>
      </c>
      <c r="B1531" s="1">
        <f ca="1">IFERROR(__xludf.UNSUPPORTED("""COMPUTED_VALUE"""),410.92)</f>
        <v>410.92</v>
      </c>
      <c r="C1531" s="2">
        <f t="shared" ca="1" si="5"/>
        <v>-9.9744615236351045E-3</v>
      </c>
    </row>
    <row r="1532" spans="1:3">
      <c r="A1532" s="3">
        <f ca="1">IFERROR(__xludf.UNSUPPORTED("""COMPUTED_VALUE"""),45692.6666666666)</f>
        <v>45692.666666666599</v>
      </c>
      <c r="B1532" s="1">
        <f ca="1">IFERROR(__xludf.UNSUPPORTED("""COMPUTED_VALUE"""),412.37)</f>
        <v>412.37</v>
      </c>
      <c r="C1532" s="2">
        <f t="shared" ca="1" si="5"/>
        <v>3.528667380511994E-3</v>
      </c>
    </row>
    <row r="1533" spans="1:3">
      <c r="A1533" s="3">
        <f ca="1">IFERROR(__xludf.UNSUPPORTED("""COMPUTED_VALUE"""),45693.6666666666)</f>
        <v>45693.666666666599</v>
      </c>
      <c r="B1533" s="1">
        <f ca="1">IFERROR(__xludf.UNSUPPORTED("""COMPUTED_VALUE"""),413.29)</f>
        <v>413.29</v>
      </c>
      <c r="C1533" s="2">
        <f t="shared" ref="C1533:C1773" ca="1" si="6">(B1533-B1532)/B1532</f>
        <v>2.2310061352669107E-3</v>
      </c>
    </row>
    <row r="1534" spans="1:3">
      <c r="A1534" s="3">
        <f ca="1">IFERROR(__xludf.UNSUPPORTED("""COMPUTED_VALUE"""),45694.6666666666)</f>
        <v>45694.666666666599</v>
      </c>
      <c r="B1534" s="1">
        <f ca="1">IFERROR(__xludf.UNSUPPORTED("""COMPUTED_VALUE"""),415.82)</f>
        <v>415.82</v>
      </c>
      <c r="C1534" s="2">
        <f t="shared" ca="1" si="6"/>
        <v>6.1216095235790188E-3</v>
      </c>
    </row>
    <row r="1535" spans="1:3">
      <c r="A1535" s="3">
        <f ca="1">IFERROR(__xludf.UNSUPPORTED("""COMPUTED_VALUE"""),45695.6666666666)</f>
        <v>45695.666666666599</v>
      </c>
      <c r="B1535" s="1">
        <f ca="1">IFERROR(__xludf.UNSUPPORTED("""COMPUTED_VALUE"""),409.75)</f>
        <v>409.75</v>
      </c>
      <c r="C1535" s="2">
        <f t="shared" ca="1" si="6"/>
        <v>-1.4597662450098584E-2</v>
      </c>
    </row>
    <row r="1536" spans="1:3">
      <c r="A1536" s="3">
        <f ca="1">IFERROR(__xludf.UNSUPPORTED("""COMPUTED_VALUE"""),45698.6666666666)</f>
        <v>45698.666666666599</v>
      </c>
      <c r="B1536" s="1">
        <f ca="1">IFERROR(__xludf.UNSUPPORTED("""COMPUTED_VALUE"""),412.22)</f>
        <v>412.22</v>
      </c>
      <c r="C1536" s="2">
        <f t="shared" ca="1" si="6"/>
        <v>6.0280658938377729E-3</v>
      </c>
    </row>
    <row r="1537" spans="1:3">
      <c r="A1537" s="3">
        <f ca="1">IFERROR(__xludf.UNSUPPORTED("""COMPUTED_VALUE"""),45699.6666666666)</f>
        <v>45699.666666666599</v>
      </c>
      <c r="B1537" s="1">
        <f ca="1">IFERROR(__xludf.UNSUPPORTED("""COMPUTED_VALUE"""),411.44)</f>
        <v>411.44</v>
      </c>
      <c r="C1537" s="2">
        <f t="shared" ca="1" si="6"/>
        <v>-1.8921934889137584E-3</v>
      </c>
    </row>
    <row r="1538" spans="1:3">
      <c r="A1538" s="3">
        <f ca="1">IFERROR(__xludf.UNSUPPORTED("""COMPUTED_VALUE"""),45700.6666666666)</f>
        <v>45700.666666666599</v>
      </c>
      <c r="B1538" s="1">
        <f ca="1">IFERROR(__xludf.UNSUPPORTED("""COMPUTED_VALUE"""),409.04)</f>
        <v>409.04</v>
      </c>
      <c r="C1538" s="2">
        <f t="shared" ca="1" si="6"/>
        <v>-5.8331713007971448E-3</v>
      </c>
    </row>
    <row r="1539" spans="1:3">
      <c r="A1539" s="3">
        <f ca="1">IFERROR(__xludf.UNSUPPORTED("""COMPUTED_VALUE"""),45701.6666666666)</f>
        <v>45701.666666666599</v>
      </c>
      <c r="B1539" s="1">
        <f ca="1">IFERROR(__xludf.UNSUPPORTED("""COMPUTED_VALUE"""),410.54)</f>
        <v>410.54</v>
      </c>
      <c r="C1539" s="2">
        <f t="shared" ca="1" si="6"/>
        <v>3.667123019753569E-3</v>
      </c>
    </row>
    <row r="1540" spans="1:3">
      <c r="A1540" s="3">
        <f ca="1">IFERROR(__xludf.UNSUPPORTED("""COMPUTED_VALUE"""),45702.6666666666)</f>
        <v>45702.666666666599</v>
      </c>
      <c r="B1540" s="1">
        <f ca="1">IFERROR(__xludf.UNSUPPORTED("""COMPUTED_VALUE"""),408.43)</f>
        <v>408.43</v>
      </c>
      <c r="C1540" s="2">
        <f t="shared" ca="1" si="6"/>
        <v>-5.1395722706679336E-3</v>
      </c>
    </row>
    <row r="1541" spans="1:3">
      <c r="A1541" s="3">
        <f ca="1">IFERROR(__xludf.UNSUPPORTED("""COMPUTED_VALUE"""),45706.6666666666)</f>
        <v>45706.666666666599</v>
      </c>
      <c r="B1541" s="1">
        <f ca="1">IFERROR(__xludf.UNSUPPORTED("""COMPUTED_VALUE"""),409.64)</f>
        <v>409.64</v>
      </c>
      <c r="C1541" s="2">
        <f t="shared" ca="1" si="6"/>
        <v>2.9625639644491821E-3</v>
      </c>
    </row>
    <row r="1542" spans="1:3">
      <c r="A1542" s="3">
        <f ca="1">IFERROR(__xludf.UNSUPPORTED("""COMPUTED_VALUE"""),45707.6666666666)</f>
        <v>45707.666666666599</v>
      </c>
      <c r="B1542" s="1">
        <f ca="1">IFERROR(__xludf.UNSUPPORTED("""COMPUTED_VALUE"""),414.77)</f>
        <v>414.77</v>
      </c>
      <c r="C1542" s="2">
        <f t="shared" ca="1" si="6"/>
        <v>1.2523191094619655E-2</v>
      </c>
    </row>
    <row r="1543" spans="1:3">
      <c r="A1543" s="3">
        <f ca="1">IFERROR(__xludf.UNSUPPORTED("""COMPUTED_VALUE"""),45708.6666666666)</f>
        <v>45708.666666666599</v>
      </c>
      <c r="B1543" s="1">
        <f ca="1">IFERROR(__xludf.UNSUPPORTED("""COMPUTED_VALUE"""),416.13)</f>
        <v>416.13</v>
      </c>
      <c r="C1543" s="2">
        <f t="shared" ca="1" si="6"/>
        <v>3.278925669648272E-3</v>
      </c>
    </row>
    <row r="1544" spans="1:3">
      <c r="A1544" s="3">
        <f ca="1">IFERROR(__xludf.UNSUPPORTED("""COMPUTED_VALUE"""),45709.6666666666)</f>
        <v>45709.666666666599</v>
      </c>
      <c r="B1544" s="1">
        <f ca="1">IFERROR(__xludf.UNSUPPORTED("""COMPUTED_VALUE"""),408.21)</f>
        <v>408.21</v>
      </c>
      <c r="C1544" s="2">
        <f t="shared" ca="1" si="6"/>
        <v>-1.9032513877874743E-2</v>
      </c>
    </row>
    <row r="1545" spans="1:3">
      <c r="A1545" s="3">
        <f ca="1">IFERROR(__xludf.UNSUPPORTED("""COMPUTED_VALUE"""),45712.6666666666)</f>
        <v>45712.666666666599</v>
      </c>
      <c r="B1545" s="1">
        <f ca="1">IFERROR(__xludf.UNSUPPORTED("""COMPUTED_VALUE"""),404)</f>
        <v>404</v>
      </c>
      <c r="C1545" s="2">
        <f t="shared" ca="1" si="6"/>
        <v>-1.0313319124960143E-2</v>
      </c>
    </row>
    <row r="1546" spans="1:3">
      <c r="A1546" s="3">
        <f ca="1">IFERROR(__xludf.UNSUPPORTED("""COMPUTED_VALUE"""),45713.6666666666)</f>
        <v>45713.666666666599</v>
      </c>
      <c r="B1546" s="1">
        <f ca="1">IFERROR(__xludf.UNSUPPORTED("""COMPUTED_VALUE"""),397.9)</f>
        <v>397.9</v>
      </c>
      <c r="C1546" s="2">
        <f t="shared" ca="1" si="6"/>
        <v>-1.5099009900990156E-2</v>
      </c>
    </row>
    <row r="1547" spans="1:3">
      <c r="A1547" s="3">
        <f ca="1">IFERROR(__xludf.UNSUPPORTED("""COMPUTED_VALUE"""),45714.6666666666)</f>
        <v>45714.666666666599</v>
      </c>
      <c r="B1547" s="1">
        <f ca="1">IFERROR(__xludf.UNSUPPORTED("""COMPUTED_VALUE"""),399.73)</f>
        <v>399.73</v>
      </c>
      <c r="C1547" s="2">
        <f t="shared" ca="1" si="6"/>
        <v>4.5991455139483316E-3</v>
      </c>
    </row>
    <row r="1548" spans="1:3">
      <c r="A1548" s="3">
        <f ca="1">IFERROR(__xludf.UNSUPPORTED("""COMPUTED_VALUE"""),45715.6666666666)</f>
        <v>45715.666666666599</v>
      </c>
      <c r="B1548" s="1">
        <f ca="1">IFERROR(__xludf.UNSUPPORTED("""COMPUTED_VALUE"""),392.53)</f>
        <v>392.53</v>
      </c>
      <c r="C1548" s="2">
        <f t="shared" ca="1" si="6"/>
        <v>-1.8012158206789697E-2</v>
      </c>
    </row>
    <row r="1549" spans="1:3">
      <c r="A1549" s="3">
        <f ca="1">IFERROR(__xludf.UNSUPPORTED("""COMPUTED_VALUE"""),45716.6666666666)</f>
        <v>45716.666666666599</v>
      </c>
      <c r="B1549" s="1">
        <f ca="1">IFERROR(__xludf.UNSUPPORTED("""COMPUTED_VALUE"""),396.99)</f>
        <v>396.99</v>
      </c>
      <c r="C1549" s="2">
        <f t="shared" ca="1" si="6"/>
        <v>1.1362188877283359E-2</v>
      </c>
    </row>
    <row r="1550" spans="1:3">
      <c r="A1550" s="3">
        <f ca="1">IFERROR(__xludf.UNSUPPORTED("""COMPUTED_VALUE"""),45719.6666666666)</f>
        <v>45719.666666666599</v>
      </c>
      <c r="B1550" s="1">
        <f ca="1">IFERROR(__xludf.UNSUPPORTED("""COMPUTED_VALUE"""),388.49)</f>
        <v>388.49</v>
      </c>
      <c r="C1550" s="2">
        <f t="shared" ca="1" si="6"/>
        <v>-2.1411118667976521E-2</v>
      </c>
    </row>
    <row r="1551" spans="1:3">
      <c r="A1551" s="3">
        <f ca="1">IFERROR(__xludf.UNSUPPORTED("""COMPUTED_VALUE"""),45720.6666666666)</f>
        <v>45720.666666666599</v>
      </c>
      <c r="B1551" s="1">
        <f ca="1">IFERROR(__xludf.UNSUPPORTED("""COMPUTED_VALUE"""),388.61)</f>
        <v>388.61</v>
      </c>
      <c r="C1551" s="2">
        <f t="shared" ca="1" si="6"/>
        <v>3.0888825967207535E-4</v>
      </c>
    </row>
    <row r="1552" spans="1:3">
      <c r="A1552" s="3">
        <f ca="1">IFERROR(__xludf.UNSUPPORTED("""COMPUTED_VALUE"""),45721.6666666666)</f>
        <v>45721.666666666599</v>
      </c>
      <c r="B1552" s="1">
        <f ca="1">IFERROR(__xludf.UNSUPPORTED("""COMPUTED_VALUE"""),401.02)</f>
        <v>401.02</v>
      </c>
      <c r="C1552" s="2">
        <f t="shared" ca="1" si="6"/>
        <v>3.1934330048120144E-2</v>
      </c>
    </row>
    <row r="1553" spans="1:3">
      <c r="A1553" s="3">
        <f ca="1">IFERROR(__xludf.UNSUPPORTED("""COMPUTED_VALUE"""),45722.6666666666)</f>
        <v>45722.666666666599</v>
      </c>
      <c r="B1553" s="1">
        <f ca="1">IFERROR(__xludf.UNSUPPORTED("""COMPUTED_VALUE"""),396.89)</f>
        <v>396.89</v>
      </c>
      <c r="C1553" s="2">
        <f t="shared" ca="1" si="6"/>
        <v>-1.0298738217545249E-2</v>
      </c>
    </row>
    <row r="1554" spans="1:3">
      <c r="A1554" s="3">
        <f ca="1">IFERROR(__xludf.UNSUPPORTED("""COMPUTED_VALUE"""),45723.6666666666)</f>
        <v>45723.666666666599</v>
      </c>
      <c r="B1554" s="1">
        <f ca="1">IFERROR(__xludf.UNSUPPORTED("""COMPUTED_VALUE"""),393.31)</f>
        <v>393.31</v>
      </c>
      <c r="C1554" s="2">
        <f t="shared" ca="1" si="6"/>
        <v>-9.0201315225880829E-3</v>
      </c>
    </row>
    <row r="1555" spans="1:3">
      <c r="A1555" s="3">
        <f ca="1">IFERROR(__xludf.UNSUPPORTED("""COMPUTED_VALUE"""),45726.6666666666)</f>
        <v>45726.666666666599</v>
      </c>
      <c r="B1555" s="1">
        <f ca="1">IFERROR(__xludf.UNSUPPORTED("""COMPUTED_VALUE"""),380.16)</f>
        <v>380.16</v>
      </c>
      <c r="C1555" s="2">
        <f t="shared" ca="1" si="6"/>
        <v>-3.3434186773791605E-2</v>
      </c>
    </row>
    <row r="1556" spans="1:3">
      <c r="A1556" s="3">
        <f ca="1">IFERROR(__xludf.UNSUPPORTED("""COMPUTED_VALUE"""),45727.6666666666)</f>
        <v>45727.666666666599</v>
      </c>
      <c r="B1556" s="1">
        <f ca="1">IFERROR(__xludf.UNSUPPORTED("""COMPUTED_VALUE"""),380.45)</f>
        <v>380.45</v>
      </c>
      <c r="C1556" s="2">
        <f t="shared" ca="1" si="6"/>
        <v>7.628367003366046E-4</v>
      </c>
    </row>
    <row r="1557" spans="1:3">
      <c r="A1557" s="3">
        <f ca="1">IFERROR(__xludf.UNSUPPORTED("""COMPUTED_VALUE"""),45728.6666666666)</f>
        <v>45728.666666666599</v>
      </c>
      <c r="B1557" s="1">
        <f ca="1">IFERROR(__xludf.UNSUPPORTED("""COMPUTED_VALUE"""),383.27)</f>
        <v>383.27</v>
      </c>
      <c r="C1557" s="2">
        <f t="shared" ca="1" si="6"/>
        <v>7.4122749375739082E-3</v>
      </c>
    </row>
    <row r="1558" spans="1:3">
      <c r="A1558" s="3">
        <f ca="1">IFERROR(__xludf.UNSUPPORTED("""COMPUTED_VALUE"""),45729.6666666666)</f>
        <v>45729.666666666599</v>
      </c>
      <c r="B1558" s="1">
        <f ca="1">IFERROR(__xludf.UNSUPPORTED("""COMPUTED_VALUE"""),378.77)</f>
        <v>378.77</v>
      </c>
      <c r="C1558" s="2">
        <f t="shared" ca="1" si="6"/>
        <v>-1.1741070263782712E-2</v>
      </c>
    </row>
    <row r="1559" spans="1:3">
      <c r="A1559" s="3">
        <f ca="1">IFERROR(__xludf.UNSUPPORTED("""COMPUTED_VALUE"""),45730.6666666666)</f>
        <v>45730.666666666599</v>
      </c>
      <c r="B1559" s="1">
        <f ca="1">IFERROR(__xludf.UNSUPPORTED("""COMPUTED_VALUE"""),388.56)</f>
        <v>388.56</v>
      </c>
      <c r="C1559" s="2">
        <f t="shared" ca="1" si="6"/>
        <v>2.5846819969902634E-2</v>
      </c>
    </row>
    <row r="1560" spans="1:3">
      <c r="A1560" s="3">
        <f ca="1">IFERROR(__xludf.UNSUPPORTED("""COMPUTED_VALUE"""),45733.6666666666)</f>
        <v>45733.666666666599</v>
      </c>
      <c r="B1560" s="1">
        <f ca="1">IFERROR(__xludf.UNSUPPORTED("""COMPUTED_VALUE"""),388.7)</f>
        <v>388.7</v>
      </c>
      <c r="C1560" s="2">
        <f t="shared" ca="1" si="6"/>
        <v>3.6030471484451912E-4</v>
      </c>
    </row>
    <row r="1561" spans="1:3">
      <c r="A1561" s="3">
        <f ca="1">IFERROR(__xludf.UNSUPPORTED("""COMPUTED_VALUE"""),45734.6666666666)</f>
        <v>45734.666666666599</v>
      </c>
      <c r="B1561" s="1">
        <f ca="1">IFERROR(__xludf.UNSUPPORTED("""COMPUTED_VALUE"""),383.52)</f>
        <v>383.52</v>
      </c>
      <c r="C1561" s="2">
        <f t="shared" ca="1" si="6"/>
        <v>-1.3326472858245451E-2</v>
      </c>
    </row>
    <row r="1562" spans="1:3">
      <c r="A1562" s="3">
        <f ca="1">IFERROR(__xludf.UNSUPPORTED("""COMPUTED_VALUE"""),45735.6666666666)</f>
        <v>45735.666666666599</v>
      </c>
      <c r="B1562" s="1">
        <f ca="1">IFERROR(__xludf.UNSUPPORTED("""COMPUTED_VALUE"""),387.82)</f>
        <v>387.82</v>
      </c>
      <c r="C1562" s="2">
        <f t="shared" ca="1" si="6"/>
        <v>1.1211931581143126E-2</v>
      </c>
    </row>
    <row r="1563" spans="1:3">
      <c r="A1563" s="3">
        <f ca="1">IFERROR(__xludf.UNSUPPORTED("""COMPUTED_VALUE"""),45736.6666666666)</f>
        <v>45736.666666666599</v>
      </c>
      <c r="B1563" s="1">
        <f ca="1">IFERROR(__xludf.UNSUPPORTED("""COMPUTED_VALUE"""),386.84)</f>
        <v>386.84</v>
      </c>
      <c r="C1563" s="2">
        <f t="shared" ca="1" si="6"/>
        <v>-2.5269454901759017E-3</v>
      </c>
    </row>
    <row r="1564" spans="1:3">
      <c r="A1564" s="3">
        <f ca="1">IFERROR(__xludf.UNSUPPORTED("""COMPUTED_VALUE"""),45737.6666666666)</f>
        <v>45737.666666666599</v>
      </c>
      <c r="B1564" s="1">
        <f ca="1">IFERROR(__xludf.UNSUPPORTED("""COMPUTED_VALUE"""),391.26)</f>
        <v>391.26</v>
      </c>
      <c r="C1564" s="2">
        <f t="shared" ca="1" si="6"/>
        <v>1.1425912521972951E-2</v>
      </c>
    </row>
    <row r="1565" spans="1:3">
      <c r="A1565" s="3">
        <f ca="1">IFERROR(__xludf.UNSUPPORTED("""COMPUTED_VALUE"""),45740.6666666666)</f>
        <v>45740.666666666599</v>
      </c>
      <c r="B1565" s="1">
        <f ca="1">IFERROR(__xludf.UNSUPPORTED("""COMPUTED_VALUE"""),393.08)</f>
        <v>393.08</v>
      </c>
      <c r="C1565" s="2">
        <f t="shared" ca="1" si="6"/>
        <v>4.6516382967847292E-3</v>
      </c>
    </row>
    <row r="1566" spans="1:3">
      <c r="A1566" s="3">
        <f ca="1">IFERROR(__xludf.UNSUPPORTED("""COMPUTED_VALUE"""),45741.6666666666)</f>
        <v>45741.666666666599</v>
      </c>
      <c r="B1566" s="1">
        <f ca="1">IFERROR(__xludf.UNSUPPORTED("""COMPUTED_VALUE"""),395.16)</f>
        <v>395.16</v>
      </c>
      <c r="C1566" s="2">
        <f t="shared" ca="1" si="6"/>
        <v>5.291543706115908E-3</v>
      </c>
    </row>
    <row r="1567" spans="1:3">
      <c r="A1567" s="3">
        <f ca="1">IFERROR(__xludf.UNSUPPORTED("""COMPUTED_VALUE"""),45742.6666666666)</f>
        <v>45742.666666666599</v>
      </c>
      <c r="B1567" s="1">
        <f ca="1">IFERROR(__xludf.UNSUPPORTED("""COMPUTED_VALUE"""),389.97)</f>
        <v>389.97</v>
      </c>
      <c r="C1567" s="2">
        <f t="shared" ca="1" si="6"/>
        <v>-1.3133920437291217E-2</v>
      </c>
    </row>
    <row r="1568" spans="1:3">
      <c r="A1568" s="3">
        <f ca="1">IFERROR(__xludf.UNSUPPORTED("""COMPUTED_VALUE"""),45743.6666666666)</f>
        <v>45743.666666666599</v>
      </c>
      <c r="B1568" s="1">
        <f ca="1">IFERROR(__xludf.UNSUPPORTED("""COMPUTED_VALUE"""),390.58)</f>
        <v>390.58</v>
      </c>
      <c r="C1568" s="2">
        <f t="shared" ca="1" si="6"/>
        <v>1.564222888940064E-3</v>
      </c>
    </row>
    <row r="1569" spans="1:3">
      <c r="A1569" s="3">
        <f ca="1">IFERROR(__xludf.UNSUPPORTED("""COMPUTED_VALUE"""),45744.6666666666)</f>
        <v>45744.666666666599</v>
      </c>
      <c r="B1569" s="1">
        <f ca="1">IFERROR(__xludf.UNSUPPORTED("""COMPUTED_VALUE"""),378.8)</f>
        <v>378.8</v>
      </c>
      <c r="C1569" s="2">
        <f t="shared" ca="1" si="6"/>
        <v>-3.0160274463618141E-2</v>
      </c>
    </row>
    <row r="1570" spans="1:3">
      <c r="A1570" s="3">
        <f ca="1">IFERROR(__xludf.UNSUPPORTED("""COMPUTED_VALUE"""),45747.6666666666)</f>
        <v>45747.666666666599</v>
      </c>
      <c r="B1570" s="1">
        <f ca="1">IFERROR(__xludf.UNSUPPORTED("""COMPUTED_VALUE"""),375.39)</f>
        <v>375.39</v>
      </c>
      <c r="C1570" s="2">
        <f t="shared" ca="1" si="6"/>
        <v>-9.0021119324182278E-3</v>
      </c>
    </row>
    <row r="1571" spans="1:3">
      <c r="A1571" s="3">
        <f ca="1">IFERROR(__xludf.UNSUPPORTED("""COMPUTED_VALUE"""),45748.6666666666)</f>
        <v>45748.666666666599</v>
      </c>
      <c r="B1571" s="1">
        <f ca="1">IFERROR(__xludf.UNSUPPORTED("""COMPUTED_VALUE"""),382.19)</f>
        <v>382.19</v>
      </c>
      <c r="C1571" s="2">
        <f t="shared" ca="1" si="6"/>
        <v>1.8114494259303688E-2</v>
      </c>
    </row>
    <row r="1572" spans="1:3">
      <c r="A1572" s="3">
        <f ca="1">IFERROR(__xludf.UNSUPPORTED("""COMPUTED_VALUE"""),45749.6666666666)</f>
        <v>45749.666666666599</v>
      </c>
      <c r="B1572" s="1">
        <f ca="1">IFERROR(__xludf.UNSUPPORTED("""COMPUTED_VALUE"""),382.14)</f>
        <v>382.14</v>
      </c>
      <c r="C1572" s="2">
        <f t="shared" ca="1" si="6"/>
        <v>-1.3082498233865712E-4</v>
      </c>
    </row>
    <row r="1573" spans="1:3">
      <c r="A1573" s="3">
        <f ca="1">IFERROR(__xludf.UNSUPPORTED("""COMPUTED_VALUE"""),45750.6666666666)</f>
        <v>45750.666666666599</v>
      </c>
      <c r="B1573" s="1">
        <f ca="1">IFERROR(__xludf.UNSUPPORTED("""COMPUTED_VALUE"""),373.11)</f>
        <v>373.11</v>
      </c>
      <c r="C1573" s="2">
        <f t="shared" ca="1" si="6"/>
        <v>-2.3630083215575373E-2</v>
      </c>
    </row>
    <row r="1574" spans="1:3">
      <c r="A1574" s="3">
        <f ca="1">IFERROR(__xludf.UNSUPPORTED("""COMPUTED_VALUE"""),45751.6666666666)</f>
        <v>45751.666666666599</v>
      </c>
      <c r="B1574" s="1">
        <f ca="1">IFERROR(__xludf.UNSUPPORTED("""COMPUTED_VALUE"""),359.84)</f>
        <v>359.84</v>
      </c>
      <c r="C1574" s="2">
        <f t="shared" ca="1" si="6"/>
        <v>-3.5565918897912246E-2</v>
      </c>
    </row>
    <row r="1575" spans="1:3">
      <c r="A1575" s="3">
        <f ca="1">IFERROR(__xludf.UNSUPPORTED("""COMPUTED_VALUE"""),45754.6666666666)</f>
        <v>45754.666666666599</v>
      </c>
      <c r="B1575" s="1">
        <f ca="1">IFERROR(__xludf.UNSUPPORTED("""COMPUTED_VALUE"""),357.86)</f>
        <v>357.86</v>
      </c>
      <c r="C1575" s="2">
        <f t="shared" ca="1" si="6"/>
        <v>-5.502445531347158E-3</v>
      </c>
    </row>
    <row r="1576" spans="1:3">
      <c r="A1576" s="3">
        <f ca="1">IFERROR(__xludf.UNSUPPORTED("""COMPUTED_VALUE"""),45755.6666666666)</f>
        <v>45755.666666666599</v>
      </c>
      <c r="B1576" s="1">
        <f ca="1">IFERROR(__xludf.UNSUPPORTED("""COMPUTED_VALUE"""),354.56)</f>
        <v>354.56</v>
      </c>
      <c r="C1576" s="2">
        <f t="shared" ca="1" si="6"/>
        <v>-9.2214832616107165E-3</v>
      </c>
    </row>
    <row r="1577" spans="1:3">
      <c r="A1577" s="3">
        <f ca="1">IFERROR(__xludf.UNSUPPORTED("""COMPUTED_VALUE"""),45756.6666666666)</f>
        <v>45756.666666666599</v>
      </c>
      <c r="B1577" s="1">
        <f ca="1">IFERROR(__xludf.UNSUPPORTED("""COMPUTED_VALUE"""),390.49)</f>
        <v>390.49</v>
      </c>
      <c r="C1577" s="2">
        <f t="shared" ca="1" si="6"/>
        <v>0.10133686823104696</v>
      </c>
    </row>
    <row r="1578" spans="1:3">
      <c r="A1578" s="3">
        <f ca="1">IFERROR(__xludf.UNSUPPORTED("""COMPUTED_VALUE"""),45757.6666666666)</f>
        <v>45757.666666666599</v>
      </c>
      <c r="B1578" s="1">
        <f ca="1">IFERROR(__xludf.UNSUPPORTED("""COMPUTED_VALUE"""),381.35)</f>
        <v>381.35</v>
      </c>
      <c r="C1578" s="2">
        <f t="shared" ca="1" si="6"/>
        <v>-2.3406489282696064E-2</v>
      </c>
    </row>
    <row r="1579" spans="1:3">
      <c r="A1579" s="3">
        <f ca="1">IFERROR(__xludf.UNSUPPORTED("""COMPUTED_VALUE"""),45758.6666666666)</f>
        <v>45758.666666666599</v>
      </c>
      <c r="B1579" s="1">
        <f ca="1">IFERROR(__xludf.UNSUPPORTED("""COMPUTED_VALUE"""),388.45)</f>
        <v>388.45</v>
      </c>
      <c r="C1579" s="2">
        <f t="shared" ca="1" si="6"/>
        <v>1.8618067392159342E-2</v>
      </c>
    </row>
    <row r="1580" spans="1:3">
      <c r="A1580" s="3">
        <f ca="1">IFERROR(__xludf.UNSUPPORTED("""COMPUTED_VALUE"""),45761.6666666666)</f>
        <v>45761.666666666599</v>
      </c>
      <c r="B1580" s="1">
        <f ca="1">IFERROR(__xludf.UNSUPPORTED("""COMPUTED_VALUE"""),387.81)</f>
        <v>387.81</v>
      </c>
      <c r="C1580" s="2">
        <f t="shared" ca="1" si="6"/>
        <v>-1.6475736903075978E-3</v>
      </c>
    </row>
    <row r="1581" spans="1:3">
      <c r="A1581" s="3">
        <f ca="1">IFERROR(__xludf.UNSUPPORTED("""COMPUTED_VALUE"""),45762.6666666666)</f>
        <v>45762.666666666599</v>
      </c>
      <c r="B1581" s="1">
        <f ca="1">IFERROR(__xludf.UNSUPPORTED("""COMPUTED_VALUE"""),385.73)</f>
        <v>385.73</v>
      </c>
      <c r="C1581" s="2">
        <f t="shared" ca="1" si="6"/>
        <v>-5.3634511745441942E-3</v>
      </c>
    </row>
    <row r="1582" spans="1:3">
      <c r="A1582" s="3">
        <f ca="1">IFERROR(__xludf.UNSUPPORTED("""COMPUTED_VALUE"""),45763.6666666666)</f>
        <v>45763.666666666599</v>
      </c>
      <c r="B1582" s="1">
        <f ca="1">IFERROR(__xludf.UNSUPPORTED("""COMPUTED_VALUE"""),371.61)</f>
        <v>371.61</v>
      </c>
      <c r="C1582" s="2">
        <f t="shared" ca="1" si="6"/>
        <v>-3.6605916055271831E-2</v>
      </c>
    </row>
    <row r="1583" spans="1:3">
      <c r="A1583" s="3">
        <f ca="1">IFERROR(__xludf.UNSUPPORTED("""COMPUTED_VALUE"""),45764.6666666666)</f>
        <v>45764.666666666599</v>
      </c>
      <c r="B1583" s="1">
        <f ca="1">IFERROR(__xludf.UNSUPPORTED("""COMPUTED_VALUE"""),367.78)</f>
        <v>367.78</v>
      </c>
      <c r="C1583" s="2">
        <f t="shared" ca="1" si="6"/>
        <v>-1.0306504130674741E-2</v>
      </c>
    </row>
    <row r="1584" spans="1:3">
      <c r="A1584" s="3">
        <f ca="1">IFERROR(__xludf.UNSUPPORTED("""COMPUTED_VALUE"""),45768.6666666666)</f>
        <v>45768.666666666599</v>
      </c>
      <c r="B1584" s="1">
        <f ca="1">IFERROR(__xludf.UNSUPPORTED("""COMPUTED_VALUE"""),359.12)</f>
        <v>359.12</v>
      </c>
      <c r="C1584" s="2">
        <f t="shared" ca="1" si="6"/>
        <v>-2.3546685518516419E-2</v>
      </c>
    </row>
    <row r="1585" spans="1:3">
      <c r="A1585" s="3">
        <f ca="1">IFERROR(__xludf.UNSUPPORTED("""COMPUTED_VALUE"""),45769.6666666666)</f>
        <v>45769.666666666599</v>
      </c>
      <c r="B1585" s="1">
        <f ca="1">IFERROR(__xludf.UNSUPPORTED("""COMPUTED_VALUE"""),366.82)</f>
        <v>366.82</v>
      </c>
      <c r="C1585" s="2">
        <f t="shared" ca="1" si="6"/>
        <v>2.144130095789705E-2</v>
      </c>
    </row>
    <row r="1586" spans="1:3">
      <c r="A1586" s="3">
        <f ca="1">IFERROR(__xludf.UNSUPPORTED("""COMPUTED_VALUE"""),45770.6666666666)</f>
        <v>45770.666666666599</v>
      </c>
      <c r="B1586" s="1">
        <f ca="1">IFERROR(__xludf.UNSUPPORTED("""COMPUTED_VALUE"""),374.39)</f>
        <v>374.39</v>
      </c>
      <c r="C1586" s="2">
        <f t="shared" ca="1" si="6"/>
        <v>2.063682460062154E-2</v>
      </c>
    </row>
    <row r="1587" spans="1:3">
      <c r="A1587" s="3">
        <f ca="1">IFERROR(__xludf.UNSUPPORTED("""COMPUTED_VALUE"""),45771.6666666666)</f>
        <v>45771.666666666599</v>
      </c>
      <c r="B1587" s="1">
        <f ca="1">IFERROR(__xludf.UNSUPPORTED("""COMPUTED_VALUE"""),387.3)</f>
        <v>387.3</v>
      </c>
      <c r="C1587" s="2">
        <f t="shared" ca="1" si="6"/>
        <v>3.4482758620689724E-2</v>
      </c>
    </row>
    <row r="1588" spans="1:3">
      <c r="A1588" s="3">
        <f ca="1">IFERROR(__xludf.UNSUPPORTED("""COMPUTED_VALUE"""),45772.6666666666)</f>
        <v>45772.666666666599</v>
      </c>
      <c r="B1588" s="1">
        <f ca="1">IFERROR(__xludf.UNSUPPORTED("""COMPUTED_VALUE"""),391.85)</f>
        <v>391.85</v>
      </c>
      <c r="C1588" s="2">
        <f t="shared" ca="1" si="6"/>
        <v>1.1747998967208911E-2</v>
      </c>
    </row>
    <row r="1589" spans="1:3">
      <c r="A1589" s="3">
        <f ca="1">IFERROR(__xludf.UNSUPPORTED("""COMPUTED_VALUE"""),45775.6666666666)</f>
        <v>45775.666666666599</v>
      </c>
      <c r="B1589" s="1">
        <f ca="1">IFERROR(__xludf.UNSUPPORTED("""COMPUTED_VALUE"""),391.16)</f>
        <v>391.16</v>
      </c>
      <c r="C1589" s="2">
        <f t="shared" ca="1" si="6"/>
        <v>-1.7608778869465298E-3</v>
      </c>
    </row>
    <row r="1590" spans="1:3">
      <c r="A1590" s="3">
        <f ca="1">IFERROR(__xludf.UNSUPPORTED("""COMPUTED_VALUE"""),45776.6666666666)</f>
        <v>45776.666666666599</v>
      </c>
      <c r="B1590" s="1">
        <f ca="1">IFERROR(__xludf.UNSUPPORTED("""COMPUTED_VALUE"""),394.04)</f>
        <v>394.04</v>
      </c>
      <c r="C1590" s="2">
        <f t="shared" ca="1" si="6"/>
        <v>7.3627160241333351E-3</v>
      </c>
    </row>
    <row r="1591" spans="1:3">
      <c r="A1591" s="3">
        <f ca="1">IFERROR(__xludf.UNSUPPORTED("""COMPUTED_VALUE"""),45777.6666666666)</f>
        <v>45777.666666666599</v>
      </c>
      <c r="B1591" s="1">
        <f ca="1">IFERROR(__xludf.UNSUPPORTED("""COMPUTED_VALUE"""),395.26)</f>
        <v>395.26</v>
      </c>
      <c r="C1591" s="2">
        <f t="shared" ca="1" si="6"/>
        <v>3.0961323723479096E-3</v>
      </c>
    </row>
    <row r="1592" spans="1:3">
      <c r="A1592" s="3">
        <f ca="1">IFERROR(__xludf.UNSUPPORTED("""COMPUTED_VALUE"""),45778.6666666666)</f>
        <v>45778.666666666599</v>
      </c>
      <c r="B1592" s="1">
        <f ca="1">IFERROR(__xludf.UNSUPPORTED("""COMPUTED_VALUE"""),425.4)</f>
        <v>425.4</v>
      </c>
      <c r="C1592" s="2">
        <f t="shared" ca="1" si="6"/>
        <v>7.6253605221879239E-2</v>
      </c>
    </row>
    <row r="1593" spans="1:3">
      <c r="A1593" s="3">
        <f ca="1">IFERROR(__xludf.UNSUPPORTED("""COMPUTED_VALUE"""),45779.6666666666)</f>
        <v>45779.666666666599</v>
      </c>
      <c r="B1593" s="1">
        <f ca="1">IFERROR(__xludf.UNSUPPORTED("""COMPUTED_VALUE"""),435.28)</f>
        <v>435.28</v>
      </c>
      <c r="C1593" s="2">
        <f t="shared" ca="1" si="6"/>
        <v>2.3225199811941693E-2</v>
      </c>
    </row>
    <row r="1594" spans="1:3">
      <c r="A1594" s="3">
        <f ca="1">IFERROR(__xludf.UNSUPPORTED("""COMPUTED_VALUE"""),45782.6666666666)</f>
        <v>45782.666666666599</v>
      </c>
      <c r="B1594" s="1">
        <f ca="1">IFERROR(__xludf.UNSUPPORTED("""COMPUTED_VALUE"""),436.17)</f>
        <v>436.17</v>
      </c>
      <c r="C1594" s="2">
        <f t="shared" ca="1" si="6"/>
        <v>2.0446609079214375E-3</v>
      </c>
    </row>
    <row r="1595" spans="1:3">
      <c r="A1595" s="3">
        <f ca="1">IFERROR(__xludf.UNSUPPORTED("""COMPUTED_VALUE"""),45783.6666666666)</f>
        <v>45783.666666666599</v>
      </c>
      <c r="B1595" s="1">
        <f ca="1">IFERROR(__xludf.UNSUPPORTED("""COMPUTED_VALUE"""),433.31)</f>
        <v>433.31</v>
      </c>
      <c r="C1595" s="2">
        <f t="shared" ca="1" si="6"/>
        <v>-6.5570763693055768E-3</v>
      </c>
    </row>
    <row r="1596" spans="1:3">
      <c r="A1596" s="3">
        <f ca="1">IFERROR(__xludf.UNSUPPORTED("""COMPUTED_VALUE"""),45784.6666666666)</f>
        <v>45784.666666666599</v>
      </c>
      <c r="B1596" s="1">
        <f ca="1">IFERROR(__xludf.UNSUPPORTED("""COMPUTED_VALUE"""),433.35)</f>
        <v>433.35</v>
      </c>
      <c r="C1596" s="2">
        <f t="shared" ca="1" si="6"/>
        <v>9.2312662989592811E-5</v>
      </c>
    </row>
    <row r="1597" spans="1:3">
      <c r="A1597" s="3">
        <f ca="1">IFERROR(__xludf.UNSUPPORTED("""COMPUTED_VALUE"""),45785.6666666666)</f>
        <v>45785.666666666599</v>
      </c>
      <c r="B1597" s="1">
        <f ca="1">IFERROR(__xludf.UNSUPPORTED("""COMPUTED_VALUE"""),438.17)</f>
        <v>438.17</v>
      </c>
      <c r="C1597" s="2">
        <f t="shared" ca="1" si="6"/>
        <v>1.1122649128879641E-2</v>
      </c>
    </row>
    <row r="1598" spans="1:3">
      <c r="A1598" s="3">
        <f ca="1">IFERROR(__xludf.UNSUPPORTED("""COMPUTED_VALUE"""),45786.6666666666)</f>
        <v>45786.666666666599</v>
      </c>
      <c r="B1598" s="1">
        <f ca="1">IFERROR(__xludf.UNSUPPORTED("""COMPUTED_VALUE"""),438.73)</f>
        <v>438.73</v>
      </c>
      <c r="C1598" s="2">
        <f t="shared" ca="1" si="6"/>
        <v>1.278042768788375E-3</v>
      </c>
    </row>
    <row r="1599" spans="1:3">
      <c r="A1599" s="3">
        <f ca="1">IFERROR(__xludf.UNSUPPORTED("""COMPUTED_VALUE"""),45789.6666666666)</f>
        <v>45789.666666666599</v>
      </c>
      <c r="B1599" s="1">
        <f ca="1">IFERROR(__xludf.UNSUPPORTED("""COMPUTED_VALUE"""),449.26)</f>
        <v>449.26</v>
      </c>
      <c r="C1599" s="2">
        <f t="shared" ca="1" si="6"/>
        <v>2.4001094066965951E-2</v>
      </c>
    </row>
    <row r="1600" spans="1:3">
      <c r="A1600" s="3">
        <f ca="1">IFERROR(__xludf.UNSUPPORTED("""COMPUTED_VALUE"""),45790.6666666666)</f>
        <v>45790.666666666599</v>
      </c>
      <c r="B1600" s="1">
        <f ca="1">IFERROR(__xludf.UNSUPPORTED("""COMPUTED_VALUE"""),449.14)</f>
        <v>449.14</v>
      </c>
      <c r="C1600" s="2">
        <f t="shared" ca="1" si="6"/>
        <v>-2.6710590749233086E-4</v>
      </c>
    </row>
    <row r="1601" spans="1:3">
      <c r="A1601" s="3">
        <f ca="1">IFERROR(__xludf.UNSUPPORTED("""COMPUTED_VALUE"""),45791.6666666666)</f>
        <v>45791.666666666599</v>
      </c>
      <c r="B1601" s="1">
        <f ca="1">IFERROR(__xludf.UNSUPPORTED("""COMPUTED_VALUE"""),452.94)</f>
        <v>452.94</v>
      </c>
      <c r="C1601" s="2">
        <f t="shared" ca="1" si="6"/>
        <v>8.4606136171349947E-3</v>
      </c>
    </row>
    <row r="1602" spans="1:3">
      <c r="A1602" s="3">
        <f ca="1">IFERROR(__xludf.UNSUPPORTED("""COMPUTED_VALUE"""),45792.6666666666)</f>
        <v>45792.666666666599</v>
      </c>
      <c r="B1602" s="1">
        <f ca="1">IFERROR(__xludf.UNSUPPORTED("""COMPUTED_VALUE"""),453.13)</f>
        <v>453.13</v>
      </c>
      <c r="C1602" s="2">
        <f t="shared" ca="1" si="6"/>
        <v>4.1948160904313535E-4</v>
      </c>
    </row>
    <row r="1603" spans="1:3">
      <c r="A1603" s="3">
        <f ca="1">IFERROR(__xludf.UNSUPPORTED("""COMPUTED_VALUE"""),45793.6666666666)</f>
        <v>45793.666666666599</v>
      </c>
      <c r="B1603" s="1">
        <f ca="1">IFERROR(__xludf.UNSUPPORTED("""COMPUTED_VALUE"""),454.27)</f>
        <v>454.27</v>
      </c>
      <c r="C1603" s="2">
        <f t="shared" ca="1" si="6"/>
        <v>2.5158343080351918E-3</v>
      </c>
    </row>
    <row r="1604" spans="1:3">
      <c r="A1604" s="3">
        <f ca="1">IFERROR(__xludf.UNSUPPORTED("""COMPUTED_VALUE"""),45796.6666666666)</f>
        <v>45796.666666666599</v>
      </c>
      <c r="B1604" s="1">
        <f ca="1">IFERROR(__xludf.UNSUPPORTED("""COMPUTED_VALUE"""),458.87)</f>
        <v>458.87</v>
      </c>
      <c r="C1604" s="2">
        <f t="shared" ca="1" si="6"/>
        <v>1.0126136438681892E-2</v>
      </c>
    </row>
    <row r="1605" spans="1:3">
      <c r="A1605" s="3">
        <f ca="1">IFERROR(__xludf.UNSUPPORTED("""COMPUTED_VALUE"""),45797.6666666666)</f>
        <v>45797.666666666599</v>
      </c>
      <c r="B1605" s="1">
        <f ca="1">IFERROR(__xludf.UNSUPPORTED("""COMPUTED_VALUE"""),458.17)</f>
        <v>458.17</v>
      </c>
      <c r="C1605" s="2">
        <f t="shared" ca="1" si="6"/>
        <v>-1.5254865212369268E-3</v>
      </c>
    </row>
    <row r="1606" spans="1:3">
      <c r="A1606" s="3">
        <f ca="1">IFERROR(__xludf.UNSUPPORTED("""COMPUTED_VALUE"""),45798.6666666666)</f>
        <v>45798.666666666599</v>
      </c>
      <c r="B1606" s="1">
        <f ca="1">IFERROR(__xludf.UNSUPPORTED("""COMPUTED_VALUE"""),452.57)</f>
        <v>452.57</v>
      </c>
      <c r="C1606" s="2">
        <f t="shared" ca="1" si="6"/>
        <v>-1.2222537486086E-2</v>
      </c>
    </row>
    <row r="1607" spans="1:3">
      <c r="A1607" s="3">
        <f ca="1">IFERROR(__xludf.UNSUPPORTED("""COMPUTED_VALUE"""),45799.6666666666)</f>
        <v>45799.666666666599</v>
      </c>
      <c r="B1607" s="1">
        <f ca="1">IFERROR(__xludf.UNSUPPORTED("""COMPUTED_VALUE"""),454.86)</f>
        <v>454.86</v>
      </c>
      <c r="C1607" s="2">
        <f t="shared" ca="1" si="6"/>
        <v>5.0599907196677207E-3</v>
      </c>
    </row>
    <row r="1608" spans="1:3">
      <c r="A1608" s="3">
        <f ca="1">IFERROR(__xludf.UNSUPPORTED("""COMPUTED_VALUE"""),45800.6666666666)</f>
        <v>45800.666666666599</v>
      </c>
      <c r="B1608" s="1">
        <f ca="1">IFERROR(__xludf.UNSUPPORTED("""COMPUTED_VALUE"""),450.18)</f>
        <v>450.18</v>
      </c>
      <c r="C1608" s="2">
        <f t="shared" ca="1" si="6"/>
        <v>-1.0288880094974293E-2</v>
      </c>
    </row>
    <row r="1609" spans="1:3">
      <c r="A1609" s="3">
        <f ca="1">IFERROR(__xludf.UNSUPPORTED("""COMPUTED_VALUE"""),45804.6666666666)</f>
        <v>45804.666666666599</v>
      </c>
      <c r="B1609" s="1">
        <f ca="1">IFERROR(__xludf.UNSUPPORTED("""COMPUTED_VALUE"""),460.69)</f>
        <v>460.69</v>
      </c>
      <c r="C1609" s="2">
        <f t="shared" ca="1" si="6"/>
        <v>2.3346217068728043E-2</v>
      </c>
    </row>
    <row r="1610" spans="1:3">
      <c r="A1610" s="3">
        <f ca="1">IFERROR(__xludf.UNSUPPORTED("""COMPUTED_VALUE"""),45805.6666666666)</f>
        <v>45805.666666666599</v>
      </c>
      <c r="B1610" s="1">
        <f ca="1">IFERROR(__xludf.UNSUPPORTED("""COMPUTED_VALUE"""),457.36)</f>
        <v>457.36</v>
      </c>
      <c r="C1610" s="2">
        <f t="shared" ca="1" si="6"/>
        <v>-7.2282880027784062E-3</v>
      </c>
    </row>
    <row r="1611" spans="1:3">
      <c r="A1611" s="3">
        <f ca="1">IFERROR(__xludf.UNSUPPORTED("""COMPUTED_VALUE"""),45806.6666666666)</f>
        <v>45806.666666666599</v>
      </c>
      <c r="B1611" s="1">
        <f ca="1">IFERROR(__xludf.UNSUPPORTED("""COMPUTED_VALUE"""),458.68)</f>
        <v>458.68</v>
      </c>
      <c r="C1611" s="2">
        <f t="shared" ca="1" si="6"/>
        <v>2.8861290886828608E-3</v>
      </c>
    </row>
    <row r="1612" spans="1:3">
      <c r="A1612" s="3">
        <f ca="1">IFERROR(__xludf.UNSUPPORTED("""COMPUTED_VALUE"""),45807.6666666666)</f>
        <v>45807.666666666599</v>
      </c>
      <c r="B1612" s="1">
        <f ca="1">IFERROR(__xludf.UNSUPPORTED("""COMPUTED_VALUE"""),460.36)</f>
        <v>460.36</v>
      </c>
      <c r="C1612" s="2">
        <f t="shared" ca="1" si="6"/>
        <v>3.66268422429582E-3</v>
      </c>
    </row>
    <row r="1613" spans="1:3">
      <c r="A1613" s="3">
        <f ca="1">IFERROR(__xludf.UNSUPPORTED("""COMPUTED_VALUE"""),45810.6666666666)</f>
        <v>45810.666666666599</v>
      </c>
      <c r="B1613" s="1">
        <f ca="1">IFERROR(__xludf.UNSUPPORTED("""COMPUTED_VALUE"""),461.97)</f>
        <v>461.97</v>
      </c>
      <c r="C1613" s="2">
        <f t="shared" ca="1" si="6"/>
        <v>3.4972630115562031E-3</v>
      </c>
    </row>
    <row r="1614" spans="1:3">
      <c r="A1614" s="3">
        <f ca="1">IFERROR(__xludf.UNSUPPORTED("""COMPUTED_VALUE"""),45811.6666666666)</f>
        <v>45811.666666666599</v>
      </c>
      <c r="B1614" s="1">
        <f ca="1">IFERROR(__xludf.UNSUPPORTED("""COMPUTED_VALUE"""),462.97)</f>
        <v>462.97</v>
      </c>
      <c r="C1614" s="2">
        <f t="shared" ca="1" si="6"/>
        <v>2.1646427257181202E-3</v>
      </c>
    </row>
    <row r="1615" spans="1:3">
      <c r="A1615" s="3">
        <f ca="1">IFERROR(__xludf.UNSUPPORTED("""COMPUTED_VALUE"""),45812.6666666666)</f>
        <v>45812.666666666599</v>
      </c>
      <c r="B1615" s="1">
        <f ca="1">IFERROR(__xludf.UNSUPPORTED("""COMPUTED_VALUE"""),463.87)</f>
        <v>463.87</v>
      </c>
      <c r="C1615" s="2">
        <f t="shared" ca="1" si="6"/>
        <v>1.9439704516490857E-3</v>
      </c>
    </row>
    <row r="1616" spans="1:3">
      <c r="A1616" s="3">
        <f ca="1">IFERROR(__xludf.UNSUPPORTED("""COMPUTED_VALUE"""),45813.6666666666)</f>
        <v>45813.666666666599</v>
      </c>
      <c r="B1616" s="1">
        <f ca="1">IFERROR(__xludf.UNSUPPORTED("""COMPUTED_VALUE"""),467.68)</f>
        <v>467.68</v>
      </c>
      <c r="C1616" s="2">
        <f t="shared" ca="1" si="6"/>
        <v>8.2135080949403971E-3</v>
      </c>
    </row>
    <row r="1617" spans="1:3">
      <c r="A1617" s="3">
        <f ca="1">IFERROR(__xludf.UNSUPPORTED("""COMPUTED_VALUE"""),45814.6666666666)</f>
        <v>45814.666666666599</v>
      </c>
      <c r="B1617" s="1">
        <f ca="1">IFERROR(__xludf.UNSUPPORTED("""COMPUTED_VALUE"""),470.38)</f>
        <v>470.38</v>
      </c>
      <c r="C1617" s="2">
        <f t="shared" ca="1" si="6"/>
        <v>5.7731782415326475E-3</v>
      </c>
    </row>
    <row r="1618" spans="1:3">
      <c r="A1618" s="3">
        <f ca="1">IFERROR(__xludf.UNSUPPORTED("""COMPUTED_VALUE"""),45817.6666666666)</f>
        <v>45817.666666666599</v>
      </c>
      <c r="B1618" s="1">
        <f ca="1">IFERROR(__xludf.UNSUPPORTED("""COMPUTED_VALUE"""),472.75)</f>
        <v>472.75</v>
      </c>
      <c r="C1618" s="2">
        <f t="shared" ca="1" si="6"/>
        <v>5.0384795271907912E-3</v>
      </c>
    </row>
    <row r="1619" spans="1:3">
      <c r="A1619" s="3">
        <f ca="1">IFERROR(__xludf.UNSUPPORTED("""COMPUTED_VALUE"""),45818.6666666666)</f>
        <v>45818.666666666599</v>
      </c>
      <c r="B1619" s="1">
        <f ca="1">IFERROR(__xludf.UNSUPPORTED("""COMPUTED_VALUE"""),470.92)</f>
        <v>470.92</v>
      </c>
      <c r="C1619" s="2">
        <f t="shared" ca="1" si="6"/>
        <v>-3.87096774193545E-3</v>
      </c>
    </row>
    <row r="1620" spans="1:3">
      <c r="A1620" s="3">
        <f ca="1">IFERROR(__xludf.UNSUPPORTED("""COMPUTED_VALUE"""),45819.6666666666)</f>
        <v>45819.666666666599</v>
      </c>
      <c r="B1620" s="1">
        <f ca="1">IFERROR(__xludf.UNSUPPORTED("""COMPUTED_VALUE"""),472.62)</f>
        <v>472.62</v>
      </c>
      <c r="C1620" s="2">
        <f t="shared" ca="1" si="6"/>
        <v>3.6099549817378506E-3</v>
      </c>
    </row>
    <row r="1621" spans="1:3">
      <c r="A1621" s="3">
        <f ca="1">IFERROR(__xludf.UNSUPPORTED("""COMPUTED_VALUE"""),45820.6666666666)</f>
        <v>45820.666666666599</v>
      </c>
      <c r="B1621" s="1">
        <f ca="1">IFERROR(__xludf.UNSUPPORTED("""COMPUTED_VALUE"""),478.87)</f>
        <v>478.87</v>
      </c>
      <c r="C1621" s="2">
        <f t="shared" ca="1" si="6"/>
        <v>1.3224154712030808E-2</v>
      </c>
    </row>
    <row r="1622" spans="1:3">
      <c r="A1622" s="3">
        <f ca="1">IFERROR(__xludf.UNSUPPORTED("""COMPUTED_VALUE"""),45821.6666666666)</f>
        <v>45821.666666666599</v>
      </c>
      <c r="B1622" s="1">
        <f ca="1">IFERROR(__xludf.UNSUPPORTED("""COMPUTED_VALUE"""),474.96)</f>
        <v>474.96</v>
      </c>
      <c r="C1622" s="2">
        <f t="shared" ca="1" si="6"/>
        <v>-8.165055234197225E-3</v>
      </c>
    </row>
    <row r="1623" spans="1:3">
      <c r="A1623" s="3">
        <f ca="1">IFERROR(__xludf.UNSUPPORTED("""COMPUTED_VALUE"""),45824.6666666666)</f>
        <v>45824.666666666599</v>
      </c>
      <c r="B1623" s="1">
        <f ca="1">IFERROR(__xludf.UNSUPPORTED("""COMPUTED_VALUE"""),479.14)</f>
        <v>479.14</v>
      </c>
      <c r="C1623" s="2">
        <f t="shared" ca="1" si="6"/>
        <v>8.8007411150412811E-3</v>
      </c>
    </row>
    <row r="1624" spans="1:3">
      <c r="A1624" s="3">
        <f ca="1">IFERROR(__xludf.UNSUPPORTED("""COMPUTED_VALUE"""),45825.6666666666)</f>
        <v>45825.666666666599</v>
      </c>
      <c r="B1624" s="1">
        <f ca="1">IFERROR(__xludf.UNSUPPORTED("""COMPUTED_VALUE"""),478.04)</f>
        <v>478.04</v>
      </c>
      <c r="C1624" s="2">
        <f t="shared" ca="1" si="6"/>
        <v>-2.2957799390574069E-3</v>
      </c>
    </row>
    <row r="1625" spans="1:3">
      <c r="A1625" s="3">
        <f ca="1">IFERROR(__xludf.UNSUPPORTED("""COMPUTED_VALUE"""),45826.6666666666)</f>
        <v>45826.666666666599</v>
      </c>
      <c r="B1625" s="1">
        <f ca="1">IFERROR(__xludf.UNSUPPORTED("""COMPUTED_VALUE"""),480.24)</f>
        <v>480.24</v>
      </c>
      <c r="C1625" s="2">
        <f t="shared" ca="1" si="6"/>
        <v>4.6021253451593771E-3</v>
      </c>
    </row>
    <row r="1626" spans="1:3">
      <c r="A1626" s="3">
        <f ca="1">IFERROR(__xludf.UNSUPPORTED("""COMPUTED_VALUE"""),45828.6666666666)</f>
        <v>45828.666666666599</v>
      </c>
      <c r="B1626" s="1">
        <f ca="1">IFERROR(__xludf.UNSUPPORTED("""COMPUTED_VALUE"""),477.4)</f>
        <v>477.4</v>
      </c>
      <c r="C1626" s="2">
        <f t="shared" ca="1" si="6"/>
        <v>-5.9137098117608526E-3</v>
      </c>
    </row>
    <row r="1627" spans="1:3">
      <c r="A1627" s="3">
        <f ca="1">IFERROR(__xludf.UNSUPPORTED("""COMPUTED_VALUE"""),45831.6666666666)</f>
        <v>45831.666666666599</v>
      </c>
      <c r="B1627" s="1">
        <f ca="1">IFERROR(__xludf.UNSUPPORTED("""COMPUTED_VALUE"""),486)</f>
        <v>486</v>
      </c>
      <c r="C1627" s="2">
        <f t="shared" ca="1" si="6"/>
        <v>1.8014243820695483E-2</v>
      </c>
    </row>
    <row r="1628" spans="1:3">
      <c r="A1628" s="3">
        <f ca="1">IFERROR(__xludf.UNSUPPORTED("""COMPUTED_VALUE"""),45832.6666666666)</f>
        <v>45832.666666666599</v>
      </c>
      <c r="B1628" s="1">
        <f ca="1">IFERROR(__xludf.UNSUPPORTED("""COMPUTED_VALUE"""),490.11)</f>
        <v>490.11</v>
      </c>
      <c r="C1628" s="2">
        <f t="shared" ca="1" si="6"/>
        <v>8.4567901234568182E-3</v>
      </c>
    </row>
    <row r="1629" spans="1:3">
      <c r="A1629" s="3">
        <f ca="1">IFERROR(__xludf.UNSUPPORTED("""COMPUTED_VALUE"""),45833.6666666666)</f>
        <v>45833.666666666599</v>
      </c>
      <c r="B1629" s="1">
        <f ca="1">IFERROR(__xludf.UNSUPPORTED("""COMPUTED_VALUE"""),492.27)</f>
        <v>492.27</v>
      </c>
      <c r="C1629" s="2">
        <f t="shared" ca="1" si="6"/>
        <v>4.407173899736729E-3</v>
      </c>
    </row>
    <row r="1630" spans="1:3">
      <c r="A1630" s="3">
        <f ca="1">IFERROR(__xludf.UNSUPPORTED("""COMPUTED_VALUE"""),45834.6666666666)</f>
        <v>45834.666666666599</v>
      </c>
      <c r="B1630" s="1">
        <f ca="1">IFERROR(__xludf.UNSUPPORTED("""COMPUTED_VALUE"""),497.45)</f>
        <v>497.45</v>
      </c>
      <c r="C1630" s="2">
        <f t="shared" ca="1" si="6"/>
        <v>1.0522680642736724E-2</v>
      </c>
    </row>
    <row r="1631" spans="1:3">
      <c r="A1631" s="3">
        <f ca="1">IFERROR(__xludf.UNSUPPORTED("""COMPUTED_VALUE"""),45835.6666666666)</f>
        <v>45835.666666666599</v>
      </c>
      <c r="B1631" s="1">
        <f ca="1">IFERROR(__xludf.UNSUPPORTED("""COMPUTED_VALUE"""),495.94)</f>
        <v>495.94</v>
      </c>
      <c r="C1631" s="2">
        <f t="shared" ca="1" si="6"/>
        <v>-3.0354809528595657E-3</v>
      </c>
    </row>
    <row r="1632" spans="1:3">
      <c r="A1632" s="3">
        <f ca="1">IFERROR(__xludf.UNSUPPORTED("""COMPUTED_VALUE"""),45838.6666666666)</f>
        <v>45838.666666666599</v>
      </c>
      <c r="B1632" s="1">
        <f ca="1">IFERROR(__xludf.UNSUPPORTED("""COMPUTED_VALUE"""),497.41)</f>
        <v>497.41</v>
      </c>
      <c r="C1632" s="2">
        <f t="shared" ca="1" si="6"/>
        <v>2.964068234060627E-3</v>
      </c>
    </row>
    <row r="1633" spans="1:3">
      <c r="A1633" s="3">
        <f ca="1">IFERROR(__xludf.UNSUPPORTED("""COMPUTED_VALUE"""),45839.6666666666)</f>
        <v>45839.666666666599</v>
      </c>
      <c r="B1633" s="1">
        <f ca="1">IFERROR(__xludf.UNSUPPORTED("""COMPUTED_VALUE"""),492.05)</f>
        <v>492.05</v>
      </c>
      <c r="C1633" s="2">
        <f t="shared" ca="1" si="6"/>
        <v>-1.0775818741078814E-2</v>
      </c>
    </row>
    <row r="1634" spans="1:3">
      <c r="A1634" s="3">
        <f ca="1">IFERROR(__xludf.UNSUPPORTED("""COMPUTED_VALUE"""),45840.6666666666)</f>
        <v>45840.666666666599</v>
      </c>
      <c r="B1634" s="1">
        <f ca="1">IFERROR(__xludf.UNSUPPORTED("""COMPUTED_VALUE"""),491.09)</f>
        <v>491.09</v>
      </c>
      <c r="C1634" s="2">
        <f t="shared" ca="1" si="6"/>
        <v>-1.9510212376791715E-3</v>
      </c>
    </row>
    <row r="1635" spans="1:3">
      <c r="A1635" s="3">
        <f ca="1">IFERROR(__xludf.UNSUPPORTED("""COMPUTED_VALUE"""),45841.5451388888)</f>
        <v>45841.545138888803</v>
      </c>
      <c r="B1635" s="1">
        <f ca="1">IFERROR(__xludf.UNSUPPORTED("""COMPUTED_VALUE"""),498.84)</f>
        <v>498.84</v>
      </c>
      <c r="C1635" s="2">
        <f t="shared" ca="1" si="6"/>
        <v>1.5781221364719298E-2</v>
      </c>
    </row>
    <row r="1636" spans="1:3">
      <c r="A1636" s="3">
        <f ca="1">IFERROR(__xludf.UNSUPPORTED("""COMPUTED_VALUE"""),45845.6666666666)</f>
        <v>45845.666666666599</v>
      </c>
      <c r="B1636" s="1">
        <f ca="1">IFERROR(__xludf.UNSUPPORTED("""COMPUTED_VALUE"""),497.72)</f>
        <v>497.72</v>
      </c>
      <c r="C1636" s="2">
        <f t="shared" ca="1" si="6"/>
        <v>-2.2452088846121958E-3</v>
      </c>
    </row>
    <row r="1637" spans="1:3">
      <c r="A1637" s="3">
        <f ca="1">IFERROR(__xludf.UNSUPPORTED("""COMPUTED_VALUE"""),45846.6666666666)</f>
        <v>45846.666666666599</v>
      </c>
      <c r="B1637" s="1">
        <f ca="1">IFERROR(__xludf.UNSUPPORTED("""COMPUTED_VALUE"""),496.62)</f>
        <v>496.62</v>
      </c>
      <c r="C1637" s="2">
        <f t="shared" ca="1" si="6"/>
        <v>-2.2100779554770204E-3</v>
      </c>
    </row>
    <row r="1638" spans="1:3">
      <c r="A1638" s="3">
        <f ca="1">IFERROR(__xludf.UNSUPPORTED("""COMPUTED_VALUE"""),45847.6666666666)</f>
        <v>45847.666666666599</v>
      </c>
      <c r="B1638" s="1">
        <f ca="1">IFERROR(__xludf.UNSUPPORTED("""COMPUTED_VALUE"""),503.51)</f>
        <v>503.51</v>
      </c>
      <c r="C1638" s="2">
        <f t="shared" ca="1" si="6"/>
        <v>1.3873786798759587E-2</v>
      </c>
    </row>
    <row r="1639" spans="1:3">
      <c r="A1639" s="3">
        <f ca="1">IFERROR(__xludf.UNSUPPORTED("""COMPUTED_VALUE"""),45848.6666666666)</f>
        <v>45848.666666666599</v>
      </c>
      <c r="B1639" s="1">
        <f ca="1">IFERROR(__xludf.UNSUPPORTED("""COMPUTED_VALUE"""),501.48)</f>
        <v>501.48</v>
      </c>
      <c r="C1639" s="2">
        <f t="shared" ca="1" si="6"/>
        <v>-4.0316974836646195E-3</v>
      </c>
    </row>
    <row r="1640" spans="1:3">
      <c r="A1640" s="3">
        <f ca="1">IFERROR(__xludf.UNSUPPORTED("""COMPUTED_VALUE"""),45849.6666666666)</f>
        <v>45849.666666666599</v>
      </c>
      <c r="B1640" s="1">
        <f ca="1">IFERROR(__xludf.UNSUPPORTED("""COMPUTED_VALUE"""),503.32)</f>
        <v>503.32</v>
      </c>
      <c r="C1640" s="2">
        <f t="shared" ca="1" si="6"/>
        <v>3.6691393475312573E-3</v>
      </c>
    </row>
    <row r="1641" spans="1:3">
      <c r="A1641" s="3">
        <f ca="1">IFERROR(__xludf.UNSUPPORTED("""COMPUTED_VALUE"""),45852.6666666666)</f>
        <v>45852.666666666599</v>
      </c>
      <c r="B1641" s="1">
        <f ca="1">IFERROR(__xludf.UNSUPPORTED("""COMPUTED_VALUE"""),503.02)</f>
        <v>503.02</v>
      </c>
      <c r="C1641" s="2">
        <f t="shared" ca="1" si="6"/>
        <v>-5.9604227926569853E-4</v>
      </c>
    </row>
    <row r="1642" spans="1:3">
      <c r="A1642" s="3">
        <f ca="1">IFERROR(__xludf.UNSUPPORTED("""COMPUTED_VALUE"""),45853.6666666666)</f>
        <v>45853.666666666599</v>
      </c>
      <c r="B1642" s="1">
        <f ca="1">IFERROR(__xludf.UNSUPPORTED("""COMPUTED_VALUE"""),505.82)</f>
        <v>505.82</v>
      </c>
      <c r="C1642" s="2">
        <f t="shared" ca="1" si="6"/>
        <v>5.5663790704147181E-3</v>
      </c>
    </row>
    <row r="1643" spans="1:3">
      <c r="A1643" s="3">
        <f ca="1">IFERROR(__xludf.UNSUPPORTED("""COMPUTED_VALUE"""),45854.6666666666)</f>
        <v>45854.666666666599</v>
      </c>
      <c r="B1643" s="1">
        <f ca="1">IFERROR(__xludf.UNSUPPORTED("""COMPUTED_VALUE"""),505.62)</f>
        <v>505.62</v>
      </c>
      <c r="C1643" s="2">
        <f t="shared" ca="1" si="6"/>
        <v>-3.9539757225888386E-4</v>
      </c>
    </row>
    <row r="1644" spans="1:3">
      <c r="A1644" s="3">
        <f ca="1">IFERROR(__xludf.UNSUPPORTED("""COMPUTED_VALUE"""),45855.6666666666)</f>
        <v>45855.666666666599</v>
      </c>
      <c r="B1644" s="1">
        <f ca="1">IFERROR(__xludf.UNSUPPORTED("""COMPUTED_VALUE"""),511.7)</f>
        <v>511.7</v>
      </c>
      <c r="C1644" s="2">
        <f t="shared" ca="1" si="6"/>
        <v>1.2024840789525698E-2</v>
      </c>
    </row>
    <row r="1645" spans="1:3">
      <c r="A1645" s="3">
        <f ca="1">IFERROR(__xludf.UNSUPPORTED("""COMPUTED_VALUE"""),45856.6666666666)</f>
        <v>45856.666666666599</v>
      </c>
      <c r="B1645" s="1">
        <f ca="1">IFERROR(__xludf.UNSUPPORTED("""COMPUTED_VALUE"""),510.05)</f>
        <v>510.05</v>
      </c>
      <c r="C1645" s="2">
        <f t="shared" ca="1" si="6"/>
        <v>-3.2245456322063265E-3</v>
      </c>
    </row>
    <row r="1646" spans="1:3">
      <c r="A1646" s="3">
        <f ca="1">IFERROR(__xludf.UNSUPPORTED("""COMPUTED_VALUE"""),45859.6666666666)</f>
        <v>45859.666666666599</v>
      </c>
      <c r="B1646" s="1">
        <f ca="1">IFERROR(__xludf.UNSUPPORTED("""COMPUTED_VALUE"""),510.06)</f>
        <v>510.06</v>
      </c>
      <c r="C1646" s="2">
        <f t="shared" ca="1" si="6"/>
        <v>1.9605920988120585E-5</v>
      </c>
    </row>
    <row r="1647" spans="1:3">
      <c r="A1647" s="3">
        <f ca="1">IFERROR(__xludf.UNSUPPORTED("""COMPUTED_VALUE"""),45860.6666666666)</f>
        <v>45860.666666666599</v>
      </c>
      <c r="B1647" s="1">
        <f ca="1">IFERROR(__xludf.UNSUPPORTED("""COMPUTED_VALUE"""),505.27)</f>
        <v>505.27</v>
      </c>
      <c r="C1647" s="2">
        <f t="shared" ca="1" si="6"/>
        <v>-9.3910520330941858E-3</v>
      </c>
    </row>
    <row r="1648" spans="1:3">
      <c r="A1648" s="3">
        <f ca="1">IFERROR(__xludf.UNSUPPORTED("""COMPUTED_VALUE"""),45861.6666666666)</f>
        <v>45861.666666666599</v>
      </c>
      <c r="B1648" s="1">
        <f ca="1">IFERROR(__xludf.UNSUPPORTED("""COMPUTED_VALUE"""),505.87)</f>
        <v>505.87</v>
      </c>
      <c r="C1648" s="2">
        <f t="shared" ca="1" si="6"/>
        <v>1.1874839194886352E-3</v>
      </c>
    </row>
    <row r="1649" spans="1:3">
      <c r="A1649" s="3">
        <f ca="1">IFERROR(__xludf.UNSUPPORTED("""COMPUTED_VALUE"""),45862.6666666666)</f>
        <v>45862.666666666599</v>
      </c>
      <c r="B1649" s="1">
        <f ca="1">IFERROR(__xludf.UNSUPPORTED("""COMPUTED_VALUE"""),510.88)</f>
        <v>510.88</v>
      </c>
      <c r="C1649" s="2">
        <f t="shared" ca="1" si="6"/>
        <v>9.9037302073655114E-3</v>
      </c>
    </row>
    <row r="1650" spans="1:3">
      <c r="A1650" s="3">
        <f ca="1">IFERROR(__xludf.UNSUPPORTED("""COMPUTED_VALUE"""),45863.6666666666)</f>
        <v>45863.666666666599</v>
      </c>
      <c r="B1650" s="1">
        <f ca="1">IFERROR(__xludf.UNSUPPORTED("""COMPUTED_VALUE"""),513.71)</f>
        <v>513.71</v>
      </c>
      <c r="C1650" s="2">
        <f t="shared" ca="1" si="6"/>
        <v>5.5394613216411702E-3</v>
      </c>
    </row>
    <row r="1651" spans="1:3">
      <c r="A1651" s="3">
        <f ca="1">IFERROR(__xludf.UNSUPPORTED("""COMPUTED_VALUE"""),45866.6666666666)</f>
        <v>45866.666666666599</v>
      </c>
      <c r="B1651" s="1">
        <f ca="1">IFERROR(__xludf.UNSUPPORTED("""COMPUTED_VALUE"""),512.5)</f>
        <v>512.5</v>
      </c>
      <c r="C1651" s="2">
        <f t="shared" ca="1" si="6"/>
        <v>-2.3554145334917292E-3</v>
      </c>
    </row>
    <row r="1652" spans="1:3">
      <c r="A1652" s="3">
        <f ca="1">IFERROR(__xludf.UNSUPPORTED("""COMPUTED_VALUE"""),45867.6666666666)</f>
        <v>45867.666666666599</v>
      </c>
      <c r="B1652" s="1">
        <f ca="1">IFERROR(__xludf.UNSUPPORTED("""COMPUTED_VALUE"""),512.57)</f>
        <v>512.57000000000005</v>
      </c>
      <c r="C1652" s="2">
        <f t="shared" ca="1" si="6"/>
        <v>1.3658536585375614E-4</v>
      </c>
    </row>
    <row r="1653" spans="1:3">
      <c r="A1653" s="3">
        <f ca="1">IFERROR(__xludf.UNSUPPORTED("""COMPUTED_VALUE"""),45868.6666666666)</f>
        <v>45868.666666666599</v>
      </c>
      <c r="B1653" s="1">
        <f ca="1">IFERROR(__xludf.UNSUPPORTED("""COMPUTED_VALUE"""),513.24)</f>
        <v>513.24</v>
      </c>
      <c r="C1653" s="2">
        <f t="shared" ca="1" si="6"/>
        <v>1.3071385371753303E-3</v>
      </c>
    </row>
    <row r="1654" spans="1:3">
      <c r="A1654" s="3">
        <f ca="1">IFERROR(__xludf.UNSUPPORTED("""COMPUTED_VALUE"""),45869.6666666666)</f>
        <v>45869.666666666599</v>
      </c>
      <c r="B1654" s="1">
        <f ca="1">IFERROR(__xludf.UNSUPPORTED("""COMPUTED_VALUE"""),533.5)</f>
        <v>533.5</v>
      </c>
      <c r="C1654" s="2">
        <f t="shared" ca="1" si="6"/>
        <v>3.9474709687475629E-2</v>
      </c>
    </row>
    <row r="1655" spans="1:3">
      <c r="A1655" s="3">
        <f ca="1">IFERROR(__xludf.UNSUPPORTED("""COMPUTED_VALUE"""),45870.6666666666)</f>
        <v>45870.666666666599</v>
      </c>
      <c r="B1655" s="1">
        <f ca="1">IFERROR(__xludf.UNSUPPORTED("""COMPUTED_VALUE"""),524.11)</f>
        <v>524.11</v>
      </c>
      <c r="C1655" s="2">
        <f t="shared" ca="1" si="6"/>
        <v>-1.7600749765698195E-2</v>
      </c>
    </row>
    <row r="1656" spans="1:3">
      <c r="A1656" s="3">
        <f ca="1">IFERROR(__xludf.UNSUPPORTED("""COMPUTED_VALUE"""),45873.6666666666)</f>
        <v>45873.666666666599</v>
      </c>
      <c r="B1656" s="1">
        <f ca="1">IFERROR(__xludf.UNSUPPORTED("""COMPUTED_VALUE"""),535.64)</f>
        <v>535.64</v>
      </c>
      <c r="C1656" s="2">
        <f t="shared" ca="1" si="6"/>
        <v>2.1999198641506502E-2</v>
      </c>
    </row>
    <row r="1657" spans="1:3">
      <c r="A1657" s="3">
        <f ca="1">IFERROR(__xludf.UNSUPPORTED("""COMPUTED_VALUE"""),45874.6666666666)</f>
        <v>45874.666666666599</v>
      </c>
      <c r="B1657" s="1">
        <f ca="1">IFERROR(__xludf.UNSUPPORTED("""COMPUTED_VALUE"""),527.75)</f>
        <v>527.75</v>
      </c>
      <c r="C1657" s="2">
        <f t="shared" ca="1" si="6"/>
        <v>-1.4730042565902447E-2</v>
      </c>
    </row>
    <row r="1658" spans="1:3">
      <c r="A1658" s="3">
        <f ca="1">IFERROR(__xludf.UNSUPPORTED("""COMPUTED_VALUE"""),45875.6666666666)</f>
        <v>45875.666666666599</v>
      </c>
      <c r="B1658" s="1">
        <f ca="1">IFERROR(__xludf.UNSUPPORTED("""COMPUTED_VALUE"""),524.94)</f>
        <v>524.94000000000005</v>
      </c>
      <c r="C1658" s="2">
        <f t="shared" ca="1" si="6"/>
        <v>-5.3244907626716163E-3</v>
      </c>
    </row>
    <row r="1659" spans="1:3">
      <c r="A1659" s="3">
        <f ca="1">IFERROR(__xludf.UNSUPPORTED("""COMPUTED_VALUE"""),45876.6666666666)</f>
        <v>45876.666666666599</v>
      </c>
      <c r="B1659" s="1">
        <f ca="1">IFERROR(__xludf.UNSUPPORTED("""COMPUTED_VALUE"""),520.84)</f>
        <v>520.84</v>
      </c>
      <c r="C1659" s="2">
        <f t="shared" ca="1" si="6"/>
        <v>-7.8104164285442571E-3</v>
      </c>
    </row>
    <row r="1660" spans="1:3">
      <c r="A1660" s="3">
        <f ca="1">IFERROR(__xludf.UNSUPPORTED("""COMPUTED_VALUE"""),45877.6666666666)</f>
        <v>45877.666666666599</v>
      </c>
      <c r="B1660" s="1">
        <f ca="1">IFERROR(__xludf.UNSUPPORTED("""COMPUTED_VALUE"""),522.04)</f>
        <v>522.04</v>
      </c>
      <c r="C1660" s="2">
        <f t="shared" ca="1" si="6"/>
        <v>2.3039705091773516E-3</v>
      </c>
    </row>
    <row r="1661" spans="1:3">
      <c r="A1661" s="3">
        <f ca="1">IFERROR(__xludf.UNSUPPORTED("""COMPUTED_VALUE"""),45880.6666666666)</f>
        <v>45880.666666666599</v>
      </c>
      <c r="B1661" s="1">
        <f ca="1">IFERROR(__xludf.UNSUPPORTED("""COMPUTED_VALUE"""),521.77)</f>
        <v>521.77</v>
      </c>
      <c r="C1661" s="2">
        <f t="shared" ca="1" si="6"/>
        <v>-5.1720174699253284E-4</v>
      </c>
    </row>
    <row r="1662" spans="1:3">
      <c r="A1662" s="3">
        <f ca="1">IFERROR(__xludf.UNSUPPORTED("""COMPUTED_VALUE"""),45881.6666666666)</f>
        <v>45881.666666666599</v>
      </c>
      <c r="B1662" s="1">
        <f ca="1">IFERROR(__xludf.UNSUPPORTED("""COMPUTED_VALUE"""),529.24)</f>
        <v>529.24</v>
      </c>
      <c r="C1662" s="2">
        <f t="shared" ca="1" si="6"/>
        <v>1.431665293136828E-2</v>
      </c>
    </row>
    <row r="1663" spans="1:3">
      <c r="A1663" s="3">
        <f ca="1">IFERROR(__xludf.UNSUPPORTED("""COMPUTED_VALUE"""),45882.6666666666)</f>
        <v>45882.666666666599</v>
      </c>
      <c r="B1663" s="1">
        <f ca="1">IFERROR(__xludf.UNSUPPORTED("""COMPUTED_VALUE"""),520.58)</f>
        <v>520.58000000000004</v>
      </c>
      <c r="C1663" s="2">
        <f t="shared" ca="1" si="6"/>
        <v>-1.6363086690348364E-2</v>
      </c>
    </row>
    <row r="1664" spans="1:3">
      <c r="A1664" s="3">
        <f ca="1">IFERROR(__xludf.UNSUPPORTED("""COMPUTED_VALUE"""),45883.6666666666)</f>
        <v>45883.666666666599</v>
      </c>
      <c r="B1664" s="1">
        <f ca="1">IFERROR(__xludf.UNSUPPORTED("""COMPUTED_VALUE"""),522.48)</f>
        <v>522.48</v>
      </c>
      <c r="C1664" s="2">
        <f t="shared" ca="1" si="6"/>
        <v>3.6497752506818876E-3</v>
      </c>
    </row>
    <row r="1665" spans="1:3">
      <c r="A1665" s="3">
        <f ca="1">IFERROR(__xludf.UNSUPPORTED("""COMPUTED_VALUE"""),45884.6666666666)</f>
        <v>45884.666666666599</v>
      </c>
      <c r="B1665" s="1">
        <f ca="1">IFERROR(__xludf.UNSUPPORTED("""COMPUTED_VALUE"""),520.17)</f>
        <v>520.16999999999996</v>
      </c>
      <c r="C1665" s="2">
        <f t="shared" ca="1" si="6"/>
        <v>-4.4212218649518813E-3</v>
      </c>
    </row>
    <row r="1666" spans="1:3">
      <c r="A1666" s="3">
        <f ca="1">IFERROR(__xludf.UNSUPPORTED("""COMPUTED_VALUE"""),45887.6666666666)</f>
        <v>45887.666666666599</v>
      </c>
      <c r="B1666" s="1">
        <f ca="1">IFERROR(__xludf.UNSUPPORTED("""COMPUTED_VALUE"""),517.1)</f>
        <v>517.1</v>
      </c>
      <c r="C1666" s="2">
        <f t="shared" ca="1" si="6"/>
        <v>-5.9019166810849082E-3</v>
      </c>
    </row>
    <row r="1667" spans="1:3">
      <c r="A1667" s="3">
        <f ca="1">IFERROR(__xludf.UNSUPPORTED("""COMPUTED_VALUE"""),45888.6666666666)</f>
        <v>45888.666666666599</v>
      </c>
      <c r="B1667" s="1">
        <f ca="1">IFERROR(__xludf.UNSUPPORTED("""COMPUTED_VALUE"""),509.77)</f>
        <v>509.77</v>
      </c>
      <c r="C1667" s="2">
        <f t="shared" ca="1" si="6"/>
        <v>-1.4175207890156721E-2</v>
      </c>
    </row>
    <row r="1668" spans="1:3">
      <c r="A1668" s="3">
        <f ca="1">IFERROR(__xludf.UNSUPPORTED("""COMPUTED_VALUE"""),45889.6666666666)</f>
        <v>45889.666666666599</v>
      </c>
      <c r="B1668" s="1">
        <f ca="1">IFERROR(__xludf.UNSUPPORTED("""COMPUTED_VALUE"""),505.72)</f>
        <v>505.72</v>
      </c>
      <c r="C1668" s="2">
        <f t="shared" ca="1" si="6"/>
        <v>-7.9447594012985352E-3</v>
      </c>
    </row>
    <row r="1669" spans="1:3">
      <c r="A1669" s="3">
        <f ca="1">IFERROR(__xludf.UNSUPPORTED("""COMPUTED_VALUE"""),45890.6666666666)</f>
        <v>45890.666666666599</v>
      </c>
      <c r="B1669" s="1">
        <f ca="1">IFERROR(__xludf.UNSUPPORTED("""COMPUTED_VALUE"""),504.24)</f>
        <v>504.24</v>
      </c>
      <c r="C1669" s="2">
        <f t="shared" ca="1" si="6"/>
        <v>-2.926520604286993E-3</v>
      </c>
    </row>
    <row r="1670" spans="1:3">
      <c r="A1670" s="3">
        <f ca="1">IFERROR(__xludf.UNSUPPORTED("""COMPUTED_VALUE"""),45891.6666666666)</f>
        <v>45891.666666666599</v>
      </c>
      <c r="B1670" s="1">
        <f ca="1">IFERROR(__xludf.UNSUPPORTED("""COMPUTED_VALUE"""),507.23)</f>
        <v>507.23</v>
      </c>
      <c r="C1670" s="2">
        <f t="shared" ca="1" si="6"/>
        <v>5.9297160082500576E-3</v>
      </c>
    </row>
    <row r="1671" spans="1:3">
      <c r="A1671" s="3">
        <f ca="1">IFERROR(__xludf.UNSUPPORTED("""COMPUTED_VALUE"""),45894.6666666666)</f>
        <v>45894.666666666599</v>
      </c>
      <c r="B1671" s="1">
        <f ca="1">IFERROR(__xludf.UNSUPPORTED("""COMPUTED_VALUE"""),504.26)</f>
        <v>504.26</v>
      </c>
      <c r="C1671" s="2">
        <f t="shared" ca="1" si="6"/>
        <v>-5.8553319007157052E-3</v>
      </c>
    </row>
    <row r="1672" spans="1:3">
      <c r="A1672" s="3">
        <f ca="1">IFERROR(__xludf.UNSUPPORTED("""COMPUTED_VALUE"""),45895.6666666666)</f>
        <v>45895.666666666599</v>
      </c>
      <c r="B1672" s="1">
        <f ca="1">IFERROR(__xludf.UNSUPPORTED("""COMPUTED_VALUE"""),502.04)</f>
        <v>502.04</v>
      </c>
      <c r="C1672" s="2">
        <f t="shared" ca="1" si="6"/>
        <v>-4.4024907785665543E-3</v>
      </c>
    </row>
    <row r="1673" spans="1:3">
      <c r="A1673" s="3">
        <f ca="1">IFERROR(__xludf.UNSUPPORTED("""COMPUTED_VALUE"""),45896.6666666666)</f>
        <v>45896.666666666599</v>
      </c>
      <c r="B1673" s="1">
        <f ca="1">IFERROR(__xludf.UNSUPPORTED("""COMPUTED_VALUE"""),506.74)</f>
        <v>506.74</v>
      </c>
      <c r="C1673" s="2">
        <f t="shared" ca="1" si="6"/>
        <v>9.3618038403314244E-3</v>
      </c>
    </row>
    <row r="1674" spans="1:3">
      <c r="A1674" s="3">
        <f ca="1">IFERROR(__xludf.UNSUPPORTED("""COMPUTED_VALUE"""),45897.6666666666)</f>
        <v>45897.666666666599</v>
      </c>
      <c r="B1674" s="1">
        <f ca="1">IFERROR(__xludf.UNSUPPORTED("""COMPUTED_VALUE"""),509.64)</f>
        <v>509.64</v>
      </c>
      <c r="C1674" s="2">
        <f t="shared" ca="1" si="6"/>
        <v>5.722855902435129E-3</v>
      </c>
    </row>
    <row r="1675" spans="1:3">
      <c r="A1675" s="3">
        <f ca="1">IFERROR(__xludf.UNSUPPORTED("""COMPUTED_VALUE"""),45898.6666666666)</f>
        <v>45898.666666666599</v>
      </c>
      <c r="B1675" s="1">
        <f ca="1">IFERROR(__xludf.UNSUPPORTED("""COMPUTED_VALUE"""),506.69)</f>
        <v>506.69</v>
      </c>
      <c r="C1675" s="2">
        <f t="shared" ca="1" si="6"/>
        <v>-5.7883996546581676E-3</v>
      </c>
    </row>
    <row r="1676" spans="1:3">
      <c r="A1676" s="3">
        <f ca="1">IFERROR(__xludf.UNSUPPORTED("""COMPUTED_VALUE"""),45902.6666666666)</f>
        <v>45902.666666666599</v>
      </c>
      <c r="B1676" s="1">
        <f ca="1">IFERROR(__xludf.UNSUPPORTED("""COMPUTED_VALUE"""),505.12)</f>
        <v>505.12</v>
      </c>
      <c r="C1676" s="2">
        <f t="shared" ca="1" si="6"/>
        <v>-3.0985415145355012E-3</v>
      </c>
    </row>
    <row r="1677" spans="1:3">
      <c r="A1677" s="3">
        <f ca="1">IFERROR(__xludf.UNSUPPORTED("""COMPUTED_VALUE"""),45903.6666666666)</f>
        <v>45903.666666666599</v>
      </c>
      <c r="B1677" s="1">
        <f ca="1">IFERROR(__xludf.UNSUPPORTED("""COMPUTED_VALUE"""),505.35)</f>
        <v>505.35</v>
      </c>
      <c r="C1677" s="2">
        <f t="shared" ca="1" si="6"/>
        <v>4.5533734558128402E-4</v>
      </c>
    </row>
    <row r="1678" spans="1:3">
      <c r="A1678" s="3">
        <f ca="1">IFERROR(__xludf.UNSUPPORTED("""COMPUTED_VALUE"""),45904.6666666666)</f>
        <v>45904.666666666599</v>
      </c>
      <c r="B1678" s="1">
        <f ca="1">IFERROR(__xludf.UNSUPPORTED("""COMPUTED_VALUE"""),507.97)</f>
        <v>507.97</v>
      </c>
      <c r="C1678" s="2">
        <f t="shared" ca="1" si="6"/>
        <v>5.184525576333243E-3</v>
      </c>
    </row>
    <row r="1679" spans="1:3">
      <c r="A1679" s="3">
        <f ca="1">IFERROR(__xludf.UNSUPPORTED("""COMPUTED_VALUE"""),45905.6666666666)</f>
        <v>45905.666666666599</v>
      </c>
      <c r="B1679" s="1">
        <f ca="1">IFERROR(__xludf.UNSUPPORTED("""COMPUTED_VALUE"""),495)</f>
        <v>495</v>
      </c>
      <c r="C1679" s="2">
        <f t="shared" ca="1" si="6"/>
        <v>-2.5533003917554239E-2</v>
      </c>
    </row>
    <row r="1680" spans="1:3">
      <c r="A1680" s="3">
        <f ca="1">IFERROR(__xludf.UNSUPPORTED("""COMPUTED_VALUE"""),45908.6666666666)</f>
        <v>45908.666666666599</v>
      </c>
      <c r="B1680" s="1">
        <f ca="1">IFERROR(__xludf.UNSUPPORTED("""COMPUTED_VALUE"""),498.2)</f>
        <v>498.2</v>
      </c>
      <c r="C1680" s="2">
        <f t="shared" ca="1" si="6"/>
        <v>6.4646464646464421E-3</v>
      </c>
    </row>
    <row r="1681" spans="1:3">
      <c r="A1681" s="3">
        <f ca="1">IFERROR(__xludf.UNSUPPORTED("""COMPUTED_VALUE"""),45909.6666666666)</f>
        <v>45909.666666666599</v>
      </c>
      <c r="B1681" s="1">
        <f ca="1">IFERROR(__xludf.UNSUPPORTED("""COMPUTED_VALUE"""),498.41)</f>
        <v>498.41</v>
      </c>
      <c r="C1681" s="2">
        <f t="shared" ca="1" si="6"/>
        <v>4.215174628663918E-4</v>
      </c>
    </row>
    <row r="1682" spans="1:3">
      <c r="A1682" s="3">
        <f ca="1">IFERROR(__xludf.UNSUPPORTED("""COMPUTED_VALUE"""),45910.6666666666)</f>
        <v>45910.666666666599</v>
      </c>
      <c r="B1682" s="1">
        <f ca="1">IFERROR(__xludf.UNSUPPORTED("""COMPUTED_VALUE"""),500.37)</f>
        <v>500.37</v>
      </c>
      <c r="C1682" s="2">
        <f t="shared" ca="1" si="6"/>
        <v>3.9325053670672327E-3</v>
      </c>
    </row>
    <row r="1683" spans="1:3">
      <c r="A1683" s="3">
        <f ca="1">IFERROR(__xludf.UNSUPPORTED("""COMPUTED_VALUE"""),45911.6666666666)</f>
        <v>45911.666666666599</v>
      </c>
      <c r="B1683" s="1">
        <f ca="1">IFERROR(__xludf.UNSUPPORTED("""COMPUTED_VALUE"""),501.01)</f>
        <v>501.01</v>
      </c>
      <c r="C1683" s="2">
        <f t="shared" ca="1" si="6"/>
        <v>1.2790535004096695E-3</v>
      </c>
    </row>
    <row r="1684" spans="1:3">
      <c r="A1684" s="3">
        <f ca="1">IFERROR(__xludf.UNSUPPORTED("""COMPUTED_VALUE"""),45912.6666666666)</f>
        <v>45912.666666666599</v>
      </c>
      <c r="B1684" s="1">
        <f ca="1">IFERROR(__xludf.UNSUPPORTED("""COMPUTED_VALUE"""),509.9)</f>
        <v>509.9</v>
      </c>
      <c r="C1684" s="2">
        <f t="shared" ca="1" si="6"/>
        <v>1.7744156803257392E-2</v>
      </c>
    </row>
    <row r="1685" spans="1:3">
      <c r="A1685" s="3">
        <f ca="1">IFERROR(__xludf.UNSUPPORTED("""COMPUTED_VALUE"""),45915.6666666666)</f>
        <v>45915.666666666599</v>
      </c>
      <c r="B1685" s="1">
        <f ca="1">IFERROR(__xludf.UNSUPPORTED("""COMPUTED_VALUE"""),515.36)</f>
        <v>515.36</v>
      </c>
      <c r="C1685" s="2">
        <f t="shared" ca="1" si="6"/>
        <v>1.0707981957246591E-2</v>
      </c>
    </row>
    <row r="1686" spans="1:3">
      <c r="A1686" s="3">
        <f ca="1">IFERROR(__xludf.UNSUPPORTED("""COMPUTED_VALUE"""),45916.6666666666)</f>
        <v>45916.666666666599</v>
      </c>
      <c r="B1686" s="1">
        <f ca="1">IFERROR(__xludf.UNSUPPORTED("""COMPUTED_VALUE"""),509.04)</f>
        <v>509.04</v>
      </c>
      <c r="C1686" s="2">
        <f t="shared" ca="1" si="6"/>
        <v>-1.2263272275690766E-2</v>
      </c>
    </row>
    <row r="1687" spans="1:3">
      <c r="A1687" s="3">
        <f ca="1">IFERROR(__xludf.UNSUPPORTED("""COMPUTED_VALUE"""),45917.6666666666)</f>
        <v>45917.666666666599</v>
      </c>
      <c r="B1687" s="1">
        <f ca="1">IFERROR(__xludf.UNSUPPORTED("""COMPUTED_VALUE"""),510.02)</f>
        <v>510.02</v>
      </c>
      <c r="C1687" s="2">
        <f t="shared" ca="1" si="6"/>
        <v>1.9251925192518492E-3</v>
      </c>
    </row>
    <row r="1688" spans="1:3">
      <c r="A1688" s="3">
        <f ca="1">IFERROR(__xludf.UNSUPPORTED("""COMPUTED_VALUE"""),45918.6666666666)</f>
        <v>45918.666666666599</v>
      </c>
      <c r="B1688" s="1">
        <f ca="1">IFERROR(__xludf.UNSUPPORTED("""COMPUTED_VALUE"""),508.45)</f>
        <v>508.45</v>
      </c>
      <c r="C1688" s="2">
        <f t="shared" ca="1" si="6"/>
        <v>-3.0783106544841248E-3</v>
      </c>
    </row>
    <row r="1689" spans="1:3">
      <c r="A1689" s="3">
        <f ca="1">IFERROR(__xludf.UNSUPPORTED("""COMPUTED_VALUE"""),45919.6666666666)</f>
        <v>45919.666666666599</v>
      </c>
      <c r="B1689" s="1">
        <f ca="1">IFERROR(__xludf.UNSUPPORTED("""COMPUTED_VALUE"""),517.93)</f>
        <v>517.92999999999995</v>
      </c>
      <c r="C1689" s="2">
        <f t="shared" ca="1" si="6"/>
        <v>1.8644901170223153E-2</v>
      </c>
    </row>
    <row r="1690" spans="1:3">
      <c r="A1690" s="3">
        <f ca="1">IFERROR(__xludf.UNSUPPORTED("""COMPUTED_VALUE"""),45922.6666666666)</f>
        <v>45922.666666666599</v>
      </c>
      <c r="B1690" s="1">
        <f ca="1">IFERROR(__xludf.UNSUPPORTED("""COMPUTED_VALUE"""),514.45)</f>
        <v>514.45000000000005</v>
      </c>
      <c r="C1690" s="2">
        <f t="shared" ca="1" si="6"/>
        <v>-6.719054698511198E-3</v>
      </c>
    </row>
    <row r="1691" spans="1:3">
      <c r="A1691" s="3">
        <f ca="1">IFERROR(__xludf.UNSUPPORTED("""COMPUTED_VALUE"""),45923.6666666666)</f>
        <v>45923.666666666599</v>
      </c>
      <c r="B1691" s="1">
        <f ca="1">IFERROR(__xludf.UNSUPPORTED("""COMPUTED_VALUE"""),509.23)</f>
        <v>509.23</v>
      </c>
      <c r="C1691" s="2">
        <f t="shared" ca="1" si="6"/>
        <v>-1.0146758674312424E-2</v>
      </c>
    </row>
    <row r="1692" spans="1:3">
      <c r="A1692" s="3">
        <f ca="1">IFERROR(__xludf.UNSUPPORTED("""COMPUTED_VALUE"""),45924.6666666666)</f>
        <v>45924.666666666599</v>
      </c>
      <c r="B1692" s="1">
        <f ca="1">IFERROR(__xludf.UNSUPPORTED("""COMPUTED_VALUE"""),509.23)</f>
        <v>509.23</v>
      </c>
      <c r="C1692" s="2">
        <f t="shared" ca="1" si="6"/>
        <v>0</v>
      </c>
    </row>
    <row r="1693" spans="1:3">
      <c r="A1693" s="3">
        <f ca="1">IFERROR(__xludf.UNSUPPORTED("""COMPUTED_VALUE"""),45926.6666666666)</f>
        <v>45926.666666666599</v>
      </c>
      <c r="B1693" s="1">
        <f ca="1">IFERROR(__xludf.UNSUPPORTED("""COMPUTED_VALUE"""),511.46)</f>
        <v>511.46</v>
      </c>
      <c r="C1693" s="2">
        <f t="shared" ca="1" si="6"/>
        <v>4.379160693596138E-3</v>
      </c>
    </row>
    <row r="1694" spans="1:3">
      <c r="A1694" s="3">
        <f ca="1">IFERROR(__xludf.UNSUPPORTED("""COMPUTED_VALUE"""),45929.6666666666)</f>
        <v>45929.666666666599</v>
      </c>
      <c r="B1694" s="1">
        <f ca="1">IFERROR(__xludf.UNSUPPORTED("""COMPUTED_VALUE"""),514.6)</f>
        <v>514.6</v>
      </c>
      <c r="C1694" s="2">
        <f t="shared" ca="1" si="6"/>
        <v>6.1392875298166881E-3</v>
      </c>
    </row>
    <row r="1695" spans="1:3">
      <c r="A1695" s="3">
        <f ca="1">IFERROR(__xludf.UNSUPPORTED("""COMPUTED_VALUE"""),45930.6666666666)</f>
        <v>45930.666666666599</v>
      </c>
      <c r="B1695" s="1">
        <f ca="1">IFERROR(__xludf.UNSUPPORTED("""COMPUTED_VALUE"""),517.95)</f>
        <v>517.95000000000005</v>
      </c>
      <c r="C1695" s="2">
        <f t="shared" ca="1" si="6"/>
        <v>6.5099106101827097E-3</v>
      </c>
    </row>
    <row r="1696" spans="1:3">
      <c r="A1696" s="3">
        <f ca="1">IFERROR(__xludf.UNSUPPORTED("""COMPUTED_VALUE"""),45931.6666666666)</f>
        <v>45931.666666666599</v>
      </c>
      <c r="B1696" s="1">
        <f ca="1">IFERROR(__xludf.UNSUPPORTED("""COMPUTED_VALUE"""),519.71)</f>
        <v>519.71</v>
      </c>
      <c r="C1696" s="2">
        <f t="shared" ca="1" si="6"/>
        <v>3.3980113910608953E-3</v>
      </c>
    </row>
    <row r="1697" spans="1:3">
      <c r="A1697" s="3">
        <f ca="1">IFERROR(__xludf.UNSUPPORTED("""COMPUTED_VALUE"""),45932.6666666666)</f>
        <v>45932.666666666599</v>
      </c>
      <c r="B1697" s="1">
        <f ca="1">IFERROR(__xludf.UNSUPPORTED("""COMPUTED_VALUE"""),515.74)</f>
        <v>515.74</v>
      </c>
      <c r="C1697" s="2">
        <f t="shared" ca="1" si="6"/>
        <v>-7.6388755267361164E-3</v>
      </c>
    </row>
    <row r="1698" spans="1:3">
      <c r="A1698" s="3">
        <f ca="1">IFERROR(__xludf.UNSUPPORTED("""COMPUTED_VALUE"""),45933.6666666666)</f>
        <v>45933.666666666599</v>
      </c>
      <c r="B1698" s="1">
        <f ca="1">IFERROR(__xludf.UNSUPPORTED("""COMPUTED_VALUE"""),517.35)</f>
        <v>517.35</v>
      </c>
      <c r="C1698" s="2">
        <f t="shared" ca="1" si="6"/>
        <v>3.1217280024818969E-3</v>
      </c>
    </row>
    <row r="1699" spans="1:3">
      <c r="A1699" s="3">
        <f ca="1">IFERROR(__xludf.UNSUPPORTED("""COMPUTED_VALUE"""),45936.6666666666)</f>
        <v>45936.666666666599</v>
      </c>
      <c r="B1699" s="1">
        <f ca="1">IFERROR(__xludf.UNSUPPORTED("""COMPUTED_VALUE"""),528.57)</f>
        <v>528.57000000000005</v>
      </c>
      <c r="C1699" s="2">
        <f t="shared" ca="1" si="6"/>
        <v>2.1687445636416405E-2</v>
      </c>
    </row>
    <row r="1700" spans="1:3">
      <c r="A1700" s="3">
        <f ca="1">IFERROR(__xludf.UNSUPPORTED("""COMPUTED_VALUE"""),45937.6666666666)</f>
        <v>45937.666666666599</v>
      </c>
      <c r="B1700" s="1">
        <f ca="1">IFERROR(__xludf.UNSUPPORTED("""COMPUTED_VALUE"""),523.98)</f>
        <v>523.98</v>
      </c>
      <c r="C1700" s="2">
        <f t="shared" ca="1" si="6"/>
        <v>-8.6838072535331771E-3</v>
      </c>
    </row>
    <row r="1701" spans="1:3">
      <c r="A1701" s="3">
        <f ca="1">IFERROR(__xludf.UNSUPPORTED("""COMPUTED_VALUE"""),45938.6666666666)</f>
        <v>45938.666666666599</v>
      </c>
      <c r="B1701" s="1">
        <f ca="1">IFERROR(__xludf.UNSUPPORTED("""COMPUTED_VALUE"""),524.85)</f>
        <v>524.85</v>
      </c>
      <c r="C1701" s="2">
        <f t="shared" ca="1" si="6"/>
        <v>1.6603687163632287E-3</v>
      </c>
    </row>
    <row r="1702" spans="1:3">
      <c r="A1702" s="3">
        <f ca="1">IFERROR(__xludf.UNSUPPORTED("""COMPUTED_VALUE"""),45939.6666666666)</f>
        <v>45939.666666666599</v>
      </c>
      <c r="B1702" s="1">
        <f ca="1">IFERROR(__xludf.UNSUPPORTED("""COMPUTED_VALUE"""),522.4)</f>
        <v>522.4</v>
      </c>
      <c r="C1702" s="2">
        <f t="shared" ca="1" si="6"/>
        <v>-4.6680003810613416E-3</v>
      </c>
    </row>
    <row r="1703" spans="1:3">
      <c r="A1703" s="3">
        <f ca="1">IFERROR(__xludf.UNSUPPORTED("""COMPUTED_VALUE"""),45940.6666666666)</f>
        <v>45940.666666666599</v>
      </c>
      <c r="B1703" s="1">
        <f ca="1">IFERROR(__xludf.UNSUPPORTED("""COMPUTED_VALUE"""),510.96)</f>
        <v>510.96</v>
      </c>
      <c r="C1703" s="2">
        <f t="shared" ca="1" si="6"/>
        <v>-2.1898928024502294E-2</v>
      </c>
    </row>
    <row r="1704" spans="1:3">
      <c r="A1704" s="3">
        <f ca="1">IFERROR(__xludf.UNSUPPORTED("""COMPUTED_VALUE"""),45943.6666666666)</f>
        <v>45943.666666666599</v>
      </c>
      <c r="B1704" s="1">
        <f ca="1">IFERROR(__xludf.UNSUPPORTED("""COMPUTED_VALUE"""),514.05)</f>
        <v>514.04999999999995</v>
      </c>
      <c r="C1704" s="2">
        <f t="shared" ca="1" si="6"/>
        <v>6.0474401127289324E-3</v>
      </c>
    </row>
    <row r="1705" spans="1:3">
      <c r="A1705" s="3">
        <f ca="1">IFERROR(__xludf.UNSUPPORTED("""COMPUTED_VALUE"""),45944.6666666666)</f>
        <v>45944.666666666599</v>
      </c>
      <c r="B1705" s="1">
        <f ca="1">IFERROR(__xludf.UNSUPPORTED("""COMPUTED_VALUE"""),513.57)</f>
        <v>513.57000000000005</v>
      </c>
      <c r="C1705" s="2">
        <f t="shared" ca="1" si="6"/>
        <v>-9.3376130726564453E-4</v>
      </c>
    </row>
    <row r="1706" spans="1:3">
      <c r="A1706" s="3">
        <f ca="1">IFERROR(__xludf.UNSUPPORTED("""COMPUTED_VALUE"""),45945.6666666666)</f>
        <v>45945.666666666599</v>
      </c>
      <c r="B1706" s="1">
        <f ca="1">IFERROR(__xludf.UNSUPPORTED("""COMPUTED_VALUE"""),513.43)</f>
        <v>513.42999999999995</v>
      </c>
      <c r="C1706" s="2">
        <f t="shared" ca="1" si="6"/>
        <v>-2.7260159277235825E-4</v>
      </c>
    </row>
    <row r="1707" spans="1:3">
      <c r="A1707" s="3">
        <f ca="1">IFERROR(__xludf.UNSUPPORTED("""COMPUTED_VALUE"""),45946.6666666666)</f>
        <v>45946.666666666599</v>
      </c>
      <c r="B1707" s="1">
        <f ca="1">IFERROR(__xludf.UNSUPPORTED("""COMPUTED_VALUE"""),511.61)</f>
        <v>511.61</v>
      </c>
      <c r="C1707" s="2">
        <f t="shared" ca="1" si="6"/>
        <v>-3.5447870206258623E-3</v>
      </c>
    </row>
    <row r="1708" spans="1:3">
      <c r="A1708" s="3">
        <f ca="1">IFERROR(__xludf.UNSUPPORTED("""COMPUTED_VALUE"""),45947.6666666666)</f>
        <v>45947.666666666599</v>
      </c>
      <c r="B1708" s="1">
        <f ca="1">IFERROR(__xludf.UNSUPPORTED("""COMPUTED_VALUE"""),513.58)</f>
        <v>513.58000000000004</v>
      </c>
      <c r="C1708" s="2">
        <f t="shared" ca="1" si="6"/>
        <v>3.8505893160806614E-3</v>
      </c>
    </row>
    <row r="1709" spans="1:3">
      <c r="A1709" s="3">
        <f ca="1">IFERROR(__xludf.UNSUPPORTED("""COMPUTED_VALUE"""),45950.6666666666)</f>
        <v>45950.666666666599</v>
      </c>
      <c r="B1709" s="1">
        <f ca="1">IFERROR(__xludf.UNSUPPORTED("""COMPUTED_VALUE"""),516.79)</f>
        <v>516.79</v>
      </c>
      <c r="C1709" s="2">
        <f t="shared" ca="1" si="6"/>
        <v>6.2502433895399402E-3</v>
      </c>
    </row>
    <row r="1710" spans="1:3">
      <c r="A1710" s="3">
        <f ca="1">IFERROR(__xludf.UNSUPPORTED("""COMPUTED_VALUE"""),45951.6666666666)</f>
        <v>45951.666666666599</v>
      </c>
      <c r="B1710" s="1">
        <f ca="1">IFERROR(__xludf.UNSUPPORTED("""COMPUTED_VALUE"""),517.66)</f>
        <v>517.66</v>
      </c>
      <c r="C1710" s="2">
        <f t="shared" ca="1" si="6"/>
        <v>1.6834691073743776E-3</v>
      </c>
    </row>
    <row r="1711" spans="1:3">
      <c r="A1711" s="3">
        <f ca="1">IFERROR(__xludf.UNSUPPORTED("""COMPUTED_VALUE"""),45952.6666666666)</f>
        <v>45952.666666666599</v>
      </c>
      <c r="B1711" s="1">
        <f ca="1">IFERROR(__xludf.UNSUPPORTED("""COMPUTED_VALUE"""),520.54)</f>
        <v>520.54</v>
      </c>
      <c r="C1711" s="2">
        <f t="shared" ca="1" si="6"/>
        <v>5.5634972762044496E-3</v>
      </c>
    </row>
    <row r="1712" spans="1:3">
      <c r="A1712" s="3">
        <f ca="1">IFERROR(__xludf.UNSUPPORTED("""COMPUTED_VALUE"""),45953.6666666666)</f>
        <v>45953.666666666599</v>
      </c>
      <c r="B1712" s="1">
        <f ca="1">IFERROR(__xludf.UNSUPPORTED("""COMPUTED_VALUE"""),520.56)</f>
        <v>520.55999999999995</v>
      </c>
      <c r="C1712" s="2">
        <f t="shared" ca="1" si="6"/>
        <v>3.8421639067087664E-5</v>
      </c>
    </row>
    <row r="1713" spans="1:3">
      <c r="A1713" s="3">
        <f ca="1">IFERROR(__xludf.UNSUPPORTED("""COMPUTED_VALUE"""),45954.6666666666)</f>
        <v>45954.666666666599</v>
      </c>
      <c r="B1713" s="1">
        <f ca="1">IFERROR(__xludf.UNSUPPORTED("""COMPUTED_VALUE"""),523.61)</f>
        <v>523.61</v>
      </c>
      <c r="C1713" s="2">
        <f t="shared" ca="1" si="6"/>
        <v>5.8590748424774634E-3</v>
      </c>
    </row>
    <row r="1714" spans="1:3">
      <c r="A1714" s="3">
        <f ca="1">IFERROR(__xludf.UNSUPPORTED("""COMPUTED_VALUE"""),45957.6666666666)</f>
        <v>45957.666666666599</v>
      </c>
      <c r="B1714" s="1">
        <f ca="1">IFERROR(__xludf.UNSUPPORTED("""COMPUTED_VALUE"""),531.52)</f>
        <v>531.52</v>
      </c>
      <c r="C1714" s="2">
        <f t="shared" ca="1" si="6"/>
        <v>1.5106663356314753E-2</v>
      </c>
    </row>
    <row r="1715" spans="1:3">
      <c r="A1715" s="3">
        <f ca="1">IFERROR(__xludf.UNSUPPORTED("""COMPUTED_VALUE"""),45958.6666666666)</f>
        <v>45958.666666666599</v>
      </c>
      <c r="B1715" s="1">
        <f ca="1">IFERROR(__xludf.UNSUPPORTED("""COMPUTED_VALUE"""),542.07)</f>
        <v>542.07000000000005</v>
      </c>
      <c r="C1715" s="2">
        <f t="shared" ca="1" si="6"/>
        <v>1.9848735701384838E-2</v>
      </c>
    </row>
    <row r="1716" spans="1:3">
      <c r="A1716" s="3">
        <f ca="1">IFERROR(__xludf.UNSUPPORTED("""COMPUTED_VALUE"""),45959.6666666666)</f>
        <v>45959.666666666599</v>
      </c>
      <c r="B1716" s="1">
        <f ca="1">IFERROR(__xludf.UNSUPPORTED("""COMPUTED_VALUE"""),541.55)</f>
        <v>541.54999999999995</v>
      </c>
      <c r="C1716" s="2">
        <f t="shared" ca="1" si="6"/>
        <v>-9.5928570110888898E-4</v>
      </c>
    </row>
    <row r="1717" spans="1:3">
      <c r="A1717" s="3">
        <f ca="1">IFERROR(__xludf.UNSUPPORTED("""COMPUTED_VALUE"""),45960.6666666666)</f>
        <v>45960.666666666599</v>
      </c>
      <c r="B1717" s="1">
        <f ca="1">IFERROR(__xludf.UNSUPPORTED("""COMPUTED_VALUE"""),525.76)</f>
        <v>525.76</v>
      </c>
      <c r="C1717" s="2">
        <f t="shared" ca="1" si="6"/>
        <v>-2.915704921059914E-2</v>
      </c>
    </row>
    <row r="1718" spans="1:3">
      <c r="A1718" s="3">
        <f ca="1">IFERROR(__xludf.UNSUPPORTED("""COMPUTED_VALUE"""),45961.6666666666)</f>
        <v>45961.666666666599</v>
      </c>
      <c r="B1718" s="1">
        <f ca="1">IFERROR(__xludf.UNSUPPORTED("""COMPUTED_VALUE"""),517.81)</f>
        <v>517.80999999999995</v>
      </c>
      <c r="C1718" s="2">
        <f t="shared" ca="1" si="6"/>
        <v>-1.5120967741935571E-2</v>
      </c>
    </row>
    <row r="1719" spans="1:3">
      <c r="A1719" s="3">
        <f ca="1">IFERROR(__xludf.UNSUPPORTED("""COMPUTED_VALUE"""),45964.6666666666)</f>
        <v>45964.666666666599</v>
      </c>
      <c r="B1719" s="1">
        <f ca="1">IFERROR(__xludf.UNSUPPORTED("""COMPUTED_VALUE"""),517.03)</f>
        <v>517.03</v>
      </c>
      <c r="C1719" s="2">
        <f t="shared" ca="1" si="6"/>
        <v>-1.5063440258009169E-3</v>
      </c>
    </row>
    <row r="1720" spans="1:3">
      <c r="A1720" s="3">
        <f ca="1">IFERROR(__xludf.UNSUPPORTED("""COMPUTED_VALUE"""),45965.6666666666)</f>
        <v>45965.666666666599</v>
      </c>
      <c r="B1720" s="1">
        <f ca="1">IFERROR(__xludf.UNSUPPORTED("""COMPUTED_VALUE"""),514.33)</f>
        <v>514.33000000000004</v>
      </c>
      <c r="C1720" s="2">
        <f t="shared" ca="1" si="6"/>
        <v>-5.2221341121403628E-3</v>
      </c>
    </row>
    <row r="1721" spans="1:3">
      <c r="A1721" s="3">
        <f ca="1">IFERROR(__xludf.UNSUPPORTED("""COMPUTED_VALUE"""),45966.6666666666)</f>
        <v>45966.666666666599</v>
      </c>
      <c r="B1721" s="1">
        <f ca="1">IFERROR(__xludf.UNSUPPORTED("""COMPUTED_VALUE"""),507.16)</f>
        <v>507.16</v>
      </c>
      <c r="C1721" s="2">
        <f t="shared" ca="1" si="6"/>
        <v>-1.3940466237629567E-2</v>
      </c>
    </row>
    <row r="1722" spans="1:3">
      <c r="A1722" s="3">
        <f ca="1">IFERROR(__xludf.UNSUPPORTED("""COMPUTED_VALUE"""),45967.6666666666)</f>
        <v>45967.666666666599</v>
      </c>
      <c r="B1722" s="1">
        <f ca="1">IFERROR(__xludf.UNSUPPORTED("""COMPUTED_VALUE"""),497.1)</f>
        <v>497.1</v>
      </c>
      <c r="C1722" s="2">
        <f t="shared" ca="1" si="6"/>
        <v>-1.9835949207350739E-2</v>
      </c>
    </row>
    <row r="1723" spans="1:3">
      <c r="A1723" s="3">
        <f ca="1">IFERROR(__xludf.UNSUPPORTED("""COMPUTED_VALUE"""),45968.6666666666)</f>
        <v>45968.666666666599</v>
      </c>
      <c r="B1723" s="1">
        <f ca="1">IFERROR(__xludf.UNSUPPORTED("""COMPUTED_VALUE"""),496.82)</f>
        <v>496.82</v>
      </c>
      <c r="C1723" s="2">
        <f t="shared" ca="1" si="6"/>
        <v>-5.6326694830020028E-4</v>
      </c>
    </row>
    <row r="1724" spans="1:3">
      <c r="A1724" s="3">
        <f ca="1">IFERROR(__xludf.UNSUPPORTED("""COMPUTED_VALUE"""),45971.6666666666)</f>
        <v>45971.666666666599</v>
      </c>
      <c r="B1724" s="1">
        <f ca="1">IFERROR(__xludf.UNSUPPORTED("""COMPUTED_VALUE"""),506)</f>
        <v>506</v>
      </c>
      <c r="C1724" s="2">
        <f t="shared" ca="1" si="6"/>
        <v>1.8477517008171986E-2</v>
      </c>
    </row>
    <row r="1725" spans="1:3">
      <c r="A1725" s="3">
        <f ca="1">IFERROR(__xludf.UNSUPPORTED("""COMPUTED_VALUE"""),45972.6666666666)</f>
        <v>45972.666666666599</v>
      </c>
      <c r="B1725" s="1">
        <f ca="1">IFERROR(__xludf.UNSUPPORTED("""COMPUTED_VALUE"""),508.68)</f>
        <v>508.68</v>
      </c>
      <c r="C1725" s="2">
        <f t="shared" ca="1" si="6"/>
        <v>5.2964426877470487E-3</v>
      </c>
    </row>
    <row r="1726" spans="1:3">
      <c r="A1726" s="3">
        <f ca="1">IFERROR(__xludf.UNSUPPORTED("""COMPUTED_VALUE"""),45973.6666666666)</f>
        <v>45973.666666666599</v>
      </c>
      <c r="B1726" s="1">
        <f ca="1">IFERROR(__xludf.UNSUPPORTED("""COMPUTED_VALUE"""),511.14)</f>
        <v>511.14</v>
      </c>
      <c r="C1726" s="2">
        <f t="shared" ca="1" si="6"/>
        <v>4.8360462373200821E-3</v>
      </c>
    </row>
    <row r="1727" spans="1:3">
      <c r="A1727" s="3">
        <f ca="1">IFERROR(__xludf.UNSUPPORTED("""COMPUTED_VALUE"""),45974.6666666666)</f>
        <v>45974.666666666599</v>
      </c>
      <c r="B1727" s="1">
        <f ca="1">IFERROR(__xludf.UNSUPPORTED("""COMPUTED_VALUE"""),503.29)</f>
        <v>503.29</v>
      </c>
      <c r="C1727" s="2">
        <f t="shared" ca="1" si="6"/>
        <v>-1.535782760104857E-2</v>
      </c>
    </row>
    <row r="1728" spans="1:3">
      <c r="A1728" s="3">
        <f ca="1">IFERROR(__xludf.UNSUPPORTED("""COMPUTED_VALUE"""),45975.6666666666)</f>
        <v>45975.666666666599</v>
      </c>
      <c r="B1728" s="1">
        <f ca="1">IFERROR(__xludf.UNSUPPORTED("""COMPUTED_VALUE"""),510.18)</f>
        <v>510.18</v>
      </c>
      <c r="C1728" s="2">
        <f t="shared" ca="1" si="6"/>
        <v>1.3689920324266299E-2</v>
      </c>
    </row>
    <row r="1729" spans="1:3">
      <c r="A1729" s="3">
        <f ca="1">IFERROR(__xludf.UNSUPPORTED("""COMPUTED_VALUE"""),45978.6666666666)</f>
        <v>45978.666666666599</v>
      </c>
      <c r="B1729" s="1">
        <f ca="1">IFERROR(__xludf.UNSUPPORTED("""COMPUTED_VALUE"""),507.49)</f>
        <v>507.49</v>
      </c>
      <c r="C1729" s="2">
        <f t="shared" ca="1" si="6"/>
        <v>-5.2726488690266133E-3</v>
      </c>
    </row>
    <row r="1730" spans="1:3">
      <c r="A1730" s="3">
        <f ca="1">IFERROR(__xludf.UNSUPPORTED("""COMPUTED_VALUE"""),45979.6666666666)</f>
        <v>45979.666666666599</v>
      </c>
      <c r="B1730" s="1">
        <f ca="1">IFERROR(__xludf.UNSUPPORTED("""COMPUTED_VALUE"""),493.79)</f>
        <v>493.79</v>
      </c>
      <c r="C1730" s="2">
        <f t="shared" ca="1" si="6"/>
        <v>-2.6995605824745292E-2</v>
      </c>
    </row>
    <row r="1731" spans="1:3">
      <c r="A1731" s="3">
        <f ca="1">IFERROR(__xludf.UNSUPPORTED("""COMPUTED_VALUE"""),45980.6666666666)</f>
        <v>45980.666666666599</v>
      </c>
      <c r="B1731" s="1">
        <f ca="1">IFERROR(__xludf.UNSUPPORTED("""COMPUTED_VALUE"""),487.12)</f>
        <v>487.12</v>
      </c>
      <c r="C1731" s="2">
        <f t="shared" ca="1" si="6"/>
        <v>-1.3507766459426104E-2</v>
      </c>
    </row>
    <row r="1732" spans="1:3">
      <c r="A1732" s="3">
        <f ca="1">IFERROR(__xludf.UNSUPPORTED("""COMPUTED_VALUE"""),45981.6666666666)</f>
        <v>45981.666666666599</v>
      </c>
      <c r="B1732" s="1">
        <f ca="1">IFERROR(__xludf.UNSUPPORTED("""COMPUTED_VALUE"""),478.43)</f>
        <v>478.43</v>
      </c>
      <c r="C1732" s="2">
        <f t="shared" ca="1" si="6"/>
        <v>-1.7839546723599928E-2</v>
      </c>
    </row>
    <row r="1733" spans="1:3">
      <c r="A1733" s="3">
        <f ca="1">IFERROR(__xludf.UNSUPPORTED("""COMPUTED_VALUE"""),45982.6666666666)</f>
        <v>45982.666666666599</v>
      </c>
      <c r="B1733" s="1">
        <f ca="1">IFERROR(__xludf.UNSUPPORTED("""COMPUTED_VALUE"""),472.12)</f>
        <v>472.12</v>
      </c>
      <c r="C1733" s="2">
        <f t="shared" ca="1" si="6"/>
        <v>-1.3188972263445023E-2</v>
      </c>
    </row>
    <row r="1734" spans="1:3">
      <c r="A1734" s="3">
        <f ca="1">IFERROR(__xludf.UNSUPPORTED("""COMPUTED_VALUE"""),45985.6666666666)</f>
        <v>45985.666666666599</v>
      </c>
      <c r="B1734" s="1">
        <f ca="1">IFERROR(__xludf.UNSUPPORTED("""COMPUTED_VALUE"""),474)</f>
        <v>474</v>
      </c>
      <c r="C1734" s="2">
        <f t="shared" ca="1" si="6"/>
        <v>3.9820384647970761E-3</v>
      </c>
    </row>
    <row r="1735" spans="1:3">
      <c r="A1735" s="3">
        <f ca="1">IFERROR(__xludf.UNSUPPORTED("""COMPUTED_VALUE"""),45986.6666666666)</f>
        <v>45986.666666666599</v>
      </c>
      <c r="B1735" s="1">
        <f ca="1">IFERROR(__xludf.UNSUPPORTED("""COMPUTED_VALUE"""),476.99)</f>
        <v>476.99</v>
      </c>
      <c r="C1735" s="2">
        <f t="shared" ca="1" si="6"/>
        <v>6.3080168776371501E-3</v>
      </c>
    </row>
    <row r="1736" spans="1:3">
      <c r="A1736" s="3">
        <f ca="1">IFERROR(__xludf.UNSUPPORTED("""COMPUTED_VALUE"""),45987.6666666666)</f>
        <v>45987.666666666599</v>
      </c>
      <c r="B1736" s="1">
        <f ca="1">IFERROR(__xludf.UNSUPPORTED("""COMPUTED_VALUE"""),485.5)</f>
        <v>485.5</v>
      </c>
      <c r="C1736" s="2">
        <f t="shared" ca="1" si="6"/>
        <v>1.7841044885636995E-2</v>
      </c>
    </row>
    <row r="1737" spans="1:3">
      <c r="A1737" s="3">
        <f ca="1">IFERROR(__xludf.UNSUPPORTED("""COMPUTED_VALUE"""),45989.5451388888)</f>
        <v>45989.545138888803</v>
      </c>
      <c r="B1737" s="1">
        <f ca="1">IFERROR(__xludf.UNSUPPORTED("""COMPUTED_VALUE"""),492.01)</f>
        <v>492.01</v>
      </c>
      <c r="C1737" s="2">
        <f t="shared" ca="1" si="6"/>
        <v>1.3408856848609662E-2</v>
      </c>
    </row>
    <row r="1738" spans="1:3">
      <c r="A1738" s="3">
        <f ca="1">IFERROR(__xludf.UNSUPPORTED("""COMPUTED_VALUE"""),45992.6666666666)</f>
        <v>45992.666666666599</v>
      </c>
      <c r="B1738" s="1">
        <f ca="1">IFERROR(__xludf.UNSUPPORTED("""COMPUTED_VALUE"""),486.74)</f>
        <v>486.74</v>
      </c>
      <c r="C1738" s="2">
        <f t="shared" ca="1" si="6"/>
        <v>-1.0711164407227459E-2</v>
      </c>
    </row>
    <row r="1739" spans="1:3">
      <c r="A1739" s="3">
        <f ca="1">IFERROR(__xludf.UNSUPPORTED("""COMPUTED_VALUE"""),45993.6666666666)</f>
        <v>45993.666666666599</v>
      </c>
      <c r="B1739" s="1">
        <f ca="1">IFERROR(__xludf.UNSUPPORTED("""COMPUTED_VALUE"""),490)</f>
        <v>490</v>
      </c>
      <c r="C1739" s="2">
        <f t="shared" ca="1" si="6"/>
        <v>6.6976209064387371E-3</v>
      </c>
    </row>
    <row r="1740" spans="1:3">
      <c r="A1740" s="3">
        <f ca="1">IFERROR(__xludf.UNSUPPORTED("""COMPUTED_VALUE"""),45994.6666666666)</f>
        <v>45994.666666666599</v>
      </c>
      <c r="B1740" s="1">
        <f ca="1">IFERROR(__xludf.UNSUPPORTED("""COMPUTED_VALUE"""),477.73)</f>
        <v>477.73</v>
      </c>
      <c r="C1740" s="2">
        <f t="shared" ca="1" si="6"/>
        <v>-2.5040816326530574E-2</v>
      </c>
    </row>
    <row r="1741" spans="1:3">
      <c r="A1741" s="3">
        <f ca="1">IFERROR(__xludf.UNSUPPORTED("""COMPUTED_VALUE"""),45995.6666666666)</f>
        <v>45995.666666666599</v>
      </c>
      <c r="B1741" s="1">
        <f ca="1">IFERROR(__xludf.UNSUPPORTED("""COMPUTED_VALUE"""),480.84)</f>
        <v>480.84</v>
      </c>
      <c r="C1741" s="2">
        <f t="shared" ca="1" si="6"/>
        <v>6.5099533209133963E-3</v>
      </c>
    </row>
    <row r="1742" spans="1:3">
      <c r="A1742" s="3">
        <f ca="1">IFERROR(__xludf.UNSUPPORTED("""COMPUTED_VALUE"""),45996.6666666666)</f>
        <v>45996.666666666599</v>
      </c>
      <c r="B1742" s="1">
        <f ca="1">IFERROR(__xludf.UNSUPPORTED("""COMPUTED_VALUE"""),483.16)</f>
        <v>483.16</v>
      </c>
      <c r="C1742" s="2">
        <f t="shared" ca="1" si="6"/>
        <v>4.8248897762250441E-3</v>
      </c>
    </row>
    <row r="1743" spans="1:3">
      <c r="A1743" s="3">
        <f ca="1">IFERROR(__xludf.UNSUPPORTED("""COMPUTED_VALUE"""),45999.6666666666)</f>
        <v>45999.666666666599</v>
      </c>
      <c r="B1743" s="1">
        <f ca="1">IFERROR(__xludf.UNSUPPORTED("""COMPUTED_VALUE"""),491.02)</f>
        <v>491.02</v>
      </c>
      <c r="C1743" s="2">
        <f t="shared" ca="1" si="6"/>
        <v>1.6267902972100248E-2</v>
      </c>
    </row>
    <row r="1744" spans="1:3">
      <c r="A1744" s="3">
        <f ca="1">IFERROR(__xludf.UNSUPPORTED("""COMPUTED_VALUE"""),46000.6666666666)</f>
        <v>46000.666666666599</v>
      </c>
      <c r="B1744" s="1">
        <f ca="1">IFERROR(__xludf.UNSUPPORTED("""COMPUTED_VALUE"""),492.02)</f>
        <v>492.02</v>
      </c>
      <c r="C1744" s="2">
        <f t="shared" ca="1" si="6"/>
        <v>2.0365769215103255E-3</v>
      </c>
    </row>
    <row r="1745" spans="1:3">
      <c r="A1745" s="3">
        <f ca="1">IFERROR(__xludf.UNSUPPORTED("""COMPUTED_VALUE"""),46001.6666666666)</f>
        <v>46001.666666666599</v>
      </c>
      <c r="B1745" s="1">
        <f ca="1">IFERROR(__xludf.UNSUPPORTED("""COMPUTED_VALUE"""),478.56)</f>
        <v>478.56</v>
      </c>
      <c r="C1745" s="2">
        <f t="shared" ca="1" si="6"/>
        <v>-2.7356611519856876E-2</v>
      </c>
    </row>
    <row r="1746" spans="1:3">
      <c r="A1746" s="3">
        <f ca="1">IFERROR(__xludf.UNSUPPORTED("""COMPUTED_VALUE"""),46002.6666666666)</f>
        <v>46002.666666666599</v>
      </c>
      <c r="B1746" s="1">
        <f ca="1">IFERROR(__xludf.UNSUPPORTED("""COMPUTED_VALUE"""),483.47)</f>
        <v>483.47</v>
      </c>
      <c r="C1746" s="2">
        <f t="shared" ca="1" si="6"/>
        <v>1.0259946506185275E-2</v>
      </c>
    </row>
    <row r="1747" spans="1:3">
      <c r="A1747" s="3">
        <f ca="1">IFERROR(__xludf.UNSUPPORTED("""COMPUTED_VALUE"""),46003.6666666666)</f>
        <v>46003.666666666599</v>
      </c>
      <c r="B1747" s="1">
        <f ca="1">IFERROR(__xludf.UNSUPPORTED("""COMPUTED_VALUE"""),478.53)</f>
        <v>478.53</v>
      </c>
      <c r="C1747" s="2">
        <f t="shared" ca="1" si="6"/>
        <v>-1.0217800484001187E-2</v>
      </c>
    </row>
    <row r="1748" spans="1:3">
      <c r="A1748" s="3">
        <f ca="1">IFERROR(__xludf.UNSUPPORTED("""COMPUTED_VALUE"""),46006.6666666666)</f>
        <v>46006.666666666599</v>
      </c>
      <c r="B1748" s="1">
        <f ca="1">IFERROR(__xludf.UNSUPPORTED("""COMPUTED_VALUE"""),474.82)</f>
        <v>474.82</v>
      </c>
      <c r="C1748" s="2">
        <f t="shared" ca="1" si="6"/>
        <v>-7.752909953398909E-3</v>
      </c>
    </row>
    <row r="1749" spans="1:3">
      <c r="A1749" s="3">
        <f ca="1">IFERROR(__xludf.UNSUPPORTED("""COMPUTED_VALUE"""),46007.6666666666)</f>
        <v>46007.666666666599</v>
      </c>
      <c r="B1749" s="1">
        <f ca="1">IFERROR(__xludf.UNSUPPORTED("""COMPUTED_VALUE"""),476.39)</f>
        <v>476.39</v>
      </c>
      <c r="C1749" s="2">
        <f t="shared" ca="1" si="6"/>
        <v>3.306516153489729E-3</v>
      </c>
    </row>
    <row r="1750" spans="1:3">
      <c r="A1750" s="3">
        <f ca="1">IFERROR(__xludf.UNSUPPORTED("""COMPUTED_VALUE"""),46008.6666666666)</f>
        <v>46008.666666666599</v>
      </c>
      <c r="B1750" s="1">
        <f ca="1">IFERROR(__xludf.UNSUPPORTED("""COMPUTED_VALUE"""),476.12)</f>
        <v>476.12</v>
      </c>
      <c r="C1750" s="2">
        <f t="shared" ca="1" si="6"/>
        <v>-5.6676252650135776E-4</v>
      </c>
    </row>
    <row r="1751" spans="1:3">
      <c r="A1751" s="3">
        <f ca="1">IFERROR(__xludf.UNSUPPORTED("""COMPUTED_VALUE"""),46009.6666666666)</f>
        <v>46009.666666666599</v>
      </c>
      <c r="B1751" s="1">
        <f ca="1">IFERROR(__xludf.UNSUPPORTED("""COMPUTED_VALUE"""),483.98)</f>
        <v>483.98</v>
      </c>
      <c r="C1751" s="2">
        <f t="shared" ca="1" si="6"/>
        <v>1.6508443249600969E-2</v>
      </c>
    </row>
    <row r="1752" spans="1:3">
      <c r="A1752" s="3">
        <f ca="1">IFERROR(__xludf.UNSUPPORTED("""COMPUTED_VALUE"""),46010.6666666666)</f>
        <v>46010.666666666599</v>
      </c>
      <c r="B1752" s="1">
        <f ca="1">IFERROR(__xludf.UNSUPPORTED("""COMPUTED_VALUE"""),485.92)</f>
        <v>485.92</v>
      </c>
      <c r="C1752" s="2">
        <f t="shared" ca="1" si="6"/>
        <v>4.0084301004173675E-3</v>
      </c>
    </row>
    <row r="1753" spans="1:3">
      <c r="A1753" s="3">
        <f ca="1">IFERROR(__xludf.UNSUPPORTED("""COMPUTED_VALUE"""),46013.6666666666)</f>
        <v>46013.666666666599</v>
      </c>
      <c r="B1753" s="1">
        <f ca="1">IFERROR(__xludf.UNSUPPORTED("""COMPUTED_VALUE"""),484.92)</f>
        <v>484.92</v>
      </c>
      <c r="C1753" s="2">
        <f t="shared" ca="1" si="6"/>
        <v>-2.057951926243003E-3</v>
      </c>
    </row>
    <row r="1754" spans="1:3">
      <c r="A1754" s="3">
        <f ca="1">IFERROR(__xludf.UNSUPPORTED("""COMPUTED_VALUE"""),46014.6666666666)</f>
        <v>46014.666666666599</v>
      </c>
      <c r="B1754" s="1">
        <f ca="1">IFERROR(__xludf.UNSUPPORTED("""COMPUTED_VALUE"""),486.85)</f>
        <v>486.85</v>
      </c>
      <c r="C1754" s="2">
        <f t="shared" ca="1" si="6"/>
        <v>3.9800379444032141E-3</v>
      </c>
    </row>
    <row r="1755" spans="1:3">
      <c r="A1755" s="3">
        <f ca="1">IFERROR(__xludf.UNSUPPORTED("""COMPUTED_VALUE"""),46015.5451388888)</f>
        <v>46015.545138888803</v>
      </c>
      <c r="B1755" s="1">
        <f ca="1">IFERROR(__xludf.UNSUPPORTED("""COMPUTED_VALUE"""),488.02)</f>
        <v>488.02</v>
      </c>
      <c r="C1755" s="2">
        <f t="shared" ca="1" si="6"/>
        <v>2.4032042723630665E-3</v>
      </c>
    </row>
    <row r="1756" spans="1:3">
      <c r="A1756" s="3">
        <f ca="1">IFERROR(__xludf.UNSUPPORTED("""COMPUTED_VALUE"""),46017.6666666666)</f>
        <v>46017.666666666599</v>
      </c>
      <c r="B1756" s="1">
        <f ca="1">IFERROR(__xludf.UNSUPPORTED("""COMPUTED_VALUE"""),487.71)</f>
        <v>487.71</v>
      </c>
      <c r="C1756" s="2">
        <f t="shared" ca="1" si="6"/>
        <v>-6.3521986803819982E-4</v>
      </c>
    </row>
    <row r="1757" spans="1:3">
      <c r="A1757" s="3">
        <f ca="1">IFERROR(__xludf.UNSUPPORTED("""COMPUTED_VALUE"""),46020.6666666666)</f>
        <v>46020.666666666599</v>
      </c>
      <c r="B1757" s="1">
        <f ca="1">IFERROR(__xludf.UNSUPPORTED("""COMPUTED_VALUE"""),487.1)</f>
        <v>487.1</v>
      </c>
      <c r="C1757" s="2">
        <f t="shared" ca="1" si="6"/>
        <v>-1.250743269565842E-3</v>
      </c>
    </row>
    <row r="1758" spans="1:3">
      <c r="A1758" s="3">
        <f ca="1">IFERROR(__xludf.UNSUPPORTED("""COMPUTED_VALUE"""),46021.6666666666)</f>
        <v>46021.666666666599</v>
      </c>
      <c r="B1758" s="1">
        <f ca="1">IFERROR(__xludf.UNSUPPORTED("""COMPUTED_VALUE"""),487.48)</f>
        <v>487.48</v>
      </c>
      <c r="C1758" s="2">
        <f t="shared" ca="1" si="6"/>
        <v>7.8012728392526267E-4</v>
      </c>
    </row>
    <row r="1759" spans="1:3">
      <c r="A1759" s="3">
        <f ca="1">IFERROR(__xludf.UNSUPPORTED("""COMPUTED_VALUE"""),46022.6666666666)</f>
        <v>46022.666666666599</v>
      </c>
      <c r="B1759" s="1">
        <f ca="1">IFERROR(__xludf.UNSUPPORTED("""COMPUTED_VALUE"""),483.62)</f>
        <v>483.62</v>
      </c>
      <c r="C1759" s="2">
        <f t="shared" ca="1" si="6"/>
        <v>-7.9182735701977796E-3</v>
      </c>
    </row>
    <row r="1760" spans="1:3">
      <c r="A1760" s="3">
        <f ca="1">IFERROR(__xludf.UNSUPPORTED("""COMPUTED_VALUE"""),46024.6666666666)</f>
        <v>46024.666666666599</v>
      </c>
      <c r="B1760" s="1">
        <f ca="1">IFERROR(__xludf.UNSUPPORTED("""COMPUTED_VALUE"""),472.94)</f>
        <v>472.94</v>
      </c>
      <c r="C1760" s="2">
        <f t="shared" ca="1" si="6"/>
        <v>-2.2083453951449498E-2</v>
      </c>
    </row>
    <row r="1761" spans="1:3">
      <c r="A1761" s="3">
        <f ca="1">IFERROR(__xludf.UNSUPPORTED("""COMPUTED_VALUE"""),46027.6666666666)</f>
        <v>46027.666666666599</v>
      </c>
      <c r="B1761" s="1">
        <f ca="1">IFERROR(__xludf.UNSUPPORTED("""COMPUTED_VALUE"""),472.85)</f>
        <v>472.85</v>
      </c>
      <c r="C1761" s="2">
        <f t="shared" ca="1" si="6"/>
        <v>-1.9029898084318305E-4</v>
      </c>
    </row>
    <row r="1762" spans="1:3">
      <c r="A1762" s="3">
        <f ca="1">IFERROR(__xludf.UNSUPPORTED("""COMPUTED_VALUE"""),46028.6666666666)</f>
        <v>46028.666666666599</v>
      </c>
      <c r="B1762" s="1">
        <f ca="1">IFERROR(__xludf.UNSUPPORTED("""COMPUTED_VALUE"""),478.51)</f>
        <v>478.51</v>
      </c>
      <c r="C1762" s="2">
        <f t="shared" ca="1" si="6"/>
        <v>1.1969969334884145E-2</v>
      </c>
    </row>
    <row r="1763" spans="1:3">
      <c r="A1763" s="3">
        <f ca="1">IFERROR(__xludf.UNSUPPORTED("""COMPUTED_VALUE"""),46029.6666666666)</f>
        <v>46029.666666666599</v>
      </c>
      <c r="B1763" s="1">
        <f ca="1">IFERROR(__xludf.UNSUPPORTED("""COMPUTED_VALUE"""),483.47)</f>
        <v>483.47</v>
      </c>
      <c r="C1763" s="2">
        <f t="shared" ca="1" si="6"/>
        <v>1.0365509602725202E-2</v>
      </c>
    </row>
    <row r="1764" spans="1:3">
      <c r="A1764" s="3">
        <f ca="1">IFERROR(__xludf.UNSUPPORTED("""COMPUTED_VALUE"""),46030.6666666666)</f>
        <v>46030.666666666599</v>
      </c>
      <c r="B1764" s="1">
        <f ca="1">IFERROR(__xludf.UNSUPPORTED("""COMPUTED_VALUE"""),478.11)</f>
        <v>478.11</v>
      </c>
      <c r="C1764" s="2">
        <f t="shared" ca="1" si="6"/>
        <v>-1.1086520363207673E-2</v>
      </c>
    </row>
    <row r="1765" spans="1:3">
      <c r="A1765" s="3">
        <f ca="1">IFERROR(__xludf.UNSUPPORTED("""COMPUTED_VALUE"""),46031.6666666666)</f>
        <v>46031.666666666599</v>
      </c>
      <c r="B1765" s="1">
        <f ca="1">IFERROR(__xludf.UNSUPPORTED("""COMPUTED_VALUE"""),479.28)</f>
        <v>479.28</v>
      </c>
      <c r="C1765" s="2">
        <f t="shared" ca="1" si="6"/>
        <v>2.4471355964107823E-3</v>
      </c>
    </row>
    <row r="1766" spans="1:3">
      <c r="A1766" s="3">
        <f ca="1">IFERROR(__xludf.UNSUPPORTED("""COMPUTED_VALUE"""),46034.6666666666)</f>
        <v>46034.666666666599</v>
      </c>
      <c r="B1766" s="1">
        <f ca="1">IFERROR(__xludf.UNSUPPORTED("""COMPUTED_VALUE"""),477.18)</f>
        <v>477.18</v>
      </c>
      <c r="C1766" s="2">
        <f t="shared" ca="1" si="6"/>
        <v>-4.3815723585377362E-3</v>
      </c>
    </row>
    <row r="1767" spans="1:3">
      <c r="A1767" s="3">
        <f ca="1">IFERROR(__xludf.UNSUPPORTED("""COMPUTED_VALUE"""),46035.6666666666)</f>
        <v>46035.666666666599</v>
      </c>
      <c r="B1767" s="1">
        <f ca="1">IFERROR(__xludf.UNSUPPORTED("""COMPUTED_VALUE"""),470.67)</f>
        <v>470.67</v>
      </c>
      <c r="C1767" s="2">
        <f t="shared" ca="1" si="6"/>
        <v>-1.3642650572111134E-2</v>
      </c>
    </row>
    <row r="1768" spans="1:3">
      <c r="A1768" s="3">
        <f ca="1">IFERROR(__xludf.UNSUPPORTED("""COMPUTED_VALUE"""),46036.6666666666)</f>
        <v>46036.666666666599</v>
      </c>
      <c r="B1768" s="1">
        <f ca="1">IFERROR(__xludf.UNSUPPORTED("""COMPUTED_VALUE"""),459.38)</f>
        <v>459.38</v>
      </c>
      <c r="C1768" s="2">
        <f t="shared" ca="1" si="6"/>
        <v>-2.3987082244460067E-2</v>
      </c>
    </row>
    <row r="1769" spans="1:3">
      <c r="A1769" s="3">
        <f ca="1">IFERROR(__xludf.UNSUPPORTED("""COMPUTED_VALUE"""),46037.6666666666)</f>
        <v>46037.666666666599</v>
      </c>
      <c r="B1769" s="1">
        <f ca="1">IFERROR(__xludf.UNSUPPORTED("""COMPUTED_VALUE"""),456.66)</f>
        <v>456.66</v>
      </c>
      <c r="C1769" s="2">
        <f t="shared" ca="1" si="6"/>
        <v>-5.9210239888544784E-3</v>
      </c>
    </row>
    <row r="1770" spans="1:3">
      <c r="A1770" s="3">
        <f ca="1">IFERROR(__xludf.UNSUPPORTED("""COMPUTED_VALUE"""),46038.6666666666)</f>
        <v>46038.666666666599</v>
      </c>
      <c r="B1770" s="1">
        <f ca="1">IFERROR(__xludf.UNSUPPORTED("""COMPUTED_VALUE"""),459.86)</f>
        <v>459.86</v>
      </c>
      <c r="C1770" s="2">
        <f t="shared" ca="1" si="6"/>
        <v>7.0074015679060754E-3</v>
      </c>
    </row>
    <row r="1771" spans="1:3">
      <c r="A1771" s="3">
        <f ca="1">IFERROR(__xludf.UNSUPPORTED("""COMPUTED_VALUE"""),46042.6666666666)</f>
        <v>46042.666666666599</v>
      </c>
      <c r="B1771" s="1">
        <f ca="1">IFERROR(__xludf.UNSUPPORTED("""COMPUTED_VALUE"""),454.52)</f>
        <v>454.52</v>
      </c>
      <c r="C1771" s="2">
        <f t="shared" ca="1" si="6"/>
        <v>-1.1612229809072396E-2</v>
      </c>
    </row>
    <row r="1772" spans="1:3">
      <c r="A1772" s="3">
        <f ca="1">IFERROR(__xludf.UNSUPPORTED("""COMPUTED_VALUE"""),46043.6666666666)</f>
        <v>46043.666666666599</v>
      </c>
      <c r="B1772" s="1">
        <f ca="1">IFERROR(__xludf.UNSUPPORTED("""COMPUTED_VALUE"""),444.11)</f>
        <v>444.11</v>
      </c>
      <c r="C1772" s="2">
        <f t="shared" ca="1" si="6"/>
        <v>-2.2903282583824625E-2</v>
      </c>
    </row>
    <row r="1773" spans="1:3">
      <c r="A1773" s="3">
        <f ca="1">IFERROR(__xludf.UNSUPPORTED("""COMPUTED_VALUE"""),46044.6666666666)</f>
        <v>46044.666666666599</v>
      </c>
      <c r="B1773" s="1">
        <f ca="1">IFERROR(__xludf.UNSUPPORTED("""COMPUTED_VALUE"""),451.14)</f>
        <v>451.14</v>
      </c>
      <c r="C1773" s="2">
        <f t="shared" ca="1" si="6"/>
        <v>1.582941163225321E-2</v>
      </c>
    </row>
    <row r="1774" spans="1:3"/>
    <row r="1775" spans="1:3"/>
    <row r="1776" spans="1:3"/>
    <row r="1777"/>
    <row r="1778"/>
    <row r="1779"/>
    <row r="1780"/>
    <row r="1781"/>
    <row r="1782"/>
    <row r="1783"/>
    <row r="1784"/>
    <row r="1785"/>
    <row r="1786"/>
    <row r="1787"/>
    <row r="1788"/>
    <row r="1789"/>
    <row r="1790"/>
    <row r="1791"/>
    <row r="1792"/>
    <row r="1793"/>
    <row r="1794"/>
    <row r="1795"/>
    <row r="1796"/>
    <row r="1797"/>
    <row r="1798"/>
    <row r="1799"/>
    <row r="1800"/>
    <row r="1801"/>
    <row r="1802"/>
    <row r="1803"/>
    <row r="1804"/>
    <row r="1805"/>
    <row r="1806"/>
    <row r="1807"/>
    <row r="1808"/>
    <row r="1809"/>
    <row r="1810"/>
    <row r="1811"/>
    <row r="1812"/>
    <row r="1813"/>
    <row r="1814"/>
    <row r="1815"/>
    <row r="1816"/>
    <row r="1817"/>
    <row r="1818"/>
    <row r="1819"/>
    <row r="1820"/>
    <row r="1821"/>
    <row r="1822"/>
    <row r="1823"/>
    <row r="1824"/>
    <row r="1825"/>
    <row r="1826"/>
    <row r="1827"/>
    <row r="1828"/>
    <row r="1829"/>
    <row r="1830"/>
    <row r="1831"/>
    <row r="1832"/>
    <row r="1833"/>
    <row r="1834"/>
    <row r="1835"/>
    <row r="1836"/>
    <row r="1837"/>
    <row r="1838"/>
    <row r="1839"/>
    <row r="1840"/>
    <row r="1841"/>
    <row r="1842"/>
    <row r="1843"/>
    <row r="1844"/>
    <row r="1845"/>
    <row r="1846"/>
    <row r="1847"/>
    <row r="1848"/>
    <row r="1849"/>
    <row r="1850"/>
    <row r="1851"/>
    <row r="1852"/>
    <row r="1853"/>
    <row r="1854"/>
    <row r="1855"/>
    <row r="1856"/>
    <row r="1857"/>
    <row r="1858"/>
    <row r="1859"/>
    <row r="1860"/>
    <row r="1861"/>
    <row r="1862"/>
    <row r="1863"/>
    <row r="1864"/>
    <row r="1865"/>
    <row r="1866"/>
    <row r="1867"/>
    <row r="1868"/>
    <row r="1869"/>
    <row r="1870"/>
    <row r="1871"/>
    <row r="1872"/>
    <row r="1873"/>
    <row r="1874"/>
    <row r="1875"/>
    <row r="1876"/>
    <row r="1877"/>
    <row r="1878"/>
    <row r="1879"/>
    <row r="1880"/>
    <row r="1881"/>
    <row r="1882"/>
    <row r="1883"/>
    <row r="1884"/>
    <row r="1885"/>
    <row r="1886"/>
    <row r="1887"/>
    <row r="1888"/>
    <row r="1889"/>
    <row r="1890"/>
    <row r="1891"/>
    <row r="1892"/>
    <row r="1893"/>
    <row r="1894"/>
    <row r="1895"/>
    <row r="1896"/>
    <row r="1897"/>
    <row r="1898"/>
    <row r="1899"/>
    <row r="1900"/>
    <row r="1901"/>
    <row r="1902"/>
    <row r="1903"/>
    <row r="1904"/>
    <row r="1905"/>
    <row r="1906"/>
    <row r="1907"/>
    <row r="1908"/>
    <row r="1909"/>
    <row r="1910"/>
    <row r="1911"/>
    <row r="1912"/>
    <row r="1913"/>
    <row r="1914"/>
    <row r="1915"/>
    <row r="1916"/>
    <row r="1917"/>
    <row r="1918"/>
    <row r="1919"/>
    <row r="1920"/>
    <row r="1921"/>
    <row r="1922"/>
    <row r="1923"/>
    <row r="1924"/>
    <row r="1925"/>
    <row r="1926"/>
    <row r="1927"/>
    <row r="1928"/>
    <row r="1929"/>
    <row r="1930"/>
    <row r="1931"/>
    <row r="1932"/>
    <row r="1933"/>
    <row r="1934"/>
    <row r="1935"/>
    <row r="1936"/>
    <row r="1937"/>
    <row r="1938"/>
    <row r="1939"/>
    <row r="1940"/>
    <row r="1941"/>
    <row r="1942"/>
    <row r="1943"/>
    <row r="1944"/>
    <row r="1945"/>
    <row r="1946"/>
    <row r="1947"/>
    <row r="1948"/>
    <row r="1949"/>
    <row r="1950"/>
    <row r="1951"/>
    <row r="1952"/>
    <row r="1953"/>
    <row r="1954"/>
    <row r="1955"/>
    <row r="1956"/>
    <row r="1957"/>
    <row r="1958"/>
    <row r="1959"/>
    <row r="1960"/>
    <row r="1961"/>
    <row r="1962"/>
    <row r="1963"/>
    <row r="1964"/>
    <row r="1965"/>
    <row r="1966"/>
    <row r="1967"/>
    <row r="1968"/>
    <row r="1969"/>
    <row r="1970"/>
    <row r="1971"/>
    <row r="1972"/>
    <row r="1973"/>
    <row r="1974"/>
    <row r="1975"/>
    <row r="1976"/>
    <row r="1977"/>
    <row r="1978"/>
    <row r="1979"/>
    <row r="1980"/>
    <row r="1981"/>
    <row r="1982"/>
    <row r="1983"/>
    <row r="1984"/>
    <row r="1985"/>
    <row r="1986"/>
    <row r="1987"/>
    <row r="1988"/>
    <row r="1989"/>
    <row r="1990"/>
    <row r="1991"/>
    <row r="1992"/>
    <row r="1993"/>
    <row r="1994"/>
    <row r="1995"/>
    <row r="1996"/>
    <row r="1997"/>
    <row r="1998"/>
    <row r="1999"/>
    <row r="2000"/>
    <row r="2001"/>
    <row r="2002"/>
    <row r="2003"/>
    <row r="2004"/>
    <row r="2005"/>
    <row r="2006"/>
    <row r="2007"/>
    <row r="2008"/>
    <row r="2009"/>
    <row r="2010"/>
    <row r="2011"/>
    <row r="2012"/>
    <row r="2013"/>
    <row r="2014"/>
    <row r="2015"/>
    <row r="2016"/>
    <row r="2017"/>
    <row r="2018"/>
    <row r="2019"/>
    <row r="2020"/>
    <row r="2021"/>
    <row r="2022"/>
    <row r="2023"/>
    <row r="2024"/>
    <row r="2025"/>
    <row r="2026"/>
    <row r="2027"/>
    <row r="2028"/>
    <row r="2029"/>
    <row r="2030"/>
    <row r="2031"/>
    <row r="2032"/>
    <row r="2033"/>
    <row r="2034"/>
    <row r="2035"/>
    <row r="2036"/>
    <row r="2037"/>
    <row r="2038"/>
    <row r="2039"/>
    <row r="2040"/>
    <row r="2041"/>
    <row r="2042"/>
    <row r="2043"/>
    <row r="2044"/>
    <row r="2045"/>
    <row r="2046"/>
    <row r="2047"/>
    <row r="2048"/>
    <row r="2049"/>
    <row r="2050"/>
    <row r="2051"/>
    <row r="2052"/>
    <row r="2053"/>
    <row r="2054"/>
    <row r="2055"/>
    <row r="2056"/>
    <row r="2057"/>
    <row r="2058"/>
    <row r="2059"/>
    <row r="2060"/>
    <row r="2061"/>
    <row r="2062"/>
    <row r="2063"/>
    <row r="2064"/>
    <row r="2065"/>
    <row r="2066"/>
    <row r="2067"/>
    <row r="2068"/>
    <row r="2069"/>
    <row r="2070"/>
    <row r="2071"/>
    <row r="2072"/>
    <row r="2073"/>
    <row r="2074"/>
    <row r="2075"/>
    <row r="2076"/>
    <row r="2077"/>
    <row r="2078"/>
    <row r="2079"/>
    <row r="2080"/>
    <row r="2081"/>
    <row r="2082"/>
    <row r="2083"/>
    <row r="2084"/>
    <row r="2085"/>
    <row r="2086"/>
    <row r="2087"/>
    <row r="2088"/>
    <row r="2089"/>
    <row r="2090"/>
    <row r="2091"/>
    <row r="2092"/>
    <row r="2093"/>
    <row r="2094"/>
    <row r="2095"/>
    <row r="2096"/>
    <row r="2097"/>
    <row r="2098"/>
    <row r="2099"/>
    <row r="2100"/>
    <row r="2101"/>
    <row r="2102"/>
    <row r="2103"/>
    <row r="2104"/>
    <row r="2105"/>
    <row r="2106"/>
    <row r="2107"/>
    <row r="2108"/>
    <row r="2109"/>
    <row r="2110"/>
    <row r="2111"/>
    <row r="2112"/>
    <row r="2113"/>
    <row r="2114"/>
    <row r="2115"/>
    <row r="2116"/>
    <row r="2117"/>
    <row r="2118"/>
    <row r="2119"/>
    <row r="2120"/>
    <row r="2121"/>
    <row r="2122"/>
    <row r="2123"/>
    <row r="2124"/>
    <row r="2125"/>
    <row r="2126"/>
    <row r="2127"/>
    <row r="2128"/>
    <row r="2129"/>
    <row r="2130"/>
    <row r="2131"/>
    <row r="2132"/>
    <row r="2133"/>
    <row r="2134"/>
    <row r="2135"/>
    <row r="2136"/>
    <row r="2137"/>
    <row r="2138"/>
    <row r="2139"/>
    <row r="2140"/>
    <row r="2141"/>
    <row r="2142"/>
    <row r="2143"/>
    <row r="2144"/>
    <row r="2145"/>
    <row r="2146"/>
    <row r="2147"/>
    <row r="2148"/>
    <row r="2149"/>
    <row r="2150"/>
    <row r="2151"/>
    <row r="2152"/>
    <row r="2153"/>
    <row r="2154"/>
    <row r="2155"/>
    <row r="2156"/>
    <row r="2157"/>
    <row r="2158"/>
    <row r="2159"/>
    <row r="2160"/>
    <row r="2161"/>
    <row r="2162"/>
    <row r="2163"/>
    <row r="2164"/>
    <row r="2165"/>
    <row r="2166"/>
    <row r="2167"/>
    <row r="2168"/>
    <row r="2169"/>
    <row r="2170"/>
    <row r="2171"/>
    <row r="2172"/>
    <row r="2173"/>
    <row r="2174"/>
    <row r="2175"/>
    <row r="2176"/>
    <row r="2177"/>
    <row r="2178"/>
    <row r="2179"/>
    <row r="2180"/>
    <row r="2181"/>
    <row r="2182"/>
    <row r="2183"/>
    <row r="2184"/>
    <row r="2185"/>
    <row r="2186"/>
    <row r="2187"/>
    <row r="2188"/>
    <row r="2189"/>
    <row r="2190"/>
    <row r="2191"/>
    <row r="2192"/>
    <row r="2193"/>
    <row r="2194"/>
    <row r="2195"/>
    <row r="2196"/>
    <row r="2197"/>
    <row r="2198"/>
    <row r="2199"/>
    <row r="2200"/>
    <row r="2201"/>
    <row r="2202"/>
    <row r="2203"/>
    <row r="2204"/>
    <row r="2205"/>
    <row r="2206"/>
    <row r="2207"/>
    <row r="2208"/>
    <row r="2209"/>
    <row r="2210"/>
    <row r="2211"/>
    <row r="2212"/>
    <row r="2213"/>
    <row r="2214"/>
    <row r="2215"/>
    <row r="2216"/>
    <row r="2217"/>
    <row r="2218"/>
    <row r="2219"/>
    <row r="2220"/>
    <row r="2221"/>
    <row r="2222"/>
    <row r="2223"/>
    <row r="2224"/>
    <row r="2225"/>
    <row r="2226"/>
    <row r="2227"/>
    <row r="2228"/>
    <row r="2229"/>
    <row r="2230"/>
    <row r="2231"/>
    <row r="2232"/>
    <row r="2233"/>
    <row r="2234"/>
    <row r="2235"/>
    <row r="2236"/>
    <row r="2237"/>
    <row r="2238"/>
    <row r="2239"/>
    <row r="2240"/>
    <row r="2241"/>
    <row r="2242"/>
    <row r="2243"/>
    <row r="2244"/>
    <row r="2245"/>
    <row r="2246"/>
    <row r="2247"/>
    <row r="2248"/>
    <row r="2249"/>
    <row r="2250"/>
    <row r="2251"/>
    <row r="2252"/>
    <row r="2253"/>
    <row r="2254"/>
    <row r="2255"/>
    <row r="2256"/>
    <row r="2257"/>
    <row r="2258"/>
    <row r="2259"/>
    <row r="2260"/>
    <row r="2261"/>
    <row r="2262"/>
    <row r="2263"/>
    <row r="2264"/>
    <row r="2265"/>
    <row r="2266"/>
    <row r="2267"/>
    <row r="2268"/>
    <row r="2269"/>
    <row r="2270"/>
    <row r="2271"/>
    <row r="2272"/>
    <row r="2273"/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H2272"/>
  <sheetViews>
    <sheetView workbookViewId="0"/>
  </sheetViews>
  <sheetFormatPr defaultColWidth="12.5703125" defaultRowHeight="15.75" customHeight="1"/>
  <sheetData>
    <row r="1" spans="1:8">
      <c r="A1" s="1" t="str">
        <f ca="1">IFERROR(__xludf.UNSUPPORTED(GOOGLEFINANCE("NVDA", "price", "01/01/2019", "01/22/2026", "DAILY")),"Date")</f>
        <v>Date</v>
      </c>
      <c r="B1" s="1" t="str">
        <f ca="1">IFERROR(__xludf.UNSUPPORTED("""COMPUTED_VALUE"""),"Close")</f>
        <v>Close</v>
      </c>
      <c r="C1" s="2" t="s">
        <v>13</v>
      </c>
      <c r="E1" s="1" t="s">
        <v>14</v>
      </c>
      <c r="F1" s="2" t="s">
        <v>15</v>
      </c>
      <c r="G1" s="2" t="s">
        <v>16</v>
      </c>
      <c r="H1" s="2" t="s">
        <v>17</v>
      </c>
    </row>
    <row r="2" spans="1:8">
      <c r="A2" s="3">
        <f ca="1">IFERROR(__xludf.UNSUPPORTED("""COMPUTED_VALUE"""),43467.6666666666)</f>
        <v>43467.666666666599</v>
      </c>
      <c r="B2" s="1">
        <f ca="1">IFERROR(__xludf.UNSUPPORTED("""COMPUTED_VALUE"""),3.41)</f>
        <v>3.41</v>
      </c>
      <c r="C2" s="2"/>
      <c r="E2" s="2">
        <f ca="1">AVERAGE(C3:C1772)</f>
        <v>2.7804119581965113E-3</v>
      </c>
      <c r="F2" s="2">
        <f ca="1">_xlfn.STDEV.S(C3:C1772)</f>
        <v>3.2414411920449589E-2</v>
      </c>
      <c r="G2" s="2">
        <f ca="1">E2*252</f>
        <v>0.70066381346552087</v>
      </c>
      <c r="H2" s="2">
        <f ca="1">F2*SQRT(252)</f>
        <v>0.5145628370155032</v>
      </c>
    </row>
    <row r="3" spans="1:8">
      <c r="A3" s="3">
        <f ca="1">IFERROR(__xludf.UNSUPPORTED("""COMPUTED_VALUE"""),43468.6666666666)</f>
        <v>43468.666666666599</v>
      </c>
      <c r="B3" s="1">
        <f ca="1">IFERROR(__xludf.UNSUPPORTED("""COMPUTED_VALUE"""),3.2)</f>
        <v>3.2</v>
      </c>
      <c r="C3" s="2">
        <f t="shared" ref="C3:C257" ca="1" si="0">(B3-B2)/B2</f>
        <v>-6.1583577712609958E-2</v>
      </c>
      <c r="F3" s="2"/>
      <c r="G3" s="2"/>
      <c r="H3" s="2"/>
    </row>
    <row r="4" spans="1:8">
      <c r="A4" s="3">
        <f ca="1">IFERROR(__xludf.UNSUPPORTED("""COMPUTED_VALUE"""),43469.6666666666)</f>
        <v>43469.666666666599</v>
      </c>
      <c r="B4" s="1">
        <f ca="1">IFERROR(__xludf.UNSUPPORTED("""COMPUTED_VALUE"""),3.4)</f>
        <v>3.4</v>
      </c>
      <c r="C4" s="2">
        <f t="shared" ca="1" si="0"/>
        <v>6.2499999999999917E-2</v>
      </c>
      <c r="F4" s="2"/>
      <c r="G4" s="2"/>
      <c r="H4" s="2"/>
    </row>
    <row r="5" spans="1:8">
      <c r="A5" s="3">
        <f ca="1">IFERROR(__xludf.UNSUPPORTED("""COMPUTED_VALUE"""),43472.6666666666)</f>
        <v>43472.666666666599</v>
      </c>
      <c r="B5" s="1">
        <f ca="1">IFERROR(__xludf.UNSUPPORTED("""COMPUTED_VALUE"""),3.59)</f>
        <v>3.59</v>
      </c>
      <c r="C5" s="2">
        <f t="shared" ca="1" si="0"/>
        <v>5.5882352941176459E-2</v>
      </c>
      <c r="F5" s="2"/>
      <c r="G5" s="2"/>
      <c r="H5" s="2"/>
    </row>
    <row r="6" spans="1:8">
      <c r="A6" s="3">
        <f ca="1">IFERROR(__xludf.UNSUPPORTED("""COMPUTED_VALUE"""),43473.6666666666)</f>
        <v>43473.666666666599</v>
      </c>
      <c r="B6" s="1">
        <f ca="1">IFERROR(__xludf.UNSUPPORTED("""COMPUTED_VALUE"""),3.5)</f>
        <v>3.5</v>
      </c>
      <c r="C6" s="2">
        <f t="shared" ca="1" si="0"/>
        <v>-2.5069637883008318E-2</v>
      </c>
      <c r="F6" s="2"/>
      <c r="G6" s="2"/>
      <c r="H6" s="2"/>
    </row>
    <row r="7" spans="1:8">
      <c r="A7" s="3">
        <f ca="1">IFERROR(__xludf.UNSUPPORTED("""COMPUTED_VALUE"""),43474.6666666666)</f>
        <v>43474.666666666599</v>
      </c>
      <c r="B7" s="1">
        <f ca="1">IFERROR(__xludf.UNSUPPORTED("""COMPUTED_VALUE"""),3.56)</f>
        <v>3.56</v>
      </c>
      <c r="C7" s="2">
        <f t="shared" ca="1" si="0"/>
        <v>1.7142857142857158E-2</v>
      </c>
      <c r="F7" s="2"/>
      <c r="G7" s="2"/>
      <c r="H7" s="2"/>
    </row>
    <row r="8" spans="1:8">
      <c r="A8" s="3">
        <f ca="1">IFERROR(__xludf.UNSUPPORTED("""COMPUTED_VALUE"""),43475.6666666666)</f>
        <v>43475.666666666599</v>
      </c>
      <c r="B8" s="1">
        <f ca="1">IFERROR(__xludf.UNSUPPORTED("""COMPUTED_VALUE"""),3.63)</f>
        <v>3.63</v>
      </c>
      <c r="C8" s="2">
        <f t="shared" ca="1" si="0"/>
        <v>1.9662921348314561E-2</v>
      </c>
      <c r="F8" s="2"/>
      <c r="G8" s="2"/>
      <c r="H8" s="2"/>
    </row>
    <row r="9" spans="1:8">
      <c r="A9" s="3">
        <f ca="1">IFERROR(__xludf.UNSUPPORTED("""COMPUTED_VALUE"""),43476.6666666666)</f>
        <v>43476.666666666599</v>
      </c>
      <c r="B9" s="1">
        <f ca="1">IFERROR(__xludf.UNSUPPORTED("""COMPUTED_VALUE"""),3.72)</f>
        <v>3.72</v>
      </c>
      <c r="C9" s="2">
        <f t="shared" ca="1" si="0"/>
        <v>2.479338842975215E-2</v>
      </c>
      <c r="F9" s="2"/>
      <c r="G9" s="2"/>
      <c r="H9" s="2"/>
    </row>
    <row r="10" spans="1:8">
      <c r="A10" s="3">
        <f ca="1">IFERROR(__xludf.UNSUPPORTED("""COMPUTED_VALUE"""),43479.6666666666)</f>
        <v>43479.666666666599</v>
      </c>
      <c r="B10" s="1">
        <f ca="1">IFERROR(__xludf.UNSUPPORTED("""COMPUTED_VALUE"""),3.76)</f>
        <v>3.76</v>
      </c>
      <c r="C10" s="2">
        <f t="shared" ca="1" si="0"/>
        <v>1.0752688172042901E-2</v>
      </c>
      <c r="F10" s="2"/>
      <c r="G10" s="2"/>
      <c r="H10" s="2"/>
    </row>
    <row r="11" spans="1:8">
      <c r="A11" s="3">
        <f ca="1">IFERROR(__xludf.UNSUPPORTED("""COMPUTED_VALUE"""),43480.6666666666)</f>
        <v>43480.666666666599</v>
      </c>
      <c r="B11" s="1">
        <f ca="1">IFERROR(__xludf.UNSUPPORTED("""COMPUTED_VALUE"""),3.75)</f>
        <v>3.75</v>
      </c>
      <c r="C11" s="2">
        <f t="shared" ca="1" si="0"/>
        <v>-2.6595744680850499E-3</v>
      </c>
      <c r="F11" s="2"/>
      <c r="G11" s="2"/>
      <c r="H11" s="2"/>
    </row>
    <row r="12" spans="1:8">
      <c r="A12" s="3">
        <f ca="1">IFERROR(__xludf.UNSUPPORTED("""COMPUTED_VALUE"""),43481.6666666666)</f>
        <v>43481.666666666599</v>
      </c>
      <c r="B12" s="1">
        <f ca="1">IFERROR(__xludf.UNSUPPORTED("""COMPUTED_VALUE"""),3.72)</f>
        <v>3.72</v>
      </c>
      <c r="C12" s="2">
        <f t="shared" ca="1" si="0"/>
        <v>-7.9999999999999481E-3</v>
      </c>
      <c r="F12" s="2"/>
      <c r="G12" s="2"/>
      <c r="H12" s="2"/>
    </row>
    <row r="13" spans="1:8">
      <c r="A13" s="3">
        <f ca="1">IFERROR(__xludf.UNSUPPORTED("""COMPUTED_VALUE"""),43482.6666666666)</f>
        <v>43482.666666666599</v>
      </c>
      <c r="B13" s="1">
        <f ca="1">IFERROR(__xludf.UNSUPPORTED("""COMPUTED_VALUE"""),3.79)</f>
        <v>3.79</v>
      </c>
      <c r="C13" s="2">
        <f t="shared" ca="1" si="0"/>
        <v>1.8817204301075224E-2</v>
      </c>
      <c r="F13" s="2"/>
      <c r="G13" s="2"/>
      <c r="H13" s="2"/>
    </row>
    <row r="14" spans="1:8">
      <c r="A14" s="3">
        <f ca="1">IFERROR(__xludf.UNSUPPORTED("""COMPUTED_VALUE"""),43483.6666666666)</f>
        <v>43483.666666666599</v>
      </c>
      <c r="B14" s="1">
        <f ca="1">IFERROR(__xludf.UNSUPPORTED("""COMPUTED_VALUE"""),3.92)</f>
        <v>3.92</v>
      </c>
      <c r="C14" s="2">
        <f t="shared" ca="1" si="0"/>
        <v>3.4300791556728202E-2</v>
      </c>
      <c r="F14" s="2"/>
      <c r="G14" s="2"/>
      <c r="H14" s="2"/>
    </row>
    <row r="15" spans="1:8">
      <c r="A15" s="3">
        <f ca="1">IFERROR(__xludf.UNSUPPORTED("""COMPUTED_VALUE"""),43487.6666666666)</f>
        <v>43487.666666666599</v>
      </c>
      <c r="B15" s="1">
        <f ca="1">IFERROR(__xludf.UNSUPPORTED("""COMPUTED_VALUE"""),3.72)</f>
        <v>3.72</v>
      </c>
      <c r="C15" s="2">
        <f t="shared" ca="1" si="0"/>
        <v>-5.1020408163265238E-2</v>
      </c>
      <c r="F15" s="2"/>
      <c r="G15" s="2"/>
      <c r="H15" s="2"/>
    </row>
    <row r="16" spans="1:8">
      <c r="A16" s="3">
        <f ca="1">IFERROR(__xludf.UNSUPPORTED("""COMPUTED_VALUE"""),43488.6666666666)</f>
        <v>43488.666666666599</v>
      </c>
      <c r="B16" s="1">
        <f ca="1">IFERROR(__xludf.UNSUPPORTED("""COMPUTED_VALUE"""),3.73)</f>
        <v>3.73</v>
      </c>
      <c r="C16" s="2">
        <f t="shared" ca="1" si="0"/>
        <v>2.6881720430106952E-3</v>
      </c>
      <c r="F16" s="2"/>
      <c r="G16" s="2"/>
      <c r="H16" s="2"/>
    </row>
    <row r="17" spans="1:3">
      <c r="A17" s="3">
        <f ca="1">IFERROR(__xludf.UNSUPPORTED("""COMPUTED_VALUE"""),43489.6666666666)</f>
        <v>43489.666666666599</v>
      </c>
      <c r="B17" s="1">
        <f ca="1">IFERROR(__xludf.UNSUPPORTED("""COMPUTED_VALUE"""),3.95)</f>
        <v>3.95</v>
      </c>
      <c r="C17" s="2">
        <f t="shared" ca="1" si="0"/>
        <v>5.8981233243967882E-2</v>
      </c>
    </row>
    <row r="18" spans="1:3">
      <c r="A18" s="3">
        <f ca="1">IFERROR(__xludf.UNSUPPORTED("""COMPUTED_VALUE"""),43490.6666666666)</f>
        <v>43490.666666666599</v>
      </c>
      <c r="B18" s="1">
        <f ca="1">IFERROR(__xludf.UNSUPPORTED("""COMPUTED_VALUE"""),4)</f>
        <v>4</v>
      </c>
      <c r="C18" s="2">
        <f t="shared" ca="1" si="0"/>
        <v>1.2658227848101221E-2</v>
      </c>
    </row>
    <row r="19" spans="1:3">
      <c r="A19" s="3">
        <f ca="1">IFERROR(__xludf.UNSUPPORTED("""COMPUTED_VALUE"""),43493.6666666666)</f>
        <v>43493.666666666599</v>
      </c>
      <c r="B19" s="1">
        <f ca="1">IFERROR(__xludf.UNSUPPORTED("""COMPUTED_VALUE"""),3.45)</f>
        <v>3.45</v>
      </c>
      <c r="C19" s="2">
        <f t="shared" ca="1" si="0"/>
        <v>-0.13749999999999996</v>
      </c>
    </row>
    <row r="20" spans="1:3">
      <c r="A20" s="3">
        <f ca="1">IFERROR(__xludf.UNSUPPORTED("""COMPUTED_VALUE"""),43494.6666666666)</f>
        <v>43494.666666666599</v>
      </c>
      <c r="B20" s="1">
        <f ca="1">IFERROR(__xludf.UNSUPPORTED("""COMPUTED_VALUE"""),3.29)</f>
        <v>3.29</v>
      </c>
      <c r="C20" s="2">
        <f t="shared" ca="1" si="0"/>
        <v>-4.6376811594202941E-2</v>
      </c>
    </row>
    <row r="21" spans="1:3">
      <c r="A21" s="3">
        <f ca="1">IFERROR(__xludf.UNSUPPORTED("""COMPUTED_VALUE"""),43495.6666666666)</f>
        <v>43495.666666666599</v>
      </c>
      <c r="B21" s="1">
        <f ca="1">IFERROR(__xludf.UNSUPPORTED("""COMPUTED_VALUE"""),3.43)</f>
        <v>3.43</v>
      </c>
      <c r="C21" s="2">
        <f t="shared" ca="1" si="0"/>
        <v>4.2553191489361743E-2</v>
      </c>
    </row>
    <row r="22" spans="1:3">
      <c r="A22" s="3">
        <f ca="1">IFERROR(__xludf.UNSUPPORTED("""COMPUTED_VALUE"""),43496.6666666666)</f>
        <v>43496.666666666599</v>
      </c>
      <c r="B22" s="1">
        <f ca="1">IFERROR(__xludf.UNSUPPORTED("""COMPUTED_VALUE"""),3.59)</f>
        <v>3.59</v>
      </c>
      <c r="C22" s="2">
        <f t="shared" ca="1" si="0"/>
        <v>4.6647230320699618E-2</v>
      </c>
    </row>
    <row r="23" spans="1:3">
      <c r="A23" s="3">
        <f ca="1">IFERROR(__xludf.UNSUPPORTED("""COMPUTED_VALUE"""),43497.6666666666)</f>
        <v>43497.666666666599</v>
      </c>
      <c r="B23" s="1">
        <f ca="1">IFERROR(__xludf.UNSUPPORTED("""COMPUTED_VALUE"""),3.62)</f>
        <v>3.62</v>
      </c>
      <c r="C23" s="2">
        <f t="shared" ca="1" si="0"/>
        <v>8.3565459610028554E-3</v>
      </c>
    </row>
    <row r="24" spans="1:3">
      <c r="A24" s="3">
        <f ca="1">IFERROR(__xludf.UNSUPPORTED("""COMPUTED_VALUE"""),43500.6666666666)</f>
        <v>43500.666666666599</v>
      </c>
      <c r="B24" s="1">
        <f ca="1">IFERROR(__xludf.UNSUPPORTED("""COMPUTED_VALUE"""),3.73)</f>
        <v>3.73</v>
      </c>
      <c r="C24" s="2">
        <f t="shared" ca="1" si="0"/>
        <v>3.0386740331491677E-2</v>
      </c>
    </row>
    <row r="25" spans="1:3">
      <c r="A25" s="3">
        <f ca="1">IFERROR(__xludf.UNSUPPORTED("""COMPUTED_VALUE"""),43501.6666666666)</f>
        <v>43501.666666666599</v>
      </c>
      <c r="B25" s="1">
        <f ca="1">IFERROR(__xludf.UNSUPPORTED("""COMPUTED_VALUE"""),3.75)</f>
        <v>3.75</v>
      </c>
      <c r="C25" s="2">
        <f t="shared" ca="1" si="0"/>
        <v>5.3619302949061707E-3</v>
      </c>
    </row>
    <row r="26" spans="1:3">
      <c r="A26" s="3">
        <f ca="1">IFERROR(__xludf.UNSUPPORTED("""COMPUTED_VALUE"""),43502.6666666666)</f>
        <v>43502.666666666599</v>
      </c>
      <c r="B26" s="1">
        <f ca="1">IFERROR(__xludf.UNSUPPORTED("""COMPUTED_VALUE"""),3.83)</f>
        <v>3.83</v>
      </c>
      <c r="C26" s="2">
        <f t="shared" ca="1" si="0"/>
        <v>2.1333333333333353E-2</v>
      </c>
    </row>
    <row r="27" spans="1:3">
      <c r="A27" s="3">
        <f ca="1">IFERROR(__xludf.UNSUPPORTED("""COMPUTED_VALUE"""),43503.6666666666)</f>
        <v>43503.666666666599</v>
      </c>
      <c r="B27" s="1">
        <f ca="1">IFERROR(__xludf.UNSUPPORTED("""COMPUTED_VALUE"""),3.69)</f>
        <v>3.69</v>
      </c>
      <c r="C27" s="2">
        <f t="shared" ca="1" si="0"/>
        <v>-3.6553524804177576E-2</v>
      </c>
    </row>
    <row r="28" spans="1:3">
      <c r="A28" s="3">
        <f ca="1">IFERROR(__xludf.UNSUPPORTED("""COMPUTED_VALUE"""),43504.6666666666)</f>
        <v>43504.666666666599</v>
      </c>
      <c r="B28" s="1">
        <f ca="1">IFERROR(__xludf.UNSUPPORTED("""COMPUTED_VALUE"""),3.7)</f>
        <v>3.7</v>
      </c>
      <c r="C28" s="2">
        <f t="shared" ca="1" si="0"/>
        <v>2.7100271002710652E-3</v>
      </c>
    </row>
    <row r="29" spans="1:3">
      <c r="A29" s="3">
        <f ca="1">IFERROR(__xludf.UNSUPPORTED("""COMPUTED_VALUE"""),43507.6666666666)</f>
        <v>43507.666666666599</v>
      </c>
      <c r="B29" s="1">
        <f ca="1">IFERROR(__xludf.UNSUPPORTED("""COMPUTED_VALUE"""),3.66)</f>
        <v>3.66</v>
      </c>
      <c r="C29" s="2">
        <f t="shared" ca="1" si="0"/>
        <v>-1.081081081081082E-2</v>
      </c>
    </row>
    <row r="30" spans="1:3">
      <c r="A30" s="3">
        <f ca="1">IFERROR(__xludf.UNSUPPORTED("""COMPUTED_VALUE"""),43508.6666666666)</f>
        <v>43508.666666666599</v>
      </c>
      <c r="B30" s="1">
        <f ca="1">IFERROR(__xludf.UNSUPPORTED("""COMPUTED_VALUE"""),3.78)</f>
        <v>3.78</v>
      </c>
      <c r="C30" s="2">
        <f t="shared" ca="1" si="0"/>
        <v>3.2786885245901544E-2</v>
      </c>
    </row>
    <row r="31" spans="1:3">
      <c r="A31" s="3">
        <f ca="1">IFERROR(__xludf.UNSUPPORTED("""COMPUTED_VALUE"""),43509.6666666666)</f>
        <v>43509.666666666599</v>
      </c>
      <c r="B31" s="1">
        <f ca="1">IFERROR(__xludf.UNSUPPORTED("""COMPUTED_VALUE"""),3.82)</f>
        <v>3.82</v>
      </c>
      <c r="C31" s="2">
        <f t="shared" ca="1" si="0"/>
        <v>1.0582010582010592E-2</v>
      </c>
    </row>
    <row r="32" spans="1:3">
      <c r="A32" s="3">
        <f ca="1">IFERROR(__xludf.UNSUPPORTED("""COMPUTED_VALUE"""),43510.6666666666)</f>
        <v>43510.666666666599</v>
      </c>
      <c r="B32" s="1">
        <f ca="1">IFERROR(__xludf.UNSUPPORTED("""COMPUTED_VALUE"""),3.86)</f>
        <v>3.86</v>
      </c>
      <c r="C32" s="2">
        <f t="shared" ca="1" si="0"/>
        <v>1.0471204188481685E-2</v>
      </c>
    </row>
    <row r="33" spans="1:3">
      <c r="A33" s="3">
        <f ca="1">IFERROR(__xludf.UNSUPPORTED("""COMPUTED_VALUE"""),43511.6666666666)</f>
        <v>43511.666666666599</v>
      </c>
      <c r="B33" s="1">
        <f ca="1">IFERROR(__xludf.UNSUPPORTED("""COMPUTED_VALUE"""),3.93)</f>
        <v>3.93</v>
      </c>
      <c r="C33" s="2">
        <f t="shared" ca="1" si="0"/>
        <v>1.8134715025906811E-2</v>
      </c>
    </row>
    <row r="34" spans="1:3">
      <c r="A34" s="3">
        <f ca="1">IFERROR(__xludf.UNSUPPORTED("""COMPUTED_VALUE"""),43515.6666666666)</f>
        <v>43515.666666666599</v>
      </c>
      <c r="B34" s="1">
        <f ca="1">IFERROR(__xludf.UNSUPPORTED("""COMPUTED_VALUE"""),3.92)</f>
        <v>3.92</v>
      </c>
      <c r="C34" s="2">
        <f t="shared" ca="1" si="0"/>
        <v>-2.5445292620865727E-3</v>
      </c>
    </row>
    <row r="35" spans="1:3">
      <c r="A35" s="3">
        <f ca="1">IFERROR(__xludf.UNSUPPORTED("""COMPUTED_VALUE"""),43516.6666666666)</f>
        <v>43516.666666666599</v>
      </c>
      <c r="B35" s="1">
        <f ca="1">IFERROR(__xludf.UNSUPPORTED("""COMPUTED_VALUE"""),3.96)</f>
        <v>3.96</v>
      </c>
      <c r="C35" s="2">
        <f t="shared" ca="1" si="0"/>
        <v>1.0204081632653071E-2</v>
      </c>
    </row>
    <row r="36" spans="1:3">
      <c r="A36" s="3">
        <f ca="1">IFERROR(__xludf.UNSUPPORTED("""COMPUTED_VALUE"""),43517.6666666666)</f>
        <v>43517.666666666599</v>
      </c>
      <c r="B36" s="1">
        <f ca="1">IFERROR(__xludf.UNSUPPORTED("""COMPUTED_VALUE"""),3.89)</f>
        <v>3.89</v>
      </c>
      <c r="C36" s="2">
        <f t="shared" ca="1" si="0"/>
        <v>-1.7676767676767638E-2</v>
      </c>
    </row>
    <row r="37" spans="1:3">
      <c r="A37" s="3">
        <f ca="1">IFERROR(__xludf.UNSUPPORTED("""COMPUTED_VALUE"""),43518.6666666666)</f>
        <v>43518.666666666599</v>
      </c>
      <c r="B37" s="1">
        <f ca="1">IFERROR(__xludf.UNSUPPORTED("""COMPUTED_VALUE"""),3.98)</f>
        <v>3.98</v>
      </c>
      <c r="C37" s="2">
        <f t="shared" ca="1" si="0"/>
        <v>2.3136246786632352E-2</v>
      </c>
    </row>
    <row r="38" spans="1:3">
      <c r="A38" s="3">
        <f ca="1">IFERROR(__xludf.UNSUPPORTED("""COMPUTED_VALUE"""),43521.6666666666)</f>
        <v>43521.666666666599</v>
      </c>
      <c r="B38" s="1">
        <f ca="1">IFERROR(__xludf.UNSUPPORTED("""COMPUTED_VALUE"""),3.97)</f>
        <v>3.97</v>
      </c>
      <c r="C38" s="2">
        <f t="shared" ca="1" si="0"/>
        <v>-2.512562814070298E-3</v>
      </c>
    </row>
    <row r="39" spans="1:3">
      <c r="A39" s="3">
        <f ca="1">IFERROR(__xludf.UNSUPPORTED("""COMPUTED_VALUE"""),43522.6666666666)</f>
        <v>43522.666666666599</v>
      </c>
      <c r="B39" s="1">
        <f ca="1">IFERROR(__xludf.UNSUPPORTED("""COMPUTED_VALUE"""),3.93)</f>
        <v>3.93</v>
      </c>
      <c r="C39" s="2">
        <f t="shared" ca="1" si="0"/>
        <v>-1.0075566750629731E-2</v>
      </c>
    </row>
    <row r="40" spans="1:3">
      <c r="A40" s="3">
        <f ca="1">IFERROR(__xludf.UNSUPPORTED("""COMPUTED_VALUE"""),43523.6666666666)</f>
        <v>43523.666666666599</v>
      </c>
      <c r="B40" s="1">
        <f ca="1">IFERROR(__xludf.UNSUPPORTED("""COMPUTED_VALUE"""),3.89)</f>
        <v>3.89</v>
      </c>
      <c r="C40" s="2">
        <f t="shared" ca="1" si="0"/>
        <v>-1.0178117048346065E-2</v>
      </c>
    </row>
    <row r="41" spans="1:3">
      <c r="A41" s="3">
        <f ca="1">IFERROR(__xludf.UNSUPPORTED("""COMPUTED_VALUE"""),43524.6666666666)</f>
        <v>43524.666666666599</v>
      </c>
      <c r="B41" s="1">
        <f ca="1">IFERROR(__xludf.UNSUPPORTED("""COMPUTED_VALUE"""),3.86)</f>
        <v>3.86</v>
      </c>
      <c r="C41" s="2">
        <f t="shared" ca="1" si="0"/>
        <v>-7.712082262210861E-3</v>
      </c>
    </row>
    <row r="42" spans="1:3">
      <c r="A42" s="3">
        <f ca="1">IFERROR(__xludf.UNSUPPORTED("""COMPUTED_VALUE"""),43525.6666666666)</f>
        <v>43525.666666666599</v>
      </c>
      <c r="B42" s="1">
        <f ca="1">IFERROR(__xludf.UNSUPPORTED("""COMPUTED_VALUE"""),3.91)</f>
        <v>3.91</v>
      </c>
      <c r="C42" s="2">
        <f t="shared" ca="1" si="0"/>
        <v>1.2953367875647739E-2</v>
      </c>
    </row>
    <row r="43" spans="1:3">
      <c r="A43" s="3">
        <f ca="1">IFERROR(__xludf.UNSUPPORTED("""COMPUTED_VALUE"""),43528.6666666666)</f>
        <v>43528.666666666599</v>
      </c>
      <c r="B43" s="1">
        <f ca="1">IFERROR(__xludf.UNSUPPORTED("""COMPUTED_VALUE"""),3.92)</f>
        <v>3.92</v>
      </c>
      <c r="C43" s="2">
        <f t="shared" ca="1" si="0"/>
        <v>2.5575447570331936E-3</v>
      </c>
    </row>
    <row r="44" spans="1:3">
      <c r="A44" s="3">
        <f ca="1">IFERROR(__xludf.UNSUPPORTED("""COMPUTED_VALUE"""),43529.6666666666)</f>
        <v>43529.666666666599</v>
      </c>
      <c r="B44" s="1">
        <f ca="1">IFERROR(__xludf.UNSUPPORTED("""COMPUTED_VALUE"""),3.91)</f>
        <v>3.91</v>
      </c>
      <c r="C44" s="2">
        <f t="shared" ca="1" si="0"/>
        <v>-2.5510204081632109E-3</v>
      </c>
    </row>
    <row r="45" spans="1:3">
      <c r="A45" s="3">
        <f ca="1">IFERROR(__xludf.UNSUPPORTED("""COMPUTED_VALUE"""),43530.6666666666)</f>
        <v>43530.666666666599</v>
      </c>
      <c r="B45" s="1">
        <f ca="1">IFERROR(__xludf.UNSUPPORTED("""COMPUTED_VALUE"""),3.8)</f>
        <v>3.8</v>
      </c>
      <c r="C45" s="2">
        <f t="shared" ca="1" si="0"/>
        <v>-2.8132992327365811E-2</v>
      </c>
    </row>
    <row r="46" spans="1:3">
      <c r="A46" s="3">
        <f ca="1">IFERROR(__xludf.UNSUPPORTED("""COMPUTED_VALUE"""),43531.6666666666)</f>
        <v>43531.666666666599</v>
      </c>
      <c r="B46" s="1">
        <f ca="1">IFERROR(__xludf.UNSUPPORTED("""COMPUTED_VALUE"""),3.73)</f>
        <v>3.73</v>
      </c>
      <c r="C46" s="2">
        <f t="shared" ca="1" si="0"/>
        <v>-1.8421052631578907E-2</v>
      </c>
    </row>
    <row r="47" spans="1:3">
      <c r="A47" s="3">
        <f ca="1">IFERROR(__xludf.UNSUPPORTED("""COMPUTED_VALUE"""),43532.6666666666)</f>
        <v>43532.666666666599</v>
      </c>
      <c r="B47" s="1">
        <f ca="1">IFERROR(__xludf.UNSUPPORTED("""COMPUTED_VALUE"""),3.77)</f>
        <v>3.77</v>
      </c>
      <c r="C47" s="2">
        <f t="shared" ca="1" si="0"/>
        <v>1.0723860589812341E-2</v>
      </c>
    </row>
    <row r="48" spans="1:3">
      <c r="A48" s="3">
        <f ca="1">IFERROR(__xludf.UNSUPPORTED("""COMPUTED_VALUE"""),43535.6666666666)</f>
        <v>43535.666666666599</v>
      </c>
      <c r="B48" s="1">
        <f ca="1">IFERROR(__xludf.UNSUPPORTED("""COMPUTED_VALUE"""),4.03)</f>
        <v>4.03</v>
      </c>
      <c r="C48" s="2">
        <f t="shared" ca="1" si="0"/>
        <v>6.8965517241379365E-2</v>
      </c>
    </row>
    <row r="49" spans="1:3">
      <c r="A49" s="3">
        <f ca="1">IFERROR(__xludf.UNSUPPORTED("""COMPUTED_VALUE"""),43536.6666666666)</f>
        <v>43536.666666666599</v>
      </c>
      <c r="B49" s="1">
        <f ca="1">IFERROR(__xludf.UNSUPPORTED("""COMPUTED_VALUE"""),4.06)</f>
        <v>4.0599999999999996</v>
      </c>
      <c r="C49" s="2">
        <f t="shared" ca="1" si="0"/>
        <v>7.4441687344911564E-3</v>
      </c>
    </row>
    <row r="50" spans="1:3">
      <c r="A50" s="3">
        <f ca="1">IFERROR(__xludf.UNSUPPORTED("""COMPUTED_VALUE"""),43537.6666666666)</f>
        <v>43537.666666666599</v>
      </c>
      <c r="B50" s="1">
        <f ca="1">IFERROR(__xludf.UNSUPPORTED("""COMPUTED_VALUE"""),4.22)</f>
        <v>4.22</v>
      </c>
      <c r="C50" s="2">
        <f t="shared" ca="1" si="0"/>
        <v>3.9408866995073934E-2</v>
      </c>
    </row>
    <row r="51" spans="1:3">
      <c r="A51" s="3">
        <f ca="1">IFERROR(__xludf.UNSUPPORTED("""COMPUTED_VALUE"""),43538.6666666666)</f>
        <v>43538.666666666599</v>
      </c>
      <c r="B51" s="1">
        <f ca="1">IFERROR(__xludf.UNSUPPORTED("""COMPUTED_VALUE"""),4.14)</f>
        <v>4.1399999999999997</v>
      </c>
      <c r="C51" s="2">
        <f t="shared" ca="1" si="0"/>
        <v>-1.8957345971564E-2</v>
      </c>
    </row>
    <row r="52" spans="1:3">
      <c r="A52" s="3">
        <f ca="1">IFERROR(__xludf.UNSUPPORTED("""COMPUTED_VALUE"""),43539.6666666666)</f>
        <v>43539.666666666599</v>
      </c>
      <c r="B52" s="1">
        <f ca="1">IFERROR(__xludf.UNSUPPORTED("""COMPUTED_VALUE"""),4.25)</f>
        <v>4.25</v>
      </c>
      <c r="C52" s="2">
        <f t="shared" ca="1" si="0"/>
        <v>2.6570048309178824E-2</v>
      </c>
    </row>
    <row r="53" spans="1:3">
      <c r="A53" s="3">
        <f ca="1">IFERROR(__xludf.UNSUPPORTED("""COMPUTED_VALUE"""),43542.6666666666)</f>
        <v>43542.666666666599</v>
      </c>
      <c r="B53" s="1">
        <f ca="1">IFERROR(__xludf.UNSUPPORTED("""COMPUTED_VALUE"""),4.22)</f>
        <v>4.22</v>
      </c>
      <c r="C53" s="2">
        <f t="shared" ca="1" si="0"/>
        <v>-7.0588235294118231E-3</v>
      </c>
    </row>
    <row r="54" spans="1:3">
      <c r="A54" s="3">
        <f ca="1">IFERROR(__xludf.UNSUPPORTED("""COMPUTED_VALUE"""),43543.6666666666)</f>
        <v>43543.666666666599</v>
      </c>
      <c r="B54" s="1">
        <f ca="1">IFERROR(__xludf.UNSUPPORTED("""COMPUTED_VALUE"""),4.39)</f>
        <v>4.3899999999999997</v>
      </c>
      <c r="C54" s="2">
        <f t="shared" ca="1" si="0"/>
        <v>4.0284360189573445E-2</v>
      </c>
    </row>
    <row r="55" spans="1:3">
      <c r="A55" s="3">
        <f ca="1">IFERROR(__xludf.UNSUPPORTED("""COMPUTED_VALUE"""),43544.6666666666)</f>
        <v>43544.666666666599</v>
      </c>
      <c r="B55" s="1">
        <f ca="1">IFERROR(__xludf.UNSUPPORTED("""COMPUTED_VALUE"""),4.36)</f>
        <v>4.3600000000000003</v>
      </c>
      <c r="C55" s="2">
        <f t="shared" ca="1" si="0"/>
        <v>-6.833712984054525E-3</v>
      </c>
    </row>
    <row r="56" spans="1:3">
      <c r="A56" s="3">
        <f ca="1">IFERROR(__xludf.UNSUPPORTED("""COMPUTED_VALUE"""),43545.6666666666)</f>
        <v>43545.666666666599</v>
      </c>
      <c r="B56" s="1">
        <f ca="1">IFERROR(__xludf.UNSUPPORTED("""COMPUTED_VALUE"""),4.6)</f>
        <v>4.5999999999999996</v>
      </c>
      <c r="C56" s="2">
        <f t="shared" ca="1" si="0"/>
        <v>5.5045871559632871E-2</v>
      </c>
    </row>
    <row r="57" spans="1:3">
      <c r="A57" s="3">
        <f ca="1">IFERROR(__xludf.UNSUPPORTED("""COMPUTED_VALUE"""),43546.6666666666)</f>
        <v>43546.666666666599</v>
      </c>
      <c r="B57" s="1">
        <f ca="1">IFERROR(__xludf.UNSUPPORTED("""COMPUTED_VALUE"""),4.44)</f>
        <v>4.4400000000000004</v>
      </c>
      <c r="C57" s="2">
        <f t="shared" ca="1" si="0"/>
        <v>-3.4782608695652015E-2</v>
      </c>
    </row>
    <row r="58" spans="1:3">
      <c r="A58" s="3">
        <f ca="1">IFERROR(__xludf.UNSUPPORTED("""COMPUTED_VALUE"""),43549.6666666666)</f>
        <v>43549.666666666599</v>
      </c>
      <c r="B58" s="1">
        <f ca="1">IFERROR(__xludf.UNSUPPORTED("""COMPUTED_VALUE"""),4.34)</f>
        <v>4.34</v>
      </c>
      <c r="C58" s="2">
        <f t="shared" ca="1" si="0"/>
        <v>-2.2522522522522639E-2</v>
      </c>
    </row>
    <row r="59" spans="1:3">
      <c r="A59" s="3">
        <f ca="1">IFERROR(__xludf.UNSUPPORTED("""COMPUTED_VALUE"""),43550.6666666666)</f>
        <v>43550.666666666599</v>
      </c>
      <c r="B59" s="1">
        <f ca="1">IFERROR(__xludf.UNSUPPORTED("""COMPUTED_VALUE"""),4.42)</f>
        <v>4.42</v>
      </c>
      <c r="C59" s="2">
        <f t="shared" ca="1" si="0"/>
        <v>1.8433179723502321E-2</v>
      </c>
    </row>
    <row r="60" spans="1:3">
      <c r="A60" s="3">
        <f ca="1">IFERROR(__xludf.UNSUPPORTED("""COMPUTED_VALUE"""),43551.6666666666)</f>
        <v>43551.666666666599</v>
      </c>
      <c r="B60" s="1">
        <f ca="1">IFERROR(__xludf.UNSUPPORTED("""COMPUTED_VALUE"""),4.41)</f>
        <v>4.41</v>
      </c>
      <c r="C60" s="2">
        <f t="shared" ca="1" si="0"/>
        <v>-2.2624434389139788E-3</v>
      </c>
    </row>
    <row r="61" spans="1:3">
      <c r="A61" s="3">
        <f ca="1">IFERROR(__xludf.UNSUPPORTED("""COMPUTED_VALUE"""),43552.6666666666)</f>
        <v>43552.666666666599</v>
      </c>
      <c r="B61" s="1">
        <f ca="1">IFERROR(__xludf.UNSUPPORTED("""COMPUTED_VALUE"""),4.43)</f>
        <v>4.43</v>
      </c>
      <c r="C61" s="2">
        <f t="shared" ca="1" si="0"/>
        <v>4.5351473922901524E-3</v>
      </c>
    </row>
    <row r="62" spans="1:3">
      <c r="A62" s="3">
        <f ca="1">IFERROR(__xludf.UNSUPPORTED("""COMPUTED_VALUE"""),43553.6666666666)</f>
        <v>43553.666666666599</v>
      </c>
      <c r="B62" s="1">
        <f ca="1">IFERROR(__xludf.UNSUPPORTED("""COMPUTED_VALUE"""),4.49)</f>
        <v>4.49</v>
      </c>
      <c r="C62" s="2">
        <f t="shared" ca="1" si="0"/>
        <v>1.3544018058690857E-2</v>
      </c>
    </row>
    <row r="63" spans="1:3">
      <c r="A63" s="3">
        <f ca="1">IFERROR(__xludf.UNSUPPORTED("""COMPUTED_VALUE"""),43556.6666666666)</f>
        <v>43556.666666666599</v>
      </c>
      <c r="B63" s="1">
        <f ca="1">IFERROR(__xludf.UNSUPPORTED("""COMPUTED_VALUE"""),4.56)</f>
        <v>4.5599999999999996</v>
      </c>
      <c r="C63" s="2">
        <f t="shared" ca="1" si="0"/>
        <v>1.5590200445434164E-2</v>
      </c>
    </row>
    <row r="64" spans="1:3">
      <c r="A64" s="3">
        <f ca="1">IFERROR(__xludf.UNSUPPORTED("""COMPUTED_VALUE"""),43557.6666666666)</f>
        <v>43557.666666666599</v>
      </c>
      <c r="B64" s="1">
        <f ca="1">IFERROR(__xludf.UNSUPPORTED("""COMPUTED_VALUE"""),4.58)</f>
        <v>4.58</v>
      </c>
      <c r="C64" s="2">
        <f t="shared" ca="1" si="0"/>
        <v>4.385964912280803E-3</v>
      </c>
    </row>
    <row r="65" spans="1:3">
      <c r="A65" s="3">
        <f ca="1">IFERROR(__xludf.UNSUPPORTED("""COMPUTED_VALUE"""),43558.6666666666)</f>
        <v>43558.666666666599</v>
      </c>
      <c r="B65" s="1">
        <f ca="1">IFERROR(__xludf.UNSUPPORTED("""COMPUTED_VALUE"""),4.72)</f>
        <v>4.72</v>
      </c>
      <c r="C65" s="2">
        <f t="shared" ca="1" si="0"/>
        <v>3.056768558951958E-2</v>
      </c>
    </row>
    <row r="66" spans="1:3">
      <c r="A66" s="3">
        <f ca="1">IFERROR(__xludf.UNSUPPORTED("""COMPUTED_VALUE"""),43559.6666666666)</f>
        <v>43559.666666666599</v>
      </c>
      <c r="B66" s="1">
        <f ca="1">IFERROR(__xludf.UNSUPPORTED("""COMPUTED_VALUE"""),4.71)</f>
        <v>4.71</v>
      </c>
      <c r="C66" s="2">
        <f t="shared" ca="1" si="0"/>
        <v>-2.1186440677965651E-3</v>
      </c>
    </row>
    <row r="67" spans="1:3">
      <c r="A67" s="3">
        <f ca="1">IFERROR(__xludf.UNSUPPORTED("""COMPUTED_VALUE"""),43560.6666666666)</f>
        <v>43560.666666666599</v>
      </c>
      <c r="B67" s="1">
        <f ca="1">IFERROR(__xludf.UNSUPPORTED("""COMPUTED_VALUE"""),4.77)</f>
        <v>4.7699999999999996</v>
      </c>
      <c r="C67" s="2">
        <f t="shared" ca="1" si="0"/>
        <v>1.2738853503184631E-2</v>
      </c>
    </row>
    <row r="68" spans="1:3">
      <c r="A68" s="3">
        <f ca="1">IFERROR(__xludf.UNSUPPORTED("""COMPUTED_VALUE"""),43563.6666666666)</f>
        <v>43563.666666666599</v>
      </c>
      <c r="B68" s="1">
        <f ca="1">IFERROR(__xludf.UNSUPPORTED("""COMPUTED_VALUE"""),4.79)</f>
        <v>4.79</v>
      </c>
      <c r="C68" s="2">
        <f t="shared" ca="1" si="0"/>
        <v>4.1928721174005167E-3</v>
      </c>
    </row>
    <row r="69" spans="1:3">
      <c r="A69" s="3">
        <f ca="1">IFERROR(__xludf.UNSUPPORTED("""COMPUTED_VALUE"""),43564.6666666666)</f>
        <v>43564.666666666599</v>
      </c>
      <c r="B69" s="1">
        <f ca="1">IFERROR(__xludf.UNSUPPORTED("""COMPUTED_VALUE"""),4.73)</f>
        <v>4.7300000000000004</v>
      </c>
      <c r="C69" s="2">
        <f t="shared" ca="1" si="0"/>
        <v>-1.2526096033402842E-2</v>
      </c>
    </row>
    <row r="70" spans="1:3">
      <c r="A70" s="3">
        <f ca="1">IFERROR(__xludf.UNSUPPORTED("""COMPUTED_VALUE"""),43565.6666666666)</f>
        <v>43565.666666666599</v>
      </c>
      <c r="B70" s="1">
        <f ca="1">IFERROR(__xludf.UNSUPPORTED("""COMPUTED_VALUE"""),4.8)</f>
        <v>4.8</v>
      </c>
      <c r="C70" s="2">
        <f t="shared" ca="1" si="0"/>
        <v>1.4799154334037926E-2</v>
      </c>
    </row>
    <row r="71" spans="1:3">
      <c r="A71" s="3">
        <f ca="1">IFERROR(__xludf.UNSUPPORTED("""COMPUTED_VALUE"""),43566.6666666666)</f>
        <v>43566.666666666599</v>
      </c>
      <c r="B71" s="1">
        <f ca="1">IFERROR(__xludf.UNSUPPORTED("""COMPUTED_VALUE"""),4.79)</f>
        <v>4.79</v>
      </c>
      <c r="C71" s="2">
        <f t="shared" ca="1" si="0"/>
        <v>-2.0833333333332891E-3</v>
      </c>
    </row>
    <row r="72" spans="1:3">
      <c r="A72" s="3">
        <f ca="1">IFERROR(__xludf.UNSUPPORTED("""COMPUTED_VALUE"""),43567.6666666666)</f>
        <v>43567.666666666599</v>
      </c>
      <c r="B72" s="1">
        <f ca="1">IFERROR(__xludf.UNSUPPORTED("""COMPUTED_VALUE"""),4.75)</f>
        <v>4.75</v>
      </c>
      <c r="C72" s="2">
        <f t="shared" ca="1" si="0"/>
        <v>-8.3507306889352897E-3</v>
      </c>
    </row>
    <row r="73" spans="1:3">
      <c r="A73" s="3">
        <f ca="1">IFERROR(__xludf.UNSUPPORTED("""COMPUTED_VALUE"""),43570.6666666666)</f>
        <v>43570.666666666599</v>
      </c>
      <c r="B73" s="1">
        <f ca="1">IFERROR(__xludf.UNSUPPORTED("""COMPUTED_VALUE"""),4.62)</f>
        <v>4.62</v>
      </c>
      <c r="C73" s="2">
        <f t="shared" ca="1" si="0"/>
        <v>-2.7368421052631556E-2</v>
      </c>
    </row>
    <row r="74" spans="1:3">
      <c r="A74" s="3">
        <f ca="1">IFERROR(__xludf.UNSUPPORTED("""COMPUTED_VALUE"""),43571.6666666666)</f>
        <v>43571.666666666599</v>
      </c>
      <c r="B74" s="1">
        <f ca="1">IFERROR(__xludf.UNSUPPORTED("""COMPUTED_VALUE"""),4.71)</f>
        <v>4.71</v>
      </c>
      <c r="C74" s="2">
        <f t="shared" ca="1" si="0"/>
        <v>1.9480519480519449E-2</v>
      </c>
    </row>
    <row r="75" spans="1:3">
      <c r="A75" s="3">
        <f ca="1">IFERROR(__xludf.UNSUPPORTED("""COMPUTED_VALUE"""),43572.6666666666)</f>
        <v>43572.666666666599</v>
      </c>
      <c r="B75" s="1">
        <f ca="1">IFERROR(__xludf.UNSUPPORTED("""COMPUTED_VALUE"""),4.68)</f>
        <v>4.68</v>
      </c>
      <c r="C75" s="2">
        <f t="shared" ca="1" si="0"/>
        <v>-6.3694267515924099E-3</v>
      </c>
    </row>
    <row r="76" spans="1:3">
      <c r="A76" s="3">
        <f ca="1">IFERROR(__xludf.UNSUPPORTED("""COMPUTED_VALUE"""),43573.6666666666)</f>
        <v>43573.666666666599</v>
      </c>
      <c r="B76" s="1">
        <f ca="1">IFERROR(__xludf.UNSUPPORTED("""COMPUTED_VALUE"""),4.66)</f>
        <v>4.66</v>
      </c>
      <c r="C76" s="2">
        <f t="shared" ca="1" si="0"/>
        <v>-4.2735042735041829E-3</v>
      </c>
    </row>
    <row r="77" spans="1:3">
      <c r="A77" s="3">
        <f ca="1">IFERROR(__xludf.UNSUPPORTED("""COMPUTED_VALUE"""),43577.6666666666)</f>
        <v>43577.666666666599</v>
      </c>
      <c r="B77" s="1">
        <f ca="1">IFERROR(__xludf.UNSUPPORTED("""COMPUTED_VALUE"""),4.71)</f>
        <v>4.71</v>
      </c>
      <c r="C77" s="2">
        <f t="shared" ca="1" si="0"/>
        <v>1.0729613733905541E-2</v>
      </c>
    </row>
    <row r="78" spans="1:3">
      <c r="A78" s="3">
        <f ca="1">IFERROR(__xludf.UNSUPPORTED("""COMPUTED_VALUE"""),43578.6666666666)</f>
        <v>43578.666666666599</v>
      </c>
      <c r="B78" s="1">
        <f ca="1">IFERROR(__xludf.UNSUPPORTED("""COMPUTED_VALUE"""),4.77)</f>
        <v>4.7699999999999996</v>
      </c>
      <c r="C78" s="2">
        <f t="shared" ca="1" si="0"/>
        <v>1.2738853503184631E-2</v>
      </c>
    </row>
    <row r="79" spans="1:3">
      <c r="A79" s="3">
        <f ca="1">IFERROR(__xludf.UNSUPPORTED("""COMPUTED_VALUE"""),43579.6666666666)</f>
        <v>43579.666666666599</v>
      </c>
      <c r="B79" s="1">
        <f ca="1">IFERROR(__xludf.UNSUPPORTED("""COMPUTED_VALUE"""),4.78)</f>
        <v>4.78</v>
      </c>
      <c r="C79" s="2">
        <f t="shared" ca="1" si="0"/>
        <v>2.0964360587003511E-3</v>
      </c>
    </row>
    <row r="80" spans="1:3">
      <c r="A80" s="3">
        <f ca="1">IFERROR(__xludf.UNSUPPORTED("""COMPUTED_VALUE"""),43580.6666666666)</f>
        <v>43580.666666666599</v>
      </c>
      <c r="B80" s="1">
        <f ca="1">IFERROR(__xludf.UNSUPPORTED("""COMPUTED_VALUE"""),4.67)</f>
        <v>4.67</v>
      </c>
      <c r="C80" s="2">
        <f t="shared" ca="1" si="0"/>
        <v>-2.3012552301255297E-2</v>
      </c>
    </row>
    <row r="81" spans="1:3">
      <c r="A81" s="3">
        <f ca="1">IFERROR(__xludf.UNSUPPORTED("""COMPUTED_VALUE"""),43581.6666666666)</f>
        <v>43581.666666666599</v>
      </c>
      <c r="B81" s="1">
        <f ca="1">IFERROR(__xludf.UNSUPPORTED("""COMPUTED_VALUE"""),4.45)</f>
        <v>4.45</v>
      </c>
      <c r="C81" s="2">
        <f t="shared" ca="1" si="0"/>
        <v>-4.710920770877939E-2</v>
      </c>
    </row>
    <row r="82" spans="1:3">
      <c r="A82" s="3">
        <f ca="1">IFERROR(__xludf.UNSUPPORTED("""COMPUTED_VALUE"""),43584.6666666666)</f>
        <v>43584.666666666599</v>
      </c>
      <c r="B82" s="1">
        <f ca="1">IFERROR(__xludf.UNSUPPORTED("""COMPUTED_VALUE"""),4.48)</f>
        <v>4.4800000000000004</v>
      </c>
      <c r="C82" s="2">
        <f t="shared" ca="1" si="0"/>
        <v>6.7415730337079208E-3</v>
      </c>
    </row>
    <row r="83" spans="1:3">
      <c r="A83" s="3">
        <f ca="1">IFERROR(__xludf.UNSUPPORTED("""COMPUTED_VALUE"""),43585.6666666666)</f>
        <v>43585.666666666599</v>
      </c>
      <c r="B83" s="1">
        <f ca="1">IFERROR(__xludf.UNSUPPORTED("""COMPUTED_VALUE"""),4.53)</f>
        <v>4.53</v>
      </c>
      <c r="C83" s="2">
        <f t="shared" ca="1" si="0"/>
        <v>1.1160714285714244E-2</v>
      </c>
    </row>
    <row r="84" spans="1:3">
      <c r="A84" s="3">
        <f ca="1">IFERROR(__xludf.UNSUPPORTED("""COMPUTED_VALUE"""),43586.6666666666)</f>
        <v>43586.666666666599</v>
      </c>
      <c r="B84" s="1">
        <f ca="1">IFERROR(__xludf.UNSUPPORTED("""COMPUTED_VALUE"""),4.51)</f>
        <v>4.51</v>
      </c>
      <c r="C84" s="2">
        <f t="shared" ca="1" si="0"/>
        <v>-4.4150110375276953E-3</v>
      </c>
    </row>
    <row r="85" spans="1:3">
      <c r="A85" s="3">
        <f ca="1">IFERROR(__xludf.UNSUPPORTED("""COMPUTED_VALUE"""),43587.6666666666)</f>
        <v>43587.666666666599</v>
      </c>
      <c r="B85" s="1">
        <f ca="1">IFERROR(__xludf.UNSUPPORTED("""COMPUTED_VALUE"""),4.58)</f>
        <v>4.58</v>
      </c>
      <c r="C85" s="2">
        <f t="shared" ca="1" si="0"/>
        <v>1.552106430155217E-2</v>
      </c>
    </row>
    <row r="86" spans="1:3">
      <c r="A86" s="3">
        <f ca="1">IFERROR(__xludf.UNSUPPORTED("""COMPUTED_VALUE"""),43588.6666666666)</f>
        <v>43588.666666666599</v>
      </c>
      <c r="B86" s="1">
        <f ca="1">IFERROR(__xludf.UNSUPPORTED("""COMPUTED_VALUE"""),4.58)</f>
        <v>4.58</v>
      </c>
      <c r="C86" s="2">
        <f t="shared" ca="1" si="0"/>
        <v>0</v>
      </c>
    </row>
    <row r="87" spans="1:3">
      <c r="A87" s="3">
        <f ca="1">IFERROR(__xludf.UNSUPPORTED("""COMPUTED_VALUE"""),43591.6666666666)</f>
        <v>43591.666666666599</v>
      </c>
      <c r="B87" s="1">
        <f ca="1">IFERROR(__xludf.UNSUPPORTED("""COMPUTED_VALUE"""),4.5)</f>
        <v>4.5</v>
      </c>
      <c r="C87" s="2">
        <f t="shared" ca="1" si="0"/>
        <v>-1.746724890829696E-2</v>
      </c>
    </row>
    <row r="88" spans="1:3">
      <c r="A88" s="3">
        <f ca="1">IFERROR(__xludf.UNSUPPORTED("""COMPUTED_VALUE"""),43592.6666666666)</f>
        <v>43592.666666666599</v>
      </c>
      <c r="B88" s="1">
        <f ca="1">IFERROR(__xludf.UNSUPPORTED("""COMPUTED_VALUE"""),4.33)</f>
        <v>4.33</v>
      </c>
      <c r="C88" s="2">
        <f t="shared" ca="1" si="0"/>
        <v>-3.7777777777777764E-2</v>
      </c>
    </row>
    <row r="89" spans="1:3">
      <c r="A89" s="3">
        <f ca="1">IFERROR(__xludf.UNSUPPORTED("""COMPUTED_VALUE"""),43593.6666666666)</f>
        <v>43593.666666666599</v>
      </c>
      <c r="B89" s="1">
        <f ca="1">IFERROR(__xludf.UNSUPPORTED("""COMPUTED_VALUE"""),4.35)</f>
        <v>4.3499999999999996</v>
      </c>
      <c r="C89" s="2">
        <f t="shared" ca="1" si="0"/>
        <v>4.6189376443417024E-3</v>
      </c>
    </row>
    <row r="90" spans="1:3">
      <c r="A90" s="3">
        <f ca="1">IFERROR(__xludf.UNSUPPORTED("""COMPUTED_VALUE"""),43594.6666666666)</f>
        <v>43594.666666666599</v>
      </c>
      <c r="B90" s="1">
        <f ca="1">IFERROR(__xludf.UNSUPPORTED("""COMPUTED_VALUE"""),4.25)</f>
        <v>4.25</v>
      </c>
      <c r="C90" s="2">
        <f t="shared" ca="1" si="0"/>
        <v>-2.2988505747126357E-2</v>
      </c>
    </row>
    <row r="91" spans="1:3">
      <c r="A91" s="3">
        <f ca="1">IFERROR(__xludf.UNSUPPORTED("""COMPUTED_VALUE"""),43595.6666666666)</f>
        <v>43595.666666666599</v>
      </c>
      <c r="B91" s="1">
        <f ca="1">IFERROR(__xludf.UNSUPPORTED("""COMPUTED_VALUE"""),4.22)</f>
        <v>4.22</v>
      </c>
      <c r="C91" s="2">
        <f t="shared" ca="1" si="0"/>
        <v>-7.0588235294118231E-3</v>
      </c>
    </row>
    <row r="92" spans="1:3">
      <c r="A92" s="3">
        <f ca="1">IFERROR(__xludf.UNSUPPORTED("""COMPUTED_VALUE"""),43598.6666666666)</f>
        <v>43598.666666666599</v>
      </c>
      <c r="B92" s="1">
        <f ca="1">IFERROR(__xludf.UNSUPPORTED("""COMPUTED_VALUE"""),3.96)</f>
        <v>3.96</v>
      </c>
      <c r="C92" s="2">
        <f t="shared" ca="1" si="0"/>
        <v>-6.1611374407582895E-2</v>
      </c>
    </row>
    <row r="93" spans="1:3">
      <c r="A93" s="3">
        <f ca="1">IFERROR(__xludf.UNSUPPORTED("""COMPUTED_VALUE"""),43599.6666666666)</f>
        <v>43599.666666666599</v>
      </c>
      <c r="B93" s="1">
        <f ca="1">IFERROR(__xludf.UNSUPPORTED("""COMPUTED_VALUE"""),4.05)</f>
        <v>4.05</v>
      </c>
      <c r="C93" s="2">
        <f t="shared" ca="1" si="0"/>
        <v>2.2727272727272693E-2</v>
      </c>
    </row>
    <row r="94" spans="1:3">
      <c r="A94" s="3">
        <f ca="1">IFERROR(__xludf.UNSUPPORTED("""COMPUTED_VALUE"""),43600.6666666666)</f>
        <v>43600.666666666599</v>
      </c>
      <c r="B94" s="1">
        <f ca="1">IFERROR(__xludf.UNSUPPORTED("""COMPUTED_VALUE"""),3.99)</f>
        <v>3.99</v>
      </c>
      <c r="C94" s="2">
        <f t="shared" ca="1" si="0"/>
        <v>-1.4814814814814718E-2</v>
      </c>
    </row>
    <row r="95" spans="1:3">
      <c r="A95" s="3">
        <f ca="1">IFERROR(__xludf.UNSUPPORTED("""COMPUTED_VALUE"""),43601.6666666666)</f>
        <v>43601.666666666599</v>
      </c>
      <c r="B95" s="1">
        <f ca="1">IFERROR(__xludf.UNSUPPORTED("""COMPUTED_VALUE"""),4)</f>
        <v>4</v>
      </c>
      <c r="C95" s="2">
        <f t="shared" ca="1" si="0"/>
        <v>2.5062656641603475E-3</v>
      </c>
    </row>
    <row r="96" spans="1:3">
      <c r="A96" s="3">
        <f ca="1">IFERROR(__xludf.UNSUPPORTED("""COMPUTED_VALUE"""),43602.6666666666)</f>
        <v>43602.666666666599</v>
      </c>
      <c r="B96" s="1">
        <f ca="1">IFERROR(__xludf.UNSUPPORTED("""COMPUTED_VALUE"""),3.91)</f>
        <v>3.91</v>
      </c>
      <c r="C96" s="2">
        <f t="shared" ca="1" si="0"/>
        <v>-2.2499999999999964E-2</v>
      </c>
    </row>
    <row r="97" spans="1:3">
      <c r="A97" s="3">
        <f ca="1">IFERROR(__xludf.UNSUPPORTED("""COMPUTED_VALUE"""),43605.6666666666)</f>
        <v>43605.666666666599</v>
      </c>
      <c r="B97" s="1">
        <f ca="1">IFERROR(__xludf.UNSUPPORTED("""COMPUTED_VALUE"""),3.79)</f>
        <v>3.79</v>
      </c>
      <c r="C97" s="2">
        <f t="shared" ca="1" si="0"/>
        <v>-3.0690537084399002E-2</v>
      </c>
    </row>
    <row r="98" spans="1:3">
      <c r="A98" s="3">
        <f ca="1">IFERROR(__xludf.UNSUPPORTED("""COMPUTED_VALUE"""),43606.6666666666)</f>
        <v>43606.666666666599</v>
      </c>
      <c r="B98" s="1">
        <f ca="1">IFERROR(__xludf.UNSUPPORTED("""COMPUTED_VALUE"""),3.88)</f>
        <v>3.88</v>
      </c>
      <c r="C98" s="2">
        <f t="shared" ca="1" si="0"/>
        <v>2.3746701846965663E-2</v>
      </c>
    </row>
    <row r="99" spans="1:3">
      <c r="A99" s="3">
        <f ca="1">IFERROR(__xludf.UNSUPPORTED("""COMPUTED_VALUE"""),43607.6666666666)</f>
        <v>43607.666666666599</v>
      </c>
      <c r="B99" s="1">
        <f ca="1">IFERROR(__xludf.UNSUPPORTED("""COMPUTED_VALUE"""),3.81)</f>
        <v>3.81</v>
      </c>
      <c r="C99" s="2">
        <f t="shared" ca="1" si="0"/>
        <v>-1.8041237113402022E-2</v>
      </c>
    </row>
    <row r="100" spans="1:3">
      <c r="A100" s="3">
        <f ca="1">IFERROR(__xludf.UNSUPPORTED("""COMPUTED_VALUE"""),43608.6666666666)</f>
        <v>43608.666666666599</v>
      </c>
      <c r="B100" s="1">
        <f ca="1">IFERROR(__xludf.UNSUPPORTED("""COMPUTED_VALUE"""),3.68)</f>
        <v>3.68</v>
      </c>
      <c r="C100" s="2">
        <f t="shared" ca="1" si="0"/>
        <v>-3.4120734908136455E-2</v>
      </c>
    </row>
    <row r="101" spans="1:3">
      <c r="A101" s="3">
        <f ca="1">IFERROR(__xludf.UNSUPPORTED("""COMPUTED_VALUE"""),43609.6666666666)</f>
        <v>43609.666666666599</v>
      </c>
      <c r="B101" s="1">
        <f ca="1">IFERROR(__xludf.UNSUPPORTED("""COMPUTED_VALUE"""),3.63)</f>
        <v>3.63</v>
      </c>
      <c r="C101" s="2">
        <f t="shared" ca="1" si="0"/>
        <v>-1.3586956521739203E-2</v>
      </c>
    </row>
    <row r="102" spans="1:3">
      <c r="A102" s="3">
        <f ca="1">IFERROR(__xludf.UNSUPPORTED("""COMPUTED_VALUE"""),43613.6666666666)</f>
        <v>43613.666666666599</v>
      </c>
      <c r="B102" s="1">
        <f ca="1">IFERROR(__xludf.UNSUPPORTED("""COMPUTED_VALUE"""),3.58)</f>
        <v>3.58</v>
      </c>
      <c r="C102" s="2">
        <f t="shared" ca="1" si="0"/>
        <v>-1.3774104683195544E-2</v>
      </c>
    </row>
    <row r="103" spans="1:3">
      <c r="A103" s="3">
        <f ca="1">IFERROR(__xludf.UNSUPPORTED("""COMPUTED_VALUE"""),43614.6666666666)</f>
        <v>43614.666666666599</v>
      </c>
      <c r="B103" s="1">
        <f ca="1">IFERROR(__xludf.UNSUPPORTED("""COMPUTED_VALUE"""),3.51)</f>
        <v>3.51</v>
      </c>
      <c r="C103" s="2">
        <f t="shared" ca="1" si="0"/>
        <v>-1.9553072625698404E-2</v>
      </c>
    </row>
    <row r="104" spans="1:3">
      <c r="A104" s="3">
        <f ca="1">IFERROR(__xludf.UNSUPPORTED("""COMPUTED_VALUE"""),43615.6666666666)</f>
        <v>43615.666666666599</v>
      </c>
      <c r="B104" s="1">
        <f ca="1">IFERROR(__xludf.UNSUPPORTED("""COMPUTED_VALUE"""),3.48)</f>
        <v>3.48</v>
      </c>
      <c r="C104" s="2">
        <f t="shared" ca="1" si="0"/>
        <v>-8.5470085470084924E-3</v>
      </c>
    </row>
    <row r="105" spans="1:3">
      <c r="A105" s="3">
        <f ca="1">IFERROR(__xludf.UNSUPPORTED("""COMPUTED_VALUE"""),43616.6666666666)</f>
        <v>43616.666666666599</v>
      </c>
      <c r="B105" s="1">
        <f ca="1">IFERROR(__xludf.UNSUPPORTED("""COMPUTED_VALUE"""),3.39)</f>
        <v>3.39</v>
      </c>
      <c r="C105" s="2">
        <f t="shared" ca="1" si="0"/>
        <v>-2.5862068965517199E-2</v>
      </c>
    </row>
    <row r="106" spans="1:3">
      <c r="A106" s="3">
        <f ca="1">IFERROR(__xludf.UNSUPPORTED("""COMPUTED_VALUE"""),43619.6666666666)</f>
        <v>43619.666666666599</v>
      </c>
      <c r="B106" s="1">
        <f ca="1">IFERROR(__xludf.UNSUPPORTED("""COMPUTED_VALUE"""),3.34)</f>
        <v>3.34</v>
      </c>
      <c r="C106" s="2">
        <f t="shared" ca="1" si="0"/>
        <v>-1.4749262536873234E-2</v>
      </c>
    </row>
    <row r="107" spans="1:3">
      <c r="A107" s="3">
        <f ca="1">IFERROR(__xludf.UNSUPPORTED("""COMPUTED_VALUE"""),43620.6666666666)</f>
        <v>43620.666666666599</v>
      </c>
      <c r="B107" s="1">
        <f ca="1">IFERROR(__xludf.UNSUPPORTED("""COMPUTED_VALUE"""),3.58)</f>
        <v>3.58</v>
      </c>
      <c r="C107" s="2">
        <f t="shared" ca="1" si="0"/>
        <v>7.1856287425149767E-2</v>
      </c>
    </row>
    <row r="108" spans="1:3">
      <c r="A108" s="3">
        <f ca="1">IFERROR(__xludf.UNSUPPORTED("""COMPUTED_VALUE"""),43621.6666666666)</f>
        <v>43621.666666666599</v>
      </c>
      <c r="B108" s="1">
        <f ca="1">IFERROR(__xludf.UNSUPPORTED("""COMPUTED_VALUE"""),3.53)</f>
        <v>3.53</v>
      </c>
      <c r="C108" s="2">
        <f t="shared" ca="1" si="0"/>
        <v>-1.3966480446927448E-2</v>
      </c>
    </row>
    <row r="109" spans="1:3">
      <c r="A109" s="3">
        <f ca="1">IFERROR(__xludf.UNSUPPORTED("""COMPUTED_VALUE"""),43622.6666666666)</f>
        <v>43622.666666666599</v>
      </c>
      <c r="B109" s="1">
        <f ca="1">IFERROR(__xludf.UNSUPPORTED("""COMPUTED_VALUE"""),3.59)</f>
        <v>3.59</v>
      </c>
      <c r="C109" s="2">
        <f t="shared" ca="1" si="0"/>
        <v>1.6997167138810214E-2</v>
      </c>
    </row>
    <row r="110" spans="1:3">
      <c r="A110" s="3">
        <f ca="1">IFERROR(__xludf.UNSUPPORTED("""COMPUTED_VALUE"""),43623.6666666666)</f>
        <v>43623.666666666599</v>
      </c>
      <c r="B110" s="1">
        <f ca="1">IFERROR(__xludf.UNSUPPORTED("""COMPUTED_VALUE"""),3.64)</f>
        <v>3.64</v>
      </c>
      <c r="C110" s="2">
        <f t="shared" ca="1" si="0"/>
        <v>1.3927576601671383E-2</v>
      </c>
    </row>
    <row r="111" spans="1:3">
      <c r="A111" s="3">
        <f ca="1">IFERROR(__xludf.UNSUPPORTED("""COMPUTED_VALUE"""),43626.6666666666)</f>
        <v>43626.666666666599</v>
      </c>
      <c r="B111" s="1">
        <f ca="1">IFERROR(__xludf.UNSUPPORTED("""COMPUTED_VALUE"""),3.71)</f>
        <v>3.71</v>
      </c>
      <c r="C111" s="2">
        <f t="shared" ca="1" si="0"/>
        <v>1.9230769230769187E-2</v>
      </c>
    </row>
    <row r="112" spans="1:3">
      <c r="A112" s="3">
        <f ca="1">IFERROR(__xludf.UNSUPPORTED("""COMPUTED_VALUE"""),43627.6666666666)</f>
        <v>43627.666666666599</v>
      </c>
      <c r="B112" s="1">
        <f ca="1">IFERROR(__xludf.UNSUPPORTED("""COMPUTED_VALUE"""),3.77)</f>
        <v>3.77</v>
      </c>
      <c r="C112" s="2">
        <f t="shared" ca="1" si="0"/>
        <v>1.6172506738544489E-2</v>
      </c>
    </row>
    <row r="113" spans="1:3">
      <c r="A113" s="3">
        <f ca="1">IFERROR(__xludf.UNSUPPORTED("""COMPUTED_VALUE"""),43628.6666666666)</f>
        <v>43628.666666666599</v>
      </c>
      <c r="B113" s="1">
        <f ca="1">IFERROR(__xludf.UNSUPPORTED("""COMPUTED_VALUE"""),3.66)</f>
        <v>3.66</v>
      </c>
      <c r="C113" s="2">
        <f t="shared" ca="1" si="0"/>
        <v>-2.9177718832891213E-2</v>
      </c>
    </row>
    <row r="114" spans="1:3">
      <c r="A114" s="3">
        <f ca="1">IFERROR(__xludf.UNSUPPORTED("""COMPUTED_VALUE"""),43629.6666666666)</f>
        <v>43629.666666666599</v>
      </c>
      <c r="B114" s="1">
        <f ca="1">IFERROR(__xludf.UNSUPPORTED("""COMPUTED_VALUE"""),3.71)</f>
        <v>3.71</v>
      </c>
      <c r="C114" s="2">
        <f t="shared" ca="1" si="0"/>
        <v>1.3661202185792301E-2</v>
      </c>
    </row>
    <row r="115" spans="1:3">
      <c r="A115" s="3">
        <f ca="1">IFERROR(__xludf.UNSUPPORTED("""COMPUTED_VALUE"""),43630.6666666666)</f>
        <v>43630.666666666599</v>
      </c>
      <c r="B115" s="1">
        <f ca="1">IFERROR(__xludf.UNSUPPORTED("""COMPUTED_VALUE"""),3.62)</f>
        <v>3.62</v>
      </c>
      <c r="C115" s="2">
        <f t="shared" ca="1" si="0"/>
        <v>-2.4258760107816673E-2</v>
      </c>
    </row>
    <row r="116" spans="1:3">
      <c r="A116" s="3">
        <f ca="1">IFERROR(__xludf.UNSUPPORTED("""COMPUTED_VALUE"""),43633.6666666666)</f>
        <v>43633.666666666599</v>
      </c>
      <c r="B116" s="1">
        <f ca="1">IFERROR(__xludf.UNSUPPORTED("""COMPUTED_VALUE"""),3.63)</f>
        <v>3.63</v>
      </c>
      <c r="C116" s="2">
        <f t="shared" ca="1" si="0"/>
        <v>2.7624309392264602E-3</v>
      </c>
    </row>
    <row r="117" spans="1:3">
      <c r="A117" s="3">
        <f ca="1">IFERROR(__xludf.UNSUPPORTED("""COMPUTED_VALUE"""),43634.6666666666)</f>
        <v>43634.666666666599</v>
      </c>
      <c r="B117" s="1">
        <f ca="1">IFERROR(__xludf.UNSUPPORTED("""COMPUTED_VALUE"""),3.82)</f>
        <v>3.82</v>
      </c>
      <c r="C117" s="2">
        <f t="shared" ca="1" si="0"/>
        <v>5.2341597796143238E-2</v>
      </c>
    </row>
    <row r="118" spans="1:3">
      <c r="A118" s="3">
        <f ca="1">IFERROR(__xludf.UNSUPPORTED("""COMPUTED_VALUE"""),43635.6666666666)</f>
        <v>43635.666666666599</v>
      </c>
      <c r="B118" s="1">
        <f ca="1">IFERROR(__xludf.UNSUPPORTED("""COMPUTED_VALUE"""),3.83)</f>
        <v>3.83</v>
      </c>
      <c r="C118" s="2">
        <f t="shared" ca="1" si="0"/>
        <v>2.6178010471204793E-3</v>
      </c>
    </row>
    <row r="119" spans="1:3">
      <c r="A119" s="3">
        <f ca="1">IFERROR(__xludf.UNSUPPORTED("""COMPUTED_VALUE"""),43636.6666666666)</f>
        <v>43636.666666666599</v>
      </c>
      <c r="B119" s="1">
        <f ca="1">IFERROR(__xludf.UNSUPPORTED("""COMPUTED_VALUE"""),3.85)</f>
        <v>3.85</v>
      </c>
      <c r="C119" s="2">
        <f t="shared" ca="1" si="0"/>
        <v>5.2219321148825109E-3</v>
      </c>
    </row>
    <row r="120" spans="1:3">
      <c r="A120" s="3">
        <f ca="1">IFERROR(__xludf.UNSUPPORTED("""COMPUTED_VALUE"""),43637.6666666666)</f>
        <v>43637.666666666599</v>
      </c>
      <c r="B120" s="1">
        <f ca="1">IFERROR(__xludf.UNSUPPORTED("""COMPUTED_VALUE"""),3.79)</f>
        <v>3.79</v>
      </c>
      <c r="C120" s="2">
        <f t="shared" ca="1" si="0"/>
        <v>-1.5584415584415598E-2</v>
      </c>
    </row>
    <row r="121" spans="1:3">
      <c r="A121" s="3">
        <f ca="1">IFERROR(__xludf.UNSUPPORTED("""COMPUTED_VALUE"""),43640.6666666666)</f>
        <v>43640.666666666599</v>
      </c>
      <c r="B121" s="1">
        <f ca="1">IFERROR(__xludf.UNSUPPORTED("""COMPUTED_VALUE"""),3.82)</f>
        <v>3.82</v>
      </c>
      <c r="C121" s="2">
        <f t="shared" ca="1" si="0"/>
        <v>7.9155672823218483E-3</v>
      </c>
    </row>
    <row r="122" spans="1:3">
      <c r="A122" s="3">
        <f ca="1">IFERROR(__xludf.UNSUPPORTED("""COMPUTED_VALUE"""),43641.6666666666)</f>
        <v>43641.666666666599</v>
      </c>
      <c r="B122" s="1">
        <f ca="1">IFERROR(__xludf.UNSUPPORTED("""COMPUTED_VALUE"""),3.79)</f>
        <v>3.79</v>
      </c>
      <c r="C122" s="2">
        <f t="shared" ca="1" si="0"/>
        <v>-7.8534031413612058E-3</v>
      </c>
    </row>
    <row r="123" spans="1:3">
      <c r="A123" s="3">
        <f ca="1">IFERROR(__xludf.UNSUPPORTED("""COMPUTED_VALUE"""),43642.6666666666)</f>
        <v>43642.666666666599</v>
      </c>
      <c r="B123" s="1">
        <f ca="1">IFERROR(__xludf.UNSUPPORTED("""COMPUTED_VALUE"""),3.98)</f>
        <v>3.98</v>
      </c>
      <c r="C123" s="2">
        <f t="shared" ca="1" si="0"/>
        <v>5.0131926121372017E-2</v>
      </c>
    </row>
    <row r="124" spans="1:3">
      <c r="A124" s="3">
        <f ca="1">IFERROR(__xludf.UNSUPPORTED("""COMPUTED_VALUE"""),43643.6666666666)</f>
        <v>43643.666666666599</v>
      </c>
      <c r="B124" s="1">
        <f ca="1">IFERROR(__xludf.UNSUPPORTED("""COMPUTED_VALUE"""),4.08)</f>
        <v>4.08</v>
      </c>
      <c r="C124" s="2">
        <f t="shared" ca="1" si="0"/>
        <v>2.512562814070354E-2</v>
      </c>
    </row>
    <row r="125" spans="1:3">
      <c r="A125" s="3">
        <f ca="1">IFERROR(__xludf.UNSUPPORTED("""COMPUTED_VALUE"""),43644.6666666666)</f>
        <v>43644.666666666599</v>
      </c>
      <c r="B125" s="1">
        <f ca="1">IFERROR(__xludf.UNSUPPORTED("""COMPUTED_VALUE"""),4.11)</f>
        <v>4.1100000000000003</v>
      </c>
      <c r="C125" s="2">
        <f t="shared" ca="1" si="0"/>
        <v>7.3529411764706488E-3</v>
      </c>
    </row>
    <row r="126" spans="1:3">
      <c r="A126" s="3">
        <f ca="1">IFERROR(__xludf.UNSUPPORTED("""COMPUTED_VALUE"""),43647.6666666666)</f>
        <v>43647.666666666599</v>
      </c>
      <c r="B126" s="1">
        <f ca="1">IFERROR(__xludf.UNSUPPORTED("""COMPUTED_VALUE"""),4.15)</f>
        <v>4.1500000000000004</v>
      </c>
      <c r="C126" s="2">
        <f t="shared" ca="1" si="0"/>
        <v>9.7323600973236082E-3</v>
      </c>
    </row>
    <row r="127" spans="1:3">
      <c r="A127" s="3">
        <f ca="1">IFERROR(__xludf.UNSUPPORTED("""COMPUTED_VALUE"""),43648.6666666666)</f>
        <v>43648.666666666599</v>
      </c>
      <c r="B127" s="1">
        <f ca="1">IFERROR(__xludf.UNSUPPORTED("""COMPUTED_VALUE"""),4.06)</f>
        <v>4.0599999999999996</v>
      </c>
      <c r="C127" s="2">
        <f t="shared" ca="1" si="0"/>
        <v>-2.1686746987951984E-2</v>
      </c>
    </row>
    <row r="128" spans="1:3">
      <c r="A128" s="3">
        <f ca="1">IFERROR(__xludf.UNSUPPORTED("""COMPUTED_VALUE"""),43649.5416666666)</f>
        <v>43649.541666666599</v>
      </c>
      <c r="B128" s="1">
        <f ca="1">IFERROR(__xludf.UNSUPPORTED("""COMPUTED_VALUE"""),4.07)</f>
        <v>4.07</v>
      </c>
      <c r="C128" s="2">
        <f t="shared" ca="1" si="0"/>
        <v>2.4630541871922848E-3</v>
      </c>
    </row>
    <row r="129" spans="1:3">
      <c r="A129" s="3">
        <f ca="1">IFERROR(__xludf.UNSUPPORTED("""COMPUTED_VALUE"""),43651.6666666666)</f>
        <v>43651.666666666599</v>
      </c>
      <c r="B129" s="1">
        <f ca="1">IFERROR(__xludf.UNSUPPORTED("""COMPUTED_VALUE"""),4.01)</f>
        <v>4.01</v>
      </c>
      <c r="C129" s="2">
        <f t="shared" ca="1" si="0"/>
        <v>-1.4742014742014864E-2</v>
      </c>
    </row>
    <row r="130" spans="1:3">
      <c r="A130" s="3">
        <f ca="1">IFERROR(__xludf.UNSUPPORTED("""COMPUTED_VALUE"""),43654.6666666666)</f>
        <v>43654.666666666599</v>
      </c>
      <c r="B130" s="1">
        <f ca="1">IFERROR(__xludf.UNSUPPORTED("""COMPUTED_VALUE"""),3.93)</f>
        <v>3.93</v>
      </c>
      <c r="C130" s="2">
        <f t="shared" ca="1" si="0"/>
        <v>-1.9950124688279211E-2</v>
      </c>
    </row>
    <row r="131" spans="1:3">
      <c r="A131" s="3">
        <f ca="1">IFERROR(__xludf.UNSUPPORTED("""COMPUTED_VALUE"""),43655.6666666666)</f>
        <v>43655.666666666599</v>
      </c>
      <c r="B131" s="1">
        <f ca="1">IFERROR(__xludf.UNSUPPORTED("""COMPUTED_VALUE"""),3.93)</f>
        <v>3.93</v>
      </c>
      <c r="C131" s="2">
        <f t="shared" ca="1" si="0"/>
        <v>0</v>
      </c>
    </row>
    <row r="132" spans="1:3">
      <c r="A132" s="3">
        <f ca="1">IFERROR(__xludf.UNSUPPORTED("""COMPUTED_VALUE"""),43656.6666666666)</f>
        <v>43656.666666666599</v>
      </c>
      <c r="B132" s="1">
        <f ca="1">IFERROR(__xludf.UNSUPPORTED("""COMPUTED_VALUE"""),4)</f>
        <v>4</v>
      </c>
      <c r="C132" s="2">
        <f t="shared" ca="1" si="0"/>
        <v>1.7811704834605556E-2</v>
      </c>
    </row>
    <row r="133" spans="1:3">
      <c r="A133" s="3">
        <f ca="1">IFERROR(__xludf.UNSUPPORTED("""COMPUTED_VALUE"""),43657.6666666666)</f>
        <v>43657.666666666599</v>
      </c>
      <c r="B133" s="1">
        <f ca="1">IFERROR(__xludf.UNSUPPORTED("""COMPUTED_VALUE"""),4.16)</f>
        <v>4.16</v>
      </c>
      <c r="C133" s="2">
        <f t="shared" ca="1" si="0"/>
        <v>4.0000000000000036E-2</v>
      </c>
    </row>
    <row r="134" spans="1:3">
      <c r="A134" s="3">
        <f ca="1">IFERROR(__xludf.UNSUPPORTED("""COMPUTED_VALUE"""),43658.6666666666)</f>
        <v>43658.666666666599</v>
      </c>
      <c r="B134" s="1">
        <f ca="1">IFERROR(__xludf.UNSUPPORTED("""COMPUTED_VALUE"""),4.19)</f>
        <v>4.1900000000000004</v>
      </c>
      <c r="C134" s="2">
        <f t="shared" ca="1" si="0"/>
        <v>7.2115384615385209E-3</v>
      </c>
    </row>
    <row r="135" spans="1:3">
      <c r="A135" s="3">
        <f ca="1">IFERROR(__xludf.UNSUPPORTED("""COMPUTED_VALUE"""),43661.6666666666)</f>
        <v>43661.666666666599</v>
      </c>
      <c r="B135" s="1">
        <f ca="1">IFERROR(__xludf.UNSUPPORTED("""COMPUTED_VALUE"""),4.18)</f>
        <v>4.18</v>
      </c>
      <c r="C135" s="2">
        <f t="shared" ca="1" si="0"/>
        <v>-2.3866348448688961E-3</v>
      </c>
    </row>
    <row r="136" spans="1:3">
      <c r="A136" s="3">
        <f ca="1">IFERROR(__xludf.UNSUPPORTED("""COMPUTED_VALUE"""),43662.6666666666)</f>
        <v>43662.666666666599</v>
      </c>
      <c r="B136" s="1">
        <f ca="1">IFERROR(__xludf.UNSUPPORTED("""COMPUTED_VALUE"""),4.18)</f>
        <v>4.18</v>
      </c>
      <c r="C136" s="2">
        <f t="shared" ca="1" si="0"/>
        <v>0</v>
      </c>
    </row>
    <row r="137" spans="1:3">
      <c r="A137" s="3">
        <f ca="1">IFERROR(__xludf.UNSUPPORTED("""COMPUTED_VALUE"""),43663.6666666666)</f>
        <v>43663.666666666599</v>
      </c>
      <c r="B137" s="1">
        <f ca="1">IFERROR(__xludf.UNSUPPORTED("""COMPUTED_VALUE"""),4.24)</f>
        <v>4.24</v>
      </c>
      <c r="C137" s="2">
        <f t="shared" ca="1" si="0"/>
        <v>1.4354066985646053E-2</v>
      </c>
    </row>
    <row r="138" spans="1:3">
      <c r="A138" s="3">
        <f ca="1">IFERROR(__xludf.UNSUPPORTED("""COMPUTED_VALUE"""),43664.6666666666)</f>
        <v>43664.666666666599</v>
      </c>
      <c r="B138" s="1">
        <f ca="1">IFERROR(__xludf.UNSUPPORTED("""COMPUTED_VALUE"""),4.25)</f>
        <v>4.25</v>
      </c>
      <c r="C138" s="2">
        <f t="shared" ca="1" si="0"/>
        <v>2.3584905660376855E-3</v>
      </c>
    </row>
    <row r="139" spans="1:3">
      <c r="A139" s="3">
        <f ca="1">IFERROR(__xludf.UNSUPPORTED("""COMPUTED_VALUE"""),43665.6666666666)</f>
        <v>43665.666666666599</v>
      </c>
      <c r="B139" s="1">
        <f ca="1">IFERROR(__xludf.UNSUPPORTED("""COMPUTED_VALUE"""),4.21)</f>
        <v>4.21</v>
      </c>
      <c r="C139" s="2">
        <f t="shared" ca="1" si="0"/>
        <v>-9.4117647058823608E-3</v>
      </c>
    </row>
    <row r="140" spans="1:3">
      <c r="A140" s="3">
        <f ca="1">IFERROR(__xludf.UNSUPPORTED("""COMPUTED_VALUE"""),43668.6666666666)</f>
        <v>43668.666666666599</v>
      </c>
      <c r="B140" s="1">
        <f ca="1">IFERROR(__xludf.UNSUPPORTED("""COMPUTED_VALUE"""),4.28)</f>
        <v>4.28</v>
      </c>
      <c r="C140" s="2">
        <f t="shared" ca="1" si="0"/>
        <v>1.6627078384798169E-2</v>
      </c>
    </row>
    <row r="141" spans="1:3">
      <c r="A141" s="3">
        <f ca="1">IFERROR(__xludf.UNSUPPORTED("""COMPUTED_VALUE"""),43669.6666666666)</f>
        <v>43669.666666666599</v>
      </c>
      <c r="B141" s="1">
        <f ca="1">IFERROR(__xludf.UNSUPPORTED("""COMPUTED_VALUE"""),4.39)</f>
        <v>4.3899999999999997</v>
      </c>
      <c r="C141" s="2">
        <f t="shared" ca="1" si="0"/>
        <v>2.5700934579439116E-2</v>
      </c>
    </row>
    <row r="142" spans="1:3">
      <c r="A142" s="3">
        <f ca="1">IFERROR(__xludf.UNSUPPORTED("""COMPUTED_VALUE"""),43670.6666666666)</f>
        <v>43670.666666666599</v>
      </c>
      <c r="B142" s="1">
        <f ca="1">IFERROR(__xludf.UNSUPPORTED("""COMPUTED_VALUE"""),4.47)</f>
        <v>4.47</v>
      </c>
      <c r="C142" s="2">
        <f t="shared" ca="1" si="0"/>
        <v>1.8223234624145802E-2</v>
      </c>
    </row>
    <row r="143" spans="1:3">
      <c r="A143" s="3">
        <f ca="1">IFERROR(__xludf.UNSUPPORTED("""COMPUTED_VALUE"""),43671.6666666666)</f>
        <v>43671.666666666599</v>
      </c>
      <c r="B143" s="1">
        <f ca="1">IFERROR(__xludf.UNSUPPORTED("""COMPUTED_VALUE"""),4.33)</f>
        <v>4.33</v>
      </c>
      <c r="C143" s="2">
        <f t="shared" ca="1" si="0"/>
        <v>-3.1319910514541319E-2</v>
      </c>
    </row>
    <row r="144" spans="1:3">
      <c r="A144" s="3">
        <f ca="1">IFERROR(__xludf.UNSUPPORTED("""COMPUTED_VALUE"""),43672.6666666666)</f>
        <v>43672.666666666599</v>
      </c>
      <c r="B144" s="1">
        <f ca="1">IFERROR(__xludf.UNSUPPORTED("""COMPUTED_VALUE"""),4.38)</f>
        <v>4.38</v>
      </c>
      <c r="C144" s="2">
        <f t="shared" ca="1" si="0"/>
        <v>1.1547344110854462E-2</v>
      </c>
    </row>
    <row r="145" spans="1:3">
      <c r="A145" s="3">
        <f ca="1">IFERROR(__xludf.UNSUPPORTED("""COMPUTED_VALUE"""),43675.6666666666)</f>
        <v>43675.666666666599</v>
      </c>
      <c r="B145" s="1">
        <f ca="1">IFERROR(__xludf.UNSUPPORTED("""COMPUTED_VALUE"""),4.37)</f>
        <v>4.37</v>
      </c>
      <c r="C145" s="2">
        <f t="shared" ca="1" si="0"/>
        <v>-2.2831050228310015E-3</v>
      </c>
    </row>
    <row r="146" spans="1:3">
      <c r="A146" s="3">
        <f ca="1">IFERROR(__xludf.UNSUPPORTED("""COMPUTED_VALUE"""),43676.6666666666)</f>
        <v>43676.666666666599</v>
      </c>
      <c r="B146" s="1">
        <f ca="1">IFERROR(__xludf.UNSUPPORTED("""COMPUTED_VALUE"""),4.39)</f>
        <v>4.3899999999999997</v>
      </c>
      <c r="C146" s="2">
        <f t="shared" ca="1" si="0"/>
        <v>4.5766590389015038E-3</v>
      </c>
    </row>
    <row r="147" spans="1:3">
      <c r="A147" s="3">
        <f ca="1">IFERROR(__xludf.UNSUPPORTED("""COMPUTED_VALUE"""),43677.6666666666)</f>
        <v>43677.666666666599</v>
      </c>
      <c r="B147" s="1">
        <f ca="1">IFERROR(__xludf.UNSUPPORTED("""COMPUTED_VALUE"""),4.22)</f>
        <v>4.22</v>
      </c>
      <c r="C147" s="2">
        <f t="shared" ca="1" si="0"/>
        <v>-3.8724373576309784E-2</v>
      </c>
    </row>
    <row r="148" spans="1:3">
      <c r="A148" s="3">
        <f ca="1">IFERROR(__xludf.UNSUPPORTED("""COMPUTED_VALUE"""),43678.6666666666)</f>
        <v>43678.666666666599</v>
      </c>
      <c r="B148" s="1">
        <f ca="1">IFERROR(__xludf.UNSUPPORTED("""COMPUTED_VALUE"""),4.12)</f>
        <v>4.12</v>
      </c>
      <c r="C148" s="2">
        <f t="shared" ca="1" si="0"/>
        <v>-2.3696682464454895E-2</v>
      </c>
    </row>
    <row r="149" spans="1:3">
      <c r="A149" s="3">
        <f ca="1">IFERROR(__xludf.UNSUPPORTED("""COMPUTED_VALUE"""),43679.6666666666)</f>
        <v>43679.666666666599</v>
      </c>
      <c r="B149" s="1">
        <f ca="1">IFERROR(__xludf.UNSUPPORTED("""COMPUTED_VALUE"""),4.03)</f>
        <v>4.03</v>
      </c>
      <c r="C149" s="2">
        <f t="shared" ca="1" si="0"/>
        <v>-2.1844660194174723E-2</v>
      </c>
    </row>
    <row r="150" spans="1:3">
      <c r="A150" s="3">
        <f ca="1">IFERROR(__xludf.UNSUPPORTED("""COMPUTED_VALUE"""),43682.6666666666)</f>
        <v>43682.666666666599</v>
      </c>
      <c r="B150" s="1">
        <f ca="1">IFERROR(__xludf.UNSUPPORTED("""COMPUTED_VALUE"""),3.77)</f>
        <v>3.77</v>
      </c>
      <c r="C150" s="2">
        <f t="shared" ca="1" si="0"/>
        <v>-6.4516129032258118E-2</v>
      </c>
    </row>
    <row r="151" spans="1:3">
      <c r="A151" s="3">
        <f ca="1">IFERROR(__xludf.UNSUPPORTED("""COMPUTED_VALUE"""),43683.6666666666)</f>
        <v>43683.666666666599</v>
      </c>
      <c r="B151" s="1">
        <f ca="1">IFERROR(__xludf.UNSUPPORTED("""COMPUTED_VALUE"""),3.81)</f>
        <v>3.81</v>
      </c>
      <c r="C151" s="2">
        <f t="shared" ca="1" si="0"/>
        <v>1.0610079575596827E-2</v>
      </c>
    </row>
    <row r="152" spans="1:3">
      <c r="A152" s="3">
        <f ca="1">IFERROR(__xludf.UNSUPPORTED("""COMPUTED_VALUE"""),43684.6666666666)</f>
        <v>43684.666666666599</v>
      </c>
      <c r="B152" s="1">
        <f ca="1">IFERROR(__xludf.UNSUPPORTED("""COMPUTED_VALUE"""),3.85)</f>
        <v>3.85</v>
      </c>
      <c r="C152" s="2">
        <f t="shared" ca="1" si="0"/>
        <v>1.0498687664042003E-2</v>
      </c>
    </row>
    <row r="153" spans="1:3">
      <c r="A153" s="3">
        <f ca="1">IFERROR(__xludf.UNSUPPORTED("""COMPUTED_VALUE"""),43685.6666666666)</f>
        <v>43685.666666666599</v>
      </c>
      <c r="B153" s="1">
        <f ca="1">IFERROR(__xludf.UNSUPPORTED("""COMPUTED_VALUE"""),3.96)</f>
        <v>3.96</v>
      </c>
      <c r="C153" s="2">
        <f t="shared" ca="1" si="0"/>
        <v>2.8571428571428539E-2</v>
      </c>
    </row>
    <row r="154" spans="1:3">
      <c r="A154" s="3">
        <f ca="1">IFERROR(__xludf.UNSUPPORTED("""COMPUTED_VALUE"""),43686.6666666666)</f>
        <v>43686.666666666599</v>
      </c>
      <c r="B154" s="1">
        <f ca="1">IFERROR(__xludf.UNSUPPORTED("""COMPUTED_VALUE"""),3.85)</f>
        <v>3.85</v>
      </c>
      <c r="C154" s="2">
        <f t="shared" ca="1" si="0"/>
        <v>-2.7777777777777745E-2</v>
      </c>
    </row>
    <row r="155" spans="1:3">
      <c r="A155" s="3">
        <f ca="1">IFERROR(__xludf.UNSUPPORTED("""COMPUTED_VALUE"""),43689.6666666666)</f>
        <v>43689.666666666599</v>
      </c>
      <c r="B155" s="1">
        <f ca="1">IFERROR(__xludf.UNSUPPORTED("""COMPUTED_VALUE"""),3.79)</f>
        <v>3.79</v>
      </c>
      <c r="C155" s="2">
        <f t="shared" ca="1" si="0"/>
        <v>-1.5584415584415598E-2</v>
      </c>
    </row>
    <row r="156" spans="1:3">
      <c r="A156" s="3">
        <f ca="1">IFERROR(__xludf.UNSUPPORTED("""COMPUTED_VALUE"""),43690.6666666666)</f>
        <v>43690.666666666599</v>
      </c>
      <c r="B156" s="1">
        <f ca="1">IFERROR(__xludf.UNSUPPORTED("""COMPUTED_VALUE"""),3.9)</f>
        <v>3.9</v>
      </c>
      <c r="C156" s="2">
        <f t="shared" ca="1" si="0"/>
        <v>2.9023746701846934E-2</v>
      </c>
    </row>
    <row r="157" spans="1:3">
      <c r="A157" s="3">
        <f ca="1">IFERROR(__xludf.UNSUPPORTED("""COMPUTED_VALUE"""),43691.6666666666)</f>
        <v>43691.666666666599</v>
      </c>
      <c r="B157" s="1">
        <f ca="1">IFERROR(__xludf.UNSUPPORTED("""COMPUTED_VALUE"""),3.75)</f>
        <v>3.75</v>
      </c>
      <c r="C157" s="2">
        <f t="shared" ca="1" si="0"/>
        <v>-3.8461538461538443E-2</v>
      </c>
    </row>
    <row r="158" spans="1:3">
      <c r="A158" s="3">
        <f ca="1">IFERROR(__xludf.UNSUPPORTED("""COMPUTED_VALUE"""),43692.6666666666)</f>
        <v>43692.666666666599</v>
      </c>
      <c r="B158" s="1">
        <f ca="1">IFERROR(__xludf.UNSUPPORTED("""COMPUTED_VALUE"""),3.72)</f>
        <v>3.72</v>
      </c>
      <c r="C158" s="2">
        <f t="shared" ca="1" si="0"/>
        <v>-7.9999999999999481E-3</v>
      </c>
    </row>
    <row r="159" spans="1:3">
      <c r="A159" s="3">
        <f ca="1">IFERROR(__xludf.UNSUPPORTED("""COMPUTED_VALUE"""),43693.6666666666)</f>
        <v>43693.666666666599</v>
      </c>
      <c r="B159" s="1">
        <f ca="1">IFERROR(__xludf.UNSUPPORTED("""COMPUTED_VALUE"""),3.99)</f>
        <v>3.99</v>
      </c>
      <c r="C159" s="2">
        <f t="shared" ca="1" si="0"/>
        <v>7.2580645161290328E-2</v>
      </c>
    </row>
    <row r="160" spans="1:3">
      <c r="A160" s="3">
        <f ca="1">IFERROR(__xludf.UNSUPPORTED("""COMPUTED_VALUE"""),43696.6666666666)</f>
        <v>43696.666666666599</v>
      </c>
      <c r="B160" s="1">
        <f ca="1">IFERROR(__xludf.UNSUPPORTED("""COMPUTED_VALUE"""),4.27)</f>
        <v>4.2699999999999996</v>
      </c>
      <c r="C160" s="2">
        <f t="shared" ca="1" si="0"/>
        <v>7.0175438596491058E-2</v>
      </c>
    </row>
    <row r="161" spans="1:3">
      <c r="A161" s="3">
        <f ca="1">IFERROR(__xludf.UNSUPPORTED("""COMPUTED_VALUE"""),43697.6666666666)</f>
        <v>43697.666666666599</v>
      </c>
      <c r="B161" s="1">
        <f ca="1">IFERROR(__xludf.UNSUPPORTED("""COMPUTED_VALUE"""),4.2)</f>
        <v>4.2</v>
      </c>
      <c r="C161" s="2">
        <f t="shared" ca="1" si="0"/>
        <v>-1.6393442622950678E-2</v>
      </c>
    </row>
    <row r="162" spans="1:3">
      <c r="A162" s="3">
        <f ca="1">IFERROR(__xludf.UNSUPPORTED("""COMPUTED_VALUE"""),43698.6666666666)</f>
        <v>43698.666666666599</v>
      </c>
      <c r="B162" s="1">
        <f ca="1">IFERROR(__xludf.UNSUPPORTED("""COMPUTED_VALUE"""),4.28)</f>
        <v>4.28</v>
      </c>
      <c r="C162" s="2">
        <f t="shared" ca="1" si="0"/>
        <v>1.9047619047619063E-2</v>
      </c>
    </row>
    <row r="163" spans="1:3">
      <c r="A163" s="3">
        <f ca="1">IFERROR(__xludf.UNSUPPORTED("""COMPUTED_VALUE"""),43699.6666666666)</f>
        <v>43699.666666666599</v>
      </c>
      <c r="B163" s="1">
        <f ca="1">IFERROR(__xludf.UNSUPPORTED("""COMPUTED_VALUE"""),4.29)</f>
        <v>4.29</v>
      </c>
      <c r="C163" s="2">
        <f t="shared" ca="1" si="0"/>
        <v>2.3364485981307911E-3</v>
      </c>
    </row>
    <row r="164" spans="1:3">
      <c r="A164" s="3">
        <f ca="1">IFERROR(__xludf.UNSUPPORTED("""COMPUTED_VALUE"""),43700.6666666666)</f>
        <v>43700.666666666599</v>
      </c>
      <c r="B164" s="1">
        <f ca="1">IFERROR(__xludf.UNSUPPORTED("""COMPUTED_VALUE"""),4.06)</f>
        <v>4.0599999999999996</v>
      </c>
      <c r="C164" s="2">
        <f t="shared" ca="1" si="0"/>
        <v>-5.3613053613053713E-2</v>
      </c>
    </row>
    <row r="165" spans="1:3">
      <c r="A165" s="3">
        <f ca="1">IFERROR(__xludf.UNSUPPORTED("""COMPUTED_VALUE"""),43703.6666666666)</f>
        <v>43703.666666666599</v>
      </c>
      <c r="B165" s="1">
        <f ca="1">IFERROR(__xludf.UNSUPPORTED("""COMPUTED_VALUE"""),4.14)</f>
        <v>4.1399999999999997</v>
      </c>
      <c r="C165" s="2">
        <f t="shared" ca="1" si="0"/>
        <v>1.9704433497536967E-2</v>
      </c>
    </row>
    <row r="166" spans="1:3">
      <c r="A166" s="3">
        <f ca="1">IFERROR(__xludf.UNSUPPORTED("""COMPUTED_VALUE"""),43704.6666666666)</f>
        <v>43704.666666666599</v>
      </c>
      <c r="B166" s="1">
        <f ca="1">IFERROR(__xludf.UNSUPPORTED("""COMPUTED_VALUE"""),4.05)</f>
        <v>4.05</v>
      </c>
      <c r="C166" s="2">
        <f t="shared" ca="1" si="0"/>
        <v>-2.1739130434782577E-2</v>
      </c>
    </row>
    <row r="167" spans="1:3">
      <c r="A167" s="3">
        <f ca="1">IFERROR(__xludf.UNSUPPORTED("""COMPUTED_VALUE"""),43705.6666666666)</f>
        <v>43705.666666666599</v>
      </c>
      <c r="B167" s="1">
        <f ca="1">IFERROR(__xludf.UNSUPPORTED("""COMPUTED_VALUE"""),4.03)</f>
        <v>4.03</v>
      </c>
      <c r="C167" s="2">
        <f t="shared" ca="1" si="0"/>
        <v>-4.9382716049381666E-3</v>
      </c>
    </row>
    <row r="168" spans="1:3">
      <c r="A168" s="3">
        <f ca="1">IFERROR(__xludf.UNSUPPORTED("""COMPUTED_VALUE"""),43706.6666666666)</f>
        <v>43706.666666666599</v>
      </c>
      <c r="B168" s="1">
        <f ca="1">IFERROR(__xludf.UNSUPPORTED("""COMPUTED_VALUE"""),4.18)</f>
        <v>4.18</v>
      </c>
      <c r="C168" s="2">
        <f t="shared" ca="1" si="0"/>
        <v>3.7220843672456441E-2</v>
      </c>
    </row>
    <row r="169" spans="1:3">
      <c r="A169" s="3">
        <f ca="1">IFERROR(__xludf.UNSUPPORTED("""COMPUTED_VALUE"""),43707.6666666666)</f>
        <v>43707.666666666599</v>
      </c>
      <c r="B169" s="1">
        <f ca="1">IFERROR(__xludf.UNSUPPORTED("""COMPUTED_VALUE"""),4.19)</f>
        <v>4.1900000000000004</v>
      </c>
      <c r="C169" s="2">
        <f t="shared" ca="1" si="0"/>
        <v>2.3923444976078172E-3</v>
      </c>
    </row>
    <row r="170" spans="1:3">
      <c r="A170" s="3">
        <f ca="1">IFERROR(__xludf.UNSUPPORTED("""COMPUTED_VALUE"""),43711.6666666666)</f>
        <v>43711.666666666599</v>
      </c>
      <c r="B170" s="1">
        <f ca="1">IFERROR(__xludf.UNSUPPORTED("""COMPUTED_VALUE"""),4.1)</f>
        <v>4.0999999999999996</v>
      </c>
      <c r="C170" s="2">
        <f t="shared" ca="1" si="0"/>
        <v>-2.1479713603818791E-2</v>
      </c>
    </row>
    <row r="171" spans="1:3">
      <c r="A171" s="3">
        <f ca="1">IFERROR(__xludf.UNSUPPORTED("""COMPUTED_VALUE"""),43712.6666666666)</f>
        <v>43712.666666666599</v>
      </c>
      <c r="B171" s="1">
        <f ca="1">IFERROR(__xludf.UNSUPPORTED("""COMPUTED_VALUE"""),4.22)</f>
        <v>4.22</v>
      </c>
      <c r="C171" s="2">
        <f t="shared" ca="1" si="0"/>
        <v>2.9268292682926859E-2</v>
      </c>
    </row>
    <row r="172" spans="1:3">
      <c r="A172" s="3">
        <f ca="1">IFERROR(__xludf.UNSUPPORTED("""COMPUTED_VALUE"""),43713.6666666666)</f>
        <v>43713.666666666599</v>
      </c>
      <c r="B172" s="1">
        <f ca="1">IFERROR(__xludf.UNSUPPORTED("""COMPUTED_VALUE"""),4.49)</f>
        <v>4.49</v>
      </c>
      <c r="C172" s="2">
        <f t="shared" ca="1" si="0"/>
        <v>6.3981042654028555E-2</v>
      </c>
    </row>
    <row r="173" spans="1:3">
      <c r="A173" s="3">
        <f ca="1">IFERROR(__xludf.UNSUPPORTED("""COMPUTED_VALUE"""),43714.6666666666)</f>
        <v>43714.666666666599</v>
      </c>
      <c r="B173" s="1">
        <f ca="1">IFERROR(__xludf.UNSUPPORTED("""COMPUTED_VALUE"""),4.47)</f>
        <v>4.47</v>
      </c>
      <c r="C173" s="2">
        <f t="shared" ca="1" si="0"/>
        <v>-4.4543429844099026E-3</v>
      </c>
    </row>
    <row r="174" spans="1:3">
      <c r="A174" s="3">
        <f ca="1">IFERROR(__xludf.UNSUPPORTED("""COMPUTED_VALUE"""),43717.6666666666)</f>
        <v>43717.666666666599</v>
      </c>
      <c r="B174" s="1">
        <f ca="1">IFERROR(__xludf.UNSUPPORTED("""COMPUTED_VALUE"""),4.51)</f>
        <v>4.51</v>
      </c>
      <c r="C174" s="2">
        <f t="shared" ca="1" si="0"/>
        <v>8.9485458612975476E-3</v>
      </c>
    </row>
    <row r="175" spans="1:3">
      <c r="A175" s="3">
        <f ca="1">IFERROR(__xludf.UNSUPPORTED("""COMPUTED_VALUE"""),43718.6666666666)</f>
        <v>43718.666666666599</v>
      </c>
      <c r="B175" s="1">
        <f ca="1">IFERROR(__xludf.UNSUPPORTED("""COMPUTED_VALUE"""),4.58)</f>
        <v>4.58</v>
      </c>
      <c r="C175" s="2">
        <f t="shared" ca="1" si="0"/>
        <v>1.552106430155217E-2</v>
      </c>
    </row>
    <row r="176" spans="1:3">
      <c r="A176" s="3">
        <f ca="1">IFERROR(__xludf.UNSUPPORTED("""COMPUTED_VALUE"""),43719.6666666666)</f>
        <v>43719.666666666599</v>
      </c>
      <c r="B176" s="1">
        <f ca="1">IFERROR(__xludf.UNSUPPORTED("""COMPUTED_VALUE"""),4.61)</f>
        <v>4.6100000000000003</v>
      </c>
      <c r="C176" s="2">
        <f t="shared" ca="1" si="0"/>
        <v>6.550218340611408E-3</v>
      </c>
    </row>
    <row r="177" spans="1:3">
      <c r="A177" s="3">
        <f ca="1">IFERROR(__xludf.UNSUPPORTED("""COMPUTED_VALUE"""),43720.6666666666)</f>
        <v>43720.666666666599</v>
      </c>
      <c r="B177" s="1">
        <f ca="1">IFERROR(__xludf.UNSUPPORTED("""COMPUTED_VALUE"""),4.61)</f>
        <v>4.6100000000000003</v>
      </c>
      <c r="C177" s="2">
        <f t="shared" ca="1" si="0"/>
        <v>0</v>
      </c>
    </row>
    <row r="178" spans="1:3">
      <c r="A178" s="3">
        <f ca="1">IFERROR(__xludf.UNSUPPORTED("""COMPUTED_VALUE"""),43721.6666666666)</f>
        <v>43721.666666666599</v>
      </c>
      <c r="B178" s="1">
        <f ca="1">IFERROR(__xludf.UNSUPPORTED("""COMPUTED_VALUE"""),4.55)</f>
        <v>4.55</v>
      </c>
      <c r="C178" s="2">
        <f t="shared" ca="1" si="0"/>
        <v>-1.3015184381778849E-2</v>
      </c>
    </row>
    <row r="179" spans="1:3">
      <c r="A179" s="3">
        <f ca="1">IFERROR(__xludf.UNSUPPORTED("""COMPUTED_VALUE"""),43724.6666666666)</f>
        <v>43724.666666666599</v>
      </c>
      <c r="B179" s="1">
        <f ca="1">IFERROR(__xludf.UNSUPPORTED("""COMPUTED_VALUE"""),4.51)</f>
        <v>4.51</v>
      </c>
      <c r="C179" s="2">
        <f t="shared" ca="1" si="0"/>
        <v>-8.7912087912087999E-3</v>
      </c>
    </row>
    <row r="180" spans="1:3">
      <c r="A180" s="3">
        <f ca="1">IFERROR(__xludf.UNSUPPORTED("""COMPUTED_VALUE"""),43725.6666666666)</f>
        <v>43725.666666666599</v>
      </c>
      <c r="B180" s="1">
        <f ca="1">IFERROR(__xludf.UNSUPPORTED("""COMPUTED_VALUE"""),4.53)</f>
        <v>4.53</v>
      </c>
      <c r="C180" s="2">
        <f t="shared" ca="1" si="0"/>
        <v>4.4345898004435613E-3</v>
      </c>
    </row>
    <row r="181" spans="1:3">
      <c r="A181" s="3">
        <f ca="1">IFERROR(__xludf.UNSUPPORTED("""COMPUTED_VALUE"""),43726.6666666666)</f>
        <v>43726.666666666599</v>
      </c>
      <c r="B181" s="1">
        <f ca="1">IFERROR(__xludf.UNSUPPORTED("""COMPUTED_VALUE"""),4.5)</f>
        <v>4.5</v>
      </c>
      <c r="C181" s="2">
        <f t="shared" ca="1" si="0"/>
        <v>-6.6225165562914454E-3</v>
      </c>
    </row>
    <row r="182" spans="1:3">
      <c r="A182" s="3">
        <f ca="1">IFERROR(__xludf.UNSUPPORTED("""COMPUTED_VALUE"""),43727.6666666666)</f>
        <v>43727.666666666599</v>
      </c>
      <c r="B182" s="1">
        <f ca="1">IFERROR(__xludf.UNSUPPORTED("""COMPUTED_VALUE"""),4.42)</f>
        <v>4.42</v>
      </c>
      <c r="C182" s="2">
        <f t="shared" ca="1" si="0"/>
        <v>-1.7777777777777795E-2</v>
      </c>
    </row>
    <row r="183" spans="1:3">
      <c r="A183" s="3">
        <f ca="1">IFERROR(__xludf.UNSUPPORTED("""COMPUTED_VALUE"""),43728.6666666666)</f>
        <v>43728.666666666599</v>
      </c>
      <c r="B183" s="1">
        <f ca="1">IFERROR(__xludf.UNSUPPORTED("""COMPUTED_VALUE"""),4.32)</f>
        <v>4.32</v>
      </c>
      <c r="C183" s="2">
        <f t="shared" ca="1" si="0"/>
        <v>-2.2624434389140191E-2</v>
      </c>
    </row>
    <row r="184" spans="1:3">
      <c r="A184" s="3">
        <f ca="1">IFERROR(__xludf.UNSUPPORTED("""COMPUTED_VALUE"""),43731.6666666666)</f>
        <v>43731.666666666599</v>
      </c>
      <c r="B184" s="1">
        <f ca="1">IFERROR(__xludf.UNSUPPORTED("""COMPUTED_VALUE"""),4.37)</f>
        <v>4.37</v>
      </c>
      <c r="C184" s="2">
        <f t="shared" ca="1" si="0"/>
        <v>1.1574074074074032E-2</v>
      </c>
    </row>
    <row r="185" spans="1:3">
      <c r="A185" s="3">
        <f ca="1">IFERROR(__xludf.UNSUPPORTED("""COMPUTED_VALUE"""),43732.6666666666)</f>
        <v>43732.666666666599</v>
      </c>
      <c r="B185" s="1">
        <f ca="1">IFERROR(__xludf.UNSUPPORTED("""COMPUTED_VALUE"""),4.31)</f>
        <v>4.3099999999999996</v>
      </c>
      <c r="C185" s="2">
        <f t="shared" ca="1" si="0"/>
        <v>-1.3729977116704919E-2</v>
      </c>
    </row>
    <row r="186" spans="1:3">
      <c r="A186" s="3">
        <f ca="1">IFERROR(__xludf.UNSUPPORTED("""COMPUTED_VALUE"""),43733.6666666666)</f>
        <v>43733.666666666599</v>
      </c>
      <c r="B186" s="1">
        <f ca="1">IFERROR(__xludf.UNSUPPORTED("""COMPUTED_VALUE"""),4.46)</f>
        <v>4.46</v>
      </c>
      <c r="C186" s="2">
        <f t="shared" ca="1" si="0"/>
        <v>3.4802784222737908E-2</v>
      </c>
    </row>
    <row r="187" spans="1:3">
      <c r="A187" s="3">
        <f ca="1">IFERROR(__xludf.UNSUPPORTED("""COMPUTED_VALUE"""),43734.6666666666)</f>
        <v>43734.666666666599</v>
      </c>
      <c r="B187" s="1">
        <f ca="1">IFERROR(__xludf.UNSUPPORTED("""COMPUTED_VALUE"""),4.43)</f>
        <v>4.43</v>
      </c>
      <c r="C187" s="2">
        <f t="shared" ca="1" si="0"/>
        <v>-6.7264573991031949E-3</v>
      </c>
    </row>
    <row r="188" spans="1:3">
      <c r="A188" s="3">
        <f ca="1">IFERROR(__xludf.UNSUPPORTED("""COMPUTED_VALUE"""),43735.6666666666)</f>
        <v>43735.666666666599</v>
      </c>
      <c r="B188" s="1">
        <f ca="1">IFERROR(__xludf.UNSUPPORTED("""COMPUTED_VALUE"""),4.29)</f>
        <v>4.29</v>
      </c>
      <c r="C188" s="2">
        <f t="shared" ca="1" si="0"/>
        <v>-3.160270880361167E-2</v>
      </c>
    </row>
    <row r="189" spans="1:3">
      <c r="A189" s="3">
        <f ca="1">IFERROR(__xludf.UNSUPPORTED("""COMPUTED_VALUE"""),43738.6666666666)</f>
        <v>43738.666666666599</v>
      </c>
      <c r="B189" s="1">
        <f ca="1">IFERROR(__xludf.UNSUPPORTED("""COMPUTED_VALUE"""),4.35)</f>
        <v>4.3499999999999996</v>
      </c>
      <c r="C189" s="2">
        <f t="shared" ca="1" si="0"/>
        <v>1.3986013986013894E-2</v>
      </c>
    </row>
    <row r="190" spans="1:3">
      <c r="A190" s="3">
        <f ca="1">IFERROR(__xludf.UNSUPPORTED("""COMPUTED_VALUE"""),43739.6666666666)</f>
        <v>43739.666666666599</v>
      </c>
      <c r="B190" s="1">
        <f ca="1">IFERROR(__xludf.UNSUPPORTED("""COMPUTED_VALUE"""),4.35)</f>
        <v>4.3499999999999996</v>
      </c>
      <c r="C190" s="2">
        <f t="shared" ca="1" si="0"/>
        <v>0</v>
      </c>
    </row>
    <row r="191" spans="1:3">
      <c r="A191" s="3">
        <f ca="1">IFERROR(__xludf.UNSUPPORTED("""COMPUTED_VALUE"""),43740.6666666666)</f>
        <v>43740.666666666599</v>
      </c>
      <c r="B191" s="1">
        <f ca="1">IFERROR(__xludf.UNSUPPORTED("""COMPUTED_VALUE"""),4.33)</f>
        <v>4.33</v>
      </c>
      <c r="C191" s="2">
        <f t="shared" ca="1" si="0"/>
        <v>-4.5977011494251901E-3</v>
      </c>
    </row>
    <row r="192" spans="1:3">
      <c r="A192" s="3">
        <f ca="1">IFERROR(__xludf.UNSUPPORTED("""COMPUTED_VALUE"""),43741.6666666666)</f>
        <v>43741.666666666599</v>
      </c>
      <c r="B192" s="1">
        <f ca="1">IFERROR(__xludf.UNSUPPORTED("""COMPUTED_VALUE"""),4.53)</f>
        <v>4.53</v>
      </c>
      <c r="C192" s="2">
        <f t="shared" ca="1" si="0"/>
        <v>4.6189376443418056E-2</v>
      </c>
    </row>
    <row r="193" spans="1:3">
      <c r="A193" s="3">
        <f ca="1">IFERROR(__xludf.UNSUPPORTED("""COMPUTED_VALUE"""),43742.6666666666)</f>
        <v>43742.666666666599</v>
      </c>
      <c r="B193" s="1">
        <f ca="1">IFERROR(__xludf.UNSUPPORTED("""COMPUTED_VALUE"""),4.55)</f>
        <v>4.55</v>
      </c>
      <c r="C193" s="2">
        <f t="shared" ca="1" si="0"/>
        <v>4.4150110375274993E-3</v>
      </c>
    </row>
    <row r="194" spans="1:3">
      <c r="A194" s="3">
        <f ca="1">IFERROR(__xludf.UNSUPPORTED("""COMPUTED_VALUE"""),43745.6666666666)</f>
        <v>43745.666666666599</v>
      </c>
      <c r="B194" s="1">
        <f ca="1">IFERROR(__xludf.UNSUPPORTED("""COMPUTED_VALUE"""),4.61)</f>
        <v>4.6100000000000003</v>
      </c>
      <c r="C194" s="2">
        <f t="shared" ca="1" si="0"/>
        <v>1.3186813186813296E-2</v>
      </c>
    </row>
    <row r="195" spans="1:3">
      <c r="A195" s="3">
        <f ca="1">IFERROR(__xludf.UNSUPPORTED("""COMPUTED_VALUE"""),43746.6666666666)</f>
        <v>43746.666666666599</v>
      </c>
      <c r="B195" s="1">
        <f ca="1">IFERROR(__xludf.UNSUPPORTED("""COMPUTED_VALUE"""),4.43)</f>
        <v>4.43</v>
      </c>
      <c r="C195" s="2">
        <f t="shared" ca="1" si="0"/>
        <v>-3.9045553145336351E-2</v>
      </c>
    </row>
    <row r="196" spans="1:3">
      <c r="A196" s="3">
        <f ca="1">IFERROR(__xludf.UNSUPPORTED("""COMPUTED_VALUE"""),43747.6666666666)</f>
        <v>43747.666666666599</v>
      </c>
      <c r="B196" s="1">
        <f ca="1">IFERROR(__xludf.UNSUPPORTED("""COMPUTED_VALUE"""),4.52)</f>
        <v>4.5199999999999996</v>
      </c>
      <c r="C196" s="2">
        <f t="shared" ca="1" si="0"/>
        <v>2.0316027088036086E-2</v>
      </c>
    </row>
    <row r="197" spans="1:3">
      <c r="A197" s="3">
        <f ca="1">IFERROR(__xludf.UNSUPPORTED("""COMPUTED_VALUE"""),43748.6666666666)</f>
        <v>43748.666666666599</v>
      </c>
      <c r="B197" s="1">
        <f ca="1">IFERROR(__xludf.UNSUPPORTED("""COMPUTED_VALUE"""),4.58)</f>
        <v>4.58</v>
      </c>
      <c r="C197" s="2">
        <f t="shared" ca="1" si="0"/>
        <v>1.3274336283185952E-2</v>
      </c>
    </row>
    <row r="198" spans="1:3">
      <c r="A198" s="3">
        <f ca="1">IFERROR(__xludf.UNSUPPORTED("""COMPUTED_VALUE"""),43749.6666666666)</f>
        <v>43749.666666666599</v>
      </c>
      <c r="B198" s="1">
        <f ca="1">IFERROR(__xludf.UNSUPPORTED("""COMPUTED_VALUE"""),4.65)</f>
        <v>4.6500000000000004</v>
      </c>
      <c r="C198" s="2">
        <f t="shared" ca="1" si="0"/>
        <v>1.5283842794759887E-2</v>
      </c>
    </row>
    <row r="199" spans="1:3">
      <c r="A199" s="3">
        <f ca="1">IFERROR(__xludf.UNSUPPORTED("""COMPUTED_VALUE"""),43752.6666666666)</f>
        <v>43752.666666666599</v>
      </c>
      <c r="B199" s="1">
        <f ca="1">IFERROR(__xludf.UNSUPPORTED("""COMPUTED_VALUE"""),4.66)</f>
        <v>4.66</v>
      </c>
      <c r="C199" s="2">
        <f t="shared" ca="1" si="0"/>
        <v>2.1505376344085562E-3</v>
      </c>
    </row>
    <row r="200" spans="1:3">
      <c r="A200" s="3">
        <f ca="1">IFERROR(__xludf.UNSUPPORTED("""COMPUTED_VALUE"""),43753.6666666666)</f>
        <v>43753.666666666599</v>
      </c>
      <c r="B200" s="1">
        <f ca="1">IFERROR(__xludf.UNSUPPORTED("""COMPUTED_VALUE"""),4.91)</f>
        <v>4.91</v>
      </c>
      <c r="C200" s="2">
        <f t="shared" ca="1" si="0"/>
        <v>5.3648068669527899E-2</v>
      </c>
    </row>
    <row r="201" spans="1:3">
      <c r="A201" s="3">
        <f ca="1">IFERROR(__xludf.UNSUPPORTED("""COMPUTED_VALUE"""),43754.6666666666)</f>
        <v>43754.666666666599</v>
      </c>
      <c r="B201" s="1">
        <f ca="1">IFERROR(__xludf.UNSUPPORTED("""COMPUTED_VALUE"""),4.86)</f>
        <v>4.8600000000000003</v>
      </c>
      <c r="C201" s="2">
        <f t="shared" ca="1" si="0"/>
        <v>-1.0183299389002001E-2</v>
      </c>
    </row>
    <row r="202" spans="1:3">
      <c r="A202" s="3">
        <f ca="1">IFERROR(__xludf.UNSUPPORTED("""COMPUTED_VALUE"""),43755.6666666666)</f>
        <v>43755.666666666599</v>
      </c>
      <c r="B202" s="1">
        <f ca="1">IFERROR(__xludf.UNSUPPORTED("""COMPUTED_VALUE"""),4.86)</f>
        <v>4.8600000000000003</v>
      </c>
      <c r="C202" s="2">
        <f t="shared" ca="1" si="0"/>
        <v>0</v>
      </c>
    </row>
    <row r="203" spans="1:3">
      <c r="A203" s="3">
        <f ca="1">IFERROR(__xludf.UNSUPPORTED("""COMPUTED_VALUE"""),43756.6666666666)</f>
        <v>43756.666666666599</v>
      </c>
      <c r="B203" s="1">
        <f ca="1">IFERROR(__xludf.UNSUPPORTED("""COMPUTED_VALUE"""),4.76)</f>
        <v>4.76</v>
      </c>
      <c r="C203" s="2">
        <f t="shared" ca="1" si="0"/>
        <v>-2.0576131687242906E-2</v>
      </c>
    </row>
    <row r="204" spans="1:3">
      <c r="A204" s="3">
        <f ca="1">IFERROR(__xludf.UNSUPPORTED("""COMPUTED_VALUE"""),43759.6666666666)</f>
        <v>43759.666666666599</v>
      </c>
      <c r="B204" s="1">
        <f ca="1">IFERROR(__xludf.UNSUPPORTED("""COMPUTED_VALUE"""),4.9)</f>
        <v>4.9000000000000004</v>
      </c>
      <c r="C204" s="2">
        <f t="shared" ca="1" si="0"/>
        <v>2.9411764705882474E-2</v>
      </c>
    </row>
    <row r="205" spans="1:3">
      <c r="A205" s="3">
        <f ca="1">IFERROR(__xludf.UNSUPPORTED("""COMPUTED_VALUE"""),43760.6666666666)</f>
        <v>43760.666666666599</v>
      </c>
      <c r="B205" s="1">
        <f ca="1">IFERROR(__xludf.UNSUPPORTED("""COMPUTED_VALUE"""),4.89)</f>
        <v>4.8899999999999997</v>
      </c>
      <c r="C205" s="2">
        <f t="shared" ca="1" si="0"/>
        <v>-2.0408163265307499E-3</v>
      </c>
    </row>
    <row r="206" spans="1:3">
      <c r="A206" s="3">
        <f ca="1">IFERROR(__xludf.UNSUPPORTED("""COMPUTED_VALUE"""),43761.6666666666)</f>
        <v>43761.666666666599</v>
      </c>
      <c r="B206" s="1">
        <f ca="1">IFERROR(__xludf.UNSUPPORTED("""COMPUTED_VALUE"""),4.88)</f>
        <v>4.88</v>
      </c>
      <c r="C206" s="2">
        <f t="shared" ca="1" si="0"/>
        <v>-2.0449897750510811E-3</v>
      </c>
    </row>
    <row r="207" spans="1:3">
      <c r="A207" s="3">
        <f ca="1">IFERROR(__xludf.UNSUPPORTED("""COMPUTED_VALUE"""),43762.6666666666)</f>
        <v>43762.666666666599</v>
      </c>
      <c r="B207" s="1">
        <f ca="1">IFERROR(__xludf.UNSUPPORTED("""COMPUTED_VALUE"""),4.92)</f>
        <v>4.92</v>
      </c>
      <c r="C207" s="2">
        <f t="shared" ca="1" si="0"/>
        <v>8.1967213114754172E-3</v>
      </c>
    </row>
    <row r="208" spans="1:3">
      <c r="A208" s="3">
        <f ca="1">IFERROR(__xludf.UNSUPPORTED("""COMPUTED_VALUE"""),43763.6666666666)</f>
        <v>43763.666666666599</v>
      </c>
      <c r="B208" s="1">
        <f ca="1">IFERROR(__xludf.UNSUPPORTED("""COMPUTED_VALUE"""),5.11)</f>
        <v>5.1100000000000003</v>
      </c>
      <c r="C208" s="2">
        <f t="shared" ca="1" si="0"/>
        <v>3.8617886178861867E-2</v>
      </c>
    </row>
    <row r="209" spans="1:3">
      <c r="A209" s="3">
        <f ca="1">IFERROR(__xludf.UNSUPPORTED("""COMPUTED_VALUE"""),43766.6666666666)</f>
        <v>43766.666666666599</v>
      </c>
      <c r="B209" s="1">
        <f ca="1">IFERROR(__xludf.UNSUPPORTED("""COMPUTED_VALUE"""),5.17)</f>
        <v>5.17</v>
      </c>
      <c r="C209" s="2">
        <f t="shared" ca="1" si="0"/>
        <v>1.174168297455961E-2</v>
      </c>
    </row>
    <row r="210" spans="1:3">
      <c r="A210" s="3">
        <f ca="1">IFERROR(__xludf.UNSUPPORTED("""COMPUTED_VALUE"""),43767.6666666666)</f>
        <v>43767.666666666599</v>
      </c>
      <c r="B210" s="1">
        <f ca="1">IFERROR(__xludf.UNSUPPORTED("""COMPUTED_VALUE"""),5.07)</f>
        <v>5.07</v>
      </c>
      <c r="C210" s="2">
        <f t="shared" ca="1" si="0"/>
        <v>-1.9342359767891615E-2</v>
      </c>
    </row>
    <row r="211" spans="1:3">
      <c r="A211" s="3">
        <f ca="1">IFERROR(__xludf.UNSUPPORTED("""COMPUTED_VALUE"""),43768.6666666666)</f>
        <v>43768.666666666599</v>
      </c>
      <c r="B211" s="1">
        <f ca="1">IFERROR(__xludf.UNSUPPORTED("""COMPUTED_VALUE"""),5.08)</f>
        <v>5.08</v>
      </c>
      <c r="C211" s="2">
        <f t="shared" ca="1" si="0"/>
        <v>1.9723865877711612E-3</v>
      </c>
    </row>
    <row r="212" spans="1:3">
      <c r="A212" s="3">
        <f ca="1">IFERROR(__xludf.UNSUPPORTED("""COMPUTED_VALUE"""),43769.6666666666)</f>
        <v>43769.666666666599</v>
      </c>
      <c r="B212" s="1">
        <f ca="1">IFERROR(__xludf.UNSUPPORTED("""COMPUTED_VALUE"""),5.03)</f>
        <v>5.03</v>
      </c>
      <c r="C212" s="2">
        <f t="shared" ca="1" si="0"/>
        <v>-9.8425196850393352E-3</v>
      </c>
    </row>
    <row r="213" spans="1:3">
      <c r="A213" s="3">
        <f ca="1">IFERROR(__xludf.UNSUPPORTED("""COMPUTED_VALUE"""),43770.6666666666)</f>
        <v>43770.666666666599</v>
      </c>
      <c r="B213" s="1">
        <f ca="1">IFERROR(__xludf.UNSUPPORTED("""COMPUTED_VALUE"""),5.06)</f>
        <v>5.0599999999999996</v>
      </c>
      <c r="C213" s="2">
        <f t="shared" ca="1" si="0"/>
        <v>5.9642147117294946E-3</v>
      </c>
    </row>
    <row r="214" spans="1:3">
      <c r="A214" s="3">
        <f ca="1">IFERROR(__xludf.UNSUPPORTED("""COMPUTED_VALUE"""),43773.6666666666)</f>
        <v>43773.666666666599</v>
      </c>
      <c r="B214" s="1">
        <f ca="1">IFERROR(__xludf.UNSUPPORTED("""COMPUTED_VALUE"""),5.26)</f>
        <v>5.26</v>
      </c>
      <c r="C214" s="2">
        <f t="shared" ca="1" si="0"/>
        <v>3.9525691699604779E-2</v>
      </c>
    </row>
    <row r="215" spans="1:3">
      <c r="A215" s="3">
        <f ca="1">IFERROR(__xludf.UNSUPPORTED("""COMPUTED_VALUE"""),43774.6666666666)</f>
        <v>43774.666666666599</v>
      </c>
      <c r="B215" s="1">
        <f ca="1">IFERROR(__xludf.UNSUPPORTED("""COMPUTED_VALUE"""),5.24)</f>
        <v>5.24</v>
      </c>
      <c r="C215" s="2">
        <f t="shared" ca="1" si="0"/>
        <v>-3.8022813688212121E-3</v>
      </c>
    </row>
    <row r="216" spans="1:3">
      <c r="A216" s="3">
        <f ca="1">IFERROR(__xludf.UNSUPPORTED("""COMPUTED_VALUE"""),43775.6666666666)</f>
        <v>43775.666666666599</v>
      </c>
      <c r="B216" s="1">
        <f ca="1">IFERROR(__xludf.UNSUPPORTED("""COMPUTED_VALUE"""),5.19)</f>
        <v>5.19</v>
      </c>
      <c r="C216" s="2">
        <f t="shared" ca="1" si="0"/>
        <v>-9.5419847328243931E-3</v>
      </c>
    </row>
    <row r="217" spans="1:3">
      <c r="A217" s="3">
        <f ca="1">IFERROR(__xludf.UNSUPPORTED("""COMPUTED_VALUE"""),43776.6666666666)</f>
        <v>43776.666666666599</v>
      </c>
      <c r="B217" s="1">
        <f ca="1">IFERROR(__xludf.UNSUPPORTED("""COMPUTED_VALUE"""),5.21)</f>
        <v>5.21</v>
      </c>
      <c r="C217" s="2">
        <f t="shared" ca="1" si="0"/>
        <v>3.8535645472060833E-3</v>
      </c>
    </row>
    <row r="218" spans="1:3">
      <c r="A218" s="3">
        <f ca="1">IFERROR(__xludf.UNSUPPORTED("""COMPUTED_VALUE"""),43777.6666666666)</f>
        <v>43777.666666666599</v>
      </c>
      <c r="B218" s="1">
        <f ca="1">IFERROR(__xludf.UNSUPPORTED("""COMPUTED_VALUE"""),5.19)</f>
        <v>5.19</v>
      </c>
      <c r="C218" s="2">
        <f t="shared" ca="1" si="0"/>
        <v>-3.8387715930901295E-3</v>
      </c>
    </row>
    <row r="219" spans="1:3">
      <c r="A219" s="3">
        <f ca="1">IFERROR(__xludf.UNSUPPORTED("""COMPUTED_VALUE"""),43780.6666666666)</f>
        <v>43780.666666666599</v>
      </c>
      <c r="B219" s="1">
        <f ca="1">IFERROR(__xludf.UNSUPPORTED("""COMPUTED_VALUE"""),5.2)</f>
        <v>5.2</v>
      </c>
      <c r="C219" s="2">
        <f t="shared" ca="1" si="0"/>
        <v>1.9267822736030416E-3</v>
      </c>
    </row>
    <row r="220" spans="1:3">
      <c r="A220" s="3">
        <f ca="1">IFERROR(__xludf.UNSUPPORTED("""COMPUTED_VALUE"""),43781.6666666666)</f>
        <v>43781.666666666599</v>
      </c>
      <c r="B220" s="1">
        <f ca="1">IFERROR(__xludf.UNSUPPORTED("""COMPUTED_VALUE"""),5.24)</f>
        <v>5.24</v>
      </c>
      <c r="C220" s="2">
        <f t="shared" ca="1" si="0"/>
        <v>7.6923076923076988E-3</v>
      </c>
    </row>
    <row r="221" spans="1:3">
      <c r="A221" s="3">
        <f ca="1">IFERROR(__xludf.UNSUPPORTED("""COMPUTED_VALUE"""),43782.6666666666)</f>
        <v>43782.666666666599</v>
      </c>
      <c r="B221" s="1">
        <f ca="1">IFERROR(__xludf.UNSUPPORTED("""COMPUTED_VALUE"""),5.21)</f>
        <v>5.21</v>
      </c>
      <c r="C221" s="2">
        <f t="shared" ca="1" si="0"/>
        <v>-5.7251908396947033E-3</v>
      </c>
    </row>
    <row r="222" spans="1:3">
      <c r="A222" s="3">
        <f ca="1">IFERROR(__xludf.UNSUPPORTED("""COMPUTED_VALUE"""),43783.6666666666)</f>
        <v>43783.666666666599</v>
      </c>
      <c r="B222" s="1">
        <f ca="1">IFERROR(__xludf.UNSUPPORTED("""COMPUTED_VALUE"""),5.24)</f>
        <v>5.24</v>
      </c>
      <c r="C222" s="2">
        <f t="shared" ca="1" si="0"/>
        <v>5.7581573896353646E-3</v>
      </c>
    </row>
    <row r="223" spans="1:3">
      <c r="A223" s="3">
        <f ca="1">IFERROR(__xludf.UNSUPPORTED("""COMPUTED_VALUE"""),43784.6666666666)</f>
        <v>43784.666666666599</v>
      </c>
      <c r="B223" s="1">
        <f ca="1">IFERROR(__xludf.UNSUPPORTED("""COMPUTED_VALUE"""),5.1)</f>
        <v>5.0999999999999996</v>
      </c>
      <c r="C223" s="2">
        <f t="shared" ca="1" si="0"/>
        <v>-2.6717557251908504E-2</v>
      </c>
    </row>
    <row r="224" spans="1:3">
      <c r="A224" s="3">
        <f ca="1">IFERROR(__xludf.UNSUPPORTED("""COMPUTED_VALUE"""),43787.6666666666)</f>
        <v>43787.666666666599</v>
      </c>
      <c r="B224" s="1">
        <f ca="1">IFERROR(__xludf.UNSUPPORTED("""COMPUTED_VALUE"""),5.31)</f>
        <v>5.31</v>
      </c>
      <c r="C224" s="2">
        <f t="shared" ca="1" si="0"/>
        <v>4.1176470588235287E-2</v>
      </c>
    </row>
    <row r="225" spans="1:3">
      <c r="A225" s="3">
        <f ca="1">IFERROR(__xludf.UNSUPPORTED("""COMPUTED_VALUE"""),43788.6666666666)</f>
        <v>43788.666666666599</v>
      </c>
      <c r="B225" s="1">
        <f ca="1">IFERROR(__xludf.UNSUPPORTED("""COMPUTED_VALUE"""),5.2)</f>
        <v>5.2</v>
      </c>
      <c r="C225" s="2">
        <f t="shared" ca="1" si="0"/>
        <v>-2.0715630885122304E-2</v>
      </c>
    </row>
    <row r="226" spans="1:3">
      <c r="A226" s="3">
        <f ca="1">IFERROR(__xludf.UNSUPPORTED("""COMPUTED_VALUE"""),43789.6666666666)</f>
        <v>43789.666666666599</v>
      </c>
      <c r="B226" s="1">
        <f ca="1">IFERROR(__xludf.UNSUPPORTED("""COMPUTED_VALUE"""),5.28)</f>
        <v>5.28</v>
      </c>
      <c r="C226" s="2">
        <f t="shared" ca="1" si="0"/>
        <v>1.5384615384615398E-2</v>
      </c>
    </row>
    <row r="227" spans="1:3">
      <c r="A227" s="3">
        <f ca="1">IFERROR(__xludf.UNSUPPORTED("""COMPUTED_VALUE"""),43790.6666666666)</f>
        <v>43790.666666666599</v>
      </c>
      <c r="B227" s="1">
        <f ca="1">IFERROR(__xludf.UNSUPPORTED("""COMPUTED_VALUE"""),5.25)</f>
        <v>5.25</v>
      </c>
      <c r="C227" s="2">
        <f t="shared" ca="1" si="0"/>
        <v>-5.6818181818182288E-3</v>
      </c>
    </row>
    <row r="228" spans="1:3">
      <c r="A228" s="3">
        <f ca="1">IFERROR(__xludf.UNSUPPORTED("""COMPUTED_VALUE"""),43791.6666666666)</f>
        <v>43791.666666666599</v>
      </c>
      <c r="B228" s="1">
        <f ca="1">IFERROR(__xludf.UNSUPPORTED("""COMPUTED_VALUE"""),5.27)</f>
        <v>5.27</v>
      </c>
      <c r="C228" s="2">
        <f t="shared" ca="1" si="0"/>
        <v>3.8095238095237284E-3</v>
      </c>
    </row>
    <row r="229" spans="1:3">
      <c r="A229" s="3">
        <f ca="1">IFERROR(__xludf.UNSUPPORTED("""COMPUTED_VALUE"""),43794.6666666666)</f>
        <v>43794.666666666599</v>
      </c>
      <c r="B229" s="1">
        <f ca="1">IFERROR(__xludf.UNSUPPORTED("""COMPUTED_VALUE"""),5.53)</f>
        <v>5.53</v>
      </c>
      <c r="C229" s="2">
        <f t="shared" ca="1" si="0"/>
        <v>4.9335863377609243E-2</v>
      </c>
    </row>
    <row r="230" spans="1:3">
      <c r="A230" s="3">
        <f ca="1">IFERROR(__xludf.UNSUPPORTED("""COMPUTED_VALUE"""),43795.6666666666)</f>
        <v>43795.666666666599</v>
      </c>
      <c r="B230" s="1">
        <f ca="1">IFERROR(__xludf.UNSUPPORTED("""COMPUTED_VALUE"""),5.43)</f>
        <v>5.43</v>
      </c>
      <c r="C230" s="2">
        <f t="shared" ca="1" si="0"/>
        <v>-1.808318264014476E-2</v>
      </c>
    </row>
    <row r="231" spans="1:3">
      <c r="A231" s="3">
        <f ca="1">IFERROR(__xludf.UNSUPPORTED("""COMPUTED_VALUE"""),43796.6666666666)</f>
        <v>43796.666666666599</v>
      </c>
      <c r="B231" s="1">
        <f ca="1">IFERROR(__xludf.UNSUPPORTED("""COMPUTED_VALUE"""),5.46)</f>
        <v>5.46</v>
      </c>
      <c r="C231" s="2">
        <f t="shared" ca="1" si="0"/>
        <v>5.5248618784530844E-3</v>
      </c>
    </row>
    <row r="232" spans="1:3">
      <c r="A232" s="3">
        <f ca="1">IFERROR(__xludf.UNSUPPORTED("""COMPUTED_VALUE"""),43798.5416666666)</f>
        <v>43798.541666666599</v>
      </c>
      <c r="B232" s="1">
        <f ca="1">IFERROR(__xludf.UNSUPPORTED("""COMPUTED_VALUE"""),5.42)</f>
        <v>5.42</v>
      </c>
      <c r="C232" s="2">
        <f t="shared" ca="1" si="0"/>
        <v>-7.3260073260073329E-3</v>
      </c>
    </row>
    <row r="233" spans="1:3">
      <c r="A233" s="3">
        <f ca="1">IFERROR(__xludf.UNSUPPORTED("""COMPUTED_VALUE"""),43801.6666666666)</f>
        <v>43801.666666666599</v>
      </c>
      <c r="B233" s="1">
        <f ca="1">IFERROR(__xludf.UNSUPPORTED("""COMPUTED_VALUE"""),5.23)</f>
        <v>5.23</v>
      </c>
      <c r="C233" s="2">
        <f t="shared" ca="1" si="0"/>
        <v>-3.5055350553505442E-2</v>
      </c>
    </row>
    <row r="234" spans="1:3">
      <c r="A234" s="3">
        <f ca="1">IFERROR(__xludf.UNSUPPORTED("""COMPUTED_VALUE"""),43802.6666666666)</f>
        <v>43802.666666666599</v>
      </c>
      <c r="B234" s="1">
        <f ca="1">IFERROR(__xludf.UNSUPPORTED("""COMPUTED_VALUE"""),5.19)</f>
        <v>5.19</v>
      </c>
      <c r="C234" s="2">
        <f t="shared" ca="1" si="0"/>
        <v>-7.6481835564053595E-3</v>
      </c>
    </row>
    <row r="235" spans="1:3">
      <c r="A235" s="3">
        <f ca="1">IFERROR(__xludf.UNSUPPORTED("""COMPUTED_VALUE"""),43803.6666666666)</f>
        <v>43803.666666666599</v>
      </c>
      <c r="B235" s="1">
        <f ca="1">IFERROR(__xludf.UNSUPPORTED("""COMPUTED_VALUE"""),5.24)</f>
        <v>5.24</v>
      </c>
      <c r="C235" s="2">
        <f t="shared" ca="1" si="0"/>
        <v>9.6339113680153788E-3</v>
      </c>
    </row>
    <row r="236" spans="1:3">
      <c r="A236" s="3">
        <f ca="1">IFERROR(__xludf.UNSUPPORTED("""COMPUTED_VALUE"""),43804.6666666666)</f>
        <v>43804.666666666599</v>
      </c>
      <c r="B236" s="1">
        <f ca="1">IFERROR(__xludf.UNSUPPORTED("""COMPUTED_VALUE"""),5.22)</f>
        <v>5.22</v>
      </c>
      <c r="C236" s="2">
        <f t="shared" ca="1" si="0"/>
        <v>-3.8167938931298589E-3</v>
      </c>
    </row>
    <row r="237" spans="1:3">
      <c r="A237" s="3">
        <f ca="1">IFERROR(__xludf.UNSUPPORTED("""COMPUTED_VALUE"""),43805.6666666666)</f>
        <v>43805.666666666599</v>
      </c>
      <c r="B237" s="1">
        <f ca="1">IFERROR(__xludf.UNSUPPORTED("""COMPUTED_VALUE"""),5.3)</f>
        <v>5.3</v>
      </c>
      <c r="C237" s="2">
        <f t="shared" ca="1" si="0"/>
        <v>1.5325670498084306E-2</v>
      </c>
    </row>
    <row r="238" spans="1:3">
      <c r="A238" s="3">
        <f ca="1">IFERROR(__xludf.UNSUPPORTED("""COMPUTED_VALUE"""),43808.6666666666)</f>
        <v>43808.666666666599</v>
      </c>
      <c r="B238" s="1">
        <f ca="1">IFERROR(__xludf.UNSUPPORTED("""COMPUTED_VALUE"""),5.3)</f>
        <v>5.3</v>
      </c>
      <c r="C238" s="2">
        <f t="shared" ca="1" si="0"/>
        <v>0</v>
      </c>
    </row>
    <row r="239" spans="1:3">
      <c r="A239" s="3">
        <f ca="1">IFERROR(__xludf.UNSUPPORTED("""COMPUTED_VALUE"""),43809.6666666666)</f>
        <v>43809.666666666599</v>
      </c>
      <c r="B239" s="1">
        <f ca="1">IFERROR(__xludf.UNSUPPORTED("""COMPUTED_VALUE"""),5.35)</f>
        <v>5.35</v>
      </c>
      <c r="C239" s="2">
        <f t="shared" ca="1" si="0"/>
        <v>9.4339622641509101E-3</v>
      </c>
    </row>
    <row r="240" spans="1:3">
      <c r="A240" s="3">
        <f ca="1">IFERROR(__xludf.UNSUPPORTED("""COMPUTED_VALUE"""),43810.6666666666)</f>
        <v>43810.666666666599</v>
      </c>
      <c r="B240" s="1">
        <f ca="1">IFERROR(__xludf.UNSUPPORTED("""COMPUTED_VALUE"""),5.43)</f>
        <v>5.43</v>
      </c>
      <c r="C240" s="2">
        <f t="shared" ca="1" si="0"/>
        <v>1.4953271028037398E-2</v>
      </c>
    </row>
    <row r="241" spans="1:3">
      <c r="A241" s="3">
        <f ca="1">IFERROR(__xludf.UNSUPPORTED("""COMPUTED_VALUE"""),43811.6666666666)</f>
        <v>43811.666666666599</v>
      </c>
      <c r="B241" s="1">
        <f ca="1">IFERROR(__xludf.UNSUPPORTED("""COMPUTED_VALUE"""),5.6)</f>
        <v>5.6</v>
      </c>
      <c r="C241" s="2">
        <f t="shared" ca="1" si="0"/>
        <v>3.1307550644567209E-2</v>
      </c>
    </row>
    <row r="242" spans="1:3">
      <c r="A242" s="3">
        <f ca="1">IFERROR(__xludf.UNSUPPORTED("""COMPUTED_VALUE"""),43812.6666666666)</f>
        <v>43812.666666666599</v>
      </c>
      <c r="B242" s="1">
        <f ca="1">IFERROR(__xludf.UNSUPPORTED("""COMPUTED_VALUE"""),5.6)</f>
        <v>5.6</v>
      </c>
      <c r="C242" s="2">
        <f t="shared" ca="1" si="0"/>
        <v>0</v>
      </c>
    </row>
    <row r="243" spans="1:3">
      <c r="A243" s="3">
        <f ca="1">IFERROR(__xludf.UNSUPPORTED("""COMPUTED_VALUE"""),43815.6666666666)</f>
        <v>43815.666666666599</v>
      </c>
      <c r="B243" s="1">
        <f ca="1">IFERROR(__xludf.UNSUPPORTED("""COMPUTED_VALUE"""),5.63)</f>
        <v>5.63</v>
      </c>
      <c r="C243" s="2">
        <f t="shared" ca="1" si="0"/>
        <v>5.3571428571429023E-3</v>
      </c>
    </row>
    <row r="244" spans="1:3">
      <c r="A244" s="3">
        <f ca="1">IFERROR(__xludf.UNSUPPORTED("""COMPUTED_VALUE"""),43816.6666666666)</f>
        <v>43816.666666666599</v>
      </c>
      <c r="B244" s="1">
        <f ca="1">IFERROR(__xludf.UNSUPPORTED("""COMPUTED_VALUE"""),5.71)</f>
        <v>5.71</v>
      </c>
      <c r="C244" s="2">
        <f t="shared" ca="1" si="0"/>
        <v>1.4209591474245128E-2</v>
      </c>
    </row>
    <row r="245" spans="1:3">
      <c r="A245" s="3">
        <f ca="1">IFERROR(__xludf.UNSUPPORTED("""COMPUTED_VALUE"""),43817.6666666666)</f>
        <v>43817.666666666599</v>
      </c>
      <c r="B245" s="1">
        <f ca="1">IFERROR(__xludf.UNSUPPORTED("""COMPUTED_VALUE"""),5.74)</f>
        <v>5.74</v>
      </c>
      <c r="C245" s="2">
        <f t="shared" ca="1" si="0"/>
        <v>5.2539404553415495E-3</v>
      </c>
    </row>
    <row r="246" spans="1:3">
      <c r="A246" s="3">
        <f ca="1">IFERROR(__xludf.UNSUPPORTED("""COMPUTED_VALUE"""),43818.6666666666)</f>
        <v>43818.666666666599</v>
      </c>
      <c r="B246" s="1">
        <f ca="1">IFERROR(__xludf.UNSUPPORTED("""COMPUTED_VALUE"""),5.89)</f>
        <v>5.89</v>
      </c>
      <c r="C246" s="2">
        <f t="shared" ca="1" si="0"/>
        <v>2.6132404181184576E-2</v>
      </c>
    </row>
    <row r="247" spans="1:3">
      <c r="A247" s="3">
        <f ca="1">IFERROR(__xludf.UNSUPPORTED("""COMPUTED_VALUE"""),43819.6666666666)</f>
        <v>43819.666666666599</v>
      </c>
      <c r="B247" s="1">
        <f ca="1">IFERROR(__xludf.UNSUPPORTED("""COMPUTED_VALUE"""),5.98)</f>
        <v>5.98</v>
      </c>
      <c r="C247" s="2">
        <f t="shared" ca="1" si="0"/>
        <v>1.5280135823429668E-2</v>
      </c>
    </row>
    <row r="248" spans="1:3">
      <c r="A248" s="3">
        <f ca="1">IFERROR(__xludf.UNSUPPORTED("""COMPUTED_VALUE"""),43822.6666666666)</f>
        <v>43822.666666666599</v>
      </c>
      <c r="B248" s="1">
        <f ca="1">IFERROR(__xludf.UNSUPPORTED("""COMPUTED_VALUE"""),5.97)</f>
        <v>5.97</v>
      </c>
      <c r="C248" s="2">
        <f t="shared" ca="1" si="0"/>
        <v>-1.672240802675698E-3</v>
      </c>
    </row>
    <row r="249" spans="1:3">
      <c r="A249" s="3">
        <f ca="1">IFERROR(__xludf.UNSUPPORTED("""COMPUTED_VALUE"""),43823.5416666666)</f>
        <v>43823.541666666599</v>
      </c>
      <c r="B249" s="1">
        <f ca="1">IFERROR(__xludf.UNSUPPORTED("""COMPUTED_VALUE"""),5.97)</f>
        <v>5.97</v>
      </c>
      <c r="C249" s="2">
        <f t="shared" ca="1" si="0"/>
        <v>0</v>
      </c>
    </row>
    <row r="250" spans="1:3">
      <c r="A250" s="3">
        <f ca="1">IFERROR(__xludf.UNSUPPORTED("""COMPUTED_VALUE"""),43825.6666666666)</f>
        <v>43825.666666666599</v>
      </c>
      <c r="B250" s="1">
        <f ca="1">IFERROR(__xludf.UNSUPPORTED("""COMPUTED_VALUE"""),5.98)</f>
        <v>5.98</v>
      </c>
      <c r="C250" s="2">
        <f t="shared" ca="1" si="0"/>
        <v>1.6750418760470144E-3</v>
      </c>
    </row>
    <row r="251" spans="1:3">
      <c r="A251" s="3">
        <f ca="1">IFERROR(__xludf.UNSUPPORTED("""COMPUTED_VALUE"""),43826.6666666666)</f>
        <v>43826.666666666599</v>
      </c>
      <c r="B251" s="1">
        <f ca="1">IFERROR(__xludf.UNSUPPORTED("""COMPUTED_VALUE"""),5.92)</f>
        <v>5.92</v>
      </c>
      <c r="C251" s="2">
        <f t="shared" ca="1" si="0"/>
        <v>-1.0033444816053593E-2</v>
      </c>
    </row>
    <row r="252" spans="1:3">
      <c r="A252" s="3">
        <f ca="1">IFERROR(__xludf.UNSUPPORTED("""COMPUTED_VALUE"""),43829.6666666666)</f>
        <v>43829.666666666599</v>
      </c>
      <c r="B252" s="1">
        <f ca="1">IFERROR(__xludf.UNSUPPORTED("""COMPUTED_VALUE"""),5.81)</f>
        <v>5.81</v>
      </c>
      <c r="C252" s="2">
        <f t="shared" ca="1" si="0"/>
        <v>-1.8581081081081134E-2</v>
      </c>
    </row>
    <row r="253" spans="1:3">
      <c r="A253" s="3">
        <f ca="1">IFERROR(__xludf.UNSUPPORTED("""COMPUTED_VALUE"""),43830.6666666666)</f>
        <v>43830.666666666599</v>
      </c>
      <c r="B253" s="1">
        <f ca="1">IFERROR(__xludf.UNSUPPORTED("""COMPUTED_VALUE"""),5.88)</f>
        <v>5.88</v>
      </c>
      <c r="C253" s="2">
        <f t="shared" ca="1" si="0"/>
        <v>1.2048192771084387E-2</v>
      </c>
    </row>
    <row r="254" spans="1:3">
      <c r="A254" s="3">
        <f ca="1">IFERROR(__xludf.UNSUPPORTED("""COMPUTED_VALUE"""),43832.6666666666)</f>
        <v>43832.666666666599</v>
      </c>
      <c r="B254" s="1">
        <f ca="1">IFERROR(__xludf.UNSUPPORTED("""COMPUTED_VALUE"""),6)</f>
        <v>6</v>
      </c>
      <c r="C254" s="2">
        <f t="shared" ca="1" si="0"/>
        <v>2.0408163265306142E-2</v>
      </c>
    </row>
    <row r="255" spans="1:3">
      <c r="A255" s="3">
        <f ca="1">IFERROR(__xludf.UNSUPPORTED("""COMPUTED_VALUE"""),43833.6666666666)</f>
        <v>43833.666666666599</v>
      </c>
      <c r="B255" s="1">
        <f ca="1">IFERROR(__xludf.UNSUPPORTED("""COMPUTED_VALUE"""),5.9)</f>
        <v>5.9</v>
      </c>
      <c r="C255" s="2">
        <f t="shared" ca="1" si="0"/>
        <v>-1.6666666666666607E-2</v>
      </c>
    </row>
    <row r="256" spans="1:3">
      <c r="A256" s="3">
        <f ca="1">IFERROR(__xludf.UNSUPPORTED("""COMPUTED_VALUE"""),43836.6666666666)</f>
        <v>43836.666666666599</v>
      </c>
      <c r="B256" s="1">
        <f ca="1">IFERROR(__xludf.UNSUPPORTED("""COMPUTED_VALUE"""),5.93)</f>
        <v>5.93</v>
      </c>
      <c r="C256" s="2">
        <f t="shared" ca="1" si="0"/>
        <v>5.0847457627117556E-3</v>
      </c>
    </row>
    <row r="257" spans="1:3">
      <c r="A257" s="3">
        <f ca="1">IFERROR(__xludf.UNSUPPORTED("""COMPUTED_VALUE"""),43837.6666666666)</f>
        <v>43837.666666666599</v>
      </c>
      <c r="B257" s="1">
        <f ca="1">IFERROR(__xludf.UNSUPPORTED("""COMPUTED_VALUE"""),6)</f>
        <v>6</v>
      </c>
      <c r="C257" s="2">
        <f t="shared" ca="1" si="0"/>
        <v>1.1804384485666152E-2</v>
      </c>
    </row>
    <row r="258" spans="1:3">
      <c r="A258" s="3">
        <f ca="1">IFERROR(__xludf.UNSUPPORTED("""COMPUTED_VALUE"""),43838.6666666666)</f>
        <v>43838.666666666599</v>
      </c>
      <c r="B258" s="1">
        <f ca="1">IFERROR(__xludf.UNSUPPORTED("""COMPUTED_VALUE"""),6.01)</f>
        <v>6.01</v>
      </c>
      <c r="C258" s="2">
        <f t="shared" ref="C258:C512" ca="1" si="1">(B258-B257)/B257</f>
        <v>1.6666666666666312E-3</v>
      </c>
    </row>
    <row r="259" spans="1:3">
      <c r="A259" s="3">
        <f ca="1">IFERROR(__xludf.UNSUPPORTED("""COMPUTED_VALUE"""),43839.6666666666)</f>
        <v>43839.666666666599</v>
      </c>
      <c r="B259" s="1">
        <f ca="1">IFERROR(__xludf.UNSUPPORTED("""COMPUTED_VALUE"""),6.08)</f>
        <v>6.08</v>
      </c>
      <c r="C259" s="2">
        <f t="shared" ca="1" si="1"/>
        <v>1.1647254575707202E-2</v>
      </c>
    </row>
    <row r="260" spans="1:3">
      <c r="A260" s="3">
        <f ca="1">IFERROR(__xludf.UNSUPPORTED("""COMPUTED_VALUE"""),43840.6666666666)</f>
        <v>43840.666666666599</v>
      </c>
      <c r="B260" s="1">
        <f ca="1">IFERROR(__xludf.UNSUPPORTED("""COMPUTED_VALUE"""),6.11)</f>
        <v>6.11</v>
      </c>
      <c r="C260" s="2">
        <f t="shared" ca="1" si="1"/>
        <v>4.93421052631583E-3</v>
      </c>
    </row>
    <row r="261" spans="1:3">
      <c r="A261" s="3">
        <f ca="1">IFERROR(__xludf.UNSUPPORTED("""COMPUTED_VALUE"""),43843.6666666666)</f>
        <v>43843.666666666599</v>
      </c>
      <c r="B261" s="1">
        <f ca="1">IFERROR(__xludf.UNSUPPORTED("""COMPUTED_VALUE"""),6.3)</f>
        <v>6.3</v>
      </c>
      <c r="C261" s="2">
        <f t="shared" ca="1" si="1"/>
        <v>3.1096563011456545E-2</v>
      </c>
    </row>
    <row r="262" spans="1:3">
      <c r="A262" s="3">
        <f ca="1">IFERROR(__xludf.UNSUPPORTED("""COMPUTED_VALUE"""),43844.6666666666)</f>
        <v>43844.666666666599</v>
      </c>
      <c r="B262" s="1">
        <f ca="1">IFERROR(__xludf.UNSUPPORTED("""COMPUTED_VALUE"""),6.18)</f>
        <v>6.18</v>
      </c>
      <c r="C262" s="2">
        <f t="shared" ca="1" si="1"/>
        <v>-1.9047619047619067E-2</v>
      </c>
    </row>
    <row r="263" spans="1:3">
      <c r="A263" s="3">
        <f ca="1">IFERROR(__xludf.UNSUPPORTED("""COMPUTED_VALUE"""),43845.6666666666)</f>
        <v>43845.666666666599</v>
      </c>
      <c r="B263" s="1">
        <f ca="1">IFERROR(__xludf.UNSUPPORTED("""COMPUTED_VALUE"""),6.14)</f>
        <v>6.14</v>
      </c>
      <c r="C263" s="2">
        <f t="shared" ca="1" si="1"/>
        <v>-6.4724919093851196E-3</v>
      </c>
    </row>
    <row r="264" spans="1:3">
      <c r="A264" s="3">
        <f ca="1">IFERROR(__xludf.UNSUPPORTED("""COMPUTED_VALUE"""),43846.6666666666)</f>
        <v>43846.666666666599</v>
      </c>
      <c r="B264" s="1">
        <f ca="1">IFERROR(__xludf.UNSUPPORTED("""COMPUTED_VALUE"""),6.22)</f>
        <v>6.22</v>
      </c>
      <c r="C264" s="2">
        <f t="shared" ca="1" si="1"/>
        <v>1.3029315960912065E-2</v>
      </c>
    </row>
    <row r="265" spans="1:3">
      <c r="A265" s="3">
        <f ca="1">IFERROR(__xludf.UNSUPPORTED("""COMPUTED_VALUE"""),43847.6666666666)</f>
        <v>43847.666666666599</v>
      </c>
      <c r="B265" s="1">
        <f ca="1">IFERROR(__xludf.UNSUPPORTED("""COMPUTED_VALUE"""),6.23)</f>
        <v>6.23</v>
      </c>
      <c r="C265" s="2">
        <f t="shared" ca="1" si="1"/>
        <v>1.6077170418007517E-3</v>
      </c>
    </row>
    <row r="266" spans="1:3">
      <c r="A266" s="3">
        <f ca="1">IFERROR(__xludf.UNSUPPORTED("""COMPUTED_VALUE"""),43851.6666666666)</f>
        <v>43851.666666666599</v>
      </c>
      <c r="B266" s="1">
        <f ca="1">IFERROR(__xludf.UNSUPPORTED("""COMPUTED_VALUE"""),6.2)</f>
        <v>6.2</v>
      </c>
      <c r="C266" s="2">
        <f t="shared" ca="1" si="1"/>
        <v>-4.8154093097913719E-3</v>
      </c>
    </row>
    <row r="267" spans="1:3">
      <c r="A267" s="3">
        <f ca="1">IFERROR(__xludf.UNSUPPORTED("""COMPUTED_VALUE"""),43852.6666666666)</f>
        <v>43852.666666666599</v>
      </c>
      <c r="B267" s="1">
        <f ca="1">IFERROR(__xludf.UNSUPPORTED("""COMPUTED_VALUE"""),6.25)</f>
        <v>6.25</v>
      </c>
      <c r="C267" s="2">
        <f t="shared" ca="1" si="1"/>
        <v>8.0645161290322284E-3</v>
      </c>
    </row>
    <row r="268" spans="1:3">
      <c r="A268" s="3">
        <f ca="1">IFERROR(__xludf.UNSUPPORTED("""COMPUTED_VALUE"""),43853.6666666666)</f>
        <v>43853.666666666599</v>
      </c>
      <c r="B268" s="1">
        <f ca="1">IFERROR(__xludf.UNSUPPORTED("""COMPUTED_VALUE"""),6.32)</f>
        <v>6.32</v>
      </c>
      <c r="C268" s="2">
        <f t="shared" ca="1" si="1"/>
        <v>1.1200000000000045E-2</v>
      </c>
    </row>
    <row r="269" spans="1:3">
      <c r="A269" s="3">
        <f ca="1">IFERROR(__xludf.UNSUPPORTED("""COMPUTED_VALUE"""),43854.6666666666)</f>
        <v>43854.666666666599</v>
      </c>
      <c r="B269" s="1">
        <f ca="1">IFERROR(__xludf.UNSUPPORTED("""COMPUTED_VALUE"""),6.26)</f>
        <v>6.26</v>
      </c>
      <c r="C269" s="2">
        <f t="shared" ca="1" si="1"/>
        <v>-9.4936708860760277E-3</v>
      </c>
    </row>
    <row r="270" spans="1:3">
      <c r="A270" s="3">
        <f ca="1">IFERROR(__xludf.UNSUPPORTED("""COMPUTED_VALUE"""),43857.6666666666)</f>
        <v>43857.666666666599</v>
      </c>
      <c r="B270" s="1">
        <f ca="1">IFERROR(__xludf.UNSUPPORTED("""COMPUTED_VALUE"""),6.01)</f>
        <v>6.01</v>
      </c>
      <c r="C270" s="2">
        <f t="shared" ca="1" si="1"/>
        <v>-3.9936102236421724E-2</v>
      </c>
    </row>
    <row r="271" spans="1:3">
      <c r="A271" s="3">
        <f ca="1">IFERROR(__xludf.UNSUPPORTED("""COMPUTED_VALUE"""),43858.6666666666)</f>
        <v>43858.666666666599</v>
      </c>
      <c r="B271" s="1">
        <f ca="1">IFERROR(__xludf.UNSUPPORTED("""COMPUTED_VALUE"""),6.2)</f>
        <v>6.2</v>
      </c>
      <c r="C271" s="2">
        <f t="shared" ca="1" si="1"/>
        <v>3.1613976705490918E-2</v>
      </c>
    </row>
    <row r="272" spans="1:3">
      <c r="A272" s="3">
        <f ca="1">IFERROR(__xludf.UNSUPPORTED("""COMPUTED_VALUE"""),43859.6666666666)</f>
        <v>43859.666666666599</v>
      </c>
      <c r="B272" s="1">
        <f ca="1">IFERROR(__xludf.UNSUPPORTED("""COMPUTED_VALUE"""),6.14)</f>
        <v>6.14</v>
      </c>
      <c r="C272" s="2">
        <f t="shared" ca="1" si="1"/>
        <v>-9.6774193548387899E-3</v>
      </c>
    </row>
    <row r="273" spans="1:3">
      <c r="A273" s="3">
        <f ca="1">IFERROR(__xludf.UNSUPPORTED("""COMPUTED_VALUE"""),43860.6666666666)</f>
        <v>43860.666666666599</v>
      </c>
      <c r="B273" s="1">
        <f ca="1">IFERROR(__xludf.UNSUPPORTED("""COMPUTED_VALUE"""),6.15)</f>
        <v>6.15</v>
      </c>
      <c r="C273" s="2">
        <f t="shared" ca="1" si="1"/>
        <v>1.6286644951141165E-3</v>
      </c>
    </row>
    <row r="274" spans="1:3">
      <c r="A274" s="3">
        <f ca="1">IFERROR(__xludf.UNSUPPORTED("""COMPUTED_VALUE"""),43861.6666666666)</f>
        <v>43861.666666666599</v>
      </c>
      <c r="B274" s="1">
        <f ca="1">IFERROR(__xludf.UNSUPPORTED("""COMPUTED_VALUE"""),5.91)</f>
        <v>5.91</v>
      </c>
      <c r="C274" s="2">
        <f t="shared" ca="1" si="1"/>
        <v>-3.9024390243902474E-2</v>
      </c>
    </row>
    <row r="275" spans="1:3">
      <c r="A275" s="3">
        <f ca="1">IFERROR(__xludf.UNSUPPORTED("""COMPUTED_VALUE"""),43864.6666666666)</f>
        <v>43864.666666666599</v>
      </c>
      <c r="B275" s="1">
        <f ca="1">IFERROR(__xludf.UNSUPPORTED("""COMPUTED_VALUE"""),6.01)</f>
        <v>6.01</v>
      </c>
      <c r="C275" s="2">
        <f t="shared" ca="1" si="1"/>
        <v>1.6920473773265592E-2</v>
      </c>
    </row>
    <row r="276" spans="1:3">
      <c r="A276" s="3">
        <f ca="1">IFERROR(__xludf.UNSUPPORTED("""COMPUTED_VALUE"""),43865.6666666666)</f>
        <v>43865.666666666599</v>
      </c>
      <c r="B276" s="1">
        <f ca="1">IFERROR(__xludf.UNSUPPORTED("""COMPUTED_VALUE"""),6.18)</f>
        <v>6.18</v>
      </c>
      <c r="C276" s="2">
        <f t="shared" ca="1" si="1"/>
        <v>2.8286189683860222E-2</v>
      </c>
    </row>
    <row r="277" spans="1:3">
      <c r="A277" s="3">
        <f ca="1">IFERROR(__xludf.UNSUPPORTED("""COMPUTED_VALUE"""),43866.6666666666)</f>
        <v>43866.666666666599</v>
      </c>
      <c r="B277" s="1">
        <f ca="1">IFERROR(__xludf.UNSUPPORTED("""COMPUTED_VALUE"""),6.27)</f>
        <v>6.27</v>
      </c>
      <c r="C277" s="2">
        <f t="shared" ca="1" si="1"/>
        <v>1.4563106796116483E-2</v>
      </c>
    </row>
    <row r="278" spans="1:3">
      <c r="A278" s="3">
        <f ca="1">IFERROR(__xludf.UNSUPPORTED("""COMPUTED_VALUE"""),43867.6666666666)</f>
        <v>43867.666666666599</v>
      </c>
      <c r="B278" s="1">
        <f ca="1">IFERROR(__xludf.UNSUPPORTED("""COMPUTED_VALUE"""),6.36)</f>
        <v>6.36</v>
      </c>
      <c r="C278" s="2">
        <f t="shared" ca="1" si="1"/>
        <v>1.4354066985646053E-2</v>
      </c>
    </row>
    <row r="279" spans="1:3">
      <c r="A279" s="3">
        <f ca="1">IFERROR(__xludf.UNSUPPORTED("""COMPUTED_VALUE"""),43868.6666666666)</f>
        <v>43868.666666666599</v>
      </c>
      <c r="B279" s="1">
        <f ca="1">IFERROR(__xludf.UNSUPPORTED("""COMPUTED_VALUE"""),6.29)</f>
        <v>6.29</v>
      </c>
      <c r="C279" s="2">
        <f t="shared" ca="1" si="1"/>
        <v>-1.1006289308176145E-2</v>
      </c>
    </row>
    <row r="280" spans="1:3">
      <c r="A280" s="3">
        <f ca="1">IFERROR(__xludf.UNSUPPORTED("""COMPUTED_VALUE"""),43871.6666666666)</f>
        <v>43871.666666666599</v>
      </c>
      <c r="B280" s="1">
        <f ca="1">IFERROR(__xludf.UNSUPPORTED("""COMPUTED_VALUE"""),6.57)</f>
        <v>6.57</v>
      </c>
      <c r="C280" s="2">
        <f t="shared" ca="1" si="1"/>
        <v>4.4515103338632789E-2</v>
      </c>
    </row>
    <row r="281" spans="1:3">
      <c r="A281" s="3">
        <f ca="1">IFERROR(__xludf.UNSUPPORTED("""COMPUTED_VALUE"""),43872.6666666666)</f>
        <v>43872.666666666599</v>
      </c>
      <c r="B281" s="1">
        <f ca="1">IFERROR(__xludf.UNSUPPORTED("""COMPUTED_VALUE"""),6.7)</f>
        <v>6.7</v>
      </c>
      <c r="C281" s="2">
        <f t="shared" ca="1" si="1"/>
        <v>1.9786910197869084E-2</v>
      </c>
    </row>
    <row r="282" spans="1:3">
      <c r="A282" s="3">
        <f ca="1">IFERROR(__xludf.UNSUPPORTED("""COMPUTED_VALUE"""),43873.6666666666)</f>
        <v>43873.666666666599</v>
      </c>
      <c r="B282" s="1">
        <f ca="1">IFERROR(__xludf.UNSUPPORTED("""COMPUTED_VALUE"""),6.81)</f>
        <v>6.81</v>
      </c>
      <c r="C282" s="2">
        <f t="shared" ca="1" si="1"/>
        <v>1.641791044776111E-2</v>
      </c>
    </row>
    <row r="283" spans="1:3">
      <c r="A283" s="3">
        <f ca="1">IFERROR(__xludf.UNSUPPORTED("""COMPUTED_VALUE"""),43874.6666666666)</f>
        <v>43874.666666666599</v>
      </c>
      <c r="B283" s="1">
        <f ca="1">IFERROR(__xludf.UNSUPPORTED("""COMPUTED_VALUE"""),6.77)</f>
        <v>6.77</v>
      </c>
      <c r="C283" s="2">
        <f t="shared" ca="1" si="1"/>
        <v>-5.8737151248164522E-3</v>
      </c>
    </row>
    <row r="284" spans="1:3">
      <c r="A284" s="3">
        <f ca="1">IFERROR(__xludf.UNSUPPORTED("""COMPUTED_VALUE"""),43875.6666666666)</f>
        <v>43875.666666666599</v>
      </c>
      <c r="B284" s="1">
        <f ca="1">IFERROR(__xludf.UNSUPPORTED("""COMPUTED_VALUE"""),7.24)</f>
        <v>7.24</v>
      </c>
      <c r="C284" s="2">
        <f t="shared" ca="1" si="1"/>
        <v>6.9423929098966122E-2</v>
      </c>
    </row>
    <row r="285" spans="1:3">
      <c r="A285" s="3">
        <f ca="1">IFERROR(__xludf.UNSUPPORTED("""COMPUTED_VALUE"""),43879.6666666666)</f>
        <v>43879.666666666599</v>
      </c>
      <c r="B285" s="1">
        <f ca="1">IFERROR(__xludf.UNSUPPORTED("""COMPUTED_VALUE"""),7.41)</f>
        <v>7.41</v>
      </c>
      <c r="C285" s="2">
        <f t="shared" ca="1" si="1"/>
        <v>2.3480662983425403E-2</v>
      </c>
    </row>
    <row r="286" spans="1:3">
      <c r="A286" s="3">
        <f ca="1">IFERROR(__xludf.UNSUPPORTED("""COMPUTED_VALUE"""),43880.6666666666)</f>
        <v>43880.666666666599</v>
      </c>
      <c r="B286" s="1">
        <f ca="1">IFERROR(__xludf.UNSUPPORTED("""COMPUTED_VALUE"""),7.87)</f>
        <v>7.87</v>
      </c>
      <c r="C286" s="2">
        <f t="shared" ca="1" si="1"/>
        <v>6.207827260458839E-2</v>
      </c>
    </row>
    <row r="287" spans="1:3">
      <c r="A287" s="3">
        <f ca="1">IFERROR(__xludf.UNSUPPORTED("""COMPUTED_VALUE"""),43881.6666666666)</f>
        <v>43881.666666666599</v>
      </c>
      <c r="B287" s="1">
        <f ca="1">IFERROR(__xludf.UNSUPPORTED("""COMPUTED_VALUE"""),7.72)</f>
        <v>7.72</v>
      </c>
      <c r="C287" s="2">
        <f t="shared" ca="1" si="1"/>
        <v>-1.9059720457433336E-2</v>
      </c>
    </row>
    <row r="288" spans="1:3">
      <c r="A288" s="3">
        <f ca="1">IFERROR(__xludf.UNSUPPORTED("""COMPUTED_VALUE"""),43882.6666666666)</f>
        <v>43882.666666666599</v>
      </c>
      <c r="B288" s="1">
        <f ca="1">IFERROR(__xludf.UNSUPPORTED("""COMPUTED_VALUE"""),7.35)</f>
        <v>7.35</v>
      </c>
      <c r="C288" s="2">
        <f t="shared" ca="1" si="1"/>
        <v>-4.7927461139896391E-2</v>
      </c>
    </row>
    <row r="289" spans="1:3">
      <c r="A289" s="3">
        <f ca="1">IFERROR(__xludf.UNSUPPORTED("""COMPUTED_VALUE"""),43885.6666666666)</f>
        <v>43885.666666666599</v>
      </c>
      <c r="B289" s="1">
        <f ca="1">IFERROR(__xludf.UNSUPPORTED("""COMPUTED_VALUE"""),6.83)</f>
        <v>6.83</v>
      </c>
      <c r="C289" s="2">
        <f t="shared" ca="1" si="1"/>
        <v>-7.0748299319727842E-2</v>
      </c>
    </row>
    <row r="290" spans="1:3">
      <c r="A290" s="3">
        <f ca="1">IFERROR(__xludf.UNSUPPORTED("""COMPUTED_VALUE"""),43886.6666666666)</f>
        <v>43886.666666666599</v>
      </c>
      <c r="B290" s="1">
        <f ca="1">IFERROR(__xludf.UNSUPPORTED("""COMPUTED_VALUE"""),6.55)</f>
        <v>6.55</v>
      </c>
      <c r="C290" s="2">
        <f t="shared" ca="1" si="1"/>
        <v>-4.0995607613470021E-2</v>
      </c>
    </row>
    <row r="291" spans="1:3">
      <c r="A291" s="3">
        <f ca="1">IFERROR(__xludf.UNSUPPORTED("""COMPUTED_VALUE"""),43887.6666666666)</f>
        <v>43887.666666666599</v>
      </c>
      <c r="B291" s="1">
        <f ca="1">IFERROR(__xludf.UNSUPPORTED("""COMPUTED_VALUE"""),6.69)</f>
        <v>6.69</v>
      </c>
      <c r="C291" s="2">
        <f t="shared" ca="1" si="1"/>
        <v>2.1374045801526805E-2</v>
      </c>
    </row>
    <row r="292" spans="1:3">
      <c r="A292" s="3">
        <f ca="1">IFERROR(__xludf.UNSUPPORTED("""COMPUTED_VALUE"""),43888.6666666666)</f>
        <v>43888.666666666599</v>
      </c>
      <c r="B292" s="1">
        <f ca="1">IFERROR(__xludf.UNSUPPORTED("""COMPUTED_VALUE"""),6.32)</f>
        <v>6.32</v>
      </c>
      <c r="C292" s="2">
        <f t="shared" ca="1" si="1"/>
        <v>-5.5306427503736932E-2</v>
      </c>
    </row>
    <row r="293" spans="1:3">
      <c r="A293" s="3">
        <f ca="1">IFERROR(__xludf.UNSUPPORTED("""COMPUTED_VALUE"""),43889.6666666666)</f>
        <v>43889.666666666599</v>
      </c>
      <c r="B293" s="1">
        <f ca="1">IFERROR(__xludf.UNSUPPORTED("""COMPUTED_VALUE"""),6.75)</f>
        <v>6.75</v>
      </c>
      <c r="C293" s="2">
        <f t="shared" ca="1" si="1"/>
        <v>6.803797468354425E-2</v>
      </c>
    </row>
    <row r="294" spans="1:3">
      <c r="A294" s="3">
        <f ca="1">IFERROR(__xludf.UNSUPPORTED("""COMPUTED_VALUE"""),43892.6666666666)</f>
        <v>43892.666666666599</v>
      </c>
      <c r="B294" s="1">
        <f ca="1">IFERROR(__xludf.UNSUPPORTED("""COMPUTED_VALUE"""),6.91)</f>
        <v>6.91</v>
      </c>
      <c r="C294" s="2">
        <f t="shared" ca="1" si="1"/>
        <v>2.3703703703703723E-2</v>
      </c>
    </row>
    <row r="295" spans="1:3">
      <c r="A295" s="3">
        <f ca="1">IFERROR(__xludf.UNSUPPORTED("""COMPUTED_VALUE"""),43893.6666666666)</f>
        <v>43893.666666666599</v>
      </c>
      <c r="B295" s="1">
        <f ca="1">IFERROR(__xludf.UNSUPPORTED("""COMPUTED_VALUE"""),6.65)</f>
        <v>6.65</v>
      </c>
      <c r="C295" s="2">
        <f t="shared" ca="1" si="1"/>
        <v>-3.7626628075253223E-2</v>
      </c>
    </row>
    <row r="296" spans="1:3">
      <c r="A296" s="3">
        <f ca="1">IFERROR(__xludf.UNSUPPORTED("""COMPUTED_VALUE"""),43894.6666666666)</f>
        <v>43894.666666666599</v>
      </c>
      <c r="B296" s="1">
        <f ca="1">IFERROR(__xludf.UNSUPPORTED("""COMPUTED_VALUE"""),7.11)</f>
        <v>7.11</v>
      </c>
      <c r="C296" s="2">
        <f t="shared" ca="1" si="1"/>
        <v>6.9172932330827053E-2</v>
      </c>
    </row>
    <row r="297" spans="1:3">
      <c r="A297" s="3">
        <f ca="1">IFERROR(__xludf.UNSUPPORTED("""COMPUTED_VALUE"""),43895.6666666666)</f>
        <v>43895.666666666599</v>
      </c>
      <c r="B297" s="1">
        <f ca="1">IFERROR(__xludf.UNSUPPORTED("""COMPUTED_VALUE"""),6.83)</f>
        <v>6.83</v>
      </c>
      <c r="C297" s="2">
        <f t="shared" ca="1" si="1"/>
        <v>-3.9381153305203968E-2</v>
      </c>
    </row>
    <row r="298" spans="1:3">
      <c r="A298" s="3">
        <f ca="1">IFERROR(__xludf.UNSUPPORTED("""COMPUTED_VALUE"""),43896.6666666666)</f>
        <v>43896.666666666599</v>
      </c>
      <c r="B298" s="1">
        <f ca="1">IFERROR(__xludf.UNSUPPORTED("""COMPUTED_VALUE"""),6.65)</f>
        <v>6.65</v>
      </c>
      <c r="C298" s="2">
        <f t="shared" ca="1" si="1"/>
        <v>-2.6354319180087807E-2</v>
      </c>
    </row>
    <row r="299" spans="1:3">
      <c r="A299" s="3">
        <f ca="1">IFERROR(__xludf.UNSUPPORTED("""COMPUTED_VALUE"""),43899.6666666666)</f>
        <v>43899.666666666599</v>
      </c>
      <c r="B299" s="1">
        <f ca="1">IFERROR(__xludf.UNSUPPORTED("""COMPUTED_VALUE"""),6.14)</f>
        <v>6.14</v>
      </c>
      <c r="C299" s="2">
        <f t="shared" ca="1" si="1"/>
        <v>-7.6691729323308366E-2</v>
      </c>
    </row>
    <row r="300" spans="1:3">
      <c r="A300" s="3">
        <f ca="1">IFERROR(__xludf.UNSUPPORTED("""COMPUTED_VALUE"""),43900.6666666666)</f>
        <v>43900.666666666599</v>
      </c>
      <c r="B300" s="1">
        <f ca="1">IFERROR(__xludf.UNSUPPORTED("""COMPUTED_VALUE"""),6.53)</f>
        <v>6.53</v>
      </c>
      <c r="C300" s="2">
        <f t="shared" ca="1" si="1"/>
        <v>6.3517915309446352E-2</v>
      </c>
    </row>
    <row r="301" spans="1:3">
      <c r="A301" s="3">
        <f ca="1">IFERROR(__xludf.UNSUPPORTED("""COMPUTED_VALUE"""),43901.6666666666)</f>
        <v>43901.666666666599</v>
      </c>
      <c r="B301" s="1">
        <f ca="1">IFERROR(__xludf.UNSUPPORTED("""COMPUTED_VALUE"""),6.16)</f>
        <v>6.16</v>
      </c>
      <c r="C301" s="2">
        <f t="shared" ca="1" si="1"/>
        <v>-5.6661562021439522E-2</v>
      </c>
    </row>
    <row r="302" spans="1:3">
      <c r="A302" s="3">
        <f ca="1">IFERROR(__xludf.UNSUPPORTED("""COMPUTED_VALUE"""),43902.6666666666)</f>
        <v>43902.666666666599</v>
      </c>
      <c r="B302" s="1">
        <f ca="1">IFERROR(__xludf.UNSUPPORTED("""COMPUTED_VALUE"""),5.41)</f>
        <v>5.41</v>
      </c>
      <c r="C302" s="2">
        <f t="shared" ca="1" si="1"/>
        <v>-0.12175324675324675</v>
      </c>
    </row>
    <row r="303" spans="1:3">
      <c r="A303" s="3">
        <f ca="1">IFERROR(__xludf.UNSUPPORTED("""COMPUTED_VALUE"""),43903.6666666666)</f>
        <v>43903.666666666599</v>
      </c>
      <c r="B303" s="1">
        <f ca="1">IFERROR(__xludf.UNSUPPORTED("""COMPUTED_VALUE"""),6.02)</f>
        <v>6.02</v>
      </c>
      <c r="C303" s="2">
        <f t="shared" ca="1" si="1"/>
        <v>0.11275415896487974</v>
      </c>
    </row>
    <row r="304" spans="1:3">
      <c r="A304" s="3">
        <f ca="1">IFERROR(__xludf.UNSUPPORTED("""COMPUTED_VALUE"""),43906.6666666666)</f>
        <v>43906.666666666599</v>
      </c>
      <c r="B304" s="1">
        <f ca="1">IFERROR(__xludf.UNSUPPORTED("""COMPUTED_VALUE"""),4.91)</f>
        <v>4.91</v>
      </c>
      <c r="C304" s="2">
        <f t="shared" ca="1" si="1"/>
        <v>-0.1843853820598006</v>
      </c>
    </row>
    <row r="305" spans="1:3">
      <c r="A305" s="3">
        <f ca="1">IFERROR(__xludf.UNSUPPORTED("""COMPUTED_VALUE"""),43907.6666666666)</f>
        <v>43907.666666666599</v>
      </c>
      <c r="B305" s="1">
        <f ca="1">IFERROR(__xludf.UNSUPPORTED("""COMPUTED_VALUE"""),5.43)</f>
        <v>5.43</v>
      </c>
      <c r="C305" s="2">
        <f t="shared" ca="1" si="1"/>
        <v>0.10590631364562109</v>
      </c>
    </row>
    <row r="306" spans="1:3">
      <c r="A306" s="3">
        <f ca="1">IFERROR(__xludf.UNSUPPORTED("""COMPUTED_VALUE"""),43908.6666666666)</f>
        <v>43908.666666666599</v>
      </c>
      <c r="B306" s="1">
        <f ca="1">IFERROR(__xludf.UNSUPPORTED("""COMPUTED_VALUE"""),5.07)</f>
        <v>5.07</v>
      </c>
      <c r="C306" s="2">
        <f t="shared" ca="1" si="1"/>
        <v>-6.6298342541436364E-2</v>
      </c>
    </row>
    <row r="307" spans="1:3">
      <c r="A307" s="3">
        <f ca="1">IFERROR(__xludf.UNSUPPORTED("""COMPUTED_VALUE"""),43909.6666666666)</f>
        <v>43909.666666666599</v>
      </c>
      <c r="B307" s="1">
        <f ca="1">IFERROR(__xludf.UNSUPPORTED("""COMPUTED_VALUE"""),5.32)</f>
        <v>5.32</v>
      </c>
      <c r="C307" s="2">
        <f t="shared" ca="1" si="1"/>
        <v>4.9309664694280074E-2</v>
      </c>
    </row>
    <row r="308" spans="1:3">
      <c r="A308" s="3">
        <f ca="1">IFERROR(__xludf.UNSUPPORTED("""COMPUTED_VALUE"""),43910.6666666666)</f>
        <v>43910.666666666599</v>
      </c>
      <c r="B308" s="1">
        <f ca="1">IFERROR(__xludf.UNSUPPORTED("""COMPUTED_VALUE"""),5.14)</f>
        <v>5.14</v>
      </c>
      <c r="C308" s="2">
        <f t="shared" ca="1" si="1"/>
        <v>-3.3834586466165523E-2</v>
      </c>
    </row>
    <row r="309" spans="1:3">
      <c r="A309" s="3">
        <f ca="1">IFERROR(__xludf.UNSUPPORTED("""COMPUTED_VALUE"""),43913.6666666666)</f>
        <v>43913.666666666599</v>
      </c>
      <c r="B309" s="1">
        <f ca="1">IFERROR(__xludf.UNSUPPORTED("""COMPUTED_VALUE"""),5.32)</f>
        <v>5.32</v>
      </c>
      <c r="C309" s="2">
        <f t="shared" ca="1" si="1"/>
        <v>3.5019455252918406E-2</v>
      </c>
    </row>
    <row r="310" spans="1:3">
      <c r="A310" s="3">
        <f ca="1">IFERROR(__xludf.UNSUPPORTED("""COMPUTED_VALUE"""),43914.6666666666)</f>
        <v>43914.666666666599</v>
      </c>
      <c r="B310" s="1">
        <f ca="1">IFERROR(__xludf.UNSUPPORTED("""COMPUTED_VALUE"""),6.23)</f>
        <v>6.23</v>
      </c>
      <c r="C310" s="2">
        <f t="shared" ca="1" si="1"/>
        <v>0.17105263157894737</v>
      </c>
    </row>
    <row r="311" spans="1:3">
      <c r="A311" s="3">
        <f ca="1">IFERROR(__xludf.UNSUPPORTED("""COMPUTED_VALUE"""),43915.6666666666)</f>
        <v>43915.666666666599</v>
      </c>
      <c r="B311" s="1">
        <f ca="1">IFERROR(__xludf.UNSUPPORTED("""COMPUTED_VALUE"""),6.14)</f>
        <v>6.14</v>
      </c>
      <c r="C311" s="2">
        <f t="shared" ca="1" si="1"/>
        <v>-1.4446227929374115E-2</v>
      </c>
    </row>
    <row r="312" spans="1:3">
      <c r="A312" s="3">
        <f ca="1">IFERROR(__xludf.UNSUPPORTED("""COMPUTED_VALUE"""),43916.6666666666)</f>
        <v>43916.666666666599</v>
      </c>
      <c r="B312" s="1">
        <f ca="1">IFERROR(__xludf.UNSUPPORTED("""COMPUTED_VALUE"""),6.43)</f>
        <v>6.43</v>
      </c>
      <c r="C312" s="2">
        <f t="shared" ca="1" si="1"/>
        <v>4.7231270358306196E-2</v>
      </c>
    </row>
    <row r="313" spans="1:3">
      <c r="A313" s="3">
        <f ca="1">IFERROR(__xludf.UNSUPPORTED("""COMPUTED_VALUE"""),43917.6666666666)</f>
        <v>43917.666666666599</v>
      </c>
      <c r="B313" s="1">
        <f ca="1">IFERROR(__xludf.UNSUPPORTED("""COMPUTED_VALUE"""),6.32)</f>
        <v>6.32</v>
      </c>
      <c r="C313" s="2">
        <f t="shared" ca="1" si="1"/>
        <v>-1.7107309486780627E-2</v>
      </c>
    </row>
    <row r="314" spans="1:3">
      <c r="A314" s="3">
        <f ca="1">IFERROR(__xludf.UNSUPPORTED("""COMPUTED_VALUE"""),43920.6666666666)</f>
        <v>43920.666666666599</v>
      </c>
      <c r="B314" s="1">
        <f ca="1">IFERROR(__xludf.UNSUPPORTED("""COMPUTED_VALUE"""),6.64)</f>
        <v>6.64</v>
      </c>
      <c r="C314" s="2">
        <f t="shared" ca="1" si="1"/>
        <v>5.0632911392404965E-2</v>
      </c>
    </row>
    <row r="315" spans="1:3">
      <c r="A315" s="3">
        <f ca="1">IFERROR(__xludf.UNSUPPORTED("""COMPUTED_VALUE"""),43921.6666666666)</f>
        <v>43921.666666666599</v>
      </c>
      <c r="B315" s="1">
        <f ca="1">IFERROR(__xludf.UNSUPPORTED("""COMPUTED_VALUE"""),6.59)</f>
        <v>6.59</v>
      </c>
      <c r="C315" s="2">
        <f t="shared" ca="1" si="1"/>
        <v>-7.5301204819276848E-3</v>
      </c>
    </row>
    <row r="316" spans="1:3">
      <c r="A316" s="3">
        <f ca="1">IFERROR(__xludf.UNSUPPORTED("""COMPUTED_VALUE"""),43922.6666666666)</f>
        <v>43922.666666666599</v>
      </c>
      <c r="B316" s="1">
        <f ca="1">IFERROR(__xludf.UNSUPPORTED("""COMPUTED_VALUE"""),6.08)</f>
        <v>6.08</v>
      </c>
      <c r="C316" s="2">
        <f t="shared" ca="1" si="1"/>
        <v>-7.7389984825493141E-2</v>
      </c>
    </row>
    <row r="317" spans="1:3">
      <c r="A317" s="3">
        <f ca="1">IFERROR(__xludf.UNSUPPORTED("""COMPUTED_VALUE"""),43923.6666666666)</f>
        <v>43923.666666666599</v>
      </c>
      <c r="B317" s="1">
        <f ca="1">IFERROR(__xludf.UNSUPPORTED("""COMPUTED_VALUE"""),6.39)</f>
        <v>6.39</v>
      </c>
      <c r="C317" s="2">
        <f t="shared" ca="1" si="1"/>
        <v>5.0986842105263094E-2</v>
      </c>
    </row>
    <row r="318" spans="1:3">
      <c r="A318" s="3">
        <f ca="1">IFERROR(__xludf.UNSUPPORTED("""COMPUTED_VALUE"""),43924.6666666666)</f>
        <v>43924.666666666599</v>
      </c>
      <c r="B318" s="1">
        <f ca="1">IFERROR(__xludf.UNSUPPORTED("""COMPUTED_VALUE"""),6.1)</f>
        <v>6.1</v>
      </c>
      <c r="C318" s="2">
        <f t="shared" ca="1" si="1"/>
        <v>-4.5383411580594689E-2</v>
      </c>
    </row>
    <row r="319" spans="1:3">
      <c r="A319" s="3">
        <f ca="1">IFERROR(__xludf.UNSUPPORTED("""COMPUTED_VALUE"""),43927.6666666666)</f>
        <v>43927.666666666599</v>
      </c>
      <c r="B319" s="1">
        <f ca="1">IFERROR(__xludf.UNSUPPORTED("""COMPUTED_VALUE"""),6.71)</f>
        <v>6.71</v>
      </c>
      <c r="C319" s="2">
        <f t="shared" ca="1" si="1"/>
        <v>0.10000000000000006</v>
      </c>
    </row>
    <row r="320" spans="1:3">
      <c r="A320" s="3">
        <f ca="1">IFERROR(__xludf.UNSUPPORTED("""COMPUTED_VALUE"""),43928.6666666666)</f>
        <v>43928.666666666599</v>
      </c>
      <c r="B320" s="1">
        <f ca="1">IFERROR(__xludf.UNSUPPORTED("""COMPUTED_VALUE"""),6.48)</f>
        <v>6.48</v>
      </c>
      <c r="C320" s="2">
        <f t="shared" ca="1" si="1"/>
        <v>-3.4277198211624373E-2</v>
      </c>
    </row>
    <row r="321" spans="1:3">
      <c r="A321" s="3">
        <f ca="1">IFERROR(__xludf.UNSUPPORTED("""COMPUTED_VALUE"""),43929.6666666666)</f>
        <v>43929.666666666599</v>
      </c>
      <c r="B321" s="1">
        <f ca="1">IFERROR(__xludf.UNSUPPORTED("""COMPUTED_VALUE"""),6.67)</f>
        <v>6.67</v>
      </c>
      <c r="C321" s="2">
        <f t="shared" ca="1" si="1"/>
        <v>2.932098765432091E-2</v>
      </c>
    </row>
    <row r="322" spans="1:3">
      <c r="A322" s="3">
        <f ca="1">IFERROR(__xludf.UNSUPPORTED("""COMPUTED_VALUE"""),43930.6666666666)</f>
        <v>43930.666666666599</v>
      </c>
      <c r="B322" s="1">
        <f ca="1">IFERROR(__xludf.UNSUPPORTED("""COMPUTED_VALUE"""),6.57)</f>
        <v>6.57</v>
      </c>
      <c r="C322" s="2">
        <f t="shared" ca="1" si="1"/>
        <v>-1.4992503748125883E-2</v>
      </c>
    </row>
    <row r="323" spans="1:3">
      <c r="A323" s="3">
        <f ca="1">IFERROR(__xludf.UNSUPPORTED("""COMPUTED_VALUE"""),43934.6666666666)</f>
        <v>43934.666666666599</v>
      </c>
      <c r="B323" s="1">
        <f ca="1">IFERROR(__xludf.UNSUPPORTED("""COMPUTED_VALUE"""),6.75)</f>
        <v>6.75</v>
      </c>
      <c r="C323" s="2">
        <f t="shared" ca="1" si="1"/>
        <v>2.739726027397256E-2</v>
      </c>
    </row>
    <row r="324" spans="1:3">
      <c r="A324" s="3">
        <f ca="1">IFERROR(__xludf.UNSUPPORTED("""COMPUTED_VALUE"""),43935.6666666666)</f>
        <v>43935.666666666599</v>
      </c>
      <c r="B324" s="1">
        <f ca="1">IFERROR(__xludf.UNSUPPORTED("""COMPUTED_VALUE"""),7.1)</f>
        <v>7.1</v>
      </c>
      <c r="C324" s="2">
        <f t="shared" ca="1" si="1"/>
        <v>5.1851851851851802E-2</v>
      </c>
    </row>
    <row r="325" spans="1:3">
      <c r="A325" s="3">
        <f ca="1">IFERROR(__xludf.UNSUPPORTED("""COMPUTED_VALUE"""),43936.6666666666)</f>
        <v>43936.666666666599</v>
      </c>
      <c r="B325" s="1">
        <f ca="1">IFERROR(__xludf.UNSUPPORTED("""COMPUTED_VALUE"""),7.02)</f>
        <v>7.02</v>
      </c>
      <c r="C325" s="2">
        <f t="shared" ca="1" si="1"/>
        <v>-1.1267605633802828E-2</v>
      </c>
    </row>
    <row r="326" spans="1:3">
      <c r="A326" s="3">
        <f ca="1">IFERROR(__xludf.UNSUPPORTED("""COMPUTED_VALUE"""),43937.6666666666)</f>
        <v>43937.666666666599</v>
      </c>
      <c r="B326" s="1">
        <f ca="1">IFERROR(__xludf.UNSUPPORTED("""COMPUTED_VALUE"""),7.37)</f>
        <v>7.37</v>
      </c>
      <c r="C326" s="2">
        <f t="shared" ca="1" si="1"/>
        <v>4.9857549857549935E-2</v>
      </c>
    </row>
    <row r="327" spans="1:3">
      <c r="A327" s="3">
        <f ca="1">IFERROR(__xludf.UNSUPPORTED("""COMPUTED_VALUE"""),43938.6666666666)</f>
        <v>43938.666666666599</v>
      </c>
      <c r="B327" s="1">
        <f ca="1">IFERROR(__xludf.UNSUPPORTED("""COMPUTED_VALUE"""),7.31)</f>
        <v>7.31</v>
      </c>
      <c r="C327" s="2">
        <f t="shared" ca="1" si="1"/>
        <v>-8.141112618724626E-3</v>
      </c>
    </row>
    <row r="328" spans="1:3">
      <c r="A328" s="3">
        <f ca="1">IFERROR(__xludf.UNSUPPORTED("""COMPUTED_VALUE"""),43941.6666666666)</f>
        <v>43941.666666666599</v>
      </c>
      <c r="B328" s="1">
        <f ca="1">IFERROR(__xludf.UNSUPPORTED("""COMPUTED_VALUE"""),7.18)</f>
        <v>7.18</v>
      </c>
      <c r="C328" s="2">
        <f t="shared" ca="1" si="1"/>
        <v>-1.7783857729138153E-2</v>
      </c>
    </row>
    <row r="329" spans="1:3">
      <c r="A329" s="3">
        <f ca="1">IFERROR(__xludf.UNSUPPORTED("""COMPUTED_VALUE"""),43942.6666666666)</f>
        <v>43942.666666666599</v>
      </c>
      <c r="B329" s="1">
        <f ca="1">IFERROR(__xludf.UNSUPPORTED("""COMPUTED_VALUE"""),6.74)</f>
        <v>6.74</v>
      </c>
      <c r="C329" s="2">
        <f t="shared" ca="1" si="1"/>
        <v>-6.1281337047353696E-2</v>
      </c>
    </row>
    <row r="330" spans="1:3">
      <c r="A330" s="3">
        <f ca="1">IFERROR(__xludf.UNSUPPORTED("""COMPUTED_VALUE"""),43943.6666666666)</f>
        <v>43943.666666666599</v>
      </c>
      <c r="B330" s="1">
        <f ca="1">IFERROR(__xludf.UNSUPPORTED("""COMPUTED_VALUE"""),7.15)</f>
        <v>7.15</v>
      </c>
      <c r="C330" s="2">
        <f t="shared" ca="1" si="1"/>
        <v>6.0830860534124648E-2</v>
      </c>
    </row>
    <row r="331" spans="1:3">
      <c r="A331" s="3">
        <f ca="1">IFERROR(__xludf.UNSUPPORTED("""COMPUTED_VALUE"""),43944.6666666666)</f>
        <v>43944.666666666599</v>
      </c>
      <c r="B331" s="1">
        <f ca="1">IFERROR(__xludf.UNSUPPORTED("""COMPUTED_VALUE"""),7.1)</f>
        <v>7.1</v>
      </c>
      <c r="C331" s="2">
        <f t="shared" ca="1" si="1"/>
        <v>-6.9930069930070919E-3</v>
      </c>
    </row>
    <row r="332" spans="1:3">
      <c r="A332" s="3">
        <f ca="1">IFERROR(__xludf.UNSUPPORTED("""COMPUTED_VALUE"""),43945.6666666666)</f>
        <v>43945.666666666599</v>
      </c>
      <c r="B332" s="1">
        <f ca="1">IFERROR(__xludf.UNSUPPORTED("""COMPUTED_VALUE"""),7.24)</f>
        <v>7.24</v>
      </c>
      <c r="C332" s="2">
        <f t="shared" ca="1" si="1"/>
        <v>1.9718309859155011E-2</v>
      </c>
    </row>
    <row r="333" spans="1:3">
      <c r="A333" s="3">
        <f ca="1">IFERROR(__xludf.UNSUPPORTED("""COMPUTED_VALUE"""),43948.6666666666)</f>
        <v>43948.666666666599</v>
      </c>
      <c r="B333" s="1">
        <f ca="1">IFERROR(__xludf.UNSUPPORTED("""COMPUTED_VALUE"""),7.43)</f>
        <v>7.43</v>
      </c>
      <c r="C333" s="2">
        <f t="shared" ca="1" si="1"/>
        <v>2.6243093922651863E-2</v>
      </c>
    </row>
    <row r="334" spans="1:3">
      <c r="A334" s="3">
        <f ca="1">IFERROR(__xludf.UNSUPPORTED("""COMPUTED_VALUE"""),43949.6666666666)</f>
        <v>43949.666666666599</v>
      </c>
      <c r="B334" s="1">
        <f ca="1">IFERROR(__xludf.UNSUPPORTED("""COMPUTED_VALUE"""),7.28)</f>
        <v>7.28</v>
      </c>
      <c r="C334" s="2">
        <f t="shared" ca="1" si="1"/>
        <v>-2.0188425302826309E-2</v>
      </c>
    </row>
    <row r="335" spans="1:3">
      <c r="A335" s="3">
        <f ca="1">IFERROR(__xludf.UNSUPPORTED("""COMPUTED_VALUE"""),43950.6666666666)</f>
        <v>43950.666666666599</v>
      </c>
      <c r="B335" s="1">
        <f ca="1">IFERROR(__xludf.UNSUPPORTED("""COMPUTED_VALUE"""),7.46)</f>
        <v>7.46</v>
      </c>
      <c r="C335" s="2">
        <f t="shared" ca="1" si="1"/>
        <v>2.4725274725274686E-2</v>
      </c>
    </row>
    <row r="336" spans="1:3">
      <c r="A336" s="3">
        <f ca="1">IFERROR(__xludf.UNSUPPORTED("""COMPUTED_VALUE"""),43951.6666666666)</f>
        <v>43951.666666666599</v>
      </c>
      <c r="B336" s="1">
        <f ca="1">IFERROR(__xludf.UNSUPPORTED("""COMPUTED_VALUE"""),7.31)</f>
        <v>7.31</v>
      </c>
      <c r="C336" s="2">
        <f t="shared" ca="1" si="1"/>
        <v>-2.0107238605898171E-2</v>
      </c>
    </row>
    <row r="337" spans="1:3">
      <c r="A337" s="3">
        <f ca="1">IFERROR(__xludf.UNSUPPORTED("""COMPUTED_VALUE"""),43952.6666666666)</f>
        <v>43952.666666666599</v>
      </c>
      <c r="B337" s="1">
        <f ca="1">IFERROR(__xludf.UNSUPPORTED("""COMPUTED_VALUE"""),7.07)</f>
        <v>7.07</v>
      </c>
      <c r="C337" s="2">
        <f t="shared" ca="1" si="1"/>
        <v>-3.2831737346101141E-2</v>
      </c>
    </row>
    <row r="338" spans="1:3">
      <c r="A338" s="3">
        <f ca="1">IFERROR(__xludf.UNSUPPORTED("""COMPUTED_VALUE"""),43955.6666666666)</f>
        <v>43955.666666666599</v>
      </c>
      <c r="B338" s="1">
        <f ca="1">IFERROR(__xludf.UNSUPPORTED("""COMPUTED_VALUE"""),7.28)</f>
        <v>7.28</v>
      </c>
      <c r="C338" s="2">
        <f t="shared" ca="1" si="1"/>
        <v>2.9702970297029698E-2</v>
      </c>
    </row>
    <row r="339" spans="1:3">
      <c r="A339" s="3">
        <f ca="1">IFERROR(__xludf.UNSUPPORTED("""COMPUTED_VALUE"""),43956.6666666666)</f>
        <v>43956.666666666599</v>
      </c>
      <c r="B339" s="1">
        <f ca="1">IFERROR(__xludf.UNSUPPORTED("""COMPUTED_VALUE"""),7.34)</f>
        <v>7.34</v>
      </c>
      <c r="C339" s="2">
        <f t="shared" ca="1" si="1"/>
        <v>8.2417582417581882E-3</v>
      </c>
    </row>
    <row r="340" spans="1:3">
      <c r="A340" s="3">
        <f ca="1">IFERROR(__xludf.UNSUPPORTED("""COMPUTED_VALUE"""),43957.6666666666)</f>
        <v>43957.666666666599</v>
      </c>
      <c r="B340" s="1">
        <f ca="1">IFERROR(__xludf.UNSUPPORTED("""COMPUTED_VALUE"""),7.44)</f>
        <v>7.44</v>
      </c>
      <c r="C340" s="2">
        <f t="shared" ca="1" si="1"/>
        <v>1.362397820163495E-2</v>
      </c>
    </row>
    <row r="341" spans="1:3">
      <c r="A341" s="3">
        <f ca="1">IFERROR(__xludf.UNSUPPORTED("""COMPUTED_VALUE"""),43958.6666666666)</f>
        <v>43958.666666666599</v>
      </c>
      <c r="B341" s="1">
        <f ca="1">IFERROR(__xludf.UNSUPPORTED("""COMPUTED_VALUE"""),7.62)</f>
        <v>7.62</v>
      </c>
      <c r="C341" s="2">
        <f t="shared" ca="1" si="1"/>
        <v>2.4193548387096735E-2</v>
      </c>
    </row>
    <row r="342" spans="1:3">
      <c r="A342" s="3">
        <f ca="1">IFERROR(__xludf.UNSUPPORTED("""COMPUTED_VALUE"""),43959.6666666666)</f>
        <v>43959.666666666599</v>
      </c>
      <c r="B342" s="1">
        <f ca="1">IFERROR(__xludf.UNSUPPORTED("""COMPUTED_VALUE"""),7.81)</f>
        <v>7.81</v>
      </c>
      <c r="C342" s="2">
        <f t="shared" ca="1" si="1"/>
        <v>2.4934383202099671E-2</v>
      </c>
    </row>
    <row r="343" spans="1:3">
      <c r="A343" s="3">
        <f ca="1">IFERROR(__xludf.UNSUPPORTED("""COMPUTED_VALUE"""),43962.6666666666)</f>
        <v>43962.666666666599</v>
      </c>
      <c r="B343" s="1">
        <f ca="1">IFERROR(__xludf.UNSUPPORTED("""COMPUTED_VALUE"""),8.07)</f>
        <v>8.07</v>
      </c>
      <c r="C343" s="2">
        <f t="shared" ca="1" si="1"/>
        <v>3.3290653008962959E-2</v>
      </c>
    </row>
    <row r="344" spans="1:3">
      <c r="A344" s="3">
        <f ca="1">IFERROR(__xludf.UNSUPPORTED("""COMPUTED_VALUE"""),43963.6666666666)</f>
        <v>43963.666666666599</v>
      </c>
      <c r="B344" s="1">
        <f ca="1">IFERROR(__xludf.UNSUPPORTED("""COMPUTED_VALUE"""),7.8)</f>
        <v>7.8</v>
      </c>
      <c r="C344" s="2">
        <f t="shared" ca="1" si="1"/>
        <v>-3.3457249070632029E-2</v>
      </c>
    </row>
    <row r="345" spans="1:3">
      <c r="A345" s="3">
        <f ca="1">IFERROR(__xludf.UNSUPPORTED("""COMPUTED_VALUE"""),43964.6666666666)</f>
        <v>43964.666666666599</v>
      </c>
      <c r="B345" s="1">
        <f ca="1">IFERROR(__xludf.UNSUPPORTED("""COMPUTED_VALUE"""),7.78)</f>
        <v>7.78</v>
      </c>
      <c r="C345" s="2">
        <f t="shared" ca="1" si="1"/>
        <v>-2.5641025641025095E-3</v>
      </c>
    </row>
    <row r="346" spans="1:3">
      <c r="A346" s="3">
        <f ca="1">IFERROR(__xludf.UNSUPPORTED("""COMPUTED_VALUE"""),43965.6666666666)</f>
        <v>43965.666666666599</v>
      </c>
      <c r="B346" s="1">
        <f ca="1">IFERROR(__xludf.UNSUPPORTED("""COMPUTED_VALUE"""),8.03)</f>
        <v>8.0299999999999994</v>
      </c>
      <c r="C346" s="2">
        <f t="shared" ca="1" si="1"/>
        <v>3.2133676092544874E-2</v>
      </c>
    </row>
    <row r="347" spans="1:3">
      <c r="A347" s="3">
        <f ca="1">IFERROR(__xludf.UNSUPPORTED("""COMPUTED_VALUE"""),43966.6666666666)</f>
        <v>43966.666666666599</v>
      </c>
      <c r="B347" s="1">
        <f ca="1">IFERROR(__xludf.UNSUPPORTED("""COMPUTED_VALUE"""),8.49)</f>
        <v>8.49</v>
      </c>
      <c r="C347" s="2">
        <f t="shared" ca="1" si="1"/>
        <v>5.7285180572851917E-2</v>
      </c>
    </row>
    <row r="348" spans="1:3">
      <c r="A348" s="3">
        <f ca="1">IFERROR(__xludf.UNSUPPORTED("""COMPUTED_VALUE"""),43969.6666666666)</f>
        <v>43969.666666666599</v>
      </c>
      <c r="B348" s="1">
        <f ca="1">IFERROR(__xludf.UNSUPPORTED("""COMPUTED_VALUE"""),8.75)</f>
        <v>8.75</v>
      </c>
      <c r="C348" s="2">
        <f t="shared" ca="1" si="1"/>
        <v>3.0624263839811518E-2</v>
      </c>
    </row>
    <row r="349" spans="1:3">
      <c r="A349" s="3">
        <f ca="1">IFERROR(__xludf.UNSUPPORTED("""COMPUTED_VALUE"""),43970.6666666666)</f>
        <v>43970.666666666599</v>
      </c>
      <c r="B349" s="1">
        <f ca="1">IFERROR(__xludf.UNSUPPORTED("""COMPUTED_VALUE"""),8.81)</f>
        <v>8.81</v>
      </c>
      <c r="C349" s="2">
        <f t="shared" ca="1" si="1"/>
        <v>6.857142857142914E-3</v>
      </c>
    </row>
    <row r="350" spans="1:3">
      <c r="A350" s="3">
        <f ca="1">IFERROR(__xludf.UNSUPPORTED("""COMPUTED_VALUE"""),43971.6666666666)</f>
        <v>43971.666666666599</v>
      </c>
      <c r="B350" s="1">
        <f ca="1">IFERROR(__xludf.UNSUPPORTED("""COMPUTED_VALUE"""),8.97)</f>
        <v>8.9700000000000006</v>
      </c>
      <c r="C350" s="2">
        <f t="shared" ca="1" si="1"/>
        <v>1.8161180476731001E-2</v>
      </c>
    </row>
    <row r="351" spans="1:3">
      <c r="A351" s="3">
        <f ca="1">IFERROR(__xludf.UNSUPPORTED("""COMPUTED_VALUE"""),43972.6666666666)</f>
        <v>43972.666666666599</v>
      </c>
      <c r="B351" s="1">
        <f ca="1">IFERROR(__xludf.UNSUPPORTED("""COMPUTED_VALUE"""),8.78)</f>
        <v>8.7799999999999994</v>
      </c>
      <c r="C351" s="2">
        <f t="shared" ca="1" si="1"/>
        <v>-2.1181716833890887E-2</v>
      </c>
    </row>
    <row r="352" spans="1:3">
      <c r="A352" s="3">
        <f ca="1">IFERROR(__xludf.UNSUPPORTED("""COMPUTED_VALUE"""),43973.6666666666)</f>
        <v>43973.666666666599</v>
      </c>
      <c r="B352" s="1">
        <f ca="1">IFERROR(__xludf.UNSUPPORTED("""COMPUTED_VALUE"""),9.03)</f>
        <v>9.0299999999999994</v>
      </c>
      <c r="C352" s="2">
        <f t="shared" ca="1" si="1"/>
        <v>2.8473804100227793E-2</v>
      </c>
    </row>
    <row r="353" spans="1:3">
      <c r="A353" s="3">
        <f ca="1">IFERROR(__xludf.UNSUPPORTED("""COMPUTED_VALUE"""),43977.6666666666)</f>
        <v>43977.666666666599</v>
      </c>
      <c r="B353" s="1">
        <f ca="1">IFERROR(__xludf.UNSUPPORTED("""COMPUTED_VALUE"""),8.72)</f>
        <v>8.7200000000000006</v>
      </c>
      <c r="C353" s="2">
        <f t="shared" ca="1" si="1"/>
        <v>-3.4330011074196982E-2</v>
      </c>
    </row>
    <row r="354" spans="1:3">
      <c r="A354" s="3">
        <f ca="1">IFERROR(__xludf.UNSUPPORTED("""COMPUTED_VALUE"""),43978.6666666666)</f>
        <v>43978.666666666599</v>
      </c>
      <c r="B354" s="1">
        <f ca="1">IFERROR(__xludf.UNSUPPORTED("""COMPUTED_VALUE"""),8.53)</f>
        <v>8.5299999999999994</v>
      </c>
      <c r="C354" s="2">
        <f t="shared" ca="1" si="1"/>
        <v>-2.1788990825688217E-2</v>
      </c>
    </row>
    <row r="355" spans="1:3">
      <c r="A355" s="3">
        <f ca="1">IFERROR(__xludf.UNSUPPORTED("""COMPUTED_VALUE"""),43979.6666666666)</f>
        <v>43979.666666666599</v>
      </c>
      <c r="B355" s="1">
        <f ca="1">IFERROR(__xludf.UNSUPPORTED("""COMPUTED_VALUE"""),8.49)</f>
        <v>8.49</v>
      </c>
      <c r="C355" s="2">
        <f t="shared" ca="1" si="1"/>
        <v>-4.6893317702226441E-3</v>
      </c>
    </row>
    <row r="356" spans="1:3">
      <c r="A356" s="3">
        <f ca="1">IFERROR(__xludf.UNSUPPORTED("""COMPUTED_VALUE"""),43980.6666666666)</f>
        <v>43980.666666666599</v>
      </c>
      <c r="B356" s="1">
        <f ca="1">IFERROR(__xludf.UNSUPPORTED("""COMPUTED_VALUE"""),8.88)</f>
        <v>8.8800000000000008</v>
      </c>
      <c r="C356" s="2">
        <f t="shared" ca="1" si="1"/>
        <v>4.5936395759717377E-2</v>
      </c>
    </row>
    <row r="357" spans="1:3">
      <c r="A357" s="3">
        <f ca="1">IFERROR(__xludf.UNSUPPORTED("""COMPUTED_VALUE"""),43983.6666666666)</f>
        <v>43983.666666666599</v>
      </c>
      <c r="B357" s="1">
        <f ca="1">IFERROR(__xludf.UNSUPPORTED("""COMPUTED_VALUE"""),8.81)</f>
        <v>8.81</v>
      </c>
      <c r="C357" s="2">
        <f t="shared" ca="1" si="1"/>
        <v>-7.8828828828829134E-3</v>
      </c>
    </row>
    <row r="358" spans="1:3">
      <c r="A358" s="3">
        <f ca="1">IFERROR(__xludf.UNSUPPORTED("""COMPUTED_VALUE"""),43984.6666666666)</f>
        <v>43984.666666666599</v>
      </c>
      <c r="B358" s="1">
        <f ca="1">IFERROR(__xludf.UNSUPPORTED("""COMPUTED_VALUE"""),8.83)</f>
        <v>8.83</v>
      </c>
      <c r="C358" s="2">
        <f t="shared" ca="1" si="1"/>
        <v>2.2701475595913248E-3</v>
      </c>
    </row>
    <row r="359" spans="1:3">
      <c r="A359" s="3">
        <f ca="1">IFERROR(__xludf.UNSUPPORTED("""COMPUTED_VALUE"""),43985.6666666666)</f>
        <v>43985.666666666599</v>
      </c>
      <c r="B359" s="1">
        <f ca="1">IFERROR(__xludf.UNSUPPORTED("""COMPUTED_VALUE"""),8.77)</f>
        <v>8.77</v>
      </c>
      <c r="C359" s="2">
        <f t="shared" ca="1" si="1"/>
        <v>-6.7950169875425253E-3</v>
      </c>
    </row>
    <row r="360" spans="1:3">
      <c r="A360" s="3">
        <f ca="1">IFERROR(__xludf.UNSUPPORTED("""COMPUTED_VALUE"""),43986.6666666666)</f>
        <v>43986.666666666599</v>
      </c>
      <c r="B360" s="1">
        <f ca="1">IFERROR(__xludf.UNSUPPORTED("""COMPUTED_VALUE"""),8.77)</f>
        <v>8.77</v>
      </c>
      <c r="C360" s="2">
        <f t="shared" ca="1" si="1"/>
        <v>0</v>
      </c>
    </row>
    <row r="361" spans="1:3">
      <c r="A361" s="3">
        <f ca="1">IFERROR(__xludf.UNSUPPORTED("""COMPUTED_VALUE"""),43987.6666666666)</f>
        <v>43987.666666666599</v>
      </c>
      <c r="B361" s="1">
        <f ca="1">IFERROR(__xludf.UNSUPPORTED("""COMPUTED_VALUE"""),8.92)</f>
        <v>8.92</v>
      </c>
      <c r="C361" s="2">
        <f t="shared" ca="1" si="1"/>
        <v>1.7103762827822163E-2</v>
      </c>
    </row>
    <row r="362" spans="1:3">
      <c r="A362" s="3">
        <f ca="1">IFERROR(__xludf.UNSUPPORTED("""COMPUTED_VALUE"""),43990.6666666666)</f>
        <v>43990.666666666599</v>
      </c>
      <c r="B362" s="1">
        <f ca="1">IFERROR(__xludf.UNSUPPORTED("""COMPUTED_VALUE"""),8.81)</f>
        <v>8.81</v>
      </c>
      <c r="C362" s="2">
        <f t="shared" ca="1" si="1"/>
        <v>-1.2331838565022358E-2</v>
      </c>
    </row>
    <row r="363" spans="1:3">
      <c r="A363" s="3">
        <f ca="1">IFERROR(__xludf.UNSUPPORTED("""COMPUTED_VALUE"""),43991.6666666666)</f>
        <v>43991.666666666599</v>
      </c>
      <c r="B363" s="1">
        <f ca="1">IFERROR(__xludf.UNSUPPORTED("""COMPUTED_VALUE"""),9.05)</f>
        <v>9.0500000000000007</v>
      </c>
      <c r="C363" s="2">
        <f t="shared" ca="1" si="1"/>
        <v>2.7241770715096505E-2</v>
      </c>
    </row>
    <row r="364" spans="1:3">
      <c r="A364" s="3">
        <f ca="1">IFERROR(__xludf.UNSUPPORTED("""COMPUTED_VALUE"""),43992.6666666666)</f>
        <v>43992.666666666599</v>
      </c>
      <c r="B364" s="1">
        <f ca="1">IFERROR(__xludf.UNSUPPORTED("""COMPUTED_VALUE"""),9.37)</f>
        <v>9.3699999999999992</v>
      </c>
      <c r="C364" s="2">
        <f t="shared" ca="1" si="1"/>
        <v>3.5359116022099277E-2</v>
      </c>
    </row>
    <row r="365" spans="1:3">
      <c r="A365" s="3">
        <f ca="1">IFERROR(__xludf.UNSUPPORTED("""COMPUTED_VALUE"""),43993.6666666666)</f>
        <v>43993.666666666599</v>
      </c>
      <c r="B365" s="1">
        <f ca="1">IFERROR(__xludf.UNSUPPORTED("""COMPUTED_VALUE"""),8.8)</f>
        <v>8.8000000000000007</v>
      </c>
      <c r="C365" s="2">
        <f t="shared" ca="1" si="1"/>
        <v>-6.0832443970117243E-2</v>
      </c>
    </row>
    <row r="366" spans="1:3">
      <c r="A366" s="3">
        <f ca="1">IFERROR(__xludf.UNSUPPORTED("""COMPUTED_VALUE"""),43994.6666666666)</f>
        <v>43994.666666666599</v>
      </c>
      <c r="B366" s="1">
        <f ca="1">IFERROR(__xludf.UNSUPPORTED("""COMPUTED_VALUE"""),8.93)</f>
        <v>8.93</v>
      </c>
      <c r="C366" s="2">
        <f t="shared" ca="1" si="1"/>
        <v>1.4772727272727158E-2</v>
      </c>
    </row>
    <row r="367" spans="1:3">
      <c r="A367" s="3">
        <f ca="1">IFERROR(__xludf.UNSUPPORTED("""COMPUTED_VALUE"""),43997.6666666666)</f>
        <v>43997.666666666599</v>
      </c>
      <c r="B367" s="1">
        <f ca="1">IFERROR(__xludf.UNSUPPORTED("""COMPUTED_VALUE"""),9.17)</f>
        <v>9.17</v>
      </c>
      <c r="C367" s="2">
        <f t="shared" ca="1" si="1"/>
        <v>2.6875699888017943E-2</v>
      </c>
    </row>
    <row r="368" spans="1:3">
      <c r="A368" s="3">
        <f ca="1">IFERROR(__xludf.UNSUPPORTED("""COMPUTED_VALUE"""),43998.6666666666)</f>
        <v>43998.666666666599</v>
      </c>
      <c r="B368" s="1">
        <f ca="1">IFERROR(__xludf.UNSUPPORTED("""COMPUTED_VALUE"""),9.07)</f>
        <v>9.07</v>
      </c>
      <c r="C368" s="2">
        <f t="shared" ca="1" si="1"/>
        <v>-1.0905125408942165E-2</v>
      </c>
    </row>
    <row r="369" spans="1:3">
      <c r="A369" s="3">
        <f ca="1">IFERROR(__xludf.UNSUPPORTED("""COMPUTED_VALUE"""),43999.6666666666)</f>
        <v>43999.666666666599</v>
      </c>
      <c r="B369" s="1">
        <f ca="1">IFERROR(__xludf.UNSUPPORTED("""COMPUTED_VALUE"""),9.24)</f>
        <v>9.24</v>
      </c>
      <c r="C369" s="2">
        <f t="shared" ca="1" si="1"/>
        <v>1.8743109151047401E-2</v>
      </c>
    </row>
    <row r="370" spans="1:3">
      <c r="A370" s="3">
        <f ca="1">IFERROR(__xludf.UNSUPPORTED("""COMPUTED_VALUE"""),44000.6666666666)</f>
        <v>44000.666666666599</v>
      </c>
      <c r="B370" s="1">
        <f ca="1">IFERROR(__xludf.UNSUPPORTED("""COMPUTED_VALUE"""),9.22)</f>
        <v>9.2200000000000006</v>
      </c>
      <c r="C370" s="2">
        <f t="shared" ca="1" si="1"/>
        <v>-2.1645021645021181E-3</v>
      </c>
    </row>
    <row r="371" spans="1:3">
      <c r="A371" s="3">
        <f ca="1">IFERROR(__xludf.UNSUPPORTED("""COMPUTED_VALUE"""),44001.6666666666)</f>
        <v>44001.666666666599</v>
      </c>
      <c r="B371" s="1">
        <f ca="1">IFERROR(__xludf.UNSUPPORTED("""COMPUTED_VALUE"""),9.26)</f>
        <v>9.26</v>
      </c>
      <c r="C371" s="2">
        <f t="shared" ca="1" si="1"/>
        <v>4.3383947939261546E-3</v>
      </c>
    </row>
    <row r="372" spans="1:3">
      <c r="A372" s="3">
        <f ca="1">IFERROR(__xludf.UNSUPPORTED("""COMPUTED_VALUE"""),44004.6666666666)</f>
        <v>44004.666666666599</v>
      </c>
      <c r="B372" s="1">
        <f ca="1">IFERROR(__xludf.UNSUPPORTED("""COMPUTED_VALUE"""),9.53)</f>
        <v>9.5299999999999994</v>
      </c>
      <c r="C372" s="2">
        <f t="shared" ca="1" si="1"/>
        <v>2.9157667386609024E-2</v>
      </c>
    </row>
    <row r="373" spans="1:3">
      <c r="A373" s="3">
        <f ca="1">IFERROR(__xludf.UNSUPPORTED("""COMPUTED_VALUE"""),44005.6666666666)</f>
        <v>44005.666666666599</v>
      </c>
      <c r="B373" s="1">
        <f ca="1">IFERROR(__xludf.UNSUPPORTED("""COMPUTED_VALUE"""),9.45)</f>
        <v>9.4499999999999993</v>
      </c>
      <c r="C373" s="2">
        <f t="shared" ca="1" si="1"/>
        <v>-8.3945435466946557E-3</v>
      </c>
    </row>
    <row r="374" spans="1:3">
      <c r="A374" s="3">
        <f ca="1">IFERROR(__xludf.UNSUPPORTED("""COMPUTED_VALUE"""),44006.6666666666)</f>
        <v>44006.666666666599</v>
      </c>
      <c r="B374" s="1">
        <f ca="1">IFERROR(__xludf.UNSUPPORTED("""COMPUTED_VALUE"""),9.24)</f>
        <v>9.24</v>
      </c>
      <c r="C374" s="2">
        <f t="shared" ca="1" si="1"/>
        <v>-2.2222222222222126E-2</v>
      </c>
    </row>
    <row r="375" spans="1:3">
      <c r="A375" s="3">
        <f ca="1">IFERROR(__xludf.UNSUPPORTED("""COMPUTED_VALUE"""),44007.6666666666)</f>
        <v>44007.666666666599</v>
      </c>
      <c r="B375" s="1">
        <f ca="1">IFERROR(__xludf.UNSUPPORTED("""COMPUTED_VALUE"""),9.49)</f>
        <v>9.49</v>
      </c>
      <c r="C375" s="2">
        <f t="shared" ca="1" si="1"/>
        <v>2.7056277056277056E-2</v>
      </c>
    </row>
    <row r="376" spans="1:3">
      <c r="A376" s="3">
        <f ca="1">IFERROR(__xludf.UNSUPPORTED("""COMPUTED_VALUE"""),44008.6666666666)</f>
        <v>44008.666666666599</v>
      </c>
      <c r="B376" s="1">
        <f ca="1">IFERROR(__xludf.UNSUPPORTED("""COMPUTED_VALUE"""),9.15)</f>
        <v>9.15</v>
      </c>
      <c r="C376" s="2">
        <f t="shared" ca="1" si="1"/>
        <v>-3.5827186512118005E-2</v>
      </c>
    </row>
    <row r="377" spans="1:3">
      <c r="A377" s="3">
        <f ca="1">IFERROR(__xludf.UNSUPPORTED("""COMPUTED_VALUE"""),44011.6666666666)</f>
        <v>44011.666666666599</v>
      </c>
      <c r="B377" s="1">
        <f ca="1">IFERROR(__xludf.UNSUPPORTED("""COMPUTED_VALUE"""),9.2)</f>
        <v>9.1999999999999993</v>
      </c>
      <c r="C377" s="2">
        <f t="shared" ca="1" si="1"/>
        <v>5.4644808743168228E-3</v>
      </c>
    </row>
    <row r="378" spans="1:3">
      <c r="A378" s="3">
        <f ca="1">IFERROR(__xludf.UNSUPPORTED("""COMPUTED_VALUE"""),44012.6666666666)</f>
        <v>44012.666666666599</v>
      </c>
      <c r="B378" s="1">
        <f ca="1">IFERROR(__xludf.UNSUPPORTED("""COMPUTED_VALUE"""),9.5)</f>
        <v>9.5</v>
      </c>
      <c r="C378" s="2">
        <f t="shared" ca="1" si="1"/>
        <v>3.2608695652173995E-2</v>
      </c>
    </row>
    <row r="379" spans="1:3">
      <c r="A379" s="3">
        <f ca="1">IFERROR(__xludf.UNSUPPORTED("""COMPUTED_VALUE"""),44013.6666666666)</f>
        <v>44013.666666666599</v>
      </c>
      <c r="B379" s="1">
        <f ca="1">IFERROR(__xludf.UNSUPPORTED("""COMPUTED_VALUE"""),9.53)</f>
        <v>9.5299999999999994</v>
      </c>
      <c r="C379" s="2">
        <f t="shared" ca="1" si="1"/>
        <v>3.157894736842038E-3</v>
      </c>
    </row>
    <row r="380" spans="1:3">
      <c r="A380" s="3">
        <f ca="1">IFERROR(__xludf.UNSUPPORTED("""COMPUTED_VALUE"""),44014.6666666666)</f>
        <v>44014.666666666599</v>
      </c>
      <c r="B380" s="1">
        <f ca="1">IFERROR(__xludf.UNSUPPORTED("""COMPUTED_VALUE"""),9.61)</f>
        <v>9.61</v>
      </c>
      <c r="C380" s="2">
        <f t="shared" ca="1" si="1"/>
        <v>8.3945435466946557E-3</v>
      </c>
    </row>
    <row r="381" spans="1:3">
      <c r="A381" s="3">
        <f ca="1">IFERROR(__xludf.UNSUPPORTED("""COMPUTED_VALUE"""),44018.6666666666)</f>
        <v>44018.666666666599</v>
      </c>
      <c r="B381" s="1">
        <f ca="1">IFERROR(__xludf.UNSUPPORTED("""COMPUTED_VALUE"""),9.84)</f>
        <v>9.84</v>
      </c>
      <c r="C381" s="2">
        <f t="shared" ca="1" si="1"/>
        <v>2.3933402705515135E-2</v>
      </c>
    </row>
    <row r="382" spans="1:3">
      <c r="A382" s="3">
        <f ca="1">IFERROR(__xludf.UNSUPPORTED("""COMPUTED_VALUE"""),44019.6666666666)</f>
        <v>44019.666666666599</v>
      </c>
      <c r="B382" s="1">
        <f ca="1">IFERROR(__xludf.UNSUPPORTED("""COMPUTED_VALUE"""),9.87)</f>
        <v>9.8699999999999992</v>
      </c>
      <c r="C382" s="2">
        <f t="shared" ca="1" si="1"/>
        <v>3.0487804878048131E-3</v>
      </c>
    </row>
    <row r="383" spans="1:3">
      <c r="A383" s="3">
        <f ca="1">IFERROR(__xludf.UNSUPPORTED("""COMPUTED_VALUE"""),44020.6666666666)</f>
        <v>44020.666666666599</v>
      </c>
      <c r="B383" s="1">
        <f ca="1">IFERROR(__xludf.UNSUPPORTED("""COMPUTED_VALUE"""),10.22)</f>
        <v>10.220000000000001</v>
      </c>
      <c r="C383" s="2">
        <f t="shared" ca="1" si="1"/>
        <v>3.5460992907801567E-2</v>
      </c>
    </row>
    <row r="384" spans="1:3">
      <c r="A384" s="3">
        <f ca="1">IFERROR(__xludf.UNSUPPORTED("""COMPUTED_VALUE"""),44021.6666666666)</f>
        <v>44021.666666666599</v>
      </c>
      <c r="B384" s="1">
        <f ca="1">IFERROR(__xludf.UNSUPPORTED("""COMPUTED_VALUE"""),10.51)</f>
        <v>10.51</v>
      </c>
      <c r="C384" s="2">
        <f t="shared" ca="1" si="1"/>
        <v>2.8375733855185825E-2</v>
      </c>
    </row>
    <row r="385" spans="1:3">
      <c r="A385" s="3">
        <f ca="1">IFERROR(__xludf.UNSUPPORTED("""COMPUTED_VALUE"""),44022.6666666666)</f>
        <v>44022.666666666599</v>
      </c>
      <c r="B385" s="1">
        <f ca="1">IFERROR(__xludf.UNSUPPORTED("""COMPUTED_VALUE"""),10.48)</f>
        <v>10.48</v>
      </c>
      <c r="C385" s="2">
        <f t="shared" ca="1" si="1"/>
        <v>-2.8544243577544588E-3</v>
      </c>
    </row>
    <row r="386" spans="1:3">
      <c r="A386" s="3">
        <f ca="1">IFERROR(__xludf.UNSUPPORTED("""COMPUTED_VALUE"""),44025.6666666666)</f>
        <v>44025.666666666599</v>
      </c>
      <c r="B386" s="1">
        <f ca="1">IFERROR(__xludf.UNSUPPORTED("""COMPUTED_VALUE"""),10.05)</f>
        <v>10.050000000000001</v>
      </c>
      <c r="C386" s="2">
        <f t="shared" ca="1" si="1"/>
        <v>-4.1030534351145009E-2</v>
      </c>
    </row>
    <row r="387" spans="1:3">
      <c r="A387" s="3">
        <f ca="1">IFERROR(__xludf.UNSUPPORTED("""COMPUTED_VALUE"""),44026.6666666666)</f>
        <v>44026.666666666599</v>
      </c>
      <c r="B387" s="1">
        <f ca="1">IFERROR(__xludf.UNSUPPORTED("""COMPUTED_VALUE"""),10.38)</f>
        <v>10.38</v>
      </c>
      <c r="C387" s="2">
        <f t="shared" ca="1" si="1"/>
        <v>3.2835820895522394E-2</v>
      </c>
    </row>
    <row r="388" spans="1:3">
      <c r="A388" s="3">
        <f ca="1">IFERROR(__xludf.UNSUPPORTED("""COMPUTED_VALUE"""),44027.6666666666)</f>
        <v>44027.666666666599</v>
      </c>
      <c r="B388" s="1">
        <f ca="1">IFERROR(__xludf.UNSUPPORTED("""COMPUTED_VALUE"""),10.23)</f>
        <v>10.23</v>
      </c>
      <c r="C388" s="2">
        <f t="shared" ca="1" si="1"/>
        <v>-1.4450867052023154E-2</v>
      </c>
    </row>
    <row r="389" spans="1:3">
      <c r="A389" s="3">
        <f ca="1">IFERROR(__xludf.UNSUPPORTED("""COMPUTED_VALUE"""),44028.6666666666)</f>
        <v>44028.666666666599</v>
      </c>
      <c r="B389" s="1">
        <f ca="1">IFERROR(__xludf.UNSUPPORTED("""COMPUTED_VALUE"""),10.13)</f>
        <v>10.130000000000001</v>
      </c>
      <c r="C389" s="2">
        <f t="shared" ca="1" si="1"/>
        <v>-9.7751710654936114E-3</v>
      </c>
    </row>
    <row r="390" spans="1:3">
      <c r="A390" s="3">
        <f ca="1">IFERROR(__xludf.UNSUPPORTED("""COMPUTED_VALUE"""),44029.6666666666)</f>
        <v>44029.666666666599</v>
      </c>
      <c r="B390" s="1">
        <f ca="1">IFERROR(__xludf.UNSUPPORTED("""COMPUTED_VALUE"""),10.2)</f>
        <v>10.199999999999999</v>
      </c>
      <c r="C390" s="2">
        <f t="shared" ca="1" si="1"/>
        <v>6.9101678183611549E-3</v>
      </c>
    </row>
    <row r="391" spans="1:3">
      <c r="A391" s="3">
        <f ca="1">IFERROR(__xludf.UNSUPPORTED("""COMPUTED_VALUE"""),44032.6666666666)</f>
        <v>44032.666666666599</v>
      </c>
      <c r="B391" s="1">
        <f ca="1">IFERROR(__xludf.UNSUPPORTED("""COMPUTED_VALUE"""),10.51)</f>
        <v>10.51</v>
      </c>
      <c r="C391" s="2">
        <f t="shared" ca="1" si="1"/>
        <v>3.039215686274515E-2</v>
      </c>
    </row>
    <row r="392" spans="1:3">
      <c r="A392" s="3">
        <f ca="1">IFERROR(__xludf.UNSUPPORTED("""COMPUTED_VALUE"""),44033.6666666666)</f>
        <v>44033.666666666599</v>
      </c>
      <c r="B392" s="1">
        <f ca="1">IFERROR(__xludf.UNSUPPORTED("""COMPUTED_VALUE"""),10.33)</f>
        <v>10.33</v>
      </c>
      <c r="C392" s="2">
        <f t="shared" ca="1" si="1"/>
        <v>-1.7126546146527092E-2</v>
      </c>
    </row>
    <row r="393" spans="1:3">
      <c r="A393" s="3">
        <f ca="1">IFERROR(__xludf.UNSUPPORTED("""COMPUTED_VALUE"""),44034.6666666666)</f>
        <v>44034.666666666599</v>
      </c>
      <c r="B393" s="1">
        <f ca="1">IFERROR(__xludf.UNSUPPORTED("""COMPUTED_VALUE"""),10.44)</f>
        <v>10.44</v>
      </c>
      <c r="C393" s="2">
        <f t="shared" ca="1" si="1"/>
        <v>1.0648596321393942E-2</v>
      </c>
    </row>
    <row r="394" spans="1:3">
      <c r="A394" s="3">
        <f ca="1">IFERROR(__xludf.UNSUPPORTED("""COMPUTED_VALUE"""),44035.6666666666)</f>
        <v>44035.666666666599</v>
      </c>
      <c r="B394" s="1">
        <f ca="1">IFERROR(__xludf.UNSUPPORTED("""COMPUTED_VALUE"""),10.13)</f>
        <v>10.130000000000001</v>
      </c>
      <c r="C394" s="2">
        <f t="shared" ca="1" si="1"/>
        <v>-2.9693486590038193E-2</v>
      </c>
    </row>
    <row r="395" spans="1:3">
      <c r="A395" s="3">
        <f ca="1">IFERROR(__xludf.UNSUPPORTED("""COMPUTED_VALUE"""),44036.6666666666)</f>
        <v>44036.666666666599</v>
      </c>
      <c r="B395" s="1">
        <f ca="1">IFERROR(__xludf.UNSUPPORTED("""COMPUTED_VALUE"""),10.19)</f>
        <v>10.19</v>
      </c>
      <c r="C395" s="2">
        <f t="shared" ca="1" si="1"/>
        <v>5.9230009871667046E-3</v>
      </c>
    </row>
    <row r="396" spans="1:3">
      <c r="A396" s="3">
        <f ca="1">IFERROR(__xludf.UNSUPPORTED("""COMPUTED_VALUE"""),44039.6666666666)</f>
        <v>44039.666666666599</v>
      </c>
      <c r="B396" s="1">
        <f ca="1">IFERROR(__xludf.UNSUPPORTED("""COMPUTED_VALUE"""),10.42)</f>
        <v>10.42</v>
      </c>
      <c r="C396" s="2">
        <f t="shared" ca="1" si="1"/>
        <v>2.2571148184494644E-2</v>
      </c>
    </row>
    <row r="397" spans="1:3">
      <c r="A397" s="3">
        <f ca="1">IFERROR(__xludf.UNSUPPORTED("""COMPUTED_VALUE"""),44040.6666666666)</f>
        <v>44040.666666666599</v>
      </c>
      <c r="B397" s="1">
        <f ca="1">IFERROR(__xludf.UNSUPPORTED("""COMPUTED_VALUE"""),10.22)</f>
        <v>10.220000000000001</v>
      </c>
      <c r="C397" s="2">
        <f t="shared" ca="1" si="1"/>
        <v>-1.9193857965450988E-2</v>
      </c>
    </row>
    <row r="398" spans="1:3">
      <c r="A398" s="3">
        <f ca="1">IFERROR(__xludf.UNSUPPORTED("""COMPUTED_VALUE"""),44041.6666666666)</f>
        <v>44041.666666666599</v>
      </c>
      <c r="B398" s="1">
        <f ca="1">IFERROR(__xludf.UNSUPPORTED("""COMPUTED_VALUE"""),10.47)</f>
        <v>10.47</v>
      </c>
      <c r="C398" s="2">
        <f t="shared" ca="1" si="1"/>
        <v>2.446183953033268E-2</v>
      </c>
    </row>
    <row r="399" spans="1:3">
      <c r="A399" s="3">
        <f ca="1">IFERROR(__xludf.UNSUPPORTED("""COMPUTED_VALUE"""),44042.6666666666)</f>
        <v>44042.666666666599</v>
      </c>
      <c r="B399" s="1">
        <f ca="1">IFERROR(__xludf.UNSUPPORTED("""COMPUTED_VALUE"""),10.61)</f>
        <v>10.61</v>
      </c>
      <c r="C399" s="2">
        <f t="shared" ca="1" si="1"/>
        <v>1.3371537726838471E-2</v>
      </c>
    </row>
    <row r="400" spans="1:3">
      <c r="A400" s="3">
        <f ca="1">IFERROR(__xludf.UNSUPPORTED("""COMPUTED_VALUE"""),44043.6666666666)</f>
        <v>44043.666666666599</v>
      </c>
      <c r="B400" s="1">
        <f ca="1">IFERROR(__xludf.UNSUPPORTED("""COMPUTED_VALUE"""),10.61)</f>
        <v>10.61</v>
      </c>
      <c r="C400" s="2">
        <f t="shared" ca="1" si="1"/>
        <v>0</v>
      </c>
    </row>
    <row r="401" spans="1:3">
      <c r="A401" s="3">
        <f ca="1">IFERROR(__xludf.UNSUPPORTED("""COMPUTED_VALUE"""),44046.6666666666)</f>
        <v>44046.666666666599</v>
      </c>
      <c r="B401" s="1">
        <f ca="1">IFERROR(__xludf.UNSUPPORTED("""COMPUTED_VALUE"""),11.01)</f>
        <v>11.01</v>
      </c>
      <c r="C401" s="2">
        <f t="shared" ca="1" si="1"/>
        <v>3.770028275212068E-2</v>
      </c>
    </row>
    <row r="402" spans="1:3">
      <c r="A402" s="3">
        <f ca="1">IFERROR(__xludf.UNSUPPORTED("""COMPUTED_VALUE"""),44047.6666666666)</f>
        <v>44047.666666666599</v>
      </c>
      <c r="B402" s="1">
        <f ca="1">IFERROR(__xludf.UNSUPPORTED("""COMPUTED_VALUE"""),11.23)</f>
        <v>11.23</v>
      </c>
      <c r="C402" s="2">
        <f t="shared" ca="1" si="1"/>
        <v>1.9981834695731213E-2</v>
      </c>
    </row>
    <row r="403" spans="1:3">
      <c r="A403" s="3">
        <f ca="1">IFERROR(__xludf.UNSUPPORTED("""COMPUTED_VALUE"""),44048.6666666666)</f>
        <v>44048.666666666599</v>
      </c>
      <c r="B403" s="1">
        <f ca="1">IFERROR(__xludf.UNSUPPORTED("""COMPUTED_VALUE"""),11.29)</f>
        <v>11.29</v>
      </c>
      <c r="C403" s="2">
        <f t="shared" ca="1" si="1"/>
        <v>5.3428317008013104E-3</v>
      </c>
    </row>
    <row r="404" spans="1:3">
      <c r="A404" s="3">
        <f ca="1">IFERROR(__xludf.UNSUPPORTED("""COMPUTED_VALUE"""),44049.6666666666)</f>
        <v>44049.666666666599</v>
      </c>
      <c r="B404" s="1">
        <f ca="1">IFERROR(__xludf.UNSUPPORTED("""COMPUTED_VALUE"""),11.34)</f>
        <v>11.34</v>
      </c>
      <c r="C404" s="2">
        <f t="shared" ca="1" si="1"/>
        <v>4.4286979627990008E-3</v>
      </c>
    </row>
    <row r="405" spans="1:3">
      <c r="A405" s="3">
        <f ca="1">IFERROR(__xludf.UNSUPPORTED("""COMPUTED_VALUE"""),44050.6666666666)</f>
        <v>44050.666666666599</v>
      </c>
      <c r="B405" s="1">
        <f ca="1">IFERROR(__xludf.UNSUPPORTED("""COMPUTED_VALUE"""),11.2)</f>
        <v>11.2</v>
      </c>
      <c r="C405" s="2">
        <f t="shared" ca="1" si="1"/>
        <v>-1.2345679012345729E-2</v>
      </c>
    </row>
    <row r="406" spans="1:3">
      <c r="A406" s="3">
        <f ca="1">IFERROR(__xludf.UNSUPPORTED("""COMPUTED_VALUE"""),44053.6666666666)</f>
        <v>44053.666666666599</v>
      </c>
      <c r="B406" s="1">
        <f ca="1">IFERROR(__xludf.UNSUPPORTED("""COMPUTED_VALUE"""),11.17)</f>
        <v>11.17</v>
      </c>
      <c r="C406" s="2">
        <f t="shared" ca="1" si="1"/>
        <v>-2.6785714285713718E-3</v>
      </c>
    </row>
    <row r="407" spans="1:3">
      <c r="A407" s="3">
        <f ca="1">IFERROR(__xludf.UNSUPPORTED("""COMPUTED_VALUE"""),44054.6666666666)</f>
        <v>44054.666666666599</v>
      </c>
      <c r="B407" s="1">
        <f ca="1">IFERROR(__xludf.UNSUPPORTED("""COMPUTED_VALUE"""),10.85)</f>
        <v>10.85</v>
      </c>
      <c r="C407" s="2">
        <f t="shared" ca="1" si="1"/>
        <v>-2.8648164726947204E-2</v>
      </c>
    </row>
    <row r="408" spans="1:3">
      <c r="A408" s="3">
        <f ca="1">IFERROR(__xludf.UNSUPPORTED("""COMPUTED_VALUE"""),44055.6666666666)</f>
        <v>44055.666666666599</v>
      </c>
      <c r="B408" s="1">
        <f ca="1">IFERROR(__xludf.UNSUPPORTED("""COMPUTED_VALUE"""),11.44)</f>
        <v>11.44</v>
      </c>
      <c r="C408" s="2">
        <f t="shared" ca="1" si="1"/>
        <v>5.4377880184331789E-2</v>
      </c>
    </row>
    <row r="409" spans="1:3">
      <c r="A409" s="3">
        <f ca="1">IFERROR(__xludf.UNSUPPORTED("""COMPUTED_VALUE"""),44056.6666666666)</f>
        <v>44056.666666666599</v>
      </c>
      <c r="B409" s="1">
        <f ca="1">IFERROR(__xludf.UNSUPPORTED("""COMPUTED_VALUE"""),11.44)</f>
        <v>11.44</v>
      </c>
      <c r="C409" s="2">
        <f t="shared" ca="1" si="1"/>
        <v>0</v>
      </c>
    </row>
    <row r="410" spans="1:3">
      <c r="A410" s="3">
        <f ca="1">IFERROR(__xludf.UNSUPPORTED("""COMPUTED_VALUE"""),44057.6666666666)</f>
        <v>44057.666666666599</v>
      </c>
      <c r="B410" s="1">
        <f ca="1">IFERROR(__xludf.UNSUPPORTED("""COMPUTED_VALUE"""),11.56)</f>
        <v>11.56</v>
      </c>
      <c r="C410" s="2">
        <f t="shared" ca="1" si="1"/>
        <v>1.0489510489510577E-2</v>
      </c>
    </row>
    <row r="411" spans="1:3">
      <c r="A411" s="3">
        <f ca="1">IFERROR(__xludf.UNSUPPORTED("""COMPUTED_VALUE"""),44060.6666666666)</f>
        <v>44060.666666666599</v>
      </c>
      <c r="B411" s="1">
        <f ca="1">IFERROR(__xludf.UNSUPPORTED("""COMPUTED_VALUE"""),12.34)</f>
        <v>12.34</v>
      </c>
      <c r="C411" s="2">
        <f t="shared" ca="1" si="1"/>
        <v>6.7474048442906512E-2</v>
      </c>
    </row>
    <row r="412" spans="1:3">
      <c r="A412" s="3">
        <f ca="1">IFERROR(__xludf.UNSUPPORTED("""COMPUTED_VALUE"""),44061.6666666666)</f>
        <v>44061.666666666599</v>
      </c>
      <c r="B412" s="1">
        <f ca="1">IFERROR(__xludf.UNSUPPORTED("""COMPUTED_VALUE"""),12.26)</f>
        <v>12.26</v>
      </c>
      <c r="C412" s="2">
        <f t="shared" ca="1" si="1"/>
        <v>-6.4829821717990333E-3</v>
      </c>
    </row>
    <row r="413" spans="1:3">
      <c r="A413" s="3">
        <f ca="1">IFERROR(__xludf.UNSUPPORTED("""COMPUTED_VALUE"""),44062.6666666666)</f>
        <v>44062.666666666599</v>
      </c>
      <c r="B413" s="1">
        <f ca="1">IFERROR(__xludf.UNSUPPORTED("""COMPUTED_VALUE"""),12.14)</f>
        <v>12.14</v>
      </c>
      <c r="C413" s="2">
        <f t="shared" ca="1" si="1"/>
        <v>-9.7879282218596431E-3</v>
      </c>
    </row>
    <row r="414" spans="1:3">
      <c r="A414" s="3">
        <f ca="1">IFERROR(__xludf.UNSUPPORTED("""COMPUTED_VALUE"""),44063.6666666666)</f>
        <v>44063.666666666599</v>
      </c>
      <c r="B414" s="1">
        <f ca="1">IFERROR(__xludf.UNSUPPORTED("""COMPUTED_VALUE"""),12.14)</f>
        <v>12.14</v>
      </c>
      <c r="C414" s="2">
        <f t="shared" ca="1" si="1"/>
        <v>0</v>
      </c>
    </row>
    <row r="415" spans="1:3">
      <c r="A415" s="3">
        <f ca="1">IFERROR(__xludf.UNSUPPORTED("""COMPUTED_VALUE"""),44064.6666666666)</f>
        <v>44064.666666666599</v>
      </c>
      <c r="B415" s="1">
        <f ca="1">IFERROR(__xludf.UNSUPPORTED("""COMPUTED_VALUE"""),12.68)</f>
        <v>12.68</v>
      </c>
      <c r="C415" s="2">
        <f t="shared" ca="1" si="1"/>
        <v>4.448105436573304E-2</v>
      </c>
    </row>
    <row r="416" spans="1:3">
      <c r="A416" s="3">
        <f ca="1">IFERROR(__xludf.UNSUPPORTED("""COMPUTED_VALUE"""),44067.6666666666)</f>
        <v>44067.666666666599</v>
      </c>
      <c r="B416" s="1">
        <f ca="1">IFERROR(__xludf.UNSUPPORTED("""COMPUTED_VALUE"""),12.72)</f>
        <v>12.72</v>
      </c>
      <c r="C416" s="2">
        <f t="shared" ca="1" si="1"/>
        <v>3.1545741324921863E-3</v>
      </c>
    </row>
    <row r="417" spans="1:3">
      <c r="A417" s="3">
        <f ca="1">IFERROR(__xludf.UNSUPPORTED("""COMPUTED_VALUE"""),44068.6666666666)</f>
        <v>44068.666666666599</v>
      </c>
      <c r="B417" s="1">
        <f ca="1">IFERROR(__xludf.UNSUPPORTED("""COMPUTED_VALUE"""),12.75)</f>
        <v>12.75</v>
      </c>
      <c r="C417" s="2">
        <f t="shared" ca="1" si="1"/>
        <v>2.3584905660376855E-3</v>
      </c>
    </row>
    <row r="418" spans="1:3">
      <c r="A418" s="3">
        <f ca="1">IFERROR(__xludf.UNSUPPORTED("""COMPUTED_VALUE"""),44069.6666666666)</f>
        <v>44069.666666666599</v>
      </c>
      <c r="B418" s="1">
        <f ca="1">IFERROR(__xludf.UNSUPPORTED("""COMPUTED_VALUE"""),12.77)</f>
        <v>12.77</v>
      </c>
      <c r="C418" s="2">
        <f t="shared" ca="1" si="1"/>
        <v>1.5686274509803587E-3</v>
      </c>
    </row>
    <row r="419" spans="1:3">
      <c r="A419" s="3">
        <f ca="1">IFERROR(__xludf.UNSUPPORTED("""COMPUTED_VALUE"""),44070.6666666666)</f>
        <v>44070.666666666599</v>
      </c>
      <c r="B419" s="1">
        <f ca="1">IFERROR(__xludf.UNSUPPORTED("""COMPUTED_VALUE"""),12.63)</f>
        <v>12.63</v>
      </c>
      <c r="C419" s="2">
        <f t="shared" ca="1" si="1"/>
        <v>-1.0963194988253626E-2</v>
      </c>
    </row>
    <row r="420" spans="1:3">
      <c r="A420" s="3">
        <f ca="1">IFERROR(__xludf.UNSUPPORTED("""COMPUTED_VALUE"""),44071.6666666666)</f>
        <v>44071.666666666599</v>
      </c>
      <c r="B420" s="1">
        <f ca="1">IFERROR(__xludf.UNSUPPORTED("""COMPUTED_VALUE"""),13.15)</f>
        <v>13.15</v>
      </c>
      <c r="C420" s="2">
        <f t="shared" ca="1" si="1"/>
        <v>4.1171813143309546E-2</v>
      </c>
    </row>
    <row r="421" spans="1:3">
      <c r="A421" s="3">
        <f ca="1">IFERROR(__xludf.UNSUPPORTED("""COMPUTED_VALUE"""),44074.6666666666)</f>
        <v>44074.666666666599</v>
      </c>
      <c r="B421" s="1">
        <f ca="1">IFERROR(__xludf.UNSUPPORTED("""COMPUTED_VALUE"""),13.37)</f>
        <v>13.37</v>
      </c>
      <c r="C421" s="2">
        <f t="shared" ca="1" si="1"/>
        <v>1.6730038022813601E-2</v>
      </c>
    </row>
    <row r="422" spans="1:3">
      <c r="A422" s="3">
        <f ca="1">IFERROR(__xludf.UNSUPPORTED("""COMPUTED_VALUE"""),44075.6666666666)</f>
        <v>44075.666666666599</v>
      </c>
      <c r="B422" s="1">
        <f ca="1">IFERROR(__xludf.UNSUPPORTED("""COMPUTED_VALUE"""),13.82)</f>
        <v>13.82</v>
      </c>
      <c r="C422" s="2">
        <f t="shared" ca="1" si="1"/>
        <v>3.3657442034405467E-2</v>
      </c>
    </row>
    <row r="423" spans="1:3">
      <c r="A423" s="3">
        <f ca="1">IFERROR(__xludf.UNSUPPORTED("""COMPUTED_VALUE"""),44076.6666666666)</f>
        <v>44076.666666666599</v>
      </c>
      <c r="B423" s="1">
        <f ca="1">IFERROR(__xludf.UNSUPPORTED("""COMPUTED_VALUE"""),14.35)</f>
        <v>14.35</v>
      </c>
      <c r="C423" s="2">
        <f t="shared" ca="1" si="1"/>
        <v>3.8350217076700388E-2</v>
      </c>
    </row>
    <row r="424" spans="1:3">
      <c r="A424" s="3">
        <f ca="1">IFERROR(__xludf.UNSUPPORTED("""COMPUTED_VALUE"""),44077.6666666666)</f>
        <v>44077.666666666599</v>
      </c>
      <c r="B424" s="1">
        <f ca="1">IFERROR(__xludf.UNSUPPORTED("""COMPUTED_VALUE"""),13.02)</f>
        <v>13.02</v>
      </c>
      <c r="C424" s="2">
        <f t="shared" ca="1" si="1"/>
        <v>-9.2682926829268306E-2</v>
      </c>
    </row>
    <row r="425" spans="1:3">
      <c r="A425" s="3">
        <f ca="1">IFERROR(__xludf.UNSUPPORTED("""COMPUTED_VALUE"""),44078.6666666666)</f>
        <v>44078.666666666599</v>
      </c>
      <c r="B425" s="1">
        <f ca="1">IFERROR(__xludf.UNSUPPORTED("""COMPUTED_VALUE"""),12.62)</f>
        <v>12.62</v>
      </c>
      <c r="C425" s="2">
        <f t="shared" ca="1" si="1"/>
        <v>-3.0721966205837201E-2</v>
      </c>
    </row>
    <row r="426" spans="1:3">
      <c r="A426" s="3">
        <f ca="1">IFERROR(__xludf.UNSUPPORTED("""COMPUTED_VALUE"""),44082.6666666666)</f>
        <v>44082.666666666599</v>
      </c>
      <c r="B426" s="1">
        <f ca="1">IFERROR(__xludf.UNSUPPORTED("""COMPUTED_VALUE"""),11.91)</f>
        <v>11.91</v>
      </c>
      <c r="C426" s="2">
        <f t="shared" ca="1" si="1"/>
        <v>-5.6259904912836695E-2</v>
      </c>
    </row>
    <row r="427" spans="1:3">
      <c r="A427" s="3">
        <f ca="1">IFERROR(__xludf.UNSUPPORTED("""COMPUTED_VALUE"""),44083.6666666666)</f>
        <v>44083.666666666599</v>
      </c>
      <c r="B427" s="1">
        <f ca="1">IFERROR(__xludf.UNSUPPORTED("""COMPUTED_VALUE"""),12.72)</f>
        <v>12.72</v>
      </c>
      <c r="C427" s="2">
        <f t="shared" ca="1" si="1"/>
        <v>6.8010075566750677E-2</v>
      </c>
    </row>
    <row r="428" spans="1:3">
      <c r="A428" s="3">
        <f ca="1">IFERROR(__xludf.UNSUPPORTED("""COMPUTED_VALUE"""),44084.6666666666)</f>
        <v>44084.666666666599</v>
      </c>
      <c r="B428" s="1">
        <f ca="1">IFERROR(__xludf.UNSUPPORTED("""COMPUTED_VALUE"""),12.31)</f>
        <v>12.31</v>
      </c>
      <c r="C428" s="2">
        <f t="shared" ca="1" si="1"/>
        <v>-3.223270440251573E-2</v>
      </c>
    </row>
    <row r="429" spans="1:3">
      <c r="A429" s="3">
        <f ca="1">IFERROR(__xludf.UNSUPPORTED("""COMPUTED_VALUE"""),44085.6666666666)</f>
        <v>44085.666666666599</v>
      </c>
      <c r="B429" s="1">
        <f ca="1">IFERROR(__xludf.UNSUPPORTED("""COMPUTED_VALUE"""),12.16)</f>
        <v>12.16</v>
      </c>
      <c r="C429" s="2">
        <f t="shared" ca="1" si="1"/>
        <v>-1.2185215272136504E-2</v>
      </c>
    </row>
    <row r="430" spans="1:3">
      <c r="A430" s="3">
        <f ca="1">IFERROR(__xludf.UNSUPPORTED("""COMPUTED_VALUE"""),44088.6666666666)</f>
        <v>44088.666666666599</v>
      </c>
      <c r="B430" s="1">
        <f ca="1">IFERROR(__xludf.UNSUPPORTED("""COMPUTED_VALUE"""),12.87)</f>
        <v>12.87</v>
      </c>
      <c r="C430" s="2">
        <f t="shared" ca="1" si="1"/>
        <v>5.8388157894736767E-2</v>
      </c>
    </row>
    <row r="431" spans="1:3">
      <c r="A431" s="3">
        <f ca="1">IFERROR(__xludf.UNSUPPORTED("""COMPUTED_VALUE"""),44089.6666666666)</f>
        <v>44089.666666666599</v>
      </c>
      <c r="B431" s="1">
        <f ca="1">IFERROR(__xludf.UNSUPPORTED("""COMPUTED_VALUE"""),12.99)</f>
        <v>12.99</v>
      </c>
      <c r="C431" s="2">
        <f t="shared" ca="1" si="1"/>
        <v>9.3240093240094021E-3</v>
      </c>
    </row>
    <row r="432" spans="1:3">
      <c r="A432" s="3">
        <f ca="1">IFERROR(__xludf.UNSUPPORTED("""COMPUTED_VALUE"""),44090.6666666666)</f>
        <v>44090.666666666599</v>
      </c>
      <c r="B432" s="1">
        <f ca="1">IFERROR(__xludf.UNSUPPORTED("""COMPUTED_VALUE"""),12.51)</f>
        <v>12.51</v>
      </c>
      <c r="C432" s="2">
        <f t="shared" ca="1" si="1"/>
        <v>-3.6951501154734445E-2</v>
      </c>
    </row>
    <row r="433" spans="1:3">
      <c r="A433" s="3">
        <f ca="1">IFERROR(__xludf.UNSUPPORTED("""COMPUTED_VALUE"""),44091.6666666666)</f>
        <v>44091.666666666599</v>
      </c>
      <c r="B433" s="1">
        <f ca="1">IFERROR(__xludf.UNSUPPORTED("""COMPUTED_VALUE"""),12.46)</f>
        <v>12.46</v>
      </c>
      <c r="C433" s="2">
        <f t="shared" ca="1" si="1"/>
        <v>-3.9968025579535521E-3</v>
      </c>
    </row>
    <row r="434" spans="1:3">
      <c r="A434" s="3">
        <f ca="1">IFERROR(__xludf.UNSUPPORTED("""COMPUTED_VALUE"""),44092.6666666666)</f>
        <v>44092.666666666599</v>
      </c>
      <c r="B434" s="1">
        <f ca="1">IFERROR(__xludf.UNSUPPORTED("""COMPUTED_VALUE"""),12.19)</f>
        <v>12.19</v>
      </c>
      <c r="C434" s="2">
        <f t="shared" ca="1" si="1"/>
        <v>-2.1669341894061101E-2</v>
      </c>
    </row>
    <row r="435" spans="1:3">
      <c r="A435" s="3">
        <f ca="1">IFERROR(__xludf.UNSUPPORTED("""COMPUTED_VALUE"""),44095.6666666666)</f>
        <v>44095.666666666599</v>
      </c>
      <c r="B435" s="1">
        <f ca="1">IFERROR(__xludf.UNSUPPORTED("""COMPUTED_VALUE"""),12.52)</f>
        <v>12.52</v>
      </c>
      <c r="C435" s="2">
        <f t="shared" ca="1" si="1"/>
        <v>2.707136997538967E-2</v>
      </c>
    </row>
    <row r="436" spans="1:3">
      <c r="A436" s="3">
        <f ca="1">IFERROR(__xludf.UNSUPPORTED("""COMPUTED_VALUE"""),44096.6666666666)</f>
        <v>44096.666666666599</v>
      </c>
      <c r="B436" s="1">
        <f ca="1">IFERROR(__xludf.UNSUPPORTED("""COMPUTED_VALUE"""),12.64)</f>
        <v>12.64</v>
      </c>
      <c r="C436" s="2">
        <f t="shared" ca="1" si="1"/>
        <v>9.5846645367412935E-3</v>
      </c>
    </row>
    <row r="437" spans="1:3">
      <c r="A437" s="3">
        <f ca="1">IFERROR(__xludf.UNSUPPORTED("""COMPUTED_VALUE"""),44097.6666666666)</f>
        <v>44097.666666666599</v>
      </c>
      <c r="B437" s="1">
        <f ca="1">IFERROR(__xludf.UNSUPPORTED("""COMPUTED_VALUE"""),12.12)</f>
        <v>12.12</v>
      </c>
      <c r="C437" s="2">
        <f t="shared" ca="1" si="1"/>
        <v>-4.1139240506329222E-2</v>
      </c>
    </row>
    <row r="438" spans="1:3">
      <c r="A438" s="3">
        <f ca="1">IFERROR(__xludf.UNSUPPORTED("""COMPUTED_VALUE"""),44098.6666666666)</f>
        <v>44098.666666666599</v>
      </c>
      <c r="B438" s="1">
        <f ca="1">IFERROR(__xludf.UNSUPPORTED("""COMPUTED_VALUE"""),12.35)</f>
        <v>12.35</v>
      </c>
      <c r="C438" s="2">
        <f t="shared" ca="1" si="1"/>
        <v>1.8976897689769012E-2</v>
      </c>
    </row>
    <row r="439" spans="1:3">
      <c r="A439" s="3">
        <f ca="1">IFERROR(__xludf.UNSUPPORTED("""COMPUTED_VALUE"""),44099.6666666666)</f>
        <v>44099.666666666599</v>
      </c>
      <c r="B439" s="1">
        <f ca="1">IFERROR(__xludf.UNSUPPORTED("""COMPUTED_VALUE"""),12.87)</f>
        <v>12.87</v>
      </c>
      <c r="C439" s="2">
        <f t="shared" ca="1" si="1"/>
        <v>4.2105263157894701E-2</v>
      </c>
    </row>
    <row r="440" spans="1:3">
      <c r="A440" s="3">
        <f ca="1">IFERROR(__xludf.UNSUPPORTED("""COMPUTED_VALUE"""),44102.6666666666)</f>
        <v>44102.666666666599</v>
      </c>
      <c r="B440" s="1">
        <f ca="1">IFERROR(__xludf.UNSUPPORTED("""COMPUTED_VALUE"""),13.04)</f>
        <v>13.04</v>
      </c>
      <c r="C440" s="2">
        <f t="shared" ca="1" si="1"/>
        <v>1.3209013209013205E-2</v>
      </c>
    </row>
    <row r="441" spans="1:3">
      <c r="A441" s="3">
        <f ca="1">IFERROR(__xludf.UNSUPPORTED("""COMPUTED_VALUE"""),44103.6666666666)</f>
        <v>44103.666666666599</v>
      </c>
      <c r="B441" s="1">
        <f ca="1">IFERROR(__xludf.UNSUPPORTED("""COMPUTED_VALUE"""),13.23)</f>
        <v>13.23</v>
      </c>
      <c r="C441" s="2">
        <f t="shared" ca="1" si="1"/>
        <v>1.4570552147239364E-2</v>
      </c>
    </row>
    <row r="442" spans="1:3">
      <c r="A442" s="3">
        <f ca="1">IFERROR(__xludf.UNSUPPORTED("""COMPUTED_VALUE"""),44104.6666666666)</f>
        <v>44104.666666666599</v>
      </c>
      <c r="B442" s="1">
        <f ca="1">IFERROR(__xludf.UNSUPPORTED("""COMPUTED_VALUE"""),13.53)</f>
        <v>13.53</v>
      </c>
      <c r="C442" s="2">
        <f t="shared" ca="1" si="1"/>
        <v>2.2675736961451167E-2</v>
      </c>
    </row>
    <row r="443" spans="1:3">
      <c r="A443" s="3">
        <f ca="1">IFERROR(__xludf.UNSUPPORTED("""COMPUTED_VALUE"""),44105.6666666666)</f>
        <v>44105.666666666599</v>
      </c>
      <c r="B443" s="1">
        <f ca="1">IFERROR(__xludf.UNSUPPORTED("""COMPUTED_VALUE"""),13.61)</f>
        <v>13.61</v>
      </c>
      <c r="C443" s="2">
        <f t="shared" ca="1" si="1"/>
        <v>5.9127864005912838E-3</v>
      </c>
    </row>
    <row r="444" spans="1:3">
      <c r="A444" s="3">
        <f ca="1">IFERROR(__xludf.UNSUPPORTED("""COMPUTED_VALUE"""),44106.6666666666)</f>
        <v>44106.666666666599</v>
      </c>
      <c r="B444" s="1">
        <f ca="1">IFERROR(__xludf.UNSUPPORTED("""COMPUTED_VALUE"""),13.06)</f>
        <v>13.06</v>
      </c>
      <c r="C444" s="2">
        <f t="shared" ca="1" si="1"/>
        <v>-4.0411462160176263E-2</v>
      </c>
    </row>
    <row r="445" spans="1:3">
      <c r="A445" s="3">
        <f ca="1">IFERROR(__xludf.UNSUPPORTED("""COMPUTED_VALUE"""),44109.6666666666)</f>
        <v>44109.666666666599</v>
      </c>
      <c r="B445" s="1">
        <f ca="1">IFERROR(__xludf.UNSUPPORTED("""COMPUTED_VALUE"""),13.64)</f>
        <v>13.64</v>
      </c>
      <c r="C445" s="2">
        <f t="shared" ca="1" si="1"/>
        <v>4.4410413476263406E-2</v>
      </c>
    </row>
    <row r="446" spans="1:3">
      <c r="A446" s="3">
        <f ca="1">IFERROR(__xludf.UNSUPPORTED("""COMPUTED_VALUE"""),44110.6666666666)</f>
        <v>44110.666666666599</v>
      </c>
      <c r="B446" s="1">
        <f ca="1">IFERROR(__xludf.UNSUPPORTED("""COMPUTED_VALUE"""),13.74)</f>
        <v>13.74</v>
      </c>
      <c r="C446" s="2">
        <f t="shared" ca="1" si="1"/>
        <v>7.3313782991202081E-3</v>
      </c>
    </row>
    <row r="447" spans="1:3">
      <c r="A447" s="3">
        <f ca="1">IFERROR(__xludf.UNSUPPORTED("""COMPUTED_VALUE"""),44111.6666666666)</f>
        <v>44111.666666666599</v>
      </c>
      <c r="B447" s="1">
        <f ca="1">IFERROR(__xludf.UNSUPPORTED("""COMPUTED_VALUE"""),13.96)</f>
        <v>13.96</v>
      </c>
      <c r="C447" s="2">
        <f t="shared" ca="1" si="1"/>
        <v>1.6011644832605577E-2</v>
      </c>
    </row>
    <row r="448" spans="1:3">
      <c r="A448" s="3">
        <f ca="1">IFERROR(__xludf.UNSUPPORTED("""COMPUTED_VALUE"""),44112.6666666666)</f>
        <v>44112.666666666599</v>
      </c>
      <c r="B448" s="1">
        <f ca="1">IFERROR(__xludf.UNSUPPORTED("""COMPUTED_VALUE"""),13.84)</f>
        <v>13.84</v>
      </c>
      <c r="C448" s="2">
        <f t="shared" ca="1" si="1"/>
        <v>-8.5959885386820197E-3</v>
      </c>
    </row>
    <row r="449" spans="1:3">
      <c r="A449" s="3">
        <f ca="1">IFERROR(__xludf.UNSUPPORTED("""COMPUTED_VALUE"""),44113.6666666666)</f>
        <v>44113.666666666599</v>
      </c>
      <c r="B449" s="1">
        <f ca="1">IFERROR(__xludf.UNSUPPORTED("""COMPUTED_VALUE"""),13.76)</f>
        <v>13.76</v>
      </c>
      <c r="C449" s="2">
        <f t="shared" ca="1" si="1"/>
        <v>-5.7803468208092535E-3</v>
      </c>
    </row>
    <row r="450" spans="1:3">
      <c r="A450" s="3">
        <f ca="1">IFERROR(__xludf.UNSUPPORTED("""COMPUTED_VALUE"""),44116.6666666666)</f>
        <v>44116.666666666599</v>
      </c>
      <c r="B450" s="1">
        <f ca="1">IFERROR(__xludf.UNSUPPORTED("""COMPUTED_VALUE"""),14.23)</f>
        <v>14.23</v>
      </c>
      <c r="C450" s="2">
        <f t="shared" ca="1" si="1"/>
        <v>3.4156976744186093E-2</v>
      </c>
    </row>
    <row r="451" spans="1:3">
      <c r="A451" s="3">
        <f ca="1">IFERROR(__xludf.UNSUPPORTED("""COMPUTED_VALUE"""),44117.6666666666)</f>
        <v>44117.666666666599</v>
      </c>
      <c r="B451" s="1">
        <f ca="1">IFERROR(__xludf.UNSUPPORTED("""COMPUTED_VALUE"""),14.25)</f>
        <v>14.25</v>
      </c>
      <c r="C451" s="2">
        <f t="shared" ca="1" si="1"/>
        <v>1.4054813773717199E-3</v>
      </c>
    </row>
    <row r="452" spans="1:3">
      <c r="A452" s="3">
        <f ca="1">IFERROR(__xludf.UNSUPPORTED("""COMPUTED_VALUE"""),44118.6666666666)</f>
        <v>44118.666666666599</v>
      </c>
      <c r="B452" s="1">
        <f ca="1">IFERROR(__xludf.UNSUPPORTED("""COMPUTED_VALUE"""),14.1)</f>
        <v>14.1</v>
      </c>
      <c r="C452" s="2">
        <f t="shared" ca="1" si="1"/>
        <v>-1.052631578947371E-2</v>
      </c>
    </row>
    <row r="453" spans="1:3">
      <c r="A453" s="3">
        <f ca="1">IFERROR(__xludf.UNSUPPORTED("""COMPUTED_VALUE"""),44119.6666666666)</f>
        <v>44119.666666666599</v>
      </c>
      <c r="B453" s="1">
        <f ca="1">IFERROR(__xludf.UNSUPPORTED("""COMPUTED_VALUE"""),13.97)</f>
        <v>13.97</v>
      </c>
      <c r="C453" s="2">
        <f t="shared" ca="1" si="1"/>
        <v>-9.2198581560282988E-3</v>
      </c>
    </row>
    <row r="454" spans="1:3">
      <c r="A454" s="3">
        <f ca="1">IFERROR(__xludf.UNSUPPORTED("""COMPUTED_VALUE"""),44120.6666666666)</f>
        <v>44120.666666666599</v>
      </c>
      <c r="B454" s="1">
        <f ca="1">IFERROR(__xludf.UNSUPPORTED("""COMPUTED_VALUE"""),13.81)</f>
        <v>13.81</v>
      </c>
      <c r="C454" s="2">
        <f t="shared" ca="1" si="1"/>
        <v>-1.145311381531855E-2</v>
      </c>
    </row>
    <row r="455" spans="1:3">
      <c r="A455" s="3">
        <f ca="1">IFERROR(__xludf.UNSUPPORTED("""COMPUTED_VALUE"""),44123.6666666666)</f>
        <v>44123.666666666599</v>
      </c>
      <c r="B455" s="1">
        <f ca="1">IFERROR(__xludf.UNSUPPORTED("""COMPUTED_VALUE"""),13.5)</f>
        <v>13.5</v>
      </c>
      <c r="C455" s="2">
        <f t="shared" ca="1" si="1"/>
        <v>-2.244750181028244E-2</v>
      </c>
    </row>
    <row r="456" spans="1:3">
      <c r="A456" s="3">
        <f ca="1">IFERROR(__xludf.UNSUPPORTED("""COMPUTED_VALUE"""),44124.6666666666)</f>
        <v>44124.666666666599</v>
      </c>
      <c r="B456" s="1">
        <f ca="1">IFERROR(__xludf.UNSUPPORTED("""COMPUTED_VALUE"""),13.65)</f>
        <v>13.65</v>
      </c>
      <c r="C456" s="2">
        <f t="shared" ca="1" si="1"/>
        <v>1.1111111111111138E-2</v>
      </c>
    </row>
    <row r="457" spans="1:3">
      <c r="A457" s="3">
        <f ca="1">IFERROR(__xludf.UNSUPPORTED("""COMPUTED_VALUE"""),44125.6666666666)</f>
        <v>44125.666666666599</v>
      </c>
      <c r="B457" s="1">
        <f ca="1">IFERROR(__xludf.UNSUPPORTED("""COMPUTED_VALUE"""),13.52)</f>
        <v>13.52</v>
      </c>
      <c r="C457" s="2">
        <f t="shared" ca="1" si="1"/>
        <v>-9.5238095238095802E-3</v>
      </c>
    </row>
    <row r="458" spans="1:3">
      <c r="A458" s="3">
        <f ca="1">IFERROR(__xludf.UNSUPPORTED("""COMPUTED_VALUE"""),44126.6666666666)</f>
        <v>44126.666666666599</v>
      </c>
      <c r="B458" s="1">
        <f ca="1">IFERROR(__xludf.UNSUPPORTED("""COMPUTED_VALUE"""),13.36)</f>
        <v>13.36</v>
      </c>
      <c r="C458" s="2">
        <f t="shared" ca="1" si="1"/>
        <v>-1.1834319526627229E-2</v>
      </c>
    </row>
    <row r="459" spans="1:3">
      <c r="A459" s="3">
        <f ca="1">IFERROR(__xludf.UNSUPPORTED("""COMPUTED_VALUE"""),44127.6666666666)</f>
        <v>44127.666666666599</v>
      </c>
      <c r="B459" s="1">
        <f ca="1">IFERROR(__xludf.UNSUPPORTED("""COMPUTED_VALUE"""),13.59)</f>
        <v>13.59</v>
      </c>
      <c r="C459" s="2">
        <f t="shared" ca="1" si="1"/>
        <v>1.7215568862275481E-2</v>
      </c>
    </row>
    <row r="460" spans="1:3">
      <c r="A460" s="3">
        <f ca="1">IFERROR(__xludf.UNSUPPORTED("""COMPUTED_VALUE"""),44130.6666666666)</f>
        <v>44130.666666666599</v>
      </c>
      <c r="B460" s="1">
        <f ca="1">IFERROR(__xludf.UNSUPPORTED("""COMPUTED_VALUE"""),13.14)</f>
        <v>13.14</v>
      </c>
      <c r="C460" s="2">
        <f t="shared" ca="1" si="1"/>
        <v>-3.3112582781456901E-2</v>
      </c>
    </row>
    <row r="461" spans="1:3">
      <c r="A461" s="3">
        <f ca="1">IFERROR(__xludf.UNSUPPORTED("""COMPUTED_VALUE"""),44131.6666666666)</f>
        <v>44131.666666666599</v>
      </c>
      <c r="B461" s="1">
        <f ca="1">IFERROR(__xludf.UNSUPPORTED("""COMPUTED_VALUE"""),13.4)</f>
        <v>13.4</v>
      </c>
      <c r="C461" s="2">
        <f t="shared" ca="1" si="1"/>
        <v>1.9786910197869084E-2</v>
      </c>
    </row>
    <row r="462" spans="1:3">
      <c r="A462" s="3">
        <f ca="1">IFERROR(__xludf.UNSUPPORTED("""COMPUTED_VALUE"""),44132.6666666666)</f>
        <v>44132.666666666599</v>
      </c>
      <c r="B462" s="1">
        <f ca="1">IFERROR(__xludf.UNSUPPORTED("""COMPUTED_VALUE"""),12.63)</f>
        <v>12.63</v>
      </c>
      <c r="C462" s="2">
        <f t="shared" ca="1" si="1"/>
        <v>-5.7462686567164148E-2</v>
      </c>
    </row>
    <row r="463" spans="1:3">
      <c r="A463" s="3">
        <f ca="1">IFERROR(__xludf.UNSUPPORTED("""COMPUTED_VALUE"""),44133.6666666666)</f>
        <v>44133.666666666599</v>
      </c>
      <c r="B463" s="1">
        <f ca="1">IFERROR(__xludf.UNSUPPORTED("""COMPUTED_VALUE"""),13.02)</f>
        <v>13.02</v>
      </c>
      <c r="C463" s="2">
        <f t="shared" ca="1" si="1"/>
        <v>3.0878859857482087E-2</v>
      </c>
    </row>
    <row r="464" spans="1:3">
      <c r="A464" s="3">
        <f ca="1">IFERROR(__xludf.UNSUPPORTED("""COMPUTED_VALUE"""),44134.6666666666)</f>
        <v>44134.666666666599</v>
      </c>
      <c r="B464" s="1">
        <f ca="1">IFERROR(__xludf.UNSUPPORTED("""COMPUTED_VALUE"""),12.53)</f>
        <v>12.53</v>
      </c>
      <c r="C464" s="2">
        <f t="shared" ca="1" si="1"/>
        <v>-3.7634408602150553E-2</v>
      </c>
    </row>
    <row r="465" spans="1:3">
      <c r="A465" s="3">
        <f ca="1">IFERROR(__xludf.UNSUPPORTED("""COMPUTED_VALUE"""),44137.6666666666)</f>
        <v>44137.666666666599</v>
      </c>
      <c r="B465" s="1">
        <f ca="1">IFERROR(__xludf.UNSUPPORTED("""COMPUTED_VALUE"""),12.58)</f>
        <v>12.58</v>
      </c>
      <c r="C465" s="2">
        <f t="shared" ca="1" si="1"/>
        <v>3.9904229848364498E-3</v>
      </c>
    </row>
    <row r="466" spans="1:3">
      <c r="A466" s="3">
        <f ca="1">IFERROR(__xludf.UNSUPPORTED("""COMPUTED_VALUE"""),44138.6666666666)</f>
        <v>44138.666666666599</v>
      </c>
      <c r="B466" s="1">
        <f ca="1">IFERROR(__xludf.UNSUPPORTED("""COMPUTED_VALUE"""),13.02)</f>
        <v>13.02</v>
      </c>
      <c r="C466" s="2">
        <f t="shared" ca="1" si="1"/>
        <v>3.4976152623211409E-2</v>
      </c>
    </row>
    <row r="467" spans="1:3">
      <c r="A467" s="3">
        <f ca="1">IFERROR(__xludf.UNSUPPORTED("""COMPUTED_VALUE"""),44139.6666666666)</f>
        <v>44139.666666666599</v>
      </c>
      <c r="B467" s="1">
        <f ca="1">IFERROR(__xludf.UNSUPPORTED("""COMPUTED_VALUE"""),13.79)</f>
        <v>13.79</v>
      </c>
      <c r="C467" s="2">
        <f t="shared" ca="1" si="1"/>
        <v>5.9139784946236527E-2</v>
      </c>
    </row>
    <row r="468" spans="1:3">
      <c r="A468" s="3">
        <f ca="1">IFERROR(__xludf.UNSUPPORTED("""COMPUTED_VALUE"""),44140.6666666666)</f>
        <v>44140.666666666599</v>
      </c>
      <c r="B468" s="1">
        <f ca="1">IFERROR(__xludf.UNSUPPORTED("""COMPUTED_VALUE"""),14.16)</f>
        <v>14.16</v>
      </c>
      <c r="C468" s="2">
        <f t="shared" ca="1" si="1"/>
        <v>2.6831036983321323E-2</v>
      </c>
    </row>
    <row r="469" spans="1:3">
      <c r="A469" s="3">
        <f ca="1">IFERROR(__xludf.UNSUPPORTED("""COMPUTED_VALUE"""),44141.6666666666)</f>
        <v>44141.666666666599</v>
      </c>
      <c r="B469" s="1">
        <f ca="1">IFERROR(__xludf.UNSUPPORTED("""COMPUTED_VALUE"""),14.56)</f>
        <v>14.56</v>
      </c>
      <c r="C469" s="2">
        <f t="shared" ca="1" si="1"/>
        <v>2.8248587570621493E-2</v>
      </c>
    </row>
    <row r="470" spans="1:3">
      <c r="A470" s="3">
        <f ca="1">IFERROR(__xludf.UNSUPPORTED("""COMPUTED_VALUE"""),44144.6666666666)</f>
        <v>44144.666666666599</v>
      </c>
      <c r="B470" s="1">
        <f ca="1">IFERROR(__xludf.UNSUPPORTED("""COMPUTED_VALUE"""),13.63)</f>
        <v>13.63</v>
      </c>
      <c r="C470" s="2">
        <f t="shared" ca="1" si="1"/>
        <v>-6.3873626373626355E-2</v>
      </c>
    </row>
    <row r="471" spans="1:3">
      <c r="A471" s="3">
        <f ca="1">IFERROR(__xludf.UNSUPPORTED("""COMPUTED_VALUE"""),44145.6666666666)</f>
        <v>44145.666666666599</v>
      </c>
      <c r="B471" s="1">
        <f ca="1">IFERROR(__xludf.UNSUPPORTED("""COMPUTED_VALUE"""),12.77)</f>
        <v>12.77</v>
      </c>
      <c r="C471" s="2">
        <f t="shared" ca="1" si="1"/>
        <v>-6.3096111518708822E-2</v>
      </c>
    </row>
    <row r="472" spans="1:3">
      <c r="A472" s="3">
        <f ca="1">IFERROR(__xludf.UNSUPPORTED("""COMPUTED_VALUE"""),44146.6666666666)</f>
        <v>44146.666666666599</v>
      </c>
      <c r="B472" s="1">
        <f ca="1">IFERROR(__xludf.UNSUPPORTED("""COMPUTED_VALUE"""),13.42)</f>
        <v>13.42</v>
      </c>
      <c r="C472" s="2">
        <f t="shared" ca="1" si="1"/>
        <v>5.090054815974944E-2</v>
      </c>
    </row>
    <row r="473" spans="1:3">
      <c r="A473" s="3">
        <f ca="1">IFERROR(__xludf.UNSUPPORTED("""COMPUTED_VALUE"""),44147.6666666666)</f>
        <v>44147.666666666599</v>
      </c>
      <c r="B473" s="1">
        <f ca="1">IFERROR(__xludf.UNSUPPORTED("""COMPUTED_VALUE"""),13.46)</f>
        <v>13.46</v>
      </c>
      <c r="C473" s="2">
        <f t="shared" ca="1" si="1"/>
        <v>2.9806259314456725E-3</v>
      </c>
    </row>
    <row r="474" spans="1:3">
      <c r="A474" s="3">
        <f ca="1">IFERROR(__xludf.UNSUPPORTED("""COMPUTED_VALUE"""),44148.6666666666)</f>
        <v>44148.666666666599</v>
      </c>
      <c r="B474" s="1">
        <f ca="1">IFERROR(__xludf.UNSUPPORTED("""COMPUTED_VALUE"""),13.3)</f>
        <v>13.3</v>
      </c>
      <c r="C474" s="2">
        <f t="shared" ca="1" si="1"/>
        <v>-1.1887072808320961E-2</v>
      </c>
    </row>
    <row r="475" spans="1:3">
      <c r="A475" s="3">
        <f ca="1">IFERROR(__xludf.UNSUPPORTED("""COMPUTED_VALUE"""),44151.6666666666)</f>
        <v>44151.666666666599</v>
      </c>
      <c r="B475" s="1">
        <f ca="1">IFERROR(__xludf.UNSUPPORTED("""COMPUTED_VALUE"""),13.52)</f>
        <v>13.52</v>
      </c>
      <c r="C475" s="2">
        <f t="shared" ca="1" si="1"/>
        <v>1.6541353383458562E-2</v>
      </c>
    </row>
    <row r="476" spans="1:3">
      <c r="A476" s="3">
        <f ca="1">IFERROR(__xludf.UNSUPPORTED("""COMPUTED_VALUE"""),44152.6666666666)</f>
        <v>44152.666666666599</v>
      </c>
      <c r="B476" s="1">
        <f ca="1">IFERROR(__xludf.UNSUPPORTED("""COMPUTED_VALUE"""),13.42)</f>
        <v>13.42</v>
      </c>
      <c r="C476" s="2">
        <f t="shared" ca="1" si="1"/>
        <v>-7.3964497041419854E-3</v>
      </c>
    </row>
    <row r="477" spans="1:3">
      <c r="A477" s="3">
        <f ca="1">IFERROR(__xludf.UNSUPPORTED("""COMPUTED_VALUE"""),44153.6666666666)</f>
        <v>44153.666666666599</v>
      </c>
      <c r="B477" s="1">
        <f ca="1">IFERROR(__xludf.UNSUPPORTED("""COMPUTED_VALUE"""),13.43)</f>
        <v>13.43</v>
      </c>
      <c r="C477" s="2">
        <f t="shared" ca="1" si="1"/>
        <v>7.4515648286138506E-4</v>
      </c>
    </row>
    <row r="478" spans="1:3">
      <c r="A478" s="3">
        <f ca="1">IFERROR(__xludf.UNSUPPORTED("""COMPUTED_VALUE"""),44154.6666666666)</f>
        <v>44154.666666666599</v>
      </c>
      <c r="B478" s="1">
        <f ca="1">IFERROR(__xludf.UNSUPPORTED("""COMPUTED_VALUE"""),13.44)</f>
        <v>13.44</v>
      </c>
      <c r="C478" s="2">
        <f t="shared" ca="1" si="1"/>
        <v>7.4460163812358805E-4</v>
      </c>
    </row>
    <row r="479" spans="1:3">
      <c r="A479" s="3">
        <f ca="1">IFERROR(__xludf.UNSUPPORTED("""COMPUTED_VALUE"""),44155.6666666666)</f>
        <v>44155.666666666599</v>
      </c>
      <c r="B479" s="1">
        <f ca="1">IFERROR(__xludf.UNSUPPORTED("""COMPUTED_VALUE"""),13.09)</f>
        <v>13.09</v>
      </c>
      <c r="C479" s="2">
        <f t="shared" ca="1" si="1"/>
        <v>-2.604166666666664E-2</v>
      </c>
    </row>
    <row r="480" spans="1:3">
      <c r="A480" s="3">
        <f ca="1">IFERROR(__xludf.UNSUPPORTED("""COMPUTED_VALUE"""),44158.6666666666)</f>
        <v>44158.666666666599</v>
      </c>
      <c r="B480" s="1">
        <f ca="1">IFERROR(__xludf.UNSUPPORTED("""COMPUTED_VALUE"""),13.14)</f>
        <v>13.14</v>
      </c>
      <c r="C480" s="2">
        <f t="shared" ca="1" si="1"/>
        <v>3.8197097020626976E-3</v>
      </c>
    </row>
    <row r="481" spans="1:3">
      <c r="A481" s="3">
        <f ca="1">IFERROR(__xludf.UNSUPPORTED("""COMPUTED_VALUE"""),44159.6666666666)</f>
        <v>44159.666666666599</v>
      </c>
      <c r="B481" s="1">
        <f ca="1">IFERROR(__xludf.UNSUPPORTED("""COMPUTED_VALUE"""),12.96)</f>
        <v>12.96</v>
      </c>
      <c r="C481" s="2">
        <f t="shared" ca="1" si="1"/>
        <v>-1.369863013698628E-2</v>
      </c>
    </row>
    <row r="482" spans="1:3">
      <c r="A482" s="3">
        <f ca="1">IFERROR(__xludf.UNSUPPORTED("""COMPUTED_VALUE"""),44160.6666666666)</f>
        <v>44160.666666666599</v>
      </c>
      <c r="B482" s="1">
        <f ca="1">IFERROR(__xludf.UNSUPPORTED("""COMPUTED_VALUE"""),13.23)</f>
        <v>13.23</v>
      </c>
      <c r="C482" s="2">
        <f t="shared" ca="1" si="1"/>
        <v>2.0833333333333297E-2</v>
      </c>
    </row>
    <row r="483" spans="1:3">
      <c r="A483" s="3">
        <f ca="1">IFERROR(__xludf.UNSUPPORTED("""COMPUTED_VALUE"""),44162.5416666666)</f>
        <v>44162.541666666599</v>
      </c>
      <c r="B483" s="1">
        <f ca="1">IFERROR(__xludf.UNSUPPORTED("""COMPUTED_VALUE"""),13.26)</f>
        <v>13.26</v>
      </c>
      <c r="C483" s="2">
        <f t="shared" ca="1" si="1"/>
        <v>2.2675736961450762E-3</v>
      </c>
    </row>
    <row r="484" spans="1:3">
      <c r="A484" s="3">
        <f ca="1">IFERROR(__xludf.UNSUPPORTED("""COMPUTED_VALUE"""),44165.6666666666)</f>
        <v>44165.666666666599</v>
      </c>
      <c r="B484" s="1">
        <f ca="1">IFERROR(__xludf.UNSUPPORTED("""COMPUTED_VALUE"""),13.4)</f>
        <v>13.4</v>
      </c>
      <c r="C484" s="2">
        <f t="shared" ca="1" si="1"/>
        <v>1.0558069381598836E-2</v>
      </c>
    </row>
    <row r="485" spans="1:3">
      <c r="A485" s="3">
        <f ca="1">IFERROR(__xludf.UNSUPPORTED("""COMPUTED_VALUE"""),44166.6666666666)</f>
        <v>44166.666666666599</v>
      </c>
      <c r="B485" s="1">
        <f ca="1">IFERROR(__xludf.UNSUPPORTED("""COMPUTED_VALUE"""),13.39)</f>
        <v>13.39</v>
      </c>
      <c r="C485" s="2">
        <f t="shared" ca="1" si="1"/>
        <v>-7.4626865671640198E-4</v>
      </c>
    </row>
    <row r="486" spans="1:3">
      <c r="A486" s="3">
        <f ca="1">IFERROR(__xludf.UNSUPPORTED("""COMPUTED_VALUE"""),44167.6666666666)</f>
        <v>44167.666666666599</v>
      </c>
      <c r="B486" s="1">
        <f ca="1">IFERROR(__xludf.UNSUPPORTED("""COMPUTED_VALUE"""),13.54)</f>
        <v>13.54</v>
      </c>
      <c r="C486" s="2">
        <f t="shared" ca="1" si="1"/>
        <v>1.1202389843166436E-2</v>
      </c>
    </row>
    <row r="487" spans="1:3">
      <c r="A487" s="3">
        <f ca="1">IFERROR(__xludf.UNSUPPORTED("""COMPUTED_VALUE"""),44168.6666666666)</f>
        <v>44168.666666666599</v>
      </c>
      <c r="B487" s="1">
        <f ca="1">IFERROR(__xludf.UNSUPPORTED("""COMPUTED_VALUE"""),13.4)</f>
        <v>13.4</v>
      </c>
      <c r="C487" s="2">
        <f t="shared" ca="1" si="1"/>
        <v>-1.0339734121122511E-2</v>
      </c>
    </row>
    <row r="488" spans="1:3">
      <c r="A488" s="3">
        <f ca="1">IFERROR(__xludf.UNSUPPORTED("""COMPUTED_VALUE"""),44169.6666666666)</f>
        <v>44169.666666666599</v>
      </c>
      <c r="B488" s="1">
        <f ca="1">IFERROR(__xludf.UNSUPPORTED("""COMPUTED_VALUE"""),13.56)</f>
        <v>13.56</v>
      </c>
      <c r="C488" s="2">
        <f t="shared" ca="1" si="1"/>
        <v>1.1940298507462697E-2</v>
      </c>
    </row>
    <row r="489" spans="1:3">
      <c r="A489" s="3">
        <f ca="1">IFERROR(__xludf.UNSUPPORTED("""COMPUTED_VALUE"""),44172.6666666666)</f>
        <v>44172.666666666599</v>
      </c>
      <c r="B489" s="1">
        <f ca="1">IFERROR(__xludf.UNSUPPORTED("""COMPUTED_VALUE"""),13.61)</f>
        <v>13.61</v>
      </c>
      <c r="C489" s="2">
        <f t="shared" ca="1" si="1"/>
        <v>3.6873156342182105E-3</v>
      </c>
    </row>
    <row r="490" spans="1:3">
      <c r="A490" s="3">
        <f ca="1">IFERROR(__xludf.UNSUPPORTED("""COMPUTED_VALUE"""),44173.6666666666)</f>
        <v>44173.666666666599</v>
      </c>
      <c r="B490" s="1">
        <f ca="1">IFERROR(__xludf.UNSUPPORTED("""COMPUTED_VALUE"""),13.35)</f>
        <v>13.35</v>
      </c>
      <c r="C490" s="2">
        <f t="shared" ca="1" si="1"/>
        <v>-1.9103600293901526E-2</v>
      </c>
    </row>
    <row r="491" spans="1:3">
      <c r="A491" s="3">
        <f ca="1">IFERROR(__xludf.UNSUPPORTED("""COMPUTED_VALUE"""),44174.6666666666)</f>
        <v>44174.666666666599</v>
      </c>
      <c r="B491" s="1">
        <f ca="1">IFERROR(__xludf.UNSUPPORTED("""COMPUTED_VALUE"""),12.93)</f>
        <v>12.93</v>
      </c>
      <c r="C491" s="2">
        <f t="shared" ca="1" si="1"/>
        <v>-3.1460674157303366E-2</v>
      </c>
    </row>
    <row r="492" spans="1:3">
      <c r="A492" s="3">
        <f ca="1">IFERROR(__xludf.UNSUPPORTED("""COMPUTED_VALUE"""),44175.6666666666)</f>
        <v>44175.666666666599</v>
      </c>
      <c r="B492" s="1">
        <f ca="1">IFERROR(__xludf.UNSUPPORTED("""COMPUTED_VALUE"""),12.97)</f>
        <v>12.97</v>
      </c>
      <c r="C492" s="2">
        <f t="shared" ca="1" si="1"/>
        <v>3.093580819798989E-3</v>
      </c>
    </row>
    <row r="493" spans="1:3">
      <c r="A493" s="3">
        <f ca="1">IFERROR(__xludf.UNSUPPORTED("""COMPUTED_VALUE"""),44176.6666666666)</f>
        <v>44176.666666666599</v>
      </c>
      <c r="B493" s="1">
        <f ca="1">IFERROR(__xludf.UNSUPPORTED("""COMPUTED_VALUE"""),13.01)</f>
        <v>13.01</v>
      </c>
      <c r="C493" s="2">
        <f t="shared" ca="1" si="1"/>
        <v>3.0840400925211367E-3</v>
      </c>
    </row>
    <row r="494" spans="1:3">
      <c r="A494" s="3">
        <f ca="1">IFERROR(__xludf.UNSUPPORTED("""COMPUTED_VALUE"""),44179.6666666666)</f>
        <v>44179.666666666599</v>
      </c>
      <c r="B494" s="1">
        <f ca="1">IFERROR(__xludf.UNSUPPORTED("""COMPUTED_VALUE"""),13.31)</f>
        <v>13.31</v>
      </c>
      <c r="C494" s="2">
        <f t="shared" ca="1" si="1"/>
        <v>2.3059185242121499E-2</v>
      </c>
    </row>
    <row r="495" spans="1:3">
      <c r="A495" s="3">
        <f ca="1">IFERROR(__xludf.UNSUPPORTED("""COMPUTED_VALUE"""),44180.6666666666)</f>
        <v>44180.666666666599</v>
      </c>
      <c r="B495" s="1">
        <f ca="1">IFERROR(__xludf.UNSUPPORTED("""COMPUTED_VALUE"""),13.36)</f>
        <v>13.36</v>
      </c>
      <c r="C495" s="2">
        <f t="shared" ca="1" si="1"/>
        <v>3.7565740045078086E-3</v>
      </c>
    </row>
    <row r="496" spans="1:3">
      <c r="A496" s="3">
        <f ca="1">IFERROR(__xludf.UNSUPPORTED("""COMPUTED_VALUE"""),44181.6666666666)</f>
        <v>44181.666666666599</v>
      </c>
      <c r="B496" s="1">
        <f ca="1">IFERROR(__xludf.UNSUPPORTED("""COMPUTED_VALUE"""),13.24)</f>
        <v>13.24</v>
      </c>
      <c r="C496" s="2">
        <f t="shared" ca="1" si="1"/>
        <v>-8.982035928143655E-3</v>
      </c>
    </row>
    <row r="497" spans="1:3">
      <c r="A497" s="3">
        <f ca="1">IFERROR(__xludf.UNSUPPORTED("""COMPUTED_VALUE"""),44182.6666666666)</f>
        <v>44182.666666666599</v>
      </c>
      <c r="B497" s="1">
        <f ca="1">IFERROR(__xludf.UNSUPPORTED("""COMPUTED_VALUE"""),13.34)</f>
        <v>13.34</v>
      </c>
      <c r="C497" s="2">
        <f t="shared" ca="1" si="1"/>
        <v>7.5528700906344138E-3</v>
      </c>
    </row>
    <row r="498" spans="1:3">
      <c r="A498" s="3">
        <f ca="1">IFERROR(__xludf.UNSUPPORTED("""COMPUTED_VALUE"""),44183.6666666666)</f>
        <v>44183.666666666599</v>
      </c>
      <c r="B498" s="1">
        <f ca="1">IFERROR(__xludf.UNSUPPORTED("""COMPUTED_VALUE"""),13.27)</f>
        <v>13.27</v>
      </c>
      <c r="C498" s="2">
        <f t="shared" ca="1" si="1"/>
        <v>-5.2473763118440989E-3</v>
      </c>
    </row>
    <row r="499" spans="1:3">
      <c r="A499" s="3">
        <f ca="1">IFERROR(__xludf.UNSUPPORTED("""COMPUTED_VALUE"""),44186.6666666666)</f>
        <v>44186.666666666599</v>
      </c>
      <c r="B499" s="1">
        <f ca="1">IFERROR(__xludf.UNSUPPORTED("""COMPUTED_VALUE"""),13.33)</f>
        <v>13.33</v>
      </c>
      <c r="C499" s="2">
        <f t="shared" ca="1" si="1"/>
        <v>4.5214770158252069E-3</v>
      </c>
    </row>
    <row r="500" spans="1:3">
      <c r="A500" s="3">
        <f ca="1">IFERROR(__xludf.UNSUPPORTED("""COMPUTED_VALUE"""),44187.6666666666)</f>
        <v>44187.666666666599</v>
      </c>
      <c r="B500" s="1">
        <f ca="1">IFERROR(__xludf.UNSUPPORTED("""COMPUTED_VALUE"""),13.28)</f>
        <v>13.28</v>
      </c>
      <c r="C500" s="2">
        <f t="shared" ca="1" si="1"/>
        <v>-3.7509377344336617E-3</v>
      </c>
    </row>
    <row r="501" spans="1:3">
      <c r="A501" s="3">
        <f ca="1">IFERROR(__xludf.UNSUPPORTED("""COMPUTED_VALUE"""),44188.6666666666)</f>
        <v>44188.666666666599</v>
      </c>
      <c r="B501" s="1">
        <f ca="1">IFERROR(__xludf.UNSUPPORTED("""COMPUTED_VALUE"""),13.01)</f>
        <v>13.01</v>
      </c>
      <c r="C501" s="2">
        <f t="shared" ca="1" si="1"/>
        <v>-2.0331325301204788E-2</v>
      </c>
    </row>
    <row r="502" spans="1:3">
      <c r="A502" s="3">
        <f ca="1">IFERROR(__xludf.UNSUPPORTED("""COMPUTED_VALUE"""),44189.5416666666)</f>
        <v>44189.541666666599</v>
      </c>
      <c r="B502" s="1">
        <f ca="1">IFERROR(__xludf.UNSUPPORTED("""COMPUTED_VALUE"""),12.99)</f>
        <v>12.99</v>
      </c>
      <c r="C502" s="2">
        <f t="shared" ca="1" si="1"/>
        <v>-1.5372790161413969E-3</v>
      </c>
    </row>
    <row r="503" spans="1:3">
      <c r="A503" s="3">
        <f ca="1">IFERROR(__xludf.UNSUPPORTED("""COMPUTED_VALUE"""),44193.6666666666)</f>
        <v>44193.666666666599</v>
      </c>
      <c r="B503" s="1">
        <f ca="1">IFERROR(__xludf.UNSUPPORTED("""COMPUTED_VALUE"""),12.9)</f>
        <v>12.9</v>
      </c>
      <c r="C503" s="2">
        <f t="shared" ca="1" si="1"/>
        <v>-6.9284064665126911E-3</v>
      </c>
    </row>
    <row r="504" spans="1:3">
      <c r="A504" s="3">
        <f ca="1">IFERROR(__xludf.UNSUPPORTED("""COMPUTED_VALUE"""),44194.6666666666)</f>
        <v>44194.666666666599</v>
      </c>
      <c r="B504" s="1">
        <f ca="1">IFERROR(__xludf.UNSUPPORTED("""COMPUTED_VALUE"""),12.94)</f>
        <v>12.94</v>
      </c>
      <c r="C504" s="2">
        <f t="shared" ca="1" si="1"/>
        <v>3.1007751937983832E-3</v>
      </c>
    </row>
    <row r="505" spans="1:3">
      <c r="A505" s="3">
        <f ca="1">IFERROR(__xludf.UNSUPPORTED("""COMPUTED_VALUE"""),44195.6666666666)</f>
        <v>44195.666666666599</v>
      </c>
      <c r="B505" s="1">
        <f ca="1">IFERROR(__xludf.UNSUPPORTED("""COMPUTED_VALUE"""),13.15)</f>
        <v>13.15</v>
      </c>
      <c r="C505" s="2">
        <f t="shared" ca="1" si="1"/>
        <v>1.6228748068006248E-2</v>
      </c>
    </row>
    <row r="506" spans="1:3">
      <c r="A506" s="3">
        <f ca="1">IFERROR(__xludf.UNSUPPORTED("""COMPUTED_VALUE"""),44196.6666666666)</f>
        <v>44196.666666666599</v>
      </c>
      <c r="B506" s="1">
        <f ca="1">IFERROR(__xludf.UNSUPPORTED("""COMPUTED_VALUE"""),13.06)</f>
        <v>13.06</v>
      </c>
      <c r="C506" s="2">
        <f t="shared" ca="1" si="1"/>
        <v>-6.8441064638783159E-3</v>
      </c>
    </row>
    <row r="507" spans="1:3">
      <c r="A507" s="3">
        <f ca="1">IFERROR(__xludf.UNSUPPORTED("""COMPUTED_VALUE"""),44200.6666666666)</f>
        <v>44200.666666666599</v>
      </c>
      <c r="B507" s="1">
        <f ca="1">IFERROR(__xludf.UNSUPPORTED("""COMPUTED_VALUE"""),13.11)</f>
        <v>13.11</v>
      </c>
      <c r="C507" s="2">
        <f t="shared" ca="1" si="1"/>
        <v>3.8284839203674525E-3</v>
      </c>
    </row>
    <row r="508" spans="1:3">
      <c r="A508" s="3">
        <f ca="1">IFERROR(__xludf.UNSUPPORTED("""COMPUTED_VALUE"""),44201.6666666666)</f>
        <v>44201.666666666599</v>
      </c>
      <c r="B508" s="1">
        <f ca="1">IFERROR(__xludf.UNSUPPORTED("""COMPUTED_VALUE"""),13.4)</f>
        <v>13.4</v>
      </c>
      <c r="C508" s="2">
        <f t="shared" ca="1" si="1"/>
        <v>2.212051868802448E-2</v>
      </c>
    </row>
    <row r="509" spans="1:3">
      <c r="A509" s="3">
        <f ca="1">IFERROR(__xludf.UNSUPPORTED("""COMPUTED_VALUE"""),44202.6666666666)</f>
        <v>44202.666666666599</v>
      </c>
      <c r="B509" s="1">
        <f ca="1">IFERROR(__xludf.UNSUPPORTED("""COMPUTED_VALUE"""),12.61)</f>
        <v>12.61</v>
      </c>
      <c r="C509" s="2">
        <f t="shared" ca="1" si="1"/>
        <v>-5.8955223880597082E-2</v>
      </c>
    </row>
    <row r="510" spans="1:3">
      <c r="A510" s="3">
        <f ca="1">IFERROR(__xludf.UNSUPPORTED("""COMPUTED_VALUE"""),44203.6666666666)</f>
        <v>44203.666666666599</v>
      </c>
      <c r="B510" s="1">
        <f ca="1">IFERROR(__xludf.UNSUPPORTED("""COMPUTED_VALUE"""),13.34)</f>
        <v>13.34</v>
      </c>
      <c r="C510" s="2">
        <f t="shared" ca="1" si="1"/>
        <v>5.7890563045202258E-2</v>
      </c>
    </row>
    <row r="511" spans="1:3">
      <c r="A511" s="3">
        <f ca="1">IFERROR(__xludf.UNSUPPORTED("""COMPUTED_VALUE"""),44204.6666666666)</f>
        <v>44204.666666666599</v>
      </c>
      <c r="B511" s="1">
        <f ca="1">IFERROR(__xludf.UNSUPPORTED("""COMPUTED_VALUE"""),13.28)</f>
        <v>13.28</v>
      </c>
      <c r="C511" s="2">
        <f t="shared" ca="1" si="1"/>
        <v>-4.497751124437818E-3</v>
      </c>
    </row>
    <row r="512" spans="1:3">
      <c r="A512" s="3">
        <f ca="1">IFERROR(__xludf.UNSUPPORTED("""COMPUTED_VALUE"""),44207.6666666666)</f>
        <v>44207.666666666599</v>
      </c>
      <c r="B512" s="1">
        <f ca="1">IFERROR(__xludf.UNSUPPORTED("""COMPUTED_VALUE"""),13.62)</f>
        <v>13.62</v>
      </c>
      <c r="C512" s="2">
        <f t="shared" ca="1" si="1"/>
        <v>2.5602409638554209E-2</v>
      </c>
    </row>
    <row r="513" spans="1:3">
      <c r="A513" s="3">
        <f ca="1">IFERROR(__xludf.UNSUPPORTED("""COMPUTED_VALUE"""),44208.6666666666)</f>
        <v>44208.666666666599</v>
      </c>
      <c r="B513" s="1">
        <f ca="1">IFERROR(__xludf.UNSUPPORTED("""COMPUTED_VALUE"""),13.48)</f>
        <v>13.48</v>
      </c>
      <c r="C513" s="2">
        <f t="shared" ref="C513:C767" ca="1" si="2">(B513-B512)/B512</f>
        <v>-1.0279001468428693E-2</v>
      </c>
    </row>
    <row r="514" spans="1:3">
      <c r="A514" s="3">
        <f ca="1">IFERROR(__xludf.UNSUPPORTED("""COMPUTED_VALUE"""),44209.6666666666)</f>
        <v>44209.666666666599</v>
      </c>
      <c r="B514" s="1">
        <f ca="1">IFERROR(__xludf.UNSUPPORTED("""COMPUTED_VALUE"""),13.53)</f>
        <v>13.53</v>
      </c>
      <c r="C514" s="2">
        <f t="shared" ca="1" si="2"/>
        <v>3.7091988130563006E-3</v>
      </c>
    </row>
    <row r="515" spans="1:3">
      <c r="A515" s="3">
        <f ca="1">IFERROR(__xludf.UNSUPPORTED("""COMPUTED_VALUE"""),44210.6666666666)</f>
        <v>44210.666666666599</v>
      </c>
      <c r="B515" s="1">
        <f ca="1">IFERROR(__xludf.UNSUPPORTED("""COMPUTED_VALUE"""),13.2)</f>
        <v>13.2</v>
      </c>
      <c r="C515" s="2">
        <f t="shared" ca="1" si="2"/>
        <v>-2.4390243902439032E-2</v>
      </c>
    </row>
    <row r="516" spans="1:3">
      <c r="A516" s="3">
        <f ca="1">IFERROR(__xludf.UNSUPPORTED("""COMPUTED_VALUE"""),44211.6666666666)</f>
        <v>44211.666666666599</v>
      </c>
      <c r="B516" s="1">
        <f ca="1">IFERROR(__xludf.UNSUPPORTED("""COMPUTED_VALUE"""),12.86)</f>
        <v>12.86</v>
      </c>
      <c r="C516" s="2">
        <f t="shared" ca="1" si="2"/>
        <v>-2.5757575757575746E-2</v>
      </c>
    </row>
    <row r="517" spans="1:3">
      <c r="A517" s="3">
        <f ca="1">IFERROR(__xludf.UNSUPPORTED("""COMPUTED_VALUE"""),44215.6666666666)</f>
        <v>44215.666666666599</v>
      </c>
      <c r="B517" s="1">
        <f ca="1">IFERROR(__xludf.UNSUPPORTED("""COMPUTED_VALUE"""),13.03)</f>
        <v>13.03</v>
      </c>
      <c r="C517" s="2">
        <f t="shared" ca="1" si="2"/>
        <v>1.3219284603421456E-2</v>
      </c>
    </row>
    <row r="518" spans="1:3">
      <c r="A518" s="3">
        <f ca="1">IFERROR(__xludf.UNSUPPORTED("""COMPUTED_VALUE"""),44216.6666666666)</f>
        <v>44216.666666666599</v>
      </c>
      <c r="B518" s="1">
        <f ca="1">IFERROR(__xludf.UNSUPPORTED("""COMPUTED_VALUE"""),13.37)</f>
        <v>13.37</v>
      </c>
      <c r="C518" s="2">
        <f t="shared" ca="1" si="2"/>
        <v>2.6093630084420557E-2</v>
      </c>
    </row>
    <row r="519" spans="1:3">
      <c r="A519" s="3">
        <f ca="1">IFERROR(__xludf.UNSUPPORTED("""COMPUTED_VALUE"""),44217.6666666666)</f>
        <v>44217.666666666599</v>
      </c>
      <c r="B519" s="1">
        <f ca="1">IFERROR(__xludf.UNSUPPORTED("""COMPUTED_VALUE"""),13.87)</f>
        <v>13.87</v>
      </c>
      <c r="C519" s="2">
        <f t="shared" ca="1" si="2"/>
        <v>3.7397157816005985E-2</v>
      </c>
    </row>
    <row r="520" spans="1:3">
      <c r="A520" s="3">
        <f ca="1">IFERROR(__xludf.UNSUPPORTED("""COMPUTED_VALUE"""),44218.6666666666)</f>
        <v>44218.666666666599</v>
      </c>
      <c r="B520" s="1">
        <f ca="1">IFERROR(__xludf.UNSUPPORTED("""COMPUTED_VALUE"""),13.71)</f>
        <v>13.71</v>
      </c>
      <c r="C520" s="2">
        <f t="shared" ca="1" si="2"/>
        <v>-1.15356885364094E-2</v>
      </c>
    </row>
    <row r="521" spans="1:3">
      <c r="A521" s="3">
        <f ca="1">IFERROR(__xludf.UNSUPPORTED("""COMPUTED_VALUE"""),44221.6666666666)</f>
        <v>44221.666666666599</v>
      </c>
      <c r="B521" s="1">
        <f ca="1">IFERROR(__xludf.UNSUPPORTED("""COMPUTED_VALUE"""),13.65)</f>
        <v>13.65</v>
      </c>
      <c r="C521" s="2">
        <f t="shared" ca="1" si="2"/>
        <v>-4.3763676148796862E-3</v>
      </c>
    </row>
    <row r="522" spans="1:3">
      <c r="A522" s="3">
        <f ca="1">IFERROR(__xludf.UNSUPPORTED("""COMPUTED_VALUE"""),44222.6666666666)</f>
        <v>44222.666666666599</v>
      </c>
      <c r="B522" s="1">
        <f ca="1">IFERROR(__xludf.UNSUPPORTED("""COMPUTED_VALUE"""),13.44)</f>
        <v>13.44</v>
      </c>
      <c r="C522" s="2">
        <f t="shared" ca="1" si="2"/>
        <v>-1.5384615384615446E-2</v>
      </c>
    </row>
    <row r="523" spans="1:3">
      <c r="A523" s="3">
        <f ca="1">IFERROR(__xludf.UNSUPPORTED("""COMPUTED_VALUE"""),44223.6666666666)</f>
        <v>44223.666666666599</v>
      </c>
      <c r="B523" s="1">
        <f ca="1">IFERROR(__xludf.UNSUPPORTED("""COMPUTED_VALUE"""),12.92)</f>
        <v>12.92</v>
      </c>
      <c r="C523" s="2">
        <f t="shared" ca="1" si="2"/>
        <v>-3.8690476190476157E-2</v>
      </c>
    </row>
    <row r="524" spans="1:3">
      <c r="A524" s="3">
        <f ca="1">IFERROR(__xludf.UNSUPPORTED("""COMPUTED_VALUE"""),44224.6666666666)</f>
        <v>44224.666666666599</v>
      </c>
      <c r="B524" s="1">
        <f ca="1">IFERROR(__xludf.UNSUPPORTED("""COMPUTED_VALUE"""),13.05)</f>
        <v>13.05</v>
      </c>
      <c r="C524" s="2">
        <f t="shared" ca="1" si="2"/>
        <v>1.0061919504644024E-2</v>
      </c>
    </row>
    <row r="525" spans="1:3">
      <c r="A525" s="3">
        <f ca="1">IFERROR(__xludf.UNSUPPORTED("""COMPUTED_VALUE"""),44225.6666666666)</f>
        <v>44225.666666666599</v>
      </c>
      <c r="B525" s="1">
        <f ca="1">IFERROR(__xludf.UNSUPPORTED("""COMPUTED_VALUE"""),12.99)</f>
        <v>12.99</v>
      </c>
      <c r="C525" s="2">
        <f t="shared" ca="1" si="2"/>
        <v>-4.5977011494253255E-3</v>
      </c>
    </row>
    <row r="526" spans="1:3">
      <c r="A526" s="3">
        <f ca="1">IFERROR(__xludf.UNSUPPORTED("""COMPUTED_VALUE"""),44228.6666666666)</f>
        <v>44228.666666666599</v>
      </c>
      <c r="B526" s="1">
        <f ca="1">IFERROR(__xludf.UNSUPPORTED("""COMPUTED_VALUE"""),13.24)</f>
        <v>13.24</v>
      </c>
      <c r="C526" s="2">
        <f t="shared" ca="1" si="2"/>
        <v>1.924557351809084E-2</v>
      </c>
    </row>
    <row r="527" spans="1:3">
      <c r="A527" s="3">
        <f ca="1">IFERROR(__xludf.UNSUPPORTED("""COMPUTED_VALUE"""),44229.6666666666)</f>
        <v>44229.666666666599</v>
      </c>
      <c r="B527" s="1">
        <f ca="1">IFERROR(__xludf.UNSUPPORTED("""COMPUTED_VALUE"""),13.56)</f>
        <v>13.56</v>
      </c>
      <c r="C527" s="2">
        <f t="shared" ca="1" si="2"/>
        <v>2.4169184290030232E-2</v>
      </c>
    </row>
    <row r="528" spans="1:3">
      <c r="A528" s="3">
        <f ca="1">IFERROR(__xludf.UNSUPPORTED("""COMPUTED_VALUE"""),44230.6666666666)</f>
        <v>44230.666666666599</v>
      </c>
      <c r="B528" s="1">
        <f ca="1">IFERROR(__xludf.UNSUPPORTED("""COMPUTED_VALUE"""),13.53)</f>
        <v>13.53</v>
      </c>
      <c r="C528" s="2">
        <f t="shared" ca="1" si="2"/>
        <v>-2.2123893805310571E-3</v>
      </c>
    </row>
    <row r="529" spans="1:3">
      <c r="A529" s="3">
        <f ca="1">IFERROR(__xludf.UNSUPPORTED("""COMPUTED_VALUE"""),44231.6666666666)</f>
        <v>44231.666666666599</v>
      </c>
      <c r="B529" s="1">
        <f ca="1">IFERROR(__xludf.UNSUPPORTED("""COMPUTED_VALUE"""),13.66)</f>
        <v>13.66</v>
      </c>
      <c r="C529" s="2">
        <f t="shared" ca="1" si="2"/>
        <v>9.6082779009608859E-3</v>
      </c>
    </row>
    <row r="530" spans="1:3">
      <c r="A530" s="3">
        <f ca="1">IFERROR(__xludf.UNSUPPORTED("""COMPUTED_VALUE"""),44232.6666666666)</f>
        <v>44232.666666666599</v>
      </c>
      <c r="B530" s="1">
        <f ca="1">IFERROR(__xludf.UNSUPPORTED("""COMPUTED_VALUE"""),13.59)</f>
        <v>13.59</v>
      </c>
      <c r="C530" s="2">
        <f t="shared" ca="1" si="2"/>
        <v>-5.1244509516837691E-3</v>
      </c>
    </row>
    <row r="531" spans="1:3">
      <c r="A531" s="3">
        <f ca="1">IFERROR(__xludf.UNSUPPORTED("""COMPUTED_VALUE"""),44235.6666666666)</f>
        <v>44235.666666666599</v>
      </c>
      <c r="B531" s="1">
        <f ca="1">IFERROR(__xludf.UNSUPPORTED("""COMPUTED_VALUE"""),14.44)</f>
        <v>14.44</v>
      </c>
      <c r="C531" s="2">
        <f t="shared" ca="1" si="2"/>
        <v>6.2545989698307547E-2</v>
      </c>
    </row>
    <row r="532" spans="1:3">
      <c r="A532" s="3">
        <f ca="1">IFERROR(__xludf.UNSUPPORTED("""COMPUTED_VALUE"""),44236.6666666666)</f>
        <v>44236.666666666599</v>
      </c>
      <c r="B532" s="1">
        <f ca="1">IFERROR(__xludf.UNSUPPORTED("""COMPUTED_VALUE"""),14.26)</f>
        <v>14.26</v>
      </c>
      <c r="C532" s="2">
        <f t="shared" ca="1" si="2"/>
        <v>-1.2465373961218818E-2</v>
      </c>
    </row>
    <row r="533" spans="1:3">
      <c r="A533" s="3">
        <f ca="1">IFERROR(__xludf.UNSUPPORTED("""COMPUTED_VALUE"""),44237.6666666666)</f>
        <v>44237.666666666599</v>
      </c>
      <c r="B533" s="1">
        <f ca="1">IFERROR(__xludf.UNSUPPORTED("""COMPUTED_VALUE"""),14.76)</f>
        <v>14.76</v>
      </c>
      <c r="C533" s="2">
        <f t="shared" ca="1" si="2"/>
        <v>3.5063113604488078E-2</v>
      </c>
    </row>
    <row r="534" spans="1:3">
      <c r="A534" s="3">
        <f ca="1">IFERROR(__xludf.UNSUPPORTED("""COMPUTED_VALUE"""),44238.6666666666)</f>
        <v>44238.666666666599</v>
      </c>
      <c r="B534" s="1">
        <f ca="1">IFERROR(__xludf.UNSUPPORTED("""COMPUTED_VALUE"""),15.25)</f>
        <v>15.25</v>
      </c>
      <c r="C534" s="2">
        <f t="shared" ca="1" si="2"/>
        <v>3.3197831978319797E-2</v>
      </c>
    </row>
    <row r="535" spans="1:3">
      <c r="A535" s="3">
        <f ca="1">IFERROR(__xludf.UNSUPPORTED("""COMPUTED_VALUE"""),44239.6666666666)</f>
        <v>44239.666666666599</v>
      </c>
      <c r="B535" s="1">
        <f ca="1">IFERROR(__xludf.UNSUPPORTED("""COMPUTED_VALUE"""),14.96)</f>
        <v>14.96</v>
      </c>
      <c r="C535" s="2">
        <f t="shared" ca="1" si="2"/>
        <v>-1.9016393442622896E-2</v>
      </c>
    </row>
    <row r="536" spans="1:3">
      <c r="A536" s="3">
        <f ca="1">IFERROR(__xludf.UNSUPPORTED("""COMPUTED_VALUE"""),44243.6666666666)</f>
        <v>44243.666666666599</v>
      </c>
      <c r="B536" s="1">
        <f ca="1">IFERROR(__xludf.UNSUPPORTED("""COMPUTED_VALUE"""),15.33)</f>
        <v>15.33</v>
      </c>
      <c r="C536" s="2">
        <f t="shared" ca="1" si="2"/>
        <v>2.4732620320855561E-2</v>
      </c>
    </row>
    <row r="537" spans="1:3">
      <c r="A537" s="3">
        <f ca="1">IFERROR(__xludf.UNSUPPORTED("""COMPUTED_VALUE"""),44244.6666666666)</f>
        <v>44244.666666666599</v>
      </c>
      <c r="B537" s="1">
        <f ca="1">IFERROR(__xludf.UNSUPPORTED("""COMPUTED_VALUE"""),14.91)</f>
        <v>14.91</v>
      </c>
      <c r="C537" s="2">
        <f t="shared" ca="1" si="2"/>
        <v>-2.7397260273972598E-2</v>
      </c>
    </row>
    <row r="538" spans="1:3">
      <c r="A538" s="3">
        <f ca="1">IFERROR(__xludf.UNSUPPORTED("""COMPUTED_VALUE"""),44245.6666666666)</f>
        <v>44245.666666666599</v>
      </c>
      <c r="B538" s="1">
        <f ca="1">IFERROR(__xludf.UNSUPPORTED("""COMPUTED_VALUE"""),14.83)</f>
        <v>14.83</v>
      </c>
      <c r="C538" s="2">
        <f t="shared" ca="1" si="2"/>
        <v>-5.3655264922870607E-3</v>
      </c>
    </row>
    <row r="539" spans="1:3">
      <c r="A539" s="3">
        <f ca="1">IFERROR(__xludf.UNSUPPORTED("""COMPUTED_VALUE"""),44246.6666666666)</f>
        <v>44246.666666666599</v>
      </c>
      <c r="B539" s="1">
        <f ca="1">IFERROR(__xludf.UNSUPPORTED("""COMPUTED_VALUE"""),14.93)</f>
        <v>14.93</v>
      </c>
      <c r="C539" s="2">
        <f t="shared" ca="1" si="2"/>
        <v>6.7430883344571577E-3</v>
      </c>
    </row>
    <row r="540" spans="1:3">
      <c r="A540" s="3">
        <f ca="1">IFERROR(__xludf.UNSUPPORTED("""COMPUTED_VALUE"""),44249.6666666666)</f>
        <v>44249.666666666599</v>
      </c>
      <c r="B540" s="1">
        <f ca="1">IFERROR(__xludf.UNSUPPORTED("""COMPUTED_VALUE"""),14.36)</f>
        <v>14.36</v>
      </c>
      <c r="C540" s="2">
        <f t="shared" ca="1" si="2"/>
        <v>-3.8178164768921656E-2</v>
      </c>
    </row>
    <row r="541" spans="1:3">
      <c r="A541" s="3">
        <f ca="1">IFERROR(__xludf.UNSUPPORTED("""COMPUTED_VALUE"""),44250.6666666666)</f>
        <v>44250.666666666599</v>
      </c>
      <c r="B541" s="1">
        <f ca="1">IFERROR(__xludf.UNSUPPORTED("""COMPUTED_VALUE"""),14.14)</f>
        <v>14.14</v>
      </c>
      <c r="C541" s="2">
        <f t="shared" ca="1" si="2"/>
        <v>-1.5320334261838361E-2</v>
      </c>
    </row>
    <row r="542" spans="1:3">
      <c r="A542" s="3">
        <f ca="1">IFERROR(__xludf.UNSUPPORTED("""COMPUTED_VALUE"""),44251.6666666666)</f>
        <v>44251.666666666599</v>
      </c>
      <c r="B542" s="1">
        <f ca="1">IFERROR(__xludf.UNSUPPORTED("""COMPUTED_VALUE"""),14.5)</f>
        <v>14.5</v>
      </c>
      <c r="C542" s="2">
        <f t="shared" ca="1" si="2"/>
        <v>2.5459688826025419E-2</v>
      </c>
    </row>
    <row r="543" spans="1:3">
      <c r="A543" s="3">
        <f ca="1">IFERROR(__xludf.UNSUPPORTED("""COMPUTED_VALUE"""),44252.6666666666)</f>
        <v>44252.666666666599</v>
      </c>
      <c r="B543" s="1">
        <f ca="1">IFERROR(__xludf.UNSUPPORTED("""COMPUTED_VALUE"""),13.31)</f>
        <v>13.31</v>
      </c>
      <c r="C543" s="2">
        <f t="shared" ca="1" si="2"/>
        <v>-8.2068965517241341E-2</v>
      </c>
    </row>
    <row r="544" spans="1:3">
      <c r="A544" s="3">
        <f ca="1">IFERROR(__xludf.UNSUPPORTED("""COMPUTED_VALUE"""),44253.6666666666)</f>
        <v>44253.666666666599</v>
      </c>
      <c r="B544" s="1">
        <f ca="1">IFERROR(__xludf.UNSUPPORTED("""COMPUTED_VALUE"""),13.71)</f>
        <v>13.71</v>
      </c>
      <c r="C544" s="2">
        <f t="shared" ca="1" si="2"/>
        <v>3.0052592036063135E-2</v>
      </c>
    </row>
    <row r="545" spans="1:3">
      <c r="A545" s="3">
        <f ca="1">IFERROR(__xludf.UNSUPPORTED("""COMPUTED_VALUE"""),44256.6666666666)</f>
        <v>44256.666666666599</v>
      </c>
      <c r="B545" s="1">
        <f ca="1">IFERROR(__xludf.UNSUPPORTED("""COMPUTED_VALUE"""),13.84)</f>
        <v>13.84</v>
      </c>
      <c r="C545" s="2">
        <f t="shared" ca="1" si="2"/>
        <v>9.4821298322391688E-3</v>
      </c>
    </row>
    <row r="546" spans="1:3">
      <c r="A546" s="3">
        <f ca="1">IFERROR(__xludf.UNSUPPORTED("""COMPUTED_VALUE"""),44257.6666666666)</f>
        <v>44257.666666666599</v>
      </c>
      <c r="B546" s="1">
        <f ca="1">IFERROR(__xludf.UNSUPPORTED("""COMPUTED_VALUE"""),13.41)</f>
        <v>13.41</v>
      </c>
      <c r="C546" s="2">
        <f t="shared" ca="1" si="2"/>
        <v>-3.1069364161849692E-2</v>
      </c>
    </row>
    <row r="547" spans="1:3">
      <c r="A547" s="3">
        <f ca="1">IFERROR(__xludf.UNSUPPORTED("""COMPUTED_VALUE"""),44258.6666666666)</f>
        <v>44258.666666666599</v>
      </c>
      <c r="B547" s="1">
        <f ca="1">IFERROR(__xludf.UNSUPPORTED("""COMPUTED_VALUE"""),12.8)</f>
        <v>12.8</v>
      </c>
      <c r="C547" s="2">
        <f t="shared" ca="1" si="2"/>
        <v>-4.548844146159578E-2</v>
      </c>
    </row>
    <row r="548" spans="1:3">
      <c r="A548" s="3">
        <f ca="1">IFERROR(__xludf.UNSUPPORTED("""COMPUTED_VALUE"""),44259.6666666666)</f>
        <v>44259.666666666599</v>
      </c>
      <c r="B548" s="1">
        <f ca="1">IFERROR(__xludf.UNSUPPORTED("""COMPUTED_VALUE"""),12.37)</f>
        <v>12.37</v>
      </c>
      <c r="C548" s="2">
        <f t="shared" ca="1" si="2"/>
        <v>-3.3593750000000117E-2</v>
      </c>
    </row>
    <row r="549" spans="1:3">
      <c r="A549" s="3">
        <f ca="1">IFERROR(__xludf.UNSUPPORTED("""COMPUTED_VALUE"""),44260.6666666666)</f>
        <v>44260.666666666599</v>
      </c>
      <c r="B549" s="1">
        <f ca="1">IFERROR(__xludf.UNSUPPORTED("""COMPUTED_VALUE"""),12.46)</f>
        <v>12.46</v>
      </c>
      <c r="C549" s="2">
        <f t="shared" ca="1" si="2"/>
        <v>7.2756669361359449E-3</v>
      </c>
    </row>
    <row r="550" spans="1:3">
      <c r="A550" s="3">
        <f ca="1">IFERROR(__xludf.UNSUPPORTED("""COMPUTED_VALUE"""),44263.6666666666)</f>
        <v>44263.666666666599</v>
      </c>
      <c r="B550" s="1">
        <f ca="1">IFERROR(__xludf.UNSUPPORTED("""COMPUTED_VALUE"""),11.59)</f>
        <v>11.59</v>
      </c>
      <c r="C550" s="2">
        <f t="shared" ca="1" si="2"/>
        <v>-6.9823434991974395E-2</v>
      </c>
    </row>
    <row r="551" spans="1:3">
      <c r="A551" s="3">
        <f ca="1">IFERROR(__xludf.UNSUPPORTED("""COMPUTED_VALUE"""),44264.6666666666)</f>
        <v>44264.666666666599</v>
      </c>
      <c r="B551" s="1">
        <f ca="1">IFERROR(__xludf.UNSUPPORTED("""COMPUTED_VALUE"""),12.52)</f>
        <v>12.52</v>
      </c>
      <c r="C551" s="2">
        <f t="shared" ca="1" si="2"/>
        <v>8.0241587575496098E-2</v>
      </c>
    </row>
    <row r="552" spans="1:3">
      <c r="A552" s="3">
        <f ca="1">IFERROR(__xludf.UNSUPPORTED("""COMPUTED_VALUE"""),44265.6666666666)</f>
        <v>44265.666666666599</v>
      </c>
      <c r="B552" s="1">
        <f ca="1">IFERROR(__xludf.UNSUPPORTED("""COMPUTED_VALUE"""),12.47)</f>
        <v>12.47</v>
      </c>
      <c r="C552" s="2">
        <f t="shared" ca="1" si="2"/>
        <v>-3.9936102236420874E-3</v>
      </c>
    </row>
    <row r="553" spans="1:3">
      <c r="A553" s="3">
        <f ca="1">IFERROR(__xludf.UNSUPPORTED("""COMPUTED_VALUE"""),44266.6666666666)</f>
        <v>44266.666666666599</v>
      </c>
      <c r="B553" s="1">
        <f ca="1">IFERROR(__xludf.UNSUPPORTED("""COMPUTED_VALUE"""),12.99)</f>
        <v>12.99</v>
      </c>
      <c r="C553" s="2">
        <f t="shared" ca="1" si="2"/>
        <v>4.1700080192461873E-2</v>
      </c>
    </row>
    <row r="554" spans="1:3">
      <c r="A554" s="3">
        <f ca="1">IFERROR(__xludf.UNSUPPORTED("""COMPUTED_VALUE"""),44267.6666666666)</f>
        <v>44267.666666666599</v>
      </c>
      <c r="B554" s="1">
        <f ca="1">IFERROR(__xludf.UNSUPPORTED("""COMPUTED_VALUE"""),12.86)</f>
        <v>12.86</v>
      </c>
      <c r="C554" s="2">
        <f t="shared" ca="1" si="2"/>
        <v>-1.0007698229407296E-2</v>
      </c>
    </row>
    <row r="555" spans="1:3">
      <c r="A555" s="3">
        <f ca="1">IFERROR(__xludf.UNSUPPORTED("""COMPUTED_VALUE"""),44270.6666666666)</f>
        <v>44270.666666666599</v>
      </c>
      <c r="B555" s="1">
        <f ca="1">IFERROR(__xludf.UNSUPPORTED("""COMPUTED_VALUE"""),13.19)</f>
        <v>13.19</v>
      </c>
      <c r="C555" s="2">
        <f t="shared" ca="1" si="2"/>
        <v>2.5660964230171078E-2</v>
      </c>
    </row>
    <row r="556" spans="1:3">
      <c r="A556" s="3">
        <f ca="1">IFERROR(__xludf.UNSUPPORTED("""COMPUTED_VALUE"""),44271.6666666666)</f>
        <v>44271.666666666599</v>
      </c>
      <c r="B556" s="1">
        <f ca="1">IFERROR(__xludf.UNSUPPORTED("""COMPUTED_VALUE"""),13.29)</f>
        <v>13.29</v>
      </c>
      <c r="C556" s="2">
        <f t="shared" ca="1" si="2"/>
        <v>7.5815011372251436E-3</v>
      </c>
    </row>
    <row r="557" spans="1:3">
      <c r="A557" s="3">
        <f ca="1">IFERROR(__xludf.UNSUPPORTED("""COMPUTED_VALUE"""),44272.6666666666)</f>
        <v>44272.666666666599</v>
      </c>
      <c r="B557" s="1">
        <f ca="1">IFERROR(__xludf.UNSUPPORTED("""COMPUTED_VALUE"""),13.34)</f>
        <v>13.34</v>
      </c>
      <c r="C557" s="2">
        <f t="shared" ca="1" si="2"/>
        <v>3.7622272385252607E-3</v>
      </c>
    </row>
    <row r="558" spans="1:3">
      <c r="A558" s="3">
        <f ca="1">IFERROR(__xludf.UNSUPPORTED("""COMPUTED_VALUE"""),44273.6666666666)</f>
        <v>44273.666666666599</v>
      </c>
      <c r="B558" s="1">
        <f ca="1">IFERROR(__xludf.UNSUPPORTED("""COMPUTED_VALUE"""),12.72)</f>
        <v>12.72</v>
      </c>
      <c r="C558" s="2">
        <f t="shared" ca="1" si="2"/>
        <v>-4.647676161919035E-2</v>
      </c>
    </row>
    <row r="559" spans="1:3">
      <c r="A559" s="3">
        <f ca="1">IFERROR(__xludf.UNSUPPORTED("""COMPUTED_VALUE"""),44274.6666666666)</f>
        <v>44274.666666666599</v>
      </c>
      <c r="B559" s="1">
        <f ca="1">IFERROR(__xludf.UNSUPPORTED("""COMPUTED_VALUE"""),12.85)</f>
        <v>12.85</v>
      </c>
      <c r="C559" s="2">
        <f t="shared" ca="1" si="2"/>
        <v>1.0220125786163443E-2</v>
      </c>
    </row>
    <row r="560" spans="1:3">
      <c r="A560" s="3">
        <f ca="1">IFERROR(__xludf.UNSUPPORTED("""COMPUTED_VALUE"""),44277.6666666666)</f>
        <v>44277.666666666599</v>
      </c>
      <c r="B560" s="1">
        <f ca="1">IFERROR(__xludf.UNSUPPORTED("""COMPUTED_VALUE"""),13.19)</f>
        <v>13.19</v>
      </c>
      <c r="C560" s="2">
        <f t="shared" ca="1" si="2"/>
        <v>2.6459143968871585E-2</v>
      </c>
    </row>
    <row r="561" spans="1:3">
      <c r="A561" s="3">
        <f ca="1">IFERROR(__xludf.UNSUPPORTED("""COMPUTED_VALUE"""),44278.6666666666)</f>
        <v>44278.666666666599</v>
      </c>
      <c r="B561" s="1">
        <f ca="1">IFERROR(__xludf.UNSUPPORTED("""COMPUTED_VALUE"""),13.07)</f>
        <v>13.07</v>
      </c>
      <c r="C561" s="2">
        <f t="shared" ca="1" si="2"/>
        <v>-9.0978013646701456E-3</v>
      </c>
    </row>
    <row r="562" spans="1:3">
      <c r="A562" s="3">
        <f ca="1">IFERROR(__xludf.UNSUPPORTED("""COMPUTED_VALUE"""),44279.6666666666)</f>
        <v>44279.666666666599</v>
      </c>
      <c r="B562" s="1">
        <f ca="1">IFERROR(__xludf.UNSUPPORTED("""COMPUTED_VALUE"""),12.64)</f>
        <v>12.64</v>
      </c>
      <c r="C562" s="2">
        <f t="shared" ca="1" si="2"/>
        <v>-3.2899770466717652E-2</v>
      </c>
    </row>
    <row r="563" spans="1:3">
      <c r="A563" s="3">
        <f ca="1">IFERROR(__xludf.UNSUPPORTED("""COMPUTED_VALUE"""),44280.6666666666)</f>
        <v>44280.666666666599</v>
      </c>
      <c r="B563" s="1">
        <f ca="1">IFERROR(__xludf.UNSUPPORTED("""COMPUTED_VALUE"""),12.54)</f>
        <v>12.54</v>
      </c>
      <c r="C563" s="2">
        <f t="shared" ca="1" si="2"/>
        <v>-7.9113924050634027E-3</v>
      </c>
    </row>
    <row r="564" spans="1:3">
      <c r="A564" s="3">
        <f ca="1">IFERROR(__xludf.UNSUPPORTED("""COMPUTED_VALUE"""),44281.6666666666)</f>
        <v>44281.666666666599</v>
      </c>
      <c r="B564" s="1">
        <f ca="1">IFERROR(__xludf.UNSUPPORTED("""COMPUTED_VALUE"""),12.84)</f>
        <v>12.84</v>
      </c>
      <c r="C564" s="2">
        <f t="shared" ca="1" si="2"/>
        <v>2.3923444976076614E-2</v>
      </c>
    </row>
    <row r="565" spans="1:3">
      <c r="A565" s="3">
        <f ca="1">IFERROR(__xludf.UNSUPPORTED("""COMPUTED_VALUE"""),44284.6666666666)</f>
        <v>44284.666666666599</v>
      </c>
      <c r="B565" s="1">
        <f ca="1">IFERROR(__xludf.UNSUPPORTED("""COMPUTED_VALUE"""),12.95)</f>
        <v>12.95</v>
      </c>
      <c r="C565" s="2">
        <f t="shared" ca="1" si="2"/>
        <v>8.5669781931463733E-3</v>
      </c>
    </row>
    <row r="566" spans="1:3">
      <c r="A566" s="3">
        <f ca="1">IFERROR(__xludf.UNSUPPORTED("""COMPUTED_VALUE"""),44285.6666666666)</f>
        <v>44285.666666666599</v>
      </c>
      <c r="B566" s="1">
        <f ca="1">IFERROR(__xludf.UNSUPPORTED("""COMPUTED_VALUE"""),12.87)</f>
        <v>12.87</v>
      </c>
      <c r="C566" s="2">
        <f t="shared" ca="1" si="2"/>
        <v>-6.1776061776061836E-3</v>
      </c>
    </row>
    <row r="567" spans="1:3">
      <c r="A567" s="3">
        <f ca="1">IFERROR(__xludf.UNSUPPORTED("""COMPUTED_VALUE"""),44286.6666666666)</f>
        <v>44286.666666666599</v>
      </c>
      <c r="B567" s="1">
        <f ca="1">IFERROR(__xludf.UNSUPPORTED("""COMPUTED_VALUE"""),13.35)</f>
        <v>13.35</v>
      </c>
      <c r="C567" s="2">
        <f t="shared" ca="1" si="2"/>
        <v>3.7296037296037331E-2</v>
      </c>
    </row>
    <row r="568" spans="1:3">
      <c r="A568" s="3">
        <f ca="1">IFERROR(__xludf.UNSUPPORTED("""COMPUTED_VALUE"""),44287.6666666666)</f>
        <v>44287.666666666599</v>
      </c>
      <c r="B568" s="1">
        <f ca="1">IFERROR(__xludf.UNSUPPORTED("""COMPUTED_VALUE"""),13.81)</f>
        <v>13.81</v>
      </c>
      <c r="C568" s="2">
        <f t="shared" ca="1" si="2"/>
        <v>3.4456928838951378E-2</v>
      </c>
    </row>
    <row r="569" spans="1:3">
      <c r="A569" s="3">
        <f ca="1">IFERROR(__xludf.UNSUPPORTED("""COMPUTED_VALUE"""),44291.6666666666)</f>
        <v>44291.666666666599</v>
      </c>
      <c r="B569" s="1">
        <f ca="1">IFERROR(__xludf.UNSUPPORTED("""COMPUTED_VALUE"""),13.99)</f>
        <v>13.99</v>
      </c>
      <c r="C569" s="2">
        <f t="shared" ca="1" si="2"/>
        <v>1.3034033309196214E-2</v>
      </c>
    </row>
    <row r="570" spans="1:3">
      <c r="A570" s="3">
        <f ca="1">IFERROR(__xludf.UNSUPPORTED("""COMPUTED_VALUE"""),44292.6666666666)</f>
        <v>44292.666666666599</v>
      </c>
      <c r="B570" s="1">
        <f ca="1">IFERROR(__xludf.UNSUPPORTED("""COMPUTED_VALUE"""),13.86)</f>
        <v>13.86</v>
      </c>
      <c r="C570" s="2">
        <f t="shared" ca="1" si="2"/>
        <v>-9.2923516797713216E-3</v>
      </c>
    </row>
    <row r="571" spans="1:3">
      <c r="A571" s="3">
        <f ca="1">IFERROR(__xludf.UNSUPPORTED("""COMPUTED_VALUE"""),44293.6666666666)</f>
        <v>44293.666666666599</v>
      </c>
      <c r="B571" s="1">
        <f ca="1">IFERROR(__xludf.UNSUPPORTED("""COMPUTED_VALUE"""),14.14)</f>
        <v>14.14</v>
      </c>
      <c r="C571" s="2">
        <f t="shared" ca="1" si="2"/>
        <v>2.0202020202020284E-2</v>
      </c>
    </row>
    <row r="572" spans="1:3">
      <c r="A572" s="3">
        <f ca="1">IFERROR(__xludf.UNSUPPORTED("""COMPUTED_VALUE"""),44294.6666666666)</f>
        <v>44294.666666666599</v>
      </c>
      <c r="B572" s="1">
        <f ca="1">IFERROR(__xludf.UNSUPPORTED("""COMPUTED_VALUE"""),14.32)</f>
        <v>14.32</v>
      </c>
      <c r="C572" s="2">
        <f t="shared" ca="1" si="2"/>
        <v>1.272984441301271E-2</v>
      </c>
    </row>
    <row r="573" spans="1:3">
      <c r="A573" s="3">
        <f ca="1">IFERROR(__xludf.UNSUPPORTED("""COMPUTED_VALUE"""),44295.6666666666)</f>
        <v>44295.666666666599</v>
      </c>
      <c r="B573" s="1">
        <f ca="1">IFERROR(__xludf.UNSUPPORTED("""COMPUTED_VALUE"""),14.4)</f>
        <v>14.4</v>
      </c>
      <c r="C573" s="2">
        <f t="shared" ca="1" si="2"/>
        <v>5.5865921787709542E-3</v>
      </c>
    </row>
    <row r="574" spans="1:3">
      <c r="A574" s="3">
        <f ca="1">IFERROR(__xludf.UNSUPPORTED("""COMPUTED_VALUE"""),44298.6666666666)</f>
        <v>44298.666666666599</v>
      </c>
      <c r="B574" s="1">
        <f ca="1">IFERROR(__xludf.UNSUPPORTED("""COMPUTED_VALUE"""),15.21)</f>
        <v>15.21</v>
      </c>
      <c r="C574" s="2">
        <f t="shared" ca="1" si="2"/>
        <v>5.6250000000000036E-2</v>
      </c>
    </row>
    <row r="575" spans="1:3">
      <c r="A575" s="3">
        <f ca="1">IFERROR(__xludf.UNSUPPORTED("""COMPUTED_VALUE"""),44299.6666666666)</f>
        <v>44299.666666666599</v>
      </c>
      <c r="B575" s="1">
        <f ca="1">IFERROR(__xludf.UNSUPPORTED("""COMPUTED_VALUE"""),15.68)</f>
        <v>15.68</v>
      </c>
      <c r="C575" s="2">
        <f t="shared" ca="1" si="2"/>
        <v>3.0900723208415439E-2</v>
      </c>
    </row>
    <row r="576" spans="1:3">
      <c r="A576" s="3">
        <f ca="1">IFERROR(__xludf.UNSUPPORTED("""COMPUTED_VALUE"""),44300.6666666666)</f>
        <v>44300.666666666599</v>
      </c>
      <c r="B576" s="1">
        <f ca="1">IFERROR(__xludf.UNSUPPORTED("""COMPUTED_VALUE"""),15.28)</f>
        <v>15.28</v>
      </c>
      <c r="C576" s="2">
        <f t="shared" ca="1" si="2"/>
        <v>-2.5510204081632678E-2</v>
      </c>
    </row>
    <row r="577" spans="1:3">
      <c r="A577" s="3">
        <f ca="1">IFERROR(__xludf.UNSUPPORTED("""COMPUTED_VALUE"""),44301.6666666666)</f>
        <v>44301.666666666599</v>
      </c>
      <c r="B577" s="1">
        <f ca="1">IFERROR(__xludf.UNSUPPORTED("""COMPUTED_VALUE"""),16.14)</f>
        <v>16.14</v>
      </c>
      <c r="C577" s="2">
        <f t="shared" ca="1" si="2"/>
        <v>5.6282722513089085E-2</v>
      </c>
    </row>
    <row r="578" spans="1:3">
      <c r="A578" s="3">
        <f ca="1">IFERROR(__xludf.UNSUPPORTED("""COMPUTED_VALUE"""),44302.6666666666)</f>
        <v>44302.666666666599</v>
      </c>
      <c r="B578" s="1">
        <f ca="1">IFERROR(__xludf.UNSUPPORTED("""COMPUTED_VALUE"""),15.91)</f>
        <v>15.91</v>
      </c>
      <c r="C578" s="2">
        <f t="shared" ca="1" si="2"/>
        <v>-1.4250309789343272E-2</v>
      </c>
    </row>
    <row r="579" spans="1:3">
      <c r="A579" s="3">
        <f ca="1">IFERROR(__xludf.UNSUPPORTED("""COMPUTED_VALUE"""),44305.6666666666)</f>
        <v>44305.666666666599</v>
      </c>
      <c r="B579" s="1">
        <f ca="1">IFERROR(__xludf.UNSUPPORTED("""COMPUTED_VALUE"""),15.36)</f>
        <v>15.36</v>
      </c>
      <c r="C579" s="2">
        <f t="shared" ca="1" si="2"/>
        <v>-3.4569453174104384E-2</v>
      </c>
    </row>
    <row r="580" spans="1:3">
      <c r="A580" s="3">
        <f ca="1">IFERROR(__xludf.UNSUPPORTED("""COMPUTED_VALUE"""),44306.6666666666)</f>
        <v>44306.666666666599</v>
      </c>
      <c r="B580" s="1">
        <f ca="1">IFERROR(__xludf.UNSUPPORTED("""COMPUTED_VALUE"""),15.17)</f>
        <v>15.17</v>
      </c>
      <c r="C580" s="2">
        <f t="shared" ca="1" si="2"/>
        <v>-1.2369791666666635E-2</v>
      </c>
    </row>
    <row r="581" spans="1:3">
      <c r="A581" s="3">
        <f ca="1">IFERROR(__xludf.UNSUPPORTED("""COMPUTED_VALUE"""),44307.6666666666)</f>
        <v>44307.666666666599</v>
      </c>
      <c r="B581" s="1">
        <f ca="1">IFERROR(__xludf.UNSUPPORTED("""COMPUTED_VALUE"""),15.36)</f>
        <v>15.36</v>
      </c>
      <c r="C581" s="2">
        <f t="shared" ca="1" si="2"/>
        <v>1.2524719841792979E-2</v>
      </c>
    </row>
    <row r="582" spans="1:3">
      <c r="A582" s="3">
        <f ca="1">IFERROR(__xludf.UNSUPPORTED("""COMPUTED_VALUE"""),44308.6666666666)</f>
        <v>44308.666666666599</v>
      </c>
      <c r="B582" s="1">
        <f ca="1">IFERROR(__xludf.UNSUPPORTED("""COMPUTED_VALUE"""),14.85)</f>
        <v>14.85</v>
      </c>
      <c r="C582" s="2">
        <f t="shared" ca="1" si="2"/>
        <v>-3.3203124999999986E-2</v>
      </c>
    </row>
    <row r="583" spans="1:3">
      <c r="A583" s="3">
        <f ca="1">IFERROR(__xludf.UNSUPPORTED("""COMPUTED_VALUE"""),44309.6666666666)</f>
        <v>44309.666666666599</v>
      </c>
      <c r="B583" s="1">
        <f ca="1">IFERROR(__xludf.UNSUPPORTED("""COMPUTED_VALUE"""),15.27)</f>
        <v>15.27</v>
      </c>
      <c r="C583" s="2">
        <f t="shared" ca="1" si="2"/>
        <v>2.8282828282828278E-2</v>
      </c>
    </row>
    <row r="584" spans="1:3">
      <c r="A584" s="3">
        <f ca="1">IFERROR(__xludf.UNSUPPORTED("""COMPUTED_VALUE"""),44312.6666666666)</f>
        <v>44312.666666666599</v>
      </c>
      <c r="B584" s="1">
        <f ca="1">IFERROR(__xludf.UNSUPPORTED("""COMPUTED_VALUE"""),15.48)</f>
        <v>15.48</v>
      </c>
      <c r="C584" s="2">
        <f t="shared" ca="1" si="2"/>
        <v>1.3752455795677855E-2</v>
      </c>
    </row>
    <row r="585" spans="1:3">
      <c r="A585" s="3">
        <f ca="1">IFERROR(__xludf.UNSUPPORTED("""COMPUTED_VALUE"""),44313.6666666666)</f>
        <v>44313.666666666599</v>
      </c>
      <c r="B585" s="1">
        <f ca="1">IFERROR(__xludf.UNSUPPORTED("""COMPUTED_VALUE"""),15.38)</f>
        <v>15.38</v>
      </c>
      <c r="C585" s="2">
        <f t="shared" ca="1" si="2"/>
        <v>-6.4599483204134138E-3</v>
      </c>
    </row>
    <row r="586" spans="1:3">
      <c r="A586" s="3">
        <f ca="1">IFERROR(__xludf.UNSUPPORTED("""COMPUTED_VALUE"""),44314.6666666666)</f>
        <v>44314.666666666599</v>
      </c>
      <c r="B586" s="1">
        <f ca="1">IFERROR(__xludf.UNSUPPORTED("""COMPUTED_VALUE"""),15.28)</f>
        <v>15.28</v>
      </c>
      <c r="C586" s="2">
        <f t="shared" ca="1" si="2"/>
        <v>-6.5019505851756443E-3</v>
      </c>
    </row>
    <row r="587" spans="1:3">
      <c r="A587" s="3">
        <f ca="1">IFERROR(__xludf.UNSUPPORTED("""COMPUTED_VALUE"""),44315.6666666666)</f>
        <v>44315.666666666599</v>
      </c>
      <c r="B587" s="1">
        <f ca="1">IFERROR(__xludf.UNSUPPORTED("""COMPUTED_VALUE"""),15.32)</f>
        <v>15.32</v>
      </c>
      <c r="C587" s="2">
        <f t="shared" ca="1" si="2"/>
        <v>2.6178010471204793E-3</v>
      </c>
    </row>
    <row r="588" spans="1:3">
      <c r="A588" s="3">
        <f ca="1">IFERROR(__xludf.UNSUPPORTED("""COMPUTED_VALUE"""),44316.6666666666)</f>
        <v>44316.666666666599</v>
      </c>
      <c r="B588" s="1">
        <f ca="1">IFERROR(__xludf.UNSUPPORTED("""COMPUTED_VALUE"""),15.01)</f>
        <v>15.01</v>
      </c>
      <c r="C588" s="2">
        <f t="shared" ca="1" si="2"/>
        <v>-2.0234986945169744E-2</v>
      </c>
    </row>
    <row r="589" spans="1:3">
      <c r="A589" s="3">
        <f ca="1">IFERROR(__xludf.UNSUPPORTED("""COMPUTED_VALUE"""),44319.6666666666)</f>
        <v>44319.666666666599</v>
      </c>
      <c r="B589" s="1">
        <f ca="1">IFERROR(__xludf.UNSUPPORTED("""COMPUTED_VALUE"""),14.84)</f>
        <v>14.84</v>
      </c>
      <c r="C589" s="2">
        <f t="shared" ca="1" si="2"/>
        <v>-1.1325782811459023E-2</v>
      </c>
    </row>
    <row r="590" spans="1:3">
      <c r="A590" s="3">
        <f ca="1">IFERROR(__xludf.UNSUPPORTED("""COMPUTED_VALUE"""),44320.6666666666)</f>
        <v>44320.666666666599</v>
      </c>
      <c r="B590" s="1">
        <f ca="1">IFERROR(__xludf.UNSUPPORTED("""COMPUTED_VALUE"""),14.35)</f>
        <v>14.35</v>
      </c>
      <c r="C590" s="2">
        <f t="shared" ca="1" si="2"/>
        <v>-3.3018867924528315E-2</v>
      </c>
    </row>
    <row r="591" spans="1:3">
      <c r="A591" s="3">
        <f ca="1">IFERROR(__xludf.UNSUPPORTED("""COMPUTED_VALUE"""),44321.6666666666)</f>
        <v>44321.666666666599</v>
      </c>
      <c r="B591" s="1">
        <f ca="1">IFERROR(__xludf.UNSUPPORTED("""COMPUTED_VALUE"""),14.46)</f>
        <v>14.46</v>
      </c>
      <c r="C591" s="2">
        <f t="shared" ca="1" si="2"/>
        <v>7.6655052264809204E-3</v>
      </c>
    </row>
    <row r="592" spans="1:3">
      <c r="A592" s="3">
        <f ca="1">IFERROR(__xludf.UNSUPPORTED("""COMPUTED_VALUE"""),44322.6666666666)</f>
        <v>44322.666666666599</v>
      </c>
      <c r="B592" s="1">
        <f ca="1">IFERROR(__xludf.UNSUPPORTED("""COMPUTED_VALUE"""),14.52)</f>
        <v>14.52</v>
      </c>
      <c r="C592" s="2">
        <f t="shared" ca="1" si="2"/>
        <v>4.1493775933609074E-3</v>
      </c>
    </row>
    <row r="593" spans="1:3">
      <c r="A593" s="3">
        <f ca="1">IFERROR(__xludf.UNSUPPORTED("""COMPUTED_VALUE"""),44323.6666666666)</f>
        <v>44323.666666666599</v>
      </c>
      <c r="B593" s="1">
        <f ca="1">IFERROR(__xludf.UNSUPPORTED("""COMPUTED_VALUE"""),14.81)</f>
        <v>14.81</v>
      </c>
      <c r="C593" s="2">
        <f t="shared" ca="1" si="2"/>
        <v>1.9972451790633672E-2</v>
      </c>
    </row>
    <row r="594" spans="1:3">
      <c r="A594" s="3">
        <f ca="1">IFERROR(__xludf.UNSUPPORTED("""COMPUTED_VALUE"""),44326.6666666666)</f>
        <v>44326.666666666599</v>
      </c>
      <c r="B594" s="1">
        <f ca="1">IFERROR(__xludf.UNSUPPORTED("""COMPUTED_VALUE"""),14.27)</f>
        <v>14.27</v>
      </c>
      <c r="C594" s="2">
        <f t="shared" ca="1" si="2"/>
        <v>-3.6461850101282979E-2</v>
      </c>
    </row>
    <row r="595" spans="1:3">
      <c r="A595" s="3">
        <f ca="1">IFERROR(__xludf.UNSUPPORTED("""COMPUTED_VALUE"""),44327.6666666666)</f>
        <v>44327.666666666599</v>
      </c>
      <c r="B595" s="1">
        <f ca="1">IFERROR(__xludf.UNSUPPORTED("""COMPUTED_VALUE"""),14.31)</f>
        <v>14.31</v>
      </c>
      <c r="C595" s="2">
        <f t="shared" ca="1" si="2"/>
        <v>2.8030833917309689E-3</v>
      </c>
    </row>
    <row r="596" spans="1:3">
      <c r="A596" s="3">
        <f ca="1">IFERROR(__xludf.UNSUPPORTED("""COMPUTED_VALUE"""),44328.6666666666)</f>
        <v>44328.666666666599</v>
      </c>
      <c r="B596" s="1">
        <f ca="1">IFERROR(__xludf.UNSUPPORTED("""COMPUTED_VALUE"""),13.76)</f>
        <v>13.76</v>
      </c>
      <c r="C596" s="2">
        <f t="shared" ca="1" si="2"/>
        <v>-3.8434661076170558E-2</v>
      </c>
    </row>
    <row r="597" spans="1:3">
      <c r="A597" s="3">
        <f ca="1">IFERROR(__xludf.UNSUPPORTED("""COMPUTED_VALUE"""),44329.6666666666)</f>
        <v>44329.666666666599</v>
      </c>
      <c r="B597" s="1">
        <f ca="1">IFERROR(__xludf.UNSUPPORTED("""COMPUTED_VALUE"""),13.67)</f>
        <v>13.67</v>
      </c>
      <c r="C597" s="2">
        <f t="shared" ca="1" si="2"/>
        <v>-6.5406976744185946E-3</v>
      </c>
    </row>
    <row r="598" spans="1:3">
      <c r="A598" s="3">
        <f ca="1">IFERROR(__xludf.UNSUPPORTED("""COMPUTED_VALUE"""),44330.6666666666)</f>
        <v>44330.666666666599</v>
      </c>
      <c r="B598" s="1">
        <f ca="1">IFERROR(__xludf.UNSUPPORTED("""COMPUTED_VALUE"""),14.24)</f>
        <v>14.24</v>
      </c>
      <c r="C598" s="2">
        <f t="shared" ca="1" si="2"/>
        <v>4.1697147037307994E-2</v>
      </c>
    </row>
    <row r="599" spans="1:3">
      <c r="A599" s="3">
        <f ca="1">IFERROR(__xludf.UNSUPPORTED("""COMPUTED_VALUE"""),44333.6666666666)</f>
        <v>44333.666666666599</v>
      </c>
      <c r="B599" s="1">
        <f ca="1">IFERROR(__xludf.UNSUPPORTED("""COMPUTED_VALUE"""),14.17)</f>
        <v>14.17</v>
      </c>
      <c r="C599" s="2">
        <f t="shared" ca="1" si="2"/>
        <v>-4.9157303370786715E-3</v>
      </c>
    </row>
    <row r="600" spans="1:3">
      <c r="A600" s="3">
        <f ca="1">IFERROR(__xludf.UNSUPPORTED("""COMPUTED_VALUE"""),44334.6666666666)</f>
        <v>44334.666666666599</v>
      </c>
      <c r="B600" s="1">
        <f ca="1">IFERROR(__xludf.UNSUPPORTED("""COMPUTED_VALUE"""),14.02)</f>
        <v>14.02</v>
      </c>
      <c r="C600" s="2">
        <f t="shared" ca="1" si="2"/>
        <v>-1.0585744530698684E-2</v>
      </c>
    </row>
    <row r="601" spans="1:3">
      <c r="A601" s="3">
        <f ca="1">IFERROR(__xludf.UNSUPPORTED("""COMPUTED_VALUE"""),44335.6666666666)</f>
        <v>44335.666666666599</v>
      </c>
      <c r="B601" s="1">
        <f ca="1">IFERROR(__xludf.UNSUPPORTED("""COMPUTED_VALUE"""),14.07)</f>
        <v>14.07</v>
      </c>
      <c r="C601" s="2">
        <f t="shared" ca="1" si="2"/>
        <v>3.5663338088445587E-3</v>
      </c>
    </row>
    <row r="602" spans="1:3">
      <c r="A602" s="3">
        <f ca="1">IFERROR(__xludf.UNSUPPORTED("""COMPUTED_VALUE"""),44336.6666666666)</f>
        <v>44336.666666666599</v>
      </c>
      <c r="B602" s="1">
        <f ca="1">IFERROR(__xludf.UNSUPPORTED("""COMPUTED_VALUE"""),14.61)</f>
        <v>14.61</v>
      </c>
      <c r="C602" s="2">
        <f t="shared" ca="1" si="2"/>
        <v>3.837953091684429E-2</v>
      </c>
    </row>
    <row r="603" spans="1:3">
      <c r="A603" s="3">
        <f ca="1">IFERROR(__xludf.UNSUPPORTED("""COMPUTED_VALUE"""),44337.6666666666)</f>
        <v>44337.666666666599</v>
      </c>
      <c r="B603" s="1">
        <f ca="1">IFERROR(__xludf.UNSUPPORTED("""COMPUTED_VALUE"""),14.99)</f>
        <v>14.99</v>
      </c>
      <c r="C603" s="2">
        <f t="shared" ca="1" si="2"/>
        <v>2.6009582477755016E-2</v>
      </c>
    </row>
    <row r="604" spans="1:3">
      <c r="A604" s="3">
        <f ca="1">IFERROR(__xludf.UNSUPPORTED("""COMPUTED_VALUE"""),44340.6666666666)</f>
        <v>44340.666666666599</v>
      </c>
      <c r="B604" s="1">
        <f ca="1">IFERROR(__xludf.UNSUPPORTED("""COMPUTED_VALUE"""),15.61)</f>
        <v>15.61</v>
      </c>
      <c r="C604" s="2">
        <f t="shared" ca="1" si="2"/>
        <v>4.1360907271514293E-2</v>
      </c>
    </row>
    <row r="605" spans="1:3">
      <c r="A605" s="3">
        <f ca="1">IFERROR(__xludf.UNSUPPORTED("""COMPUTED_VALUE"""),44341.6666666666)</f>
        <v>44341.666666666599</v>
      </c>
      <c r="B605" s="1">
        <f ca="1">IFERROR(__xludf.UNSUPPORTED("""COMPUTED_VALUE"""),15.65)</f>
        <v>15.65</v>
      </c>
      <c r="C605" s="2">
        <f t="shared" ca="1" si="2"/>
        <v>2.5624599615631598E-3</v>
      </c>
    </row>
    <row r="606" spans="1:3">
      <c r="A606" s="3">
        <f ca="1">IFERROR(__xludf.UNSUPPORTED("""COMPUTED_VALUE"""),44342.6666666666)</f>
        <v>44342.666666666599</v>
      </c>
      <c r="B606" s="1">
        <f ca="1">IFERROR(__xludf.UNSUPPORTED("""COMPUTED_VALUE"""),15.7)</f>
        <v>15.7</v>
      </c>
      <c r="C606" s="2">
        <f t="shared" ca="1" si="2"/>
        <v>3.1948881789136698E-3</v>
      </c>
    </row>
    <row r="607" spans="1:3">
      <c r="A607" s="3">
        <f ca="1">IFERROR(__xludf.UNSUPPORTED("""COMPUTED_VALUE"""),44343.6666666666)</f>
        <v>44343.666666666599</v>
      </c>
      <c r="B607" s="1">
        <f ca="1">IFERROR(__xludf.UNSUPPORTED("""COMPUTED_VALUE"""),15.49)</f>
        <v>15.49</v>
      </c>
      <c r="C607" s="2">
        <f t="shared" ca="1" si="2"/>
        <v>-1.3375796178343891E-2</v>
      </c>
    </row>
    <row r="608" spans="1:3">
      <c r="A608" s="3">
        <f ca="1">IFERROR(__xludf.UNSUPPORTED("""COMPUTED_VALUE"""),44344.6666666666)</f>
        <v>44344.666666666599</v>
      </c>
      <c r="B608" s="1">
        <f ca="1">IFERROR(__xludf.UNSUPPORTED("""COMPUTED_VALUE"""),16.24)</f>
        <v>16.239999999999998</v>
      </c>
      <c r="C608" s="2">
        <f t="shared" ca="1" si="2"/>
        <v>4.8418334409296201E-2</v>
      </c>
    </row>
    <row r="609" spans="1:3">
      <c r="A609" s="3">
        <f ca="1">IFERROR(__xludf.UNSUPPORTED("""COMPUTED_VALUE"""),44348.6666666666)</f>
        <v>44348.666666666599</v>
      </c>
      <c r="B609" s="1">
        <f ca="1">IFERROR(__xludf.UNSUPPORTED("""COMPUTED_VALUE"""),16.26)</f>
        <v>16.260000000000002</v>
      </c>
      <c r="C609" s="2">
        <f t="shared" ca="1" si="2"/>
        <v>1.2315270935962517E-3</v>
      </c>
    </row>
    <row r="610" spans="1:3">
      <c r="A610" s="3">
        <f ca="1">IFERROR(__xludf.UNSUPPORTED("""COMPUTED_VALUE"""),44349.6666666666)</f>
        <v>44349.666666666599</v>
      </c>
      <c r="B610" s="1">
        <f ca="1">IFERROR(__xludf.UNSUPPORTED("""COMPUTED_VALUE"""),16.78)</f>
        <v>16.78</v>
      </c>
      <c r="C610" s="2">
        <f t="shared" ca="1" si="2"/>
        <v>3.1980319803198001E-2</v>
      </c>
    </row>
    <row r="611" spans="1:3">
      <c r="A611" s="3">
        <f ca="1">IFERROR(__xludf.UNSUPPORTED("""COMPUTED_VALUE"""),44350.6666666666)</f>
        <v>44350.666666666599</v>
      </c>
      <c r="B611" s="1">
        <f ca="1">IFERROR(__xludf.UNSUPPORTED("""COMPUTED_VALUE"""),16.97)</f>
        <v>16.97</v>
      </c>
      <c r="C611" s="2">
        <f t="shared" ca="1" si="2"/>
        <v>1.1323003575685204E-2</v>
      </c>
    </row>
    <row r="612" spans="1:3">
      <c r="A612" s="3">
        <f ca="1">IFERROR(__xludf.UNSUPPORTED("""COMPUTED_VALUE"""),44351.6666666666)</f>
        <v>44351.666666666599</v>
      </c>
      <c r="B612" s="1">
        <f ca="1">IFERROR(__xludf.UNSUPPORTED("""COMPUTED_VALUE"""),17.58)</f>
        <v>17.579999999999998</v>
      </c>
      <c r="C612" s="2">
        <f t="shared" ca="1" si="2"/>
        <v>3.5945786682380639E-2</v>
      </c>
    </row>
    <row r="613" spans="1:3">
      <c r="A613" s="3">
        <f ca="1">IFERROR(__xludf.UNSUPPORTED("""COMPUTED_VALUE"""),44354.6666666666)</f>
        <v>44354.666666666599</v>
      </c>
      <c r="B613" s="1">
        <f ca="1">IFERROR(__xludf.UNSUPPORTED("""COMPUTED_VALUE"""),17.62)</f>
        <v>17.62</v>
      </c>
      <c r="C613" s="2">
        <f t="shared" ca="1" si="2"/>
        <v>2.2753128555177875E-3</v>
      </c>
    </row>
    <row r="614" spans="1:3">
      <c r="A614" s="3">
        <f ca="1">IFERROR(__xludf.UNSUPPORTED("""COMPUTED_VALUE"""),44355.6666666666)</f>
        <v>44355.666666666599</v>
      </c>
      <c r="B614" s="1">
        <f ca="1">IFERROR(__xludf.UNSUPPORTED("""COMPUTED_VALUE"""),17.46)</f>
        <v>17.46</v>
      </c>
      <c r="C614" s="2">
        <f t="shared" ca="1" si="2"/>
        <v>-9.0805902383655004E-3</v>
      </c>
    </row>
    <row r="615" spans="1:3">
      <c r="A615" s="3">
        <f ca="1">IFERROR(__xludf.UNSUPPORTED("""COMPUTED_VALUE"""),44356.6666666666)</f>
        <v>44356.666666666599</v>
      </c>
      <c r="B615" s="1">
        <f ca="1">IFERROR(__xludf.UNSUPPORTED("""COMPUTED_VALUE"""),17.36)</f>
        <v>17.36</v>
      </c>
      <c r="C615" s="2">
        <f t="shared" ca="1" si="2"/>
        <v>-5.7273768613975611E-3</v>
      </c>
    </row>
    <row r="616" spans="1:3">
      <c r="A616" s="3">
        <f ca="1">IFERROR(__xludf.UNSUPPORTED("""COMPUTED_VALUE"""),44357.6666666666)</f>
        <v>44357.666666666599</v>
      </c>
      <c r="B616" s="1">
        <f ca="1">IFERROR(__xludf.UNSUPPORTED("""COMPUTED_VALUE"""),17.43)</f>
        <v>17.43</v>
      </c>
      <c r="C616" s="2">
        <f t="shared" ca="1" si="2"/>
        <v>4.0322580645161454E-3</v>
      </c>
    </row>
    <row r="617" spans="1:3">
      <c r="A617" s="3">
        <f ca="1">IFERROR(__xludf.UNSUPPORTED("""COMPUTED_VALUE"""),44358.6666666666)</f>
        <v>44358.666666666599</v>
      </c>
      <c r="B617" s="1">
        <f ca="1">IFERROR(__xludf.UNSUPPORTED("""COMPUTED_VALUE"""),17.83)</f>
        <v>17.829999999999998</v>
      </c>
      <c r="C617" s="2">
        <f t="shared" ca="1" si="2"/>
        <v>2.2948938611589132E-2</v>
      </c>
    </row>
    <row r="618" spans="1:3">
      <c r="A618" s="3">
        <f ca="1">IFERROR(__xludf.UNSUPPORTED("""COMPUTED_VALUE"""),44361.6666666666)</f>
        <v>44361.666666666599</v>
      </c>
      <c r="B618" s="1">
        <f ca="1">IFERROR(__xludf.UNSUPPORTED("""COMPUTED_VALUE"""),18.02)</f>
        <v>18.02</v>
      </c>
      <c r="C618" s="2">
        <f t="shared" ca="1" si="2"/>
        <v>1.0656197420078593E-2</v>
      </c>
    </row>
    <row r="619" spans="1:3">
      <c r="A619" s="3">
        <f ca="1">IFERROR(__xludf.UNSUPPORTED("""COMPUTED_VALUE"""),44362.6666666666)</f>
        <v>44362.666666666599</v>
      </c>
      <c r="B619" s="1">
        <f ca="1">IFERROR(__xludf.UNSUPPORTED("""COMPUTED_VALUE"""),17.79)</f>
        <v>17.79</v>
      </c>
      <c r="C619" s="2">
        <f t="shared" ca="1" si="2"/>
        <v>-1.2763596004439536E-2</v>
      </c>
    </row>
    <row r="620" spans="1:3">
      <c r="A620" s="3">
        <f ca="1">IFERROR(__xludf.UNSUPPORTED("""COMPUTED_VALUE"""),44363.6666666666)</f>
        <v>44363.666666666599</v>
      </c>
      <c r="B620" s="1">
        <f ca="1">IFERROR(__xludf.UNSUPPORTED("""COMPUTED_VALUE"""),17.81)</f>
        <v>17.809999999999999</v>
      </c>
      <c r="C620" s="2">
        <f t="shared" ca="1" si="2"/>
        <v>1.1242270938729385E-3</v>
      </c>
    </row>
    <row r="621" spans="1:3">
      <c r="A621" s="3">
        <f ca="1">IFERROR(__xludf.UNSUPPORTED("""COMPUTED_VALUE"""),44364.6666666666)</f>
        <v>44364.666666666599</v>
      </c>
      <c r="B621" s="1">
        <f ca="1">IFERROR(__xludf.UNSUPPORTED("""COMPUTED_VALUE"""),18.66)</f>
        <v>18.66</v>
      </c>
      <c r="C621" s="2">
        <f t="shared" ca="1" si="2"/>
        <v>4.7725996631106202E-2</v>
      </c>
    </row>
    <row r="622" spans="1:3">
      <c r="A622" s="3">
        <f ca="1">IFERROR(__xludf.UNSUPPORTED("""COMPUTED_VALUE"""),44365.6666666666)</f>
        <v>44365.666666666599</v>
      </c>
      <c r="B622" s="1">
        <f ca="1">IFERROR(__xludf.UNSUPPORTED("""COMPUTED_VALUE"""),18.64)</f>
        <v>18.64</v>
      </c>
      <c r="C622" s="2">
        <f t="shared" ca="1" si="2"/>
        <v>-1.0718113612004059E-3</v>
      </c>
    </row>
    <row r="623" spans="1:3">
      <c r="A623" s="3">
        <f ca="1">IFERROR(__xludf.UNSUPPORTED("""COMPUTED_VALUE"""),44368.6666666666)</f>
        <v>44368.666666666599</v>
      </c>
      <c r="B623" s="1">
        <f ca="1">IFERROR(__xludf.UNSUPPORTED("""COMPUTED_VALUE"""),18.43)</f>
        <v>18.43</v>
      </c>
      <c r="C623" s="2">
        <f t="shared" ca="1" si="2"/>
        <v>-1.1266094420600904E-2</v>
      </c>
    </row>
    <row r="624" spans="1:3">
      <c r="A624" s="3">
        <f ca="1">IFERROR(__xludf.UNSUPPORTED("""COMPUTED_VALUE"""),44369.6666666666)</f>
        <v>44369.666666666599</v>
      </c>
      <c r="B624" s="1">
        <f ca="1">IFERROR(__xludf.UNSUPPORTED("""COMPUTED_VALUE"""),18.89)</f>
        <v>18.89</v>
      </c>
      <c r="C624" s="2">
        <f t="shared" ca="1" si="2"/>
        <v>2.4959305480195381E-2</v>
      </c>
    </row>
    <row r="625" spans="1:3">
      <c r="A625" s="3">
        <f ca="1">IFERROR(__xludf.UNSUPPORTED("""COMPUTED_VALUE"""),44370.6666666666)</f>
        <v>44370.666666666599</v>
      </c>
      <c r="B625" s="1">
        <f ca="1">IFERROR(__xludf.UNSUPPORTED("""COMPUTED_VALUE"""),19.06)</f>
        <v>19.059999999999999</v>
      </c>
      <c r="C625" s="2">
        <f t="shared" ca="1" si="2"/>
        <v>8.9994706193752324E-3</v>
      </c>
    </row>
    <row r="626" spans="1:3">
      <c r="A626" s="3">
        <f ca="1">IFERROR(__xludf.UNSUPPORTED("""COMPUTED_VALUE"""),44371.6666666666)</f>
        <v>44371.666666666599</v>
      </c>
      <c r="B626" s="1">
        <f ca="1">IFERROR(__xludf.UNSUPPORTED("""COMPUTED_VALUE"""),19.21)</f>
        <v>19.21</v>
      </c>
      <c r="C626" s="2">
        <f t="shared" ca="1" si="2"/>
        <v>7.8698845750263449E-3</v>
      </c>
    </row>
    <row r="627" spans="1:3">
      <c r="A627" s="3">
        <f ca="1">IFERROR(__xludf.UNSUPPORTED("""COMPUTED_VALUE"""),44372.6666666666)</f>
        <v>44372.666666666599</v>
      </c>
      <c r="B627" s="1">
        <f ca="1">IFERROR(__xludf.UNSUPPORTED("""COMPUTED_VALUE"""),19.03)</f>
        <v>19.03</v>
      </c>
      <c r="C627" s="2">
        <f t="shared" ca="1" si="2"/>
        <v>-9.3701197293076365E-3</v>
      </c>
    </row>
    <row r="628" spans="1:3">
      <c r="A628" s="3">
        <f ca="1">IFERROR(__xludf.UNSUPPORTED("""COMPUTED_VALUE"""),44375.6666666666)</f>
        <v>44375.666666666599</v>
      </c>
      <c r="B628" s="1">
        <f ca="1">IFERROR(__xludf.UNSUPPORTED("""COMPUTED_VALUE"""),19.99)</f>
        <v>19.989999999999998</v>
      </c>
      <c r="C628" s="2">
        <f t="shared" ca="1" si="2"/>
        <v>5.0446663163426025E-2</v>
      </c>
    </row>
    <row r="629" spans="1:3">
      <c r="A629" s="3">
        <f ca="1">IFERROR(__xludf.UNSUPPORTED("""COMPUTED_VALUE"""),44376.6666666666)</f>
        <v>44376.666666666599</v>
      </c>
      <c r="B629" s="1">
        <f ca="1">IFERROR(__xludf.UNSUPPORTED("""COMPUTED_VALUE"""),20.03)</f>
        <v>20.03</v>
      </c>
      <c r="C629" s="2">
        <f t="shared" ca="1" si="2"/>
        <v>2.0010005002502602E-3</v>
      </c>
    </row>
    <row r="630" spans="1:3">
      <c r="A630" s="3">
        <f ca="1">IFERROR(__xludf.UNSUPPORTED("""COMPUTED_VALUE"""),44377.6666666666)</f>
        <v>44377.666666666599</v>
      </c>
      <c r="B630" s="1">
        <f ca="1">IFERROR(__xludf.UNSUPPORTED("""COMPUTED_VALUE"""),20)</f>
        <v>20</v>
      </c>
      <c r="C630" s="2">
        <f t="shared" ca="1" si="2"/>
        <v>-1.4977533699451391E-3</v>
      </c>
    </row>
    <row r="631" spans="1:3">
      <c r="A631" s="3">
        <f ca="1">IFERROR(__xludf.UNSUPPORTED("""COMPUTED_VALUE"""),44378.6666666666)</f>
        <v>44378.666666666599</v>
      </c>
      <c r="B631" s="1">
        <f ca="1">IFERROR(__xludf.UNSUPPORTED("""COMPUTED_VALUE"""),20.21)</f>
        <v>20.21</v>
      </c>
      <c r="C631" s="2">
        <f t="shared" ca="1" si="2"/>
        <v>1.0500000000000042E-2</v>
      </c>
    </row>
    <row r="632" spans="1:3">
      <c r="A632" s="3">
        <f ca="1">IFERROR(__xludf.UNSUPPORTED("""COMPUTED_VALUE"""),44379.6666666666)</f>
        <v>44379.666666666599</v>
      </c>
      <c r="B632" s="1">
        <f ca="1">IFERROR(__xludf.UNSUPPORTED("""COMPUTED_VALUE"""),20.49)</f>
        <v>20.49</v>
      </c>
      <c r="C632" s="2">
        <f t="shared" ca="1" si="2"/>
        <v>1.3854527461652527E-2</v>
      </c>
    </row>
    <row r="633" spans="1:3">
      <c r="A633" s="3">
        <f ca="1">IFERROR(__xludf.UNSUPPORTED("""COMPUTED_VALUE"""),44383.6666666666)</f>
        <v>44383.666666666599</v>
      </c>
      <c r="B633" s="1">
        <f ca="1">IFERROR(__xludf.UNSUPPORTED("""COMPUTED_VALUE"""),20.7)</f>
        <v>20.7</v>
      </c>
      <c r="C633" s="2">
        <f t="shared" ca="1" si="2"/>
        <v>1.0248901903367538E-2</v>
      </c>
    </row>
    <row r="634" spans="1:3">
      <c r="A634" s="3">
        <f ca="1">IFERROR(__xludf.UNSUPPORTED("""COMPUTED_VALUE"""),44384.6666666666)</f>
        <v>44384.666666666599</v>
      </c>
      <c r="B634" s="1">
        <f ca="1">IFERROR(__xludf.UNSUPPORTED("""COMPUTED_VALUE"""),20.37)</f>
        <v>20.37</v>
      </c>
      <c r="C634" s="2">
        <f t="shared" ca="1" si="2"/>
        <v>-1.5942028985507166E-2</v>
      </c>
    </row>
    <row r="635" spans="1:3">
      <c r="A635" s="3">
        <f ca="1">IFERROR(__xludf.UNSUPPORTED("""COMPUTED_VALUE"""),44385.6666666666)</f>
        <v>44385.666666666599</v>
      </c>
      <c r="B635" s="1">
        <f ca="1">IFERROR(__xludf.UNSUPPORTED("""COMPUTED_VALUE"""),19.9)</f>
        <v>19.899999999999999</v>
      </c>
      <c r="C635" s="2">
        <f t="shared" ca="1" si="2"/>
        <v>-2.3073146784487106E-2</v>
      </c>
    </row>
    <row r="636" spans="1:3">
      <c r="A636" s="3">
        <f ca="1">IFERROR(__xludf.UNSUPPORTED("""COMPUTED_VALUE"""),44386.6666666666)</f>
        <v>44386.666666666599</v>
      </c>
      <c r="B636" s="1">
        <f ca="1">IFERROR(__xludf.UNSUPPORTED("""COMPUTED_VALUE"""),20.05)</f>
        <v>20.05</v>
      </c>
      <c r="C636" s="2">
        <f t="shared" ca="1" si="2"/>
        <v>7.5376884422111625E-3</v>
      </c>
    </row>
    <row r="637" spans="1:3">
      <c r="A637" s="3">
        <f ca="1">IFERROR(__xludf.UNSUPPORTED("""COMPUTED_VALUE"""),44389.6666666666)</f>
        <v>44389.666666666599</v>
      </c>
      <c r="B637" s="1">
        <f ca="1">IFERROR(__xludf.UNSUPPORTED("""COMPUTED_VALUE"""),20.51)</f>
        <v>20.51</v>
      </c>
      <c r="C637" s="2">
        <f t="shared" ca="1" si="2"/>
        <v>2.2942643391521238E-2</v>
      </c>
    </row>
    <row r="638" spans="1:3">
      <c r="A638" s="3">
        <f ca="1">IFERROR(__xludf.UNSUPPORTED("""COMPUTED_VALUE"""),44390.6666666666)</f>
        <v>44390.666666666599</v>
      </c>
      <c r="B638" s="1">
        <f ca="1">IFERROR(__xludf.UNSUPPORTED("""COMPUTED_VALUE"""),20.25)</f>
        <v>20.25</v>
      </c>
      <c r="C638" s="2">
        <f t="shared" ca="1" si="2"/>
        <v>-1.2676743052169748E-2</v>
      </c>
    </row>
    <row r="639" spans="1:3">
      <c r="A639" s="3">
        <f ca="1">IFERROR(__xludf.UNSUPPORTED("""COMPUTED_VALUE"""),44391.6666666666)</f>
        <v>44391.666666666599</v>
      </c>
      <c r="B639" s="1">
        <f ca="1">IFERROR(__xludf.UNSUPPORTED("""COMPUTED_VALUE"""),19.84)</f>
        <v>19.84</v>
      </c>
      <c r="C639" s="2">
        <f t="shared" ca="1" si="2"/>
        <v>-2.0246913580246922E-2</v>
      </c>
    </row>
    <row r="640" spans="1:3">
      <c r="A640" s="3">
        <f ca="1">IFERROR(__xludf.UNSUPPORTED("""COMPUTED_VALUE"""),44392.6666666666)</f>
        <v>44392.666666666599</v>
      </c>
      <c r="B640" s="1">
        <f ca="1">IFERROR(__xludf.UNSUPPORTED("""COMPUTED_VALUE"""),18.97)</f>
        <v>18.97</v>
      </c>
      <c r="C640" s="2">
        <f t="shared" ca="1" si="2"/>
        <v>-4.3850806451612954E-2</v>
      </c>
    </row>
    <row r="641" spans="1:3">
      <c r="A641" s="3">
        <f ca="1">IFERROR(__xludf.UNSUPPORTED("""COMPUTED_VALUE"""),44393.6666666666)</f>
        <v>44393.666666666599</v>
      </c>
      <c r="B641" s="1">
        <f ca="1">IFERROR(__xludf.UNSUPPORTED("""COMPUTED_VALUE"""),18.16)</f>
        <v>18.16</v>
      </c>
      <c r="C641" s="2">
        <f t="shared" ca="1" si="2"/>
        <v>-4.2698998418555546E-2</v>
      </c>
    </row>
    <row r="642" spans="1:3">
      <c r="A642" s="3">
        <f ca="1">IFERROR(__xludf.UNSUPPORTED("""COMPUTED_VALUE"""),44396.6666666666)</f>
        <v>44396.666666666599</v>
      </c>
      <c r="B642" s="1">
        <f ca="1">IFERROR(__xludf.UNSUPPORTED("""COMPUTED_VALUE"""),18.78)</f>
        <v>18.78</v>
      </c>
      <c r="C642" s="2">
        <f t="shared" ca="1" si="2"/>
        <v>3.4140969162995652E-2</v>
      </c>
    </row>
    <row r="643" spans="1:3">
      <c r="A643" s="3">
        <f ca="1">IFERROR(__xludf.UNSUPPORTED("""COMPUTED_VALUE"""),44397.6666666666)</f>
        <v>44397.666666666599</v>
      </c>
      <c r="B643" s="1">
        <f ca="1">IFERROR(__xludf.UNSUPPORTED("""COMPUTED_VALUE"""),18.61)</f>
        <v>18.61</v>
      </c>
      <c r="C643" s="2">
        <f t="shared" ca="1" si="2"/>
        <v>-9.0521831735890148E-3</v>
      </c>
    </row>
    <row r="644" spans="1:3">
      <c r="A644" s="3">
        <f ca="1">IFERROR(__xludf.UNSUPPORTED("""COMPUTED_VALUE"""),44398.6666666666)</f>
        <v>44398.666666666599</v>
      </c>
      <c r="B644" s="1">
        <f ca="1">IFERROR(__xludf.UNSUPPORTED("""COMPUTED_VALUE"""),19.41)</f>
        <v>19.41</v>
      </c>
      <c r="C644" s="2">
        <f t="shared" ca="1" si="2"/>
        <v>4.2987641053197245E-2</v>
      </c>
    </row>
    <row r="645" spans="1:3">
      <c r="A645" s="3">
        <f ca="1">IFERROR(__xludf.UNSUPPORTED("""COMPUTED_VALUE"""),44399.6666666666)</f>
        <v>44399.666666666599</v>
      </c>
      <c r="B645" s="1">
        <f ca="1">IFERROR(__xludf.UNSUPPORTED("""COMPUTED_VALUE"""),19.59)</f>
        <v>19.59</v>
      </c>
      <c r="C645" s="2">
        <f t="shared" ca="1" si="2"/>
        <v>9.2735703245749469E-3</v>
      </c>
    </row>
    <row r="646" spans="1:3">
      <c r="A646" s="3">
        <f ca="1">IFERROR(__xludf.UNSUPPORTED("""COMPUTED_VALUE"""),44400.6666666666)</f>
        <v>44400.666666666599</v>
      </c>
      <c r="B646" s="1">
        <f ca="1">IFERROR(__xludf.UNSUPPORTED("""COMPUTED_VALUE"""),19.56)</f>
        <v>19.559999999999999</v>
      </c>
      <c r="C646" s="2">
        <f t="shared" ca="1" si="2"/>
        <v>-1.5313935681470717E-3</v>
      </c>
    </row>
    <row r="647" spans="1:3">
      <c r="A647" s="3">
        <f ca="1">IFERROR(__xludf.UNSUPPORTED("""COMPUTED_VALUE"""),44403.6666666666)</f>
        <v>44403.666666666599</v>
      </c>
      <c r="B647" s="1">
        <f ca="1">IFERROR(__xludf.UNSUPPORTED("""COMPUTED_VALUE"""),19.29)</f>
        <v>19.29</v>
      </c>
      <c r="C647" s="2">
        <f t="shared" ca="1" si="2"/>
        <v>-1.3803680981595071E-2</v>
      </c>
    </row>
    <row r="648" spans="1:3">
      <c r="A648" s="3">
        <f ca="1">IFERROR(__xludf.UNSUPPORTED("""COMPUTED_VALUE"""),44404.6666666666)</f>
        <v>44404.666666666599</v>
      </c>
      <c r="B648" s="1">
        <f ca="1">IFERROR(__xludf.UNSUPPORTED("""COMPUTED_VALUE"""),19.21)</f>
        <v>19.21</v>
      </c>
      <c r="C648" s="2">
        <f t="shared" ca="1" si="2"/>
        <v>-4.1472265422497819E-3</v>
      </c>
    </row>
    <row r="649" spans="1:3">
      <c r="A649" s="3">
        <f ca="1">IFERROR(__xludf.UNSUPPORTED("""COMPUTED_VALUE"""),44405.6666666666)</f>
        <v>44405.666666666599</v>
      </c>
      <c r="B649" s="1">
        <f ca="1">IFERROR(__xludf.UNSUPPORTED("""COMPUTED_VALUE"""),19.5)</f>
        <v>19.5</v>
      </c>
      <c r="C649" s="2">
        <f t="shared" ca="1" si="2"/>
        <v>1.509630400832895E-2</v>
      </c>
    </row>
    <row r="650" spans="1:3">
      <c r="A650" s="3">
        <f ca="1">IFERROR(__xludf.UNSUPPORTED("""COMPUTED_VALUE"""),44406.6666666666)</f>
        <v>44406.666666666599</v>
      </c>
      <c r="B650" s="1">
        <f ca="1">IFERROR(__xludf.UNSUPPORTED("""COMPUTED_VALUE"""),19.66)</f>
        <v>19.66</v>
      </c>
      <c r="C650" s="2">
        <f t="shared" ca="1" si="2"/>
        <v>8.2051282051282121E-3</v>
      </c>
    </row>
    <row r="651" spans="1:3">
      <c r="A651" s="3">
        <f ca="1">IFERROR(__xludf.UNSUPPORTED("""COMPUTED_VALUE"""),44407.6666666666)</f>
        <v>44407.666666666599</v>
      </c>
      <c r="B651" s="1">
        <f ca="1">IFERROR(__xludf.UNSUPPORTED("""COMPUTED_VALUE"""),19.5)</f>
        <v>19.5</v>
      </c>
      <c r="C651" s="2">
        <f t="shared" ca="1" si="2"/>
        <v>-8.1383519837233027E-3</v>
      </c>
    </row>
    <row r="652" spans="1:3">
      <c r="A652" s="3">
        <f ca="1">IFERROR(__xludf.UNSUPPORTED("""COMPUTED_VALUE"""),44410.6666666666)</f>
        <v>44410.666666666599</v>
      </c>
      <c r="B652" s="1">
        <f ca="1">IFERROR(__xludf.UNSUPPORTED("""COMPUTED_VALUE"""),19.75)</f>
        <v>19.75</v>
      </c>
      <c r="C652" s="2">
        <f t="shared" ca="1" si="2"/>
        <v>1.282051282051282E-2</v>
      </c>
    </row>
    <row r="653" spans="1:3">
      <c r="A653" s="3">
        <f ca="1">IFERROR(__xludf.UNSUPPORTED("""COMPUTED_VALUE"""),44411.6666666666)</f>
        <v>44411.666666666599</v>
      </c>
      <c r="B653" s="1">
        <f ca="1">IFERROR(__xludf.UNSUPPORTED("""COMPUTED_VALUE"""),19.82)</f>
        <v>19.82</v>
      </c>
      <c r="C653" s="2">
        <f t="shared" ca="1" si="2"/>
        <v>3.5443037974683686E-3</v>
      </c>
    </row>
    <row r="654" spans="1:3">
      <c r="A654" s="3">
        <f ca="1">IFERROR(__xludf.UNSUPPORTED("""COMPUTED_VALUE"""),44412.6666666666)</f>
        <v>44412.666666666599</v>
      </c>
      <c r="B654" s="1">
        <f ca="1">IFERROR(__xludf.UNSUPPORTED("""COMPUTED_VALUE"""),20.27)</f>
        <v>20.27</v>
      </c>
      <c r="C654" s="2">
        <f t="shared" ca="1" si="2"/>
        <v>2.2704339051463133E-2</v>
      </c>
    </row>
    <row r="655" spans="1:3">
      <c r="A655" s="3">
        <f ca="1">IFERROR(__xludf.UNSUPPORTED("""COMPUTED_VALUE"""),44413.6666666666)</f>
        <v>44413.666666666599</v>
      </c>
      <c r="B655" s="1">
        <f ca="1">IFERROR(__xludf.UNSUPPORTED("""COMPUTED_VALUE"""),20.64)</f>
        <v>20.64</v>
      </c>
      <c r="C655" s="2">
        <f t="shared" ca="1" si="2"/>
        <v>1.8253576714356241E-2</v>
      </c>
    </row>
    <row r="656" spans="1:3">
      <c r="A656" s="3">
        <f ca="1">IFERROR(__xludf.UNSUPPORTED("""COMPUTED_VALUE"""),44414.6666666666)</f>
        <v>44414.666666666599</v>
      </c>
      <c r="B656" s="1">
        <f ca="1">IFERROR(__xludf.UNSUPPORTED("""COMPUTED_VALUE"""),20.37)</f>
        <v>20.37</v>
      </c>
      <c r="C656" s="2">
        <f t="shared" ca="1" si="2"/>
        <v>-1.3081395348837187E-2</v>
      </c>
    </row>
    <row r="657" spans="1:3">
      <c r="A657" s="3">
        <f ca="1">IFERROR(__xludf.UNSUPPORTED("""COMPUTED_VALUE"""),44417.6666666666)</f>
        <v>44417.666666666599</v>
      </c>
      <c r="B657" s="1">
        <f ca="1">IFERROR(__xludf.UNSUPPORTED("""COMPUTED_VALUE"""),20.3)</f>
        <v>20.3</v>
      </c>
      <c r="C657" s="2">
        <f t="shared" ca="1" si="2"/>
        <v>-3.4364261168385018E-3</v>
      </c>
    </row>
    <row r="658" spans="1:3">
      <c r="A658" s="3">
        <f ca="1">IFERROR(__xludf.UNSUPPORTED("""COMPUTED_VALUE"""),44418.6666666666)</f>
        <v>44418.666666666599</v>
      </c>
      <c r="B658" s="1">
        <f ca="1">IFERROR(__xludf.UNSUPPORTED("""COMPUTED_VALUE"""),19.94)</f>
        <v>19.940000000000001</v>
      </c>
      <c r="C658" s="2">
        <f t="shared" ca="1" si="2"/>
        <v>-1.7733990147783221E-2</v>
      </c>
    </row>
    <row r="659" spans="1:3">
      <c r="A659" s="3">
        <f ca="1">IFERROR(__xludf.UNSUPPORTED("""COMPUTED_VALUE"""),44419.6666666666)</f>
        <v>44419.666666666599</v>
      </c>
      <c r="B659" s="1">
        <f ca="1">IFERROR(__xludf.UNSUPPORTED("""COMPUTED_VALUE"""),19.7)</f>
        <v>19.7</v>
      </c>
      <c r="C659" s="2">
        <f t="shared" ca="1" si="2"/>
        <v>-1.2036108324975025E-2</v>
      </c>
    </row>
    <row r="660" spans="1:3">
      <c r="A660" s="3">
        <f ca="1">IFERROR(__xludf.UNSUPPORTED("""COMPUTED_VALUE"""),44420.6666666666)</f>
        <v>44420.666666666599</v>
      </c>
      <c r="B660" s="1">
        <f ca="1">IFERROR(__xludf.UNSUPPORTED("""COMPUTED_VALUE"""),19.91)</f>
        <v>19.91</v>
      </c>
      <c r="C660" s="2">
        <f t="shared" ca="1" si="2"/>
        <v>1.0659898477157405E-2</v>
      </c>
    </row>
    <row r="661" spans="1:3">
      <c r="A661" s="3">
        <f ca="1">IFERROR(__xludf.UNSUPPORTED("""COMPUTED_VALUE"""),44421.6666666666)</f>
        <v>44421.666666666599</v>
      </c>
      <c r="B661" s="1">
        <f ca="1">IFERROR(__xludf.UNSUPPORTED("""COMPUTED_VALUE"""),20.19)</f>
        <v>20.190000000000001</v>
      </c>
      <c r="C661" s="2">
        <f t="shared" ca="1" si="2"/>
        <v>1.4063284781516883E-2</v>
      </c>
    </row>
    <row r="662" spans="1:3">
      <c r="A662" s="3">
        <f ca="1">IFERROR(__xludf.UNSUPPORTED("""COMPUTED_VALUE"""),44424.6666666666)</f>
        <v>44424.666666666599</v>
      </c>
      <c r="B662" s="1">
        <f ca="1">IFERROR(__xludf.UNSUPPORTED("""COMPUTED_VALUE"""),19.95)</f>
        <v>19.95</v>
      </c>
      <c r="C662" s="2">
        <f t="shared" ca="1" si="2"/>
        <v>-1.1887072808321049E-2</v>
      </c>
    </row>
    <row r="663" spans="1:3">
      <c r="A663" s="3">
        <f ca="1">IFERROR(__xludf.UNSUPPORTED("""COMPUTED_VALUE"""),44425.6666666666)</f>
        <v>44425.666666666599</v>
      </c>
      <c r="B663" s="1">
        <f ca="1">IFERROR(__xludf.UNSUPPORTED("""COMPUTED_VALUE"""),19.46)</f>
        <v>19.46</v>
      </c>
      <c r="C663" s="2">
        <f t="shared" ca="1" si="2"/>
        <v>-2.4561403508771854E-2</v>
      </c>
    </row>
    <row r="664" spans="1:3">
      <c r="A664" s="3">
        <f ca="1">IFERROR(__xludf.UNSUPPORTED("""COMPUTED_VALUE"""),44426.6666666666)</f>
        <v>44426.666666666599</v>
      </c>
      <c r="B664" s="1">
        <f ca="1">IFERROR(__xludf.UNSUPPORTED("""COMPUTED_VALUE"""),19.04)</f>
        <v>19.04</v>
      </c>
      <c r="C664" s="2">
        <f t="shared" ca="1" si="2"/>
        <v>-2.1582733812949728E-2</v>
      </c>
    </row>
    <row r="665" spans="1:3">
      <c r="A665" s="3">
        <f ca="1">IFERROR(__xludf.UNSUPPORTED("""COMPUTED_VALUE"""),44427.6666666666)</f>
        <v>44427.666666666599</v>
      </c>
      <c r="B665" s="1">
        <f ca="1">IFERROR(__xludf.UNSUPPORTED("""COMPUTED_VALUE"""),19.8)</f>
        <v>19.8</v>
      </c>
      <c r="C665" s="2">
        <f t="shared" ca="1" si="2"/>
        <v>3.9915966386554709E-2</v>
      </c>
    </row>
    <row r="666" spans="1:3">
      <c r="A666" s="3">
        <f ca="1">IFERROR(__xludf.UNSUPPORTED("""COMPUTED_VALUE"""),44428.6666666666)</f>
        <v>44428.666666666599</v>
      </c>
      <c r="B666" s="1">
        <f ca="1">IFERROR(__xludf.UNSUPPORTED("""COMPUTED_VALUE"""),20.82)</f>
        <v>20.82</v>
      </c>
      <c r="C666" s="2">
        <f t="shared" ca="1" si="2"/>
        <v>5.1515151515151493E-2</v>
      </c>
    </row>
    <row r="667" spans="1:3">
      <c r="A667" s="3">
        <f ca="1">IFERROR(__xludf.UNSUPPORTED("""COMPUTED_VALUE"""),44431.6666666666)</f>
        <v>44431.666666666599</v>
      </c>
      <c r="B667" s="1">
        <f ca="1">IFERROR(__xludf.UNSUPPORTED("""COMPUTED_VALUE"""),21.96)</f>
        <v>21.96</v>
      </c>
      <c r="C667" s="2">
        <f t="shared" ca="1" si="2"/>
        <v>5.475504322766573E-2</v>
      </c>
    </row>
    <row r="668" spans="1:3">
      <c r="A668" s="3">
        <f ca="1">IFERROR(__xludf.UNSUPPORTED("""COMPUTED_VALUE"""),44432.6666666666)</f>
        <v>44432.666666666599</v>
      </c>
      <c r="B668" s="1">
        <f ca="1">IFERROR(__xludf.UNSUPPORTED("""COMPUTED_VALUE"""),21.79)</f>
        <v>21.79</v>
      </c>
      <c r="C668" s="2">
        <f t="shared" ca="1" si="2"/>
        <v>-7.7413479052824089E-3</v>
      </c>
    </row>
    <row r="669" spans="1:3">
      <c r="A669" s="3">
        <f ca="1">IFERROR(__xludf.UNSUPPORTED("""COMPUTED_VALUE"""),44433.6666666666)</f>
        <v>44433.666666666599</v>
      </c>
      <c r="B669" s="1">
        <f ca="1">IFERROR(__xludf.UNSUPPORTED("""COMPUTED_VALUE"""),22.21)</f>
        <v>22.21</v>
      </c>
      <c r="C669" s="2">
        <f t="shared" ca="1" si="2"/>
        <v>1.9274896741624678E-2</v>
      </c>
    </row>
    <row r="670" spans="1:3">
      <c r="A670" s="3">
        <f ca="1">IFERROR(__xludf.UNSUPPORTED("""COMPUTED_VALUE"""),44434.6666666666)</f>
        <v>44434.666666666599</v>
      </c>
      <c r="B670" s="1">
        <f ca="1">IFERROR(__xludf.UNSUPPORTED("""COMPUTED_VALUE"""),22.07)</f>
        <v>22.07</v>
      </c>
      <c r="C670" s="2">
        <f t="shared" ca="1" si="2"/>
        <v>-6.3034669067987643E-3</v>
      </c>
    </row>
    <row r="671" spans="1:3">
      <c r="A671" s="3">
        <f ca="1">IFERROR(__xludf.UNSUPPORTED("""COMPUTED_VALUE"""),44435.6666666666)</f>
        <v>44435.666666666599</v>
      </c>
      <c r="B671" s="1">
        <f ca="1">IFERROR(__xludf.UNSUPPORTED("""COMPUTED_VALUE"""),22.64)</f>
        <v>22.64</v>
      </c>
      <c r="C671" s="2">
        <f t="shared" ca="1" si="2"/>
        <v>2.5826914363389228E-2</v>
      </c>
    </row>
    <row r="672" spans="1:3">
      <c r="A672" s="3">
        <f ca="1">IFERROR(__xludf.UNSUPPORTED("""COMPUTED_VALUE"""),44438.6666666666)</f>
        <v>44438.666666666599</v>
      </c>
      <c r="B672" s="1">
        <f ca="1">IFERROR(__xludf.UNSUPPORTED("""COMPUTED_VALUE"""),22.69)</f>
        <v>22.69</v>
      </c>
      <c r="C672" s="2">
        <f t="shared" ca="1" si="2"/>
        <v>2.208480565371056E-3</v>
      </c>
    </row>
    <row r="673" spans="1:3">
      <c r="A673" s="3">
        <f ca="1">IFERROR(__xludf.UNSUPPORTED("""COMPUTED_VALUE"""),44439.6666666666)</f>
        <v>44439.666666666599</v>
      </c>
      <c r="B673" s="1">
        <f ca="1">IFERROR(__xludf.UNSUPPORTED("""COMPUTED_VALUE"""),22.39)</f>
        <v>22.39</v>
      </c>
      <c r="C673" s="2">
        <f t="shared" ca="1" si="2"/>
        <v>-1.3221683561040136E-2</v>
      </c>
    </row>
    <row r="674" spans="1:3">
      <c r="A674" s="3">
        <f ca="1">IFERROR(__xludf.UNSUPPORTED("""COMPUTED_VALUE"""),44440.6666666666)</f>
        <v>44440.666666666599</v>
      </c>
      <c r="B674" s="1">
        <f ca="1">IFERROR(__xludf.UNSUPPORTED("""COMPUTED_VALUE"""),22.44)</f>
        <v>22.44</v>
      </c>
      <c r="C674" s="2">
        <f t="shared" ca="1" si="2"/>
        <v>2.2331397945511704E-3</v>
      </c>
    </row>
    <row r="675" spans="1:3">
      <c r="A675" s="3">
        <f ca="1">IFERROR(__xludf.UNSUPPORTED("""COMPUTED_VALUE"""),44441.6666666666)</f>
        <v>44441.666666666599</v>
      </c>
      <c r="B675" s="1">
        <f ca="1">IFERROR(__xludf.UNSUPPORTED("""COMPUTED_VALUE"""),22.4)</f>
        <v>22.4</v>
      </c>
      <c r="C675" s="2">
        <f t="shared" ca="1" si="2"/>
        <v>-1.7825311942960204E-3</v>
      </c>
    </row>
    <row r="676" spans="1:3">
      <c r="A676" s="3">
        <f ca="1">IFERROR(__xludf.UNSUPPORTED("""COMPUTED_VALUE"""),44442.6666666666)</f>
        <v>44442.666666666599</v>
      </c>
      <c r="B676" s="1">
        <f ca="1">IFERROR(__xludf.UNSUPPORTED("""COMPUTED_VALUE"""),22.84)</f>
        <v>22.84</v>
      </c>
      <c r="C676" s="2">
        <f t="shared" ca="1" si="2"/>
        <v>1.9642857142857201E-2</v>
      </c>
    </row>
    <row r="677" spans="1:3">
      <c r="A677" s="3">
        <f ca="1">IFERROR(__xludf.UNSUPPORTED("""COMPUTED_VALUE"""),44446.6666666666)</f>
        <v>44446.666666666599</v>
      </c>
      <c r="B677" s="1">
        <f ca="1">IFERROR(__xludf.UNSUPPORTED("""COMPUTED_VALUE"""),22.66)</f>
        <v>22.66</v>
      </c>
      <c r="C677" s="2">
        <f t="shared" ca="1" si="2"/>
        <v>-7.8809106830122471E-3</v>
      </c>
    </row>
    <row r="678" spans="1:3">
      <c r="A678" s="3">
        <f ca="1">IFERROR(__xludf.UNSUPPORTED("""COMPUTED_VALUE"""),44447.6666666666)</f>
        <v>44447.666666666599</v>
      </c>
      <c r="B678" s="1">
        <f ca="1">IFERROR(__xludf.UNSUPPORTED("""COMPUTED_VALUE"""),22.34)</f>
        <v>22.34</v>
      </c>
      <c r="C678" s="2">
        <f t="shared" ca="1" si="2"/>
        <v>-1.4121800529567533E-2</v>
      </c>
    </row>
    <row r="679" spans="1:3">
      <c r="A679" s="3">
        <f ca="1">IFERROR(__xludf.UNSUPPORTED("""COMPUTED_VALUE"""),44448.6666666666)</f>
        <v>44448.666666666599</v>
      </c>
      <c r="B679" s="1">
        <f ca="1">IFERROR(__xludf.UNSUPPORTED("""COMPUTED_VALUE"""),22.18)</f>
        <v>22.18</v>
      </c>
      <c r="C679" s="2">
        <f t="shared" ca="1" si="2"/>
        <v>-7.162041181736801E-3</v>
      </c>
    </row>
    <row r="680" spans="1:3">
      <c r="A680" s="3">
        <f ca="1">IFERROR(__xludf.UNSUPPORTED("""COMPUTED_VALUE"""),44449.6666666666)</f>
        <v>44449.666666666599</v>
      </c>
      <c r="B680" s="1">
        <f ca="1">IFERROR(__xludf.UNSUPPORTED("""COMPUTED_VALUE"""),22.48)</f>
        <v>22.48</v>
      </c>
      <c r="C680" s="2">
        <f t="shared" ca="1" si="2"/>
        <v>1.3525698827772801E-2</v>
      </c>
    </row>
    <row r="681" spans="1:3">
      <c r="A681" s="3">
        <f ca="1">IFERROR(__xludf.UNSUPPORTED("""COMPUTED_VALUE"""),44452.6666666666)</f>
        <v>44452.666666666599</v>
      </c>
      <c r="B681" s="1">
        <f ca="1">IFERROR(__xludf.UNSUPPORTED("""COMPUTED_VALUE"""),22.15)</f>
        <v>22.15</v>
      </c>
      <c r="C681" s="2">
        <f t="shared" ca="1" si="2"/>
        <v>-1.4679715302491184E-2</v>
      </c>
    </row>
    <row r="682" spans="1:3">
      <c r="A682" s="3">
        <f ca="1">IFERROR(__xludf.UNSUPPORTED("""COMPUTED_VALUE"""),44453.6666666666)</f>
        <v>44453.666666666599</v>
      </c>
      <c r="B682" s="1">
        <f ca="1">IFERROR(__xludf.UNSUPPORTED("""COMPUTED_VALUE"""),22.24)</f>
        <v>22.24</v>
      </c>
      <c r="C682" s="2">
        <f t="shared" ca="1" si="2"/>
        <v>4.0632054176072173E-3</v>
      </c>
    </row>
    <row r="683" spans="1:3">
      <c r="A683" s="3">
        <f ca="1">IFERROR(__xludf.UNSUPPORTED("""COMPUTED_VALUE"""),44454.6666666666)</f>
        <v>44454.666666666599</v>
      </c>
      <c r="B683" s="1">
        <f ca="1">IFERROR(__xludf.UNSUPPORTED("""COMPUTED_VALUE"""),22.34)</f>
        <v>22.34</v>
      </c>
      <c r="C683" s="2">
        <f t="shared" ca="1" si="2"/>
        <v>4.4964028776979057E-3</v>
      </c>
    </row>
    <row r="684" spans="1:3">
      <c r="A684" s="3">
        <f ca="1">IFERROR(__xludf.UNSUPPORTED("""COMPUTED_VALUE"""),44455.6666666666)</f>
        <v>44455.666666666599</v>
      </c>
      <c r="B684" s="1">
        <f ca="1">IFERROR(__xludf.UNSUPPORTED("""COMPUTED_VALUE"""),22.24)</f>
        <v>22.24</v>
      </c>
      <c r="C684" s="2">
        <f t="shared" ca="1" si="2"/>
        <v>-4.4762757385855608E-3</v>
      </c>
    </row>
    <row r="685" spans="1:3">
      <c r="A685" s="3">
        <f ca="1">IFERROR(__xludf.UNSUPPORTED("""COMPUTED_VALUE"""),44456.6666666666)</f>
        <v>44456.666666666599</v>
      </c>
      <c r="B685" s="1">
        <f ca="1">IFERROR(__xludf.UNSUPPORTED("""COMPUTED_VALUE"""),21.9)</f>
        <v>21.9</v>
      </c>
      <c r="C685" s="2">
        <f t="shared" ca="1" si="2"/>
        <v>-1.5287769784172657E-2</v>
      </c>
    </row>
    <row r="686" spans="1:3">
      <c r="A686" s="3">
        <f ca="1">IFERROR(__xludf.UNSUPPORTED("""COMPUTED_VALUE"""),44459.6666666666)</f>
        <v>44459.666666666599</v>
      </c>
      <c r="B686" s="1">
        <f ca="1">IFERROR(__xludf.UNSUPPORTED("""COMPUTED_VALUE"""),21.11)</f>
        <v>21.11</v>
      </c>
      <c r="C686" s="2">
        <f t="shared" ca="1" si="2"/>
        <v>-3.6073059360730554E-2</v>
      </c>
    </row>
    <row r="687" spans="1:3">
      <c r="A687" s="3">
        <f ca="1">IFERROR(__xludf.UNSUPPORTED("""COMPUTED_VALUE"""),44460.6666666666)</f>
        <v>44460.666666666599</v>
      </c>
      <c r="B687" s="1">
        <f ca="1">IFERROR(__xludf.UNSUPPORTED("""COMPUTED_VALUE"""),21.25)</f>
        <v>21.25</v>
      </c>
      <c r="C687" s="2">
        <f t="shared" ca="1" si="2"/>
        <v>6.6319279962103539E-3</v>
      </c>
    </row>
    <row r="688" spans="1:3">
      <c r="A688" s="3">
        <f ca="1">IFERROR(__xludf.UNSUPPORTED("""COMPUTED_VALUE"""),44461.6666666666)</f>
        <v>44461.666666666599</v>
      </c>
      <c r="B688" s="1">
        <f ca="1">IFERROR(__xludf.UNSUPPORTED("""COMPUTED_VALUE"""),21.94)</f>
        <v>21.94</v>
      </c>
      <c r="C688" s="2">
        <f t="shared" ca="1" si="2"/>
        <v>3.2470588235294175E-2</v>
      </c>
    </row>
    <row r="689" spans="1:3">
      <c r="A689" s="3">
        <f ca="1">IFERROR(__xludf.UNSUPPORTED("""COMPUTED_VALUE"""),44462.6666666666)</f>
        <v>44462.666666666599</v>
      </c>
      <c r="B689" s="1">
        <f ca="1">IFERROR(__xludf.UNSUPPORTED("""COMPUTED_VALUE"""),22.48)</f>
        <v>22.48</v>
      </c>
      <c r="C689" s="2">
        <f t="shared" ca="1" si="2"/>
        <v>2.4612579762989931E-2</v>
      </c>
    </row>
    <row r="690" spans="1:3">
      <c r="A690" s="3">
        <f ca="1">IFERROR(__xludf.UNSUPPORTED("""COMPUTED_VALUE"""),44463.6666666666)</f>
        <v>44463.666666666599</v>
      </c>
      <c r="B690" s="1">
        <f ca="1">IFERROR(__xludf.UNSUPPORTED("""COMPUTED_VALUE"""),22.08)</f>
        <v>22.08</v>
      </c>
      <c r="C690" s="2">
        <f t="shared" ca="1" si="2"/>
        <v>-1.7793594306049917E-2</v>
      </c>
    </row>
    <row r="691" spans="1:3">
      <c r="A691" s="3">
        <f ca="1">IFERROR(__xludf.UNSUPPORTED("""COMPUTED_VALUE"""),44466.6666666666)</f>
        <v>44466.666666666599</v>
      </c>
      <c r="B691" s="1">
        <f ca="1">IFERROR(__xludf.UNSUPPORTED("""COMPUTED_VALUE"""),21.66)</f>
        <v>21.66</v>
      </c>
      <c r="C691" s="2">
        <f t="shared" ca="1" si="2"/>
        <v>-1.9021739130434701E-2</v>
      </c>
    </row>
    <row r="692" spans="1:3">
      <c r="A692" s="3">
        <f ca="1">IFERROR(__xludf.UNSUPPORTED("""COMPUTED_VALUE"""),44467.6666666666)</f>
        <v>44467.666666666599</v>
      </c>
      <c r="B692" s="1">
        <f ca="1">IFERROR(__xludf.UNSUPPORTED("""COMPUTED_VALUE"""),20.7)</f>
        <v>20.7</v>
      </c>
      <c r="C692" s="2">
        <f t="shared" ca="1" si="2"/>
        <v>-4.4321329639889238E-2</v>
      </c>
    </row>
    <row r="693" spans="1:3">
      <c r="A693" s="3">
        <f ca="1">IFERROR(__xludf.UNSUPPORTED("""COMPUTED_VALUE"""),44468.6666666666)</f>
        <v>44468.666666666599</v>
      </c>
      <c r="B693" s="1">
        <f ca="1">IFERROR(__xludf.UNSUPPORTED("""COMPUTED_VALUE"""),20.52)</f>
        <v>20.52</v>
      </c>
      <c r="C693" s="2">
        <f t="shared" ca="1" si="2"/>
        <v>-8.6956521739130297E-3</v>
      </c>
    </row>
    <row r="694" spans="1:3">
      <c r="A694" s="3">
        <f ca="1">IFERROR(__xludf.UNSUPPORTED("""COMPUTED_VALUE"""),44469.6666666666)</f>
        <v>44469.666666666599</v>
      </c>
      <c r="B694" s="1">
        <f ca="1">IFERROR(__xludf.UNSUPPORTED("""COMPUTED_VALUE"""),20.72)</f>
        <v>20.72</v>
      </c>
      <c r="C694" s="2">
        <f t="shared" ca="1" si="2"/>
        <v>9.7465886939570798E-3</v>
      </c>
    </row>
    <row r="695" spans="1:3">
      <c r="A695" s="3">
        <f ca="1">IFERROR(__xludf.UNSUPPORTED("""COMPUTED_VALUE"""),44470.6666666666)</f>
        <v>44470.666666666599</v>
      </c>
      <c r="B695" s="1">
        <f ca="1">IFERROR(__xludf.UNSUPPORTED("""COMPUTED_VALUE"""),20.74)</f>
        <v>20.74</v>
      </c>
      <c r="C695" s="2">
        <f t="shared" ca="1" si="2"/>
        <v>9.6525096525094478E-4</v>
      </c>
    </row>
    <row r="696" spans="1:3">
      <c r="A696" s="3">
        <f ca="1">IFERROR(__xludf.UNSUPPORTED("""COMPUTED_VALUE"""),44473.6666666666)</f>
        <v>44473.666666666599</v>
      </c>
      <c r="B696" s="1">
        <f ca="1">IFERROR(__xludf.UNSUPPORTED("""COMPUTED_VALUE"""),19.73)</f>
        <v>19.73</v>
      </c>
      <c r="C696" s="2">
        <f t="shared" ca="1" si="2"/>
        <v>-4.8698167791706756E-2</v>
      </c>
    </row>
    <row r="697" spans="1:3">
      <c r="A697" s="3">
        <f ca="1">IFERROR(__xludf.UNSUPPORTED("""COMPUTED_VALUE"""),44474.6666666666)</f>
        <v>44474.666666666599</v>
      </c>
      <c r="B697" s="1">
        <f ca="1">IFERROR(__xludf.UNSUPPORTED("""COMPUTED_VALUE"""),20.45)</f>
        <v>20.45</v>
      </c>
      <c r="C697" s="2">
        <f t="shared" ca="1" si="2"/>
        <v>3.6492650785605617E-2</v>
      </c>
    </row>
    <row r="698" spans="1:3">
      <c r="A698" s="3">
        <f ca="1">IFERROR(__xludf.UNSUPPORTED("""COMPUTED_VALUE"""),44475.6666666666)</f>
        <v>44475.666666666599</v>
      </c>
      <c r="B698" s="1">
        <f ca="1">IFERROR(__xludf.UNSUPPORTED("""COMPUTED_VALUE"""),20.7)</f>
        <v>20.7</v>
      </c>
      <c r="C698" s="2">
        <f t="shared" ca="1" si="2"/>
        <v>1.2224938875305624E-2</v>
      </c>
    </row>
    <row r="699" spans="1:3">
      <c r="A699" s="3">
        <f ca="1">IFERROR(__xludf.UNSUPPORTED("""COMPUTED_VALUE"""),44476.6666666666)</f>
        <v>44476.666666666599</v>
      </c>
      <c r="B699" s="1">
        <f ca="1">IFERROR(__xludf.UNSUPPORTED("""COMPUTED_VALUE"""),21.08)</f>
        <v>21.08</v>
      </c>
      <c r="C699" s="2">
        <f t="shared" ca="1" si="2"/>
        <v>1.8357487922705265E-2</v>
      </c>
    </row>
    <row r="700" spans="1:3">
      <c r="A700" s="3">
        <f ca="1">IFERROR(__xludf.UNSUPPORTED("""COMPUTED_VALUE"""),44477.6666666666)</f>
        <v>44477.666666666599</v>
      </c>
      <c r="B700" s="1">
        <f ca="1">IFERROR(__xludf.UNSUPPORTED("""COMPUTED_VALUE"""),20.83)</f>
        <v>20.83</v>
      </c>
      <c r="C700" s="2">
        <f t="shared" ca="1" si="2"/>
        <v>-1.1859582542694497E-2</v>
      </c>
    </row>
    <row r="701" spans="1:3">
      <c r="A701" s="3">
        <f ca="1">IFERROR(__xludf.UNSUPPORTED("""COMPUTED_VALUE"""),44480.6666666666)</f>
        <v>44480.666666666599</v>
      </c>
      <c r="B701" s="1">
        <f ca="1">IFERROR(__xludf.UNSUPPORTED("""COMPUTED_VALUE"""),20.7)</f>
        <v>20.7</v>
      </c>
      <c r="C701" s="2">
        <f t="shared" ca="1" si="2"/>
        <v>-6.2409985597695157E-3</v>
      </c>
    </row>
    <row r="702" spans="1:3">
      <c r="A702" s="3">
        <f ca="1">IFERROR(__xludf.UNSUPPORTED("""COMPUTED_VALUE"""),44481.6666666666)</f>
        <v>44481.666666666599</v>
      </c>
      <c r="B702" s="1">
        <f ca="1">IFERROR(__xludf.UNSUPPORTED("""COMPUTED_VALUE"""),20.67)</f>
        <v>20.67</v>
      </c>
      <c r="C702" s="2">
        <f t="shared" ca="1" si="2"/>
        <v>-1.4492753623187239E-3</v>
      </c>
    </row>
    <row r="703" spans="1:3">
      <c r="A703" s="3">
        <f ca="1">IFERROR(__xludf.UNSUPPORTED("""COMPUTED_VALUE"""),44482.6666666666)</f>
        <v>44482.666666666599</v>
      </c>
      <c r="B703" s="1">
        <f ca="1">IFERROR(__xludf.UNSUPPORTED("""COMPUTED_VALUE"""),20.94)</f>
        <v>20.94</v>
      </c>
      <c r="C703" s="2">
        <f t="shared" ca="1" si="2"/>
        <v>1.3062409288824361E-2</v>
      </c>
    </row>
    <row r="704" spans="1:3">
      <c r="A704" s="3">
        <f ca="1">IFERROR(__xludf.UNSUPPORTED("""COMPUTED_VALUE"""),44483.6666666666)</f>
        <v>44483.666666666599</v>
      </c>
      <c r="B704" s="1">
        <f ca="1">IFERROR(__xludf.UNSUPPORTED("""COMPUTED_VALUE"""),21.75)</f>
        <v>21.75</v>
      </c>
      <c r="C704" s="2">
        <f t="shared" ca="1" si="2"/>
        <v>3.8681948424068704E-2</v>
      </c>
    </row>
    <row r="705" spans="1:3">
      <c r="A705" s="3">
        <f ca="1">IFERROR(__xludf.UNSUPPORTED("""COMPUTED_VALUE"""),44484.6666666666)</f>
        <v>44484.666666666599</v>
      </c>
      <c r="B705" s="1">
        <f ca="1">IFERROR(__xludf.UNSUPPORTED("""COMPUTED_VALUE"""),21.86)</f>
        <v>21.86</v>
      </c>
      <c r="C705" s="2">
        <f t="shared" ca="1" si="2"/>
        <v>5.0574712643677898E-3</v>
      </c>
    </row>
    <row r="706" spans="1:3">
      <c r="A706" s="3">
        <f ca="1">IFERROR(__xludf.UNSUPPORTED("""COMPUTED_VALUE"""),44487.6666666666)</f>
        <v>44487.666666666599</v>
      </c>
      <c r="B706" s="1">
        <f ca="1">IFERROR(__xludf.UNSUPPORTED("""COMPUTED_VALUE"""),22.22)</f>
        <v>22.22</v>
      </c>
      <c r="C706" s="2">
        <f t="shared" ca="1" si="2"/>
        <v>1.6468435498627605E-2</v>
      </c>
    </row>
    <row r="707" spans="1:3">
      <c r="A707" s="3">
        <f ca="1">IFERROR(__xludf.UNSUPPORTED("""COMPUTED_VALUE"""),44488.6666666666)</f>
        <v>44488.666666666599</v>
      </c>
      <c r="B707" s="1">
        <f ca="1">IFERROR(__xludf.UNSUPPORTED("""COMPUTED_VALUE"""),22.29)</f>
        <v>22.29</v>
      </c>
      <c r="C707" s="2">
        <f t="shared" ca="1" si="2"/>
        <v>3.1503150315031632E-3</v>
      </c>
    </row>
    <row r="708" spans="1:3">
      <c r="A708" s="3">
        <f ca="1">IFERROR(__xludf.UNSUPPORTED("""COMPUTED_VALUE"""),44489.6666666666)</f>
        <v>44489.666666666599</v>
      </c>
      <c r="B708" s="1">
        <f ca="1">IFERROR(__xludf.UNSUPPORTED("""COMPUTED_VALUE"""),22.1)</f>
        <v>22.1</v>
      </c>
      <c r="C708" s="2">
        <f t="shared" ca="1" si="2"/>
        <v>-8.5240017945265919E-3</v>
      </c>
    </row>
    <row r="709" spans="1:3">
      <c r="A709" s="3">
        <f ca="1">IFERROR(__xludf.UNSUPPORTED("""COMPUTED_VALUE"""),44490.6666666666)</f>
        <v>44490.666666666599</v>
      </c>
      <c r="B709" s="1">
        <f ca="1">IFERROR(__xludf.UNSUPPORTED("""COMPUTED_VALUE"""),22.69)</f>
        <v>22.69</v>
      </c>
      <c r="C709" s="2">
        <f t="shared" ca="1" si="2"/>
        <v>2.6696832579185512E-2</v>
      </c>
    </row>
    <row r="710" spans="1:3">
      <c r="A710" s="3">
        <f ca="1">IFERROR(__xludf.UNSUPPORTED("""COMPUTED_VALUE"""),44491.6666666666)</f>
        <v>44491.666666666599</v>
      </c>
      <c r="B710" s="1">
        <f ca="1">IFERROR(__xludf.UNSUPPORTED("""COMPUTED_VALUE"""),22.73)</f>
        <v>22.73</v>
      </c>
      <c r="C710" s="2">
        <f t="shared" ca="1" si="2"/>
        <v>1.7628911414719764E-3</v>
      </c>
    </row>
    <row r="711" spans="1:3">
      <c r="A711" s="3">
        <f ca="1">IFERROR(__xludf.UNSUPPORTED("""COMPUTED_VALUE"""),44494.6666666666)</f>
        <v>44494.666666666599</v>
      </c>
      <c r="B711" s="1">
        <f ca="1">IFERROR(__xludf.UNSUPPORTED("""COMPUTED_VALUE"""),23.17)</f>
        <v>23.17</v>
      </c>
      <c r="C711" s="2">
        <f t="shared" ca="1" si="2"/>
        <v>1.9357677078750607E-2</v>
      </c>
    </row>
    <row r="712" spans="1:3">
      <c r="A712" s="3">
        <f ca="1">IFERROR(__xludf.UNSUPPORTED("""COMPUTED_VALUE"""),44495.6666666666)</f>
        <v>44495.666666666599</v>
      </c>
      <c r="B712" s="1">
        <f ca="1">IFERROR(__xludf.UNSUPPORTED("""COMPUTED_VALUE"""),24.72)</f>
        <v>24.72</v>
      </c>
      <c r="C712" s="2">
        <f t="shared" ca="1" si="2"/>
        <v>6.6896849374190631E-2</v>
      </c>
    </row>
    <row r="713" spans="1:3">
      <c r="A713" s="3">
        <f ca="1">IFERROR(__xludf.UNSUPPORTED("""COMPUTED_VALUE"""),44496.6666666666)</f>
        <v>44496.666666666599</v>
      </c>
      <c r="B713" s="1">
        <f ca="1">IFERROR(__xludf.UNSUPPORTED("""COMPUTED_VALUE"""),24.45)</f>
        <v>24.45</v>
      </c>
      <c r="C713" s="2">
        <f t="shared" ca="1" si="2"/>
        <v>-1.0922330097087362E-2</v>
      </c>
    </row>
    <row r="714" spans="1:3">
      <c r="A714" s="3">
        <f ca="1">IFERROR(__xludf.UNSUPPORTED("""COMPUTED_VALUE"""),44497.6666666666)</f>
        <v>44497.666666666599</v>
      </c>
      <c r="B714" s="1">
        <f ca="1">IFERROR(__xludf.UNSUPPORTED("""COMPUTED_VALUE"""),24.94)</f>
        <v>24.94</v>
      </c>
      <c r="C714" s="2">
        <f t="shared" ca="1" si="2"/>
        <v>2.0040899795501103E-2</v>
      </c>
    </row>
    <row r="715" spans="1:3">
      <c r="A715" s="3">
        <f ca="1">IFERROR(__xludf.UNSUPPORTED("""COMPUTED_VALUE"""),44498.6666666666)</f>
        <v>44498.666666666599</v>
      </c>
      <c r="B715" s="1">
        <f ca="1">IFERROR(__xludf.UNSUPPORTED("""COMPUTED_VALUE"""),25.57)</f>
        <v>25.57</v>
      </c>
      <c r="C715" s="2">
        <f t="shared" ca="1" si="2"/>
        <v>2.5260625501202845E-2</v>
      </c>
    </row>
    <row r="716" spans="1:3">
      <c r="A716" s="3">
        <f ca="1">IFERROR(__xludf.UNSUPPORTED("""COMPUTED_VALUE"""),44501.6666666666)</f>
        <v>44501.666666666599</v>
      </c>
      <c r="B716" s="1">
        <f ca="1">IFERROR(__xludf.UNSUPPORTED("""COMPUTED_VALUE"""),25.83)</f>
        <v>25.83</v>
      </c>
      <c r="C716" s="2">
        <f t="shared" ca="1" si="2"/>
        <v>1.0168165819319437E-2</v>
      </c>
    </row>
    <row r="717" spans="1:3">
      <c r="A717" s="3">
        <f ca="1">IFERROR(__xludf.UNSUPPORTED("""COMPUTED_VALUE"""),44502.6666666666)</f>
        <v>44502.666666666599</v>
      </c>
      <c r="B717" s="1">
        <f ca="1">IFERROR(__xludf.UNSUPPORTED("""COMPUTED_VALUE"""),26.4)</f>
        <v>26.4</v>
      </c>
      <c r="C717" s="2">
        <f t="shared" ca="1" si="2"/>
        <v>2.2067363530778178E-2</v>
      </c>
    </row>
    <row r="718" spans="1:3">
      <c r="A718" s="3">
        <f ca="1">IFERROR(__xludf.UNSUPPORTED("""COMPUTED_VALUE"""),44503.6666666666)</f>
        <v>44503.666666666599</v>
      </c>
      <c r="B718" s="1">
        <f ca="1">IFERROR(__xludf.UNSUPPORTED("""COMPUTED_VALUE"""),26.6)</f>
        <v>26.6</v>
      </c>
      <c r="C718" s="2">
        <f t="shared" ca="1" si="2"/>
        <v>7.5757575757576835E-3</v>
      </c>
    </row>
    <row r="719" spans="1:3">
      <c r="A719" s="3">
        <f ca="1">IFERROR(__xludf.UNSUPPORTED("""COMPUTED_VALUE"""),44504.6666666666)</f>
        <v>44504.666666666599</v>
      </c>
      <c r="B719" s="1">
        <f ca="1">IFERROR(__xludf.UNSUPPORTED("""COMPUTED_VALUE"""),29.8)</f>
        <v>29.8</v>
      </c>
      <c r="C719" s="2">
        <f t="shared" ca="1" si="2"/>
        <v>0.12030075187969921</v>
      </c>
    </row>
    <row r="720" spans="1:3">
      <c r="A720" s="3">
        <f ca="1">IFERROR(__xludf.UNSUPPORTED("""COMPUTED_VALUE"""),44505.6666666666)</f>
        <v>44505.666666666599</v>
      </c>
      <c r="B720" s="1">
        <f ca="1">IFERROR(__xludf.UNSUPPORTED("""COMPUTED_VALUE"""),29.75)</f>
        <v>29.75</v>
      </c>
      <c r="C720" s="2">
        <f t="shared" ca="1" si="2"/>
        <v>-1.6778523489933124E-3</v>
      </c>
    </row>
    <row r="721" spans="1:3">
      <c r="A721" s="3">
        <f ca="1">IFERROR(__xludf.UNSUPPORTED("""COMPUTED_VALUE"""),44508.6666666666)</f>
        <v>44508.666666666599</v>
      </c>
      <c r="B721" s="1">
        <f ca="1">IFERROR(__xludf.UNSUPPORTED("""COMPUTED_VALUE"""),30.8)</f>
        <v>30.8</v>
      </c>
      <c r="C721" s="2">
        <f t="shared" ca="1" si="2"/>
        <v>3.5294117647058851E-2</v>
      </c>
    </row>
    <row r="722" spans="1:3">
      <c r="A722" s="3">
        <f ca="1">IFERROR(__xludf.UNSUPPORTED("""COMPUTED_VALUE"""),44509.6666666666)</f>
        <v>44509.666666666599</v>
      </c>
      <c r="B722" s="1">
        <f ca="1">IFERROR(__xludf.UNSUPPORTED("""COMPUTED_VALUE"""),30.66)</f>
        <v>30.66</v>
      </c>
      <c r="C722" s="2">
        <f t="shared" ca="1" si="2"/>
        <v>-4.5454545454545634E-3</v>
      </c>
    </row>
    <row r="723" spans="1:3">
      <c r="A723" s="3">
        <f ca="1">IFERROR(__xludf.UNSUPPORTED("""COMPUTED_VALUE"""),44510.6666666666)</f>
        <v>44510.666666666599</v>
      </c>
      <c r="B723" s="1">
        <f ca="1">IFERROR(__xludf.UNSUPPORTED("""COMPUTED_VALUE"""),29.46)</f>
        <v>29.46</v>
      </c>
      <c r="C723" s="2">
        <f t="shared" ca="1" si="2"/>
        <v>-3.9138943248532267E-2</v>
      </c>
    </row>
    <row r="724" spans="1:3">
      <c r="A724" s="3">
        <f ca="1">IFERROR(__xludf.UNSUPPORTED("""COMPUTED_VALUE"""),44511.6666666666)</f>
        <v>44511.666666666599</v>
      </c>
      <c r="B724" s="1">
        <f ca="1">IFERROR(__xludf.UNSUPPORTED("""COMPUTED_VALUE"""),30.39)</f>
        <v>30.39</v>
      </c>
      <c r="C724" s="2">
        <f t="shared" ca="1" si="2"/>
        <v>3.1568228105906301E-2</v>
      </c>
    </row>
    <row r="725" spans="1:3">
      <c r="A725" s="3">
        <f ca="1">IFERROR(__xludf.UNSUPPORTED("""COMPUTED_VALUE"""),44512.6666666666)</f>
        <v>44512.666666666599</v>
      </c>
      <c r="B725" s="1">
        <f ca="1">IFERROR(__xludf.UNSUPPORTED("""COMPUTED_VALUE"""),30.39)</f>
        <v>30.39</v>
      </c>
      <c r="C725" s="2">
        <f t="shared" ca="1" si="2"/>
        <v>0</v>
      </c>
    </row>
    <row r="726" spans="1:3">
      <c r="A726" s="3">
        <f ca="1">IFERROR(__xludf.UNSUPPORTED("""COMPUTED_VALUE"""),44515.6666666666)</f>
        <v>44515.666666666599</v>
      </c>
      <c r="B726" s="1">
        <f ca="1">IFERROR(__xludf.UNSUPPORTED("""COMPUTED_VALUE"""),30.03)</f>
        <v>30.03</v>
      </c>
      <c r="C726" s="2">
        <f t="shared" ca="1" si="2"/>
        <v>-1.1846001974333643E-2</v>
      </c>
    </row>
    <row r="727" spans="1:3">
      <c r="A727" s="3">
        <f ca="1">IFERROR(__xludf.UNSUPPORTED("""COMPUTED_VALUE"""),44516.6666666666)</f>
        <v>44516.666666666599</v>
      </c>
      <c r="B727" s="1">
        <f ca="1">IFERROR(__xludf.UNSUPPORTED("""COMPUTED_VALUE"""),30.2)</f>
        <v>30.2</v>
      </c>
      <c r="C727" s="2">
        <f t="shared" ca="1" si="2"/>
        <v>5.6610056610055994E-3</v>
      </c>
    </row>
    <row r="728" spans="1:3">
      <c r="A728" s="3">
        <f ca="1">IFERROR(__xludf.UNSUPPORTED("""COMPUTED_VALUE"""),44517.6666666666)</f>
        <v>44517.666666666599</v>
      </c>
      <c r="B728" s="1">
        <f ca="1">IFERROR(__xludf.UNSUPPORTED("""COMPUTED_VALUE"""),29.26)</f>
        <v>29.26</v>
      </c>
      <c r="C728" s="2">
        <f t="shared" ca="1" si="2"/>
        <v>-3.1125827814569462E-2</v>
      </c>
    </row>
    <row r="729" spans="1:3">
      <c r="A729" s="3">
        <f ca="1">IFERROR(__xludf.UNSUPPORTED("""COMPUTED_VALUE"""),44518.6666666666)</f>
        <v>44518.666666666599</v>
      </c>
      <c r="B729" s="1">
        <f ca="1">IFERROR(__xludf.UNSUPPORTED("""COMPUTED_VALUE"""),31.68)</f>
        <v>31.68</v>
      </c>
      <c r="C729" s="2">
        <f t="shared" ca="1" si="2"/>
        <v>8.2706766917293159E-2</v>
      </c>
    </row>
    <row r="730" spans="1:3">
      <c r="A730" s="3">
        <f ca="1">IFERROR(__xludf.UNSUPPORTED("""COMPUTED_VALUE"""),44519.6666666666)</f>
        <v>44519.666666666599</v>
      </c>
      <c r="B730" s="1">
        <f ca="1">IFERROR(__xludf.UNSUPPORTED("""COMPUTED_VALUE"""),32.99)</f>
        <v>32.99</v>
      </c>
      <c r="C730" s="2">
        <f t="shared" ca="1" si="2"/>
        <v>4.1351010101010173E-2</v>
      </c>
    </row>
    <row r="731" spans="1:3">
      <c r="A731" s="3">
        <f ca="1">IFERROR(__xludf.UNSUPPORTED("""COMPUTED_VALUE"""),44522.6666666666)</f>
        <v>44522.666666666599</v>
      </c>
      <c r="B731" s="1">
        <f ca="1">IFERROR(__xludf.UNSUPPORTED("""COMPUTED_VALUE"""),31.96)</f>
        <v>31.96</v>
      </c>
      <c r="C731" s="2">
        <f t="shared" ca="1" si="2"/>
        <v>-3.122158229766599E-2</v>
      </c>
    </row>
    <row r="732" spans="1:3">
      <c r="A732" s="3">
        <f ca="1">IFERROR(__xludf.UNSUPPORTED("""COMPUTED_VALUE"""),44523.6666666666)</f>
        <v>44523.666666666599</v>
      </c>
      <c r="B732" s="1">
        <f ca="1">IFERROR(__xludf.UNSUPPORTED("""COMPUTED_VALUE"""),31.75)</f>
        <v>31.75</v>
      </c>
      <c r="C732" s="2">
        <f t="shared" ca="1" si="2"/>
        <v>-6.5707133917397012E-3</v>
      </c>
    </row>
    <row r="733" spans="1:3">
      <c r="A733" s="3">
        <f ca="1">IFERROR(__xludf.UNSUPPORTED("""COMPUTED_VALUE"""),44524.6666666666)</f>
        <v>44524.666666666599</v>
      </c>
      <c r="B733" s="1">
        <f ca="1">IFERROR(__xludf.UNSUPPORTED("""COMPUTED_VALUE"""),32.67)</f>
        <v>32.67</v>
      </c>
      <c r="C733" s="2">
        <f t="shared" ca="1" si="2"/>
        <v>2.8976377952755959E-2</v>
      </c>
    </row>
    <row r="734" spans="1:3">
      <c r="A734" s="3">
        <f ca="1">IFERROR(__xludf.UNSUPPORTED("""COMPUTED_VALUE"""),44526.5416666666)</f>
        <v>44526.541666666599</v>
      </c>
      <c r="B734" s="1">
        <f ca="1">IFERROR(__xludf.UNSUPPORTED("""COMPUTED_VALUE"""),31.5)</f>
        <v>31.5</v>
      </c>
      <c r="C734" s="2">
        <f t="shared" ca="1" si="2"/>
        <v>-3.581267217630859E-2</v>
      </c>
    </row>
    <row r="735" spans="1:3">
      <c r="A735" s="3">
        <f ca="1">IFERROR(__xludf.UNSUPPORTED("""COMPUTED_VALUE"""),44529.6666666666)</f>
        <v>44529.666666666599</v>
      </c>
      <c r="B735" s="1">
        <f ca="1">IFERROR(__xludf.UNSUPPORTED("""COMPUTED_VALUE"""),33.38)</f>
        <v>33.380000000000003</v>
      </c>
      <c r="C735" s="2">
        <f t="shared" ca="1" si="2"/>
        <v>5.9682539682539761E-2</v>
      </c>
    </row>
    <row r="736" spans="1:3">
      <c r="A736" s="3">
        <f ca="1">IFERROR(__xludf.UNSUPPORTED("""COMPUTED_VALUE"""),44530.6666666666)</f>
        <v>44530.666666666599</v>
      </c>
      <c r="B736" s="1">
        <f ca="1">IFERROR(__xludf.UNSUPPORTED("""COMPUTED_VALUE"""),32.68)</f>
        <v>32.68</v>
      </c>
      <c r="C736" s="2">
        <f t="shared" ca="1" si="2"/>
        <v>-2.0970641102456646E-2</v>
      </c>
    </row>
    <row r="737" spans="1:3">
      <c r="A737" s="3">
        <f ca="1">IFERROR(__xludf.UNSUPPORTED("""COMPUTED_VALUE"""),44531.6666666666)</f>
        <v>44531.666666666599</v>
      </c>
      <c r="B737" s="1">
        <f ca="1">IFERROR(__xludf.UNSUPPORTED("""COMPUTED_VALUE"""),31.44)</f>
        <v>31.44</v>
      </c>
      <c r="C737" s="2">
        <f t="shared" ca="1" si="2"/>
        <v>-3.7943696450428346E-2</v>
      </c>
    </row>
    <row r="738" spans="1:3">
      <c r="A738" s="3">
        <f ca="1">IFERROR(__xludf.UNSUPPORTED("""COMPUTED_VALUE"""),44532.6666666666)</f>
        <v>44532.666666666599</v>
      </c>
      <c r="B738" s="1">
        <f ca="1">IFERROR(__xludf.UNSUPPORTED("""COMPUTED_VALUE"""),32.13)</f>
        <v>32.130000000000003</v>
      </c>
      <c r="C738" s="2">
        <f t="shared" ca="1" si="2"/>
        <v>2.1946564885496223E-2</v>
      </c>
    </row>
    <row r="739" spans="1:3">
      <c r="A739" s="3">
        <f ca="1">IFERROR(__xludf.UNSUPPORTED("""COMPUTED_VALUE"""),44533.6666666666)</f>
        <v>44533.666666666599</v>
      </c>
      <c r="B739" s="1">
        <f ca="1">IFERROR(__xludf.UNSUPPORTED("""COMPUTED_VALUE"""),30.69)</f>
        <v>30.69</v>
      </c>
      <c r="C739" s="2">
        <f t="shared" ca="1" si="2"/>
        <v>-4.4817927170868382E-2</v>
      </c>
    </row>
    <row r="740" spans="1:3">
      <c r="A740" s="3">
        <f ca="1">IFERROR(__xludf.UNSUPPORTED("""COMPUTED_VALUE"""),44536.6666666666)</f>
        <v>44536.666666666599</v>
      </c>
      <c r="B740" s="1">
        <f ca="1">IFERROR(__xludf.UNSUPPORTED("""COMPUTED_VALUE"""),30.04)</f>
        <v>30.04</v>
      </c>
      <c r="C740" s="2">
        <f t="shared" ca="1" si="2"/>
        <v>-2.1179537308569637E-2</v>
      </c>
    </row>
    <row r="741" spans="1:3">
      <c r="A741" s="3">
        <f ca="1">IFERROR(__xludf.UNSUPPORTED("""COMPUTED_VALUE"""),44537.6666666666)</f>
        <v>44537.666666666599</v>
      </c>
      <c r="B741" s="1">
        <f ca="1">IFERROR(__xludf.UNSUPPORTED("""COMPUTED_VALUE"""),32.43)</f>
        <v>32.43</v>
      </c>
      <c r="C741" s="2">
        <f t="shared" ca="1" si="2"/>
        <v>7.9560585885486035E-2</v>
      </c>
    </row>
    <row r="742" spans="1:3">
      <c r="A742" s="3">
        <f ca="1">IFERROR(__xludf.UNSUPPORTED("""COMPUTED_VALUE"""),44538.6666666666)</f>
        <v>44538.666666666599</v>
      </c>
      <c r="B742" s="1">
        <f ca="1">IFERROR(__xludf.UNSUPPORTED("""COMPUTED_VALUE"""),31.83)</f>
        <v>31.83</v>
      </c>
      <c r="C742" s="2">
        <f t="shared" ca="1" si="2"/>
        <v>-1.850138760407035E-2</v>
      </c>
    </row>
    <row r="743" spans="1:3">
      <c r="A743" s="3">
        <f ca="1">IFERROR(__xludf.UNSUPPORTED("""COMPUTED_VALUE"""),44539.6666666666)</f>
        <v>44539.666666666599</v>
      </c>
      <c r="B743" s="1">
        <f ca="1">IFERROR(__xludf.UNSUPPORTED("""COMPUTED_VALUE"""),30.49)</f>
        <v>30.49</v>
      </c>
      <c r="C743" s="2">
        <f t="shared" ca="1" si="2"/>
        <v>-4.2098649073201377E-2</v>
      </c>
    </row>
    <row r="744" spans="1:3">
      <c r="A744" s="3">
        <f ca="1">IFERROR(__xludf.UNSUPPORTED("""COMPUTED_VALUE"""),44540.6666666666)</f>
        <v>44540.666666666599</v>
      </c>
      <c r="B744" s="1">
        <f ca="1">IFERROR(__xludf.UNSUPPORTED("""COMPUTED_VALUE"""),30.2)</f>
        <v>30.2</v>
      </c>
      <c r="C744" s="2">
        <f t="shared" ca="1" si="2"/>
        <v>-9.5113151853066305E-3</v>
      </c>
    </row>
    <row r="745" spans="1:3">
      <c r="A745" s="3">
        <f ca="1">IFERROR(__xludf.UNSUPPORTED("""COMPUTED_VALUE"""),44543.6666666666)</f>
        <v>44543.666666666599</v>
      </c>
      <c r="B745" s="1">
        <f ca="1">IFERROR(__xludf.UNSUPPORTED("""COMPUTED_VALUE"""),28.16)</f>
        <v>28.16</v>
      </c>
      <c r="C745" s="2">
        <f t="shared" ca="1" si="2"/>
        <v>-6.7549668874172158E-2</v>
      </c>
    </row>
    <row r="746" spans="1:3">
      <c r="A746" s="3">
        <f ca="1">IFERROR(__xludf.UNSUPPORTED("""COMPUTED_VALUE"""),44544.6666666666)</f>
        <v>44544.666666666599</v>
      </c>
      <c r="B746" s="1">
        <f ca="1">IFERROR(__xludf.UNSUPPORTED("""COMPUTED_VALUE"""),28.34)</f>
        <v>28.34</v>
      </c>
      <c r="C746" s="2">
        <f t="shared" ca="1" si="2"/>
        <v>6.3920454545454445E-3</v>
      </c>
    </row>
    <row r="747" spans="1:3">
      <c r="A747" s="3">
        <f ca="1">IFERROR(__xludf.UNSUPPORTED("""COMPUTED_VALUE"""),44545.6666666666)</f>
        <v>44545.666666666599</v>
      </c>
      <c r="B747" s="1">
        <f ca="1">IFERROR(__xludf.UNSUPPORTED("""COMPUTED_VALUE"""),30.46)</f>
        <v>30.46</v>
      </c>
      <c r="C747" s="2">
        <f t="shared" ca="1" si="2"/>
        <v>7.4805928016937223E-2</v>
      </c>
    </row>
    <row r="748" spans="1:3">
      <c r="A748" s="3">
        <f ca="1">IFERROR(__xludf.UNSUPPORTED("""COMPUTED_VALUE"""),44546.6666666666)</f>
        <v>44546.666666666599</v>
      </c>
      <c r="B748" s="1">
        <f ca="1">IFERROR(__xludf.UNSUPPORTED("""COMPUTED_VALUE"""),28.39)</f>
        <v>28.39</v>
      </c>
      <c r="C748" s="2">
        <f t="shared" ca="1" si="2"/>
        <v>-6.7957977675640185E-2</v>
      </c>
    </row>
    <row r="749" spans="1:3">
      <c r="A749" s="3">
        <f ca="1">IFERROR(__xludf.UNSUPPORTED("""COMPUTED_VALUE"""),44547.6666666666)</f>
        <v>44547.666666666599</v>
      </c>
      <c r="B749" s="1">
        <f ca="1">IFERROR(__xludf.UNSUPPORTED("""COMPUTED_VALUE"""),27.8)</f>
        <v>27.8</v>
      </c>
      <c r="C749" s="2">
        <f t="shared" ca="1" si="2"/>
        <v>-2.0781965480803095E-2</v>
      </c>
    </row>
    <row r="750" spans="1:3">
      <c r="A750" s="3">
        <f ca="1">IFERROR(__xludf.UNSUPPORTED("""COMPUTED_VALUE"""),44550.6666666666)</f>
        <v>44550.666666666599</v>
      </c>
      <c r="B750" s="1">
        <f ca="1">IFERROR(__xludf.UNSUPPORTED("""COMPUTED_VALUE"""),27.72)</f>
        <v>27.72</v>
      </c>
      <c r="C750" s="2">
        <f t="shared" ca="1" si="2"/>
        <v>-2.8776978417266851E-3</v>
      </c>
    </row>
    <row r="751" spans="1:3">
      <c r="A751" s="3">
        <f ca="1">IFERROR(__xludf.UNSUPPORTED("""COMPUTED_VALUE"""),44551.6666666666)</f>
        <v>44551.666666666599</v>
      </c>
      <c r="B751" s="1">
        <f ca="1">IFERROR(__xludf.UNSUPPORTED("""COMPUTED_VALUE"""),29.08)</f>
        <v>29.08</v>
      </c>
      <c r="C751" s="2">
        <f t="shared" ca="1" si="2"/>
        <v>4.9062049062049043E-2</v>
      </c>
    </row>
    <row r="752" spans="1:3">
      <c r="A752" s="3">
        <f ca="1">IFERROR(__xludf.UNSUPPORTED("""COMPUTED_VALUE"""),44552.6666666666)</f>
        <v>44552.666666666599</v>
      </c>
      <c r="B752" s="1">
        <f ca="1">IFERROR(__xludf.UNSUPPORTED("""COMPUTED_VALUE"""),29.4)</f>
        <v>29.4</v>
      </c>
      <c r="C752" s="2">
        <f t="shared" ca="1" si="2"/>
        <v>1.1004126547455306E-2</v>
      </c>
    </row>
    <row r="753" spans="1:3">
      <c r="A753" s="3">
        <f ca="1">IFERROR(__xludf.UNSUPPORTED("""COMPUTED_VALUE"""),44553.6666666666)</f>
        <v>44553.666666666599</v>
      </c>
      <c r="B753" s="1">
        <f ca="1">IFERROR(__xludf.UNSUPPORTED("""COMPUTED_VALUE"""),29.64)</f>
        <v>29.64</v>
      </c>
      <c r="C753" s="2">
        <f t="shared" ca="1" si="2"/>
        <v>8.1632653061225174E-3</v>
      </c>
    </row>
    <row r="754" spans="1:3">
      <c r="A754" s="3">
        <f ca="1">IFERROR(__xludf.UNSUPPORTED("""COMPUTED_VALUE"""),44557.6666666666)</f>
        <v>44557.666666666599</v>
      </c>
      <c r="B754" s="1">
        <f ca="1">IFERROR(__xludf.UNSUPPORTED("""COMPUTED_VALUE"""),30.95)</f>
        <v>30.95</v>
      </c>
      <c r="C754" s="2">
        <f t="shared" ca="1" si="2"/>
        <v>4.4197031039136261E-2</v>
      </c>
    </row>
    <row r="755" spans="1:3">
      <c r="A755" s="3">
        <f ca="1">IFERROR(__xludf.UNSUPPORTED("""COMPUTED_VALUE"""),44558.6666666666)</f>
        <v>44558.666666666599</v>
      </c>
      <c r="B755" s="1">
        <f ca="1">IFERROR(__xludf.UNSUPPORTED("""COMPUTED_VALUE"""),30.32)</f>
        <v>30.32</v>
      </c>
      <c r="C755" s="2">
        <f t="shared" ca="1" si="2"/>
        <v>-2.0355411954765718E-2</v>
      </c>
    </row>
    <row r="756" spans="1:3">
      <c r="A756" s="3">
        <f ca="1">IFERROR(__xludf.UNSUPPORTED("""COMPUTED_VALUE"""),44559.6666666666)</f>
        <v>44559.666666666599</v>
      </c>
      <c r="B756" s="1">
        <f ca="1">IFERROR(__xludf.UNSUPPORTED("""COMPUTED_VALUE"""),30)</f>
        <v>30</v>
      </c>
      <c r="C756" s="2">
        <f t="shared" ca="1" si="2"/>
        <v>-1.0554089709762543E-2</v>
      </c>
    </row>
    <row r="757" spans="1:3">
      <c r="A757" s="3">
        <f ca="1">IFERROR(__xludf.UNSUPPORTED("""COMPUTED_VALUE"""),44560.6666666666)</f>
        <v>44560.666666666599</v>
      </c>
      <c r="B757" s="1">
        <f ca="1">IFERROR(__xludf.UNSUPPORTED("""COMPUTED_VALUE"""),29.59)</f>
        <v>29.59</v>
      </c>
      <c r="C757" s="2">
        <f t="shared" ca="1" si="2"/>
        <v>-1.3666666666666671E-2</v>
      </c>
    </row>
    <row r="758" spans="1:3">
      <c r="A758" s="3">
        <f ca="1">IFERROR(__xludf.UNSUPPORTED("""COMPUTED_VALUE"""),44561.6666666666)</f>
        <v>44561.666666666599</v>
      </c>
      <c r="B758" s="1">
        <f ca="1">IFERROR(__xludf.UNSUPPORTED("""COMPUTED_VALUE"""),29.41)</f>
        <v>29.41</v>
      </c>
      <c r="C758" s="2">
        <f t="shared" ca="1" si="2"/>
        <v>-6.0831361946603489E-3</v>
      </c>
    </row>
    <row r="759" spans="1:3">
      <c r="A759" s="3">
        <f ca="1">IFERROR(__xludf.UNSUPPORTED("""COMPUTED_VALUE"""),44564.6666666666)</f>
        <v>44564.666666666599</v>
      </c>
      <c r="B759" s="1">
        <f ca="1">IFERROR(__xludf.UNSUPPORTED("""COMPUTED_VALUE"""),30.12)</f>
        <v>30.12</v>
      </c>
      <c r="C759" s="2">
        <f t="shared" ca="1" si="2"/>
        <v>2.4141448486909245E-2</v>
      </c>
    </row>
    <row r="760" spans="1:3">
      <c r="A760" s="3">
        <f ca="1">IFERROR(__xludf.UNSUPPORTED("""COMPUTED_VALUE"""),44565.6666666666)</f>
        <v>44565.666666666599</v>
      </c>
      <c r="B760" s="1">
        <f ca="1">IFERROR(__xludf.UNSUPPORTED("""COMPUTED_VALUE"""),29.29)</f>
        <v>29.29</v>
      </c>
      <c r="C760" s="2">
        <f t="shared" ca="1" si="2"/>
        <v>-2.7556440903054508E-2</v>
      </c>
    </row>
    <row r="761" spans="1:3">
      <c r="A761" s="3">
        <f ca="1">IFERROR(__xludf.UNSUPPORTED("""COMPUTED_VALUE"""),44566.6666666666)</f>
        <v>44566.666666666599</v>
      </c>
      <c r="B761" s="1">
        <f ca="1">IFERROR(__xludf.UNSUPPORTED("""COMPUTED_VALUE"""),27.6)</f>
        <v>27.6</v>
      </c>
      <c r="C761" s="2">
        <f t="shared" ca="1" si="2"/>
        <v>-5.7698873335609344E-2</v>
      </c>
    </row>
    <row r="762" spans="1:3">
      <c r="A762" s="3">
        <f ca="1">IFERROR(__xludf.UNSUPPORTED("""COMPUTED_VALUE"""),44567.6666666666)</f>
        <v>44567.666666666599</v>
      </c>
      <c r="B762" s="1">
        <f ca="1">IFERROR(__xludf.UNSUPPORTED("""COMPUTED_VALUE"""),28.18)</f>
        <v>28.18</v>
      </c>
      <c r="C762" s="2">
        <f t="shared" ca="1" si="2"/>
        <v>2.1014492753623125E-2</v>
      </c>
    </row>
    <row r="763" spans="1:3">
      <c r="A763" s="3">
        <f ca="1">IFERROR(__xludf.UNSUPPORTED("""COMPUTED_VALUE"""),44568.6666666666)</f>
        <v>44568.666666666599</v>
      </c>
      <c r="B763" s="1">
        <f ca="1">IFERROR(__xludf.UNSUPPORTED("""COMPUTED_VALUE"""),27.25)</f>
        <v>27.25</v>
      </c>
      <c r="C763" s="2">
        <f t="shared" ca="1" si="2"/>
        <v>-3.3002129169623834E-2</v>
      </c>
    </row>
    <row r="764" spans="1:3">
      <c r="A764" s="3">
        <f ca="1">IFERROR(__xludf.UNSUPPORTED("""COMPUTED_VALUE"""),44571.6666666666)</f>
        <v>44571.666666666599</v>
      </c>
      <c r="B764" s="1">
        <f ca="1">IFERROR(__xludf.UNSUPPORTED("""COMPUTED_VALUE"""),27.4)</f>
        <v>27.4</v>
      </c>
      <c r="C764" s="2">
        <f t="shared" ca="1" si="2"/>
        <v>5.504587155963251E-3</v>
      </c>
    </row>
    <row r="765" spans="1:3">
      <c r="A765" s="3">
        <f ca="1">IFERROR(__xludf.UNSUPPORTED("""COMPUTED_VALUE"""),44572.6666666666)</f>
        <v>44572.666666666599</v>
      </c>
      <c r="B765" s="1">
        <f ca="1">IFERROR(__xludf.UNSUPPORTED("""COMPUTED_VALUE"""),27.82)</f>
        <v>27.82</v>
      </c>
      <c r="C765" s="2">
        <f t="shared" ca="1" si="2"/>
        <v>1.5328467153284734E-2</v>
      </c>
    </row>
    <row r="766" spans="1:3">
      <c r="A766" s="3">
        <f ca="1">IFERROR(__xludf.UNSUPPORTED("""COMPUTED_VALUE"""),44573.6666666666)</f>
        <v>44573.666666666599</v>
      </c>
      <c r="B766" s="1">
        <f ca="1">IFERROR(__xludf.UNSUPPORTED("""COMPUTED_VALUE"""),28)</f>
        <v>28</v>
      </c>
      <c r="C766" s="2">
        <f t="shared" ca="1" si="2"/>
        <v>6.4701653486700112E-3</v>
      </c>
    </row>
    <row r="767" spans="1:3">
      <c r="A767" s="3">
        <f ca="1">IFERROR(__xludf.UNSUPPORTED("""COMPUTED_VALUE"""),44574.6666666666)</f>
        <v>44574.666666666599</v>
      </c>
      <c r="B767" s="1">
        <f ca="1">IFERROR(__xludf.UNSUPPORTED("""COMPUTED_VALUE"""),26.58)</f>
        <v>26.58</v>
      </c>
      <c r="C767" s="2">
        <f t="shared" ca="1" si="2"/>
        <v>-5.0714285714285774E-2</v>
      </c>
    </row>
    <row r="768" spans="1:3">
      <c r="A768" s="3">
        <f ca="1">IFERROR(__xludf.UNSUPPORTED("""COMPUTED_VALUE"""),44575.6666666666)</f>
        <v>44575.666666666599</v>
      </c>
      <c r="B768" s="1">
        <f ca="1">IFERROR(__xludf.UNSUPPORTED("""COMPUTED_VALUE"""),26.94)</f>
        <v>26.94</v>
      </c>
      <c r="C768" s="2">
        <f t="shared" ref="C768:C1022" ca="1" si="3">(B768-B767)/B767</f>
        <v>1.3544018058690857E-2</v>
      </c>
    </row>
    <row r="769" spans="1:3">
      <c r="A769" s="3">
        <f ca="1">IFERROR(__xludf.UNSUPPORTED("""COMPUTED_VALUE"""),44579.6666666666)</f>
        <v>44579.666666666599</v>
      </c>
      <c r="B769" s="1">
        <f ca="1">IFERROR(__xludf.UNSUPPORTED("""COMPUTED_VALUE"""),25.9)</f>
        <v>25.9</v>
      </c>
      <c r="C769" s="2">
        <f t="shared" ca="1" si="3"/>
        <v>-3.860430586488503E-2</v>
      </c>
    </row>
    <row r="770" spans="1:3">
      <c r="A770" s="3">
        <f ca="1">IFERROR(__xludf.UNSUPPORTED("""COMPUTED_VALUE"""),44580.6666666666)</f>
        <v>44580.666666666599</v>
      </c>
      <c r="B770" s="1">
        <f ca="1">IFERROR(__xludf.UNSUPPORTED("""COMPUTED_VALUE"""),25.07)</f>
        <v>25.07</v>
      </c>
      <c r="C770" s="2">
        <f t="shared" ca="1" si="3"/>
        <v>-3.2046332046331984E-2</v>
      </c>
    </row>
    <row r="771" spans="1:3">
      <c r="A771" s="3">
        <f ca="1">IFERROR(__xludf.UNSUPPORTED("""COMPUTED_VALUE"""),44581.6666666666)</f>
        <v>44581.666666666599</v>
      </c>
      <c r="B771" s="1">
        <f ca="1">IFERROR(__xludf.UNSUPPORTED("""COMPUTED_VALUE"""),24.15)</f>
        <v>24.15</v>
      </c>
      <c r="C771" s="2">
        <f t="shared" ca="1" si="3"/>
        <v>-3.6697247706422083E-2</v>
      </c>
    </row>
    <row r="772" spans="1:3">
      <c r="A772" s="3">
        <f ca="1">IFERROR(__xludf.UNSUPPORTED("""COMPUTED_VALUE"""),44582.6666666666)</f>
        <v>44582.666666666599</v>
      </c>
      <c r="B772" s="1">
        <f ca="1">IFERROR(__xludf.UNSUPPORTED("""COMPUTED_VALUE"""),23.37)</f>
        <v>23.37</v>
      </c>
      <c r="C772" s="2">
        <f t="shared" ca="1" si="3"/>
        <v>-3.2298136645962636E-2</v>
      </c>
    </row>
    <row r="773" spans="1:3">
      <c r="A773" s="3">
        <f ca="1">IFERROR(__xludf.UNSUPPORTED("""COMPUTED_VALUE"""),44585.6666666666)</f>
        <v>44585.666666666599</v>
      </c>
      <c r="B773" s="1">
        <f ca="1">IFERROR(__xludf.UNSUPPORTED("""COMPUTED_VALUE"""),23.37)</f>
        <v>23.37</v>
      </c>
      <c r="C773" s="2">
        <f t="shared" ca="1" si="3"/>
        <v>0</v>
      </c>
    </row>
    <row r="774" spans="1:3">
      <c r="A774" s="3">
        <f ca="1">IFERROR(__xludf.UNSUPPORTED("""COMPUTED_VALUE"""),44586.6666666666)</f>
        <v>44586.666666666599</v>
      </c>
      <c r="B774" s="1">
        <f ca="1">IFERROR(__xludf.UNSUPPORTED("""COMPUTED_VALUE"""),22.32)</f>
        <v>22.32</v>
      </c>
      <c r="C774" s="2">
        <f t="shared" ca="1" si="3"/>
        <v>-4.4929396662387704E-2</v>
      </c>
    </row>
    <row r="775" spans="1:3">
      <c r="A775" s="3">
        <f ca="1">IFERROR(__xludf.UNSUPPORTED("""COMPUTED_VALUE"""),44587.6666666666)</f>
        <v>44587.666666666599</v>
      </c>
      <c r="B775" s="1">
        <f ca="1">IFERROR(__xludf.UNSUPPORTED("""COMPUTED_VALUE"""),22.77)</f>
        <v>22.77</v>
      </c>
      <c r="C775" s="2">
        <f t="shared" ca="1" si="3"/>
        <v>2.0161290322580613E-2</v>
      </c>
    </row>
    <row r="776" spans="1:3">
      <c r="A776" s="3">
        <f ca="1">IFERROR(__xludf.UNSUPPORTED("""COMPUTED_VALUE"""),44588.6666666666)</f>
        <v>44588.666666666599</v>
      </c>
      <c r="B776" s="1">
        <f ca="1">IFERROR(__xludf.UNSUPPORTED("""COMPUTED_VALUE"""),21.94)</f>
        <v>21.94</v>
      </c>
      <c r="C776" s="2">
        <f t="shared" ca="1" si="3"/>
        <v>-3.6451471234079859E-2</v>
      </c>
    </row>
    <row r="777" spans="1:3">
      <c r="A777" s="3">
        <f ca="1">IFERROR(__xludf.UNSUPPORTED("""COMPUTED_VALUE"""),44589.6666666666)</f>
        <v>44589.666666666599</v>
      </c>
      <c r="B777" s="1">
        <f ca="1">IFERROR(__xludf.UNSUPPORTED("""COMPUTED_VALUE"""),22.84)</f>
        <v>22.84</v>
      </c>
      <c r="C777" s="2">
        <f t="shared" ca="1" si="3"/>
        <v>4.1020966271649889E-2</v>
      </c>
    </row>
    <row r="778" spans="1:3">
      <c r="A778" s="3">
        <f ca="1">IFERROR(__xludf.UNSUPPORTED("""COMPUTED_VALUE"""),44592.6666666666)</f>
        <v>44592.666666666599</v>
      </c>
      <c r="B778" s="1">
        <f ca="1">IFERROR(__xludf.UNSUPPORTED("""COMPUTED_VALUE"""),24.49)</f>
        <v>24.49</v>
      </c>
      <c r="C778" s="2">
        <f t="shared" ca="1" si="3"/>
        <v>7.2241681260945642E-2</v>
      </c>
    </row>
    <row r="779" spans="1:3">
      <c r="A779" s="3">
        <f ca="1">IFERROR(__xludf.UNSUPPORTED("""COMPUTED_VALUE"""),44593.6666666666)</f>
        <v>44593.666666666599</v>
      </c>
      <c r="B779" s="1">
        <f ca="1">IFERROR(__xludf.UNSUPPORTED("""COMPUTED_VALUE"""),24.64)</f>
        <v>24.64</v>
      </c>
      <c r="C779" s="2">
        <f t="shared" ca="1" si="3"/>
        <v>6.1249489587587641E-3</v>
      </c>
    </row>
    <row r="780" spans="1:3">
      <c r="A780" s="3">
        <f ca="1">IFERROR(__xludf.UNSUPPORTED("""COMPUTED_VALUE"""),44594.6666666666)</f>
        <v>44594.666666666599</v>
      </c>
      <c r="B780" s="1">
        <f ca="1">IFERROR(__xludf.UNSUPPORTED("""COMPUTED_VALUE"""),25.24)</f>
        <v>25.24</v>
      </c>
      <c r="C780" s="2">
        <f t="shared" ca="1" si="3"/>
        <v>2.4350649350649265E-2</v>
      </c>
    </row>
    <row r="781" spans="1:3">
      <c r="A781" s="3">
        <f ca="1">IFERROR(__xludf.UNSUPPORTED("""COMPUTED_VALUE"""),44595.6666666666)</f>
        <v>44595.666666666599</v>
      </c>
      <c r="B781" s="1">
        <f ca="1">IFERROR(__xludf.UNSUPPORTED("""COMPUTED_VALUE"""),23.95)</f>
        <v>23.95</v>
      </c>
      <c r="C781" s="2">
        <f t="shared" ca="1" si="3"/>
        <v>-5.1109350237717878E-2</v>
      </c>
    </row>
    <row r="782" spans="1:3">
      <c r="A782" s="3">
        <f ca="1">IFERROR(__xludf.UNSUPPORTED("""COMPUTED_VALUE"""),44596.6666666666)</f>
        <v>44596.666666666599</v>
      </c>
      <c r="B782" s="1">
        <f ca="1">IFERROR(__xludf.UNSUPPORTED("""COMPUTED_VALUE"""),24.32)</f>
        <v>24.32</v>
      </c>
      <c r="C782" s="2">
        <f t="shared" ca="1" si="3"/>
        <v>1.5448851774530313E-2</v>
      </c>
    </row>
    <row r="783" spans="1:3">
      <c r="A783" s="3">
        <f ca="1">IFERROR(__xludf.UNSUPPORTED("""COMPUTED_VALUE"""),44599.6666666666)</f>
        <v>44599.666666666599</v>
      </c>
      <c r="B783" s="1">
        <f ca="1">IFERROR(__xludf.UNSUPPORTED("""COMPUTED_VALUE"""),24.73)</f>
        <v>24.73</v>
      </c>
      <c r="C783" s="2">
        <f t="shared" ca="1" si="3"/>
        <v>1.6858552631578955E-2</v>
      </c>
    </row>
    <row r="784" spans="1:3">
      <c r="A784" s="3">
        <f ca="1">IFERROR(__xludf.UNSUPPORTED("""COMPUTED_VALUE"""),44600.6666666666)</f>
        <v>44600.666666666599</v>
      </c>
      <c r="B784" s="1">
        <f ca="1">IFERROR(__xludf.UNSUPPORTED("""COMPUTED_VALUE"""),25.11)</f>
        <v>25.11</v>
      </c>
      <c r="C784" s="2">
        <f t="shared" ca="1" si="3"/>
        <v>1.5365952284674444E-2</v>
      </c>
    </row>
    <row r="785" spans="1:3">
      <c r="A785" s="3">
        <f ca="1">IFERROR(__xludf.UNSUPPORTED("""COMPUTED_VALUE"""),44601.6666666666)</f>
        <v>44601.666666666599</v>
      </c>
      <c r="B785" s="1">
        <f ca="1">IFERROR(__xludf.UNSUPPORTED("""COMPUTED_VALUE"""),26.71)</f>
        <v>26.71</v>
      </c>
      <c r="C785" s="2">
        <f t="shared" ca="1" si="3"/>
        <v>6.3719633612106794E-2</v>
      </c>
    </row>
    <row r="786" spans="1:3">
      <c r="A786" s="3">
        <f ca="1">IFERROR(__xludf.UNSUPPORTED("""COMPUTED_VALUE"""),44602.6666666666)</f>
        <v>44602.666666666599</v>
      </c>
      <c r="B786" s="1">
        <f ca="1">IFERROR(__xludf.UNSUPPORTED("""COMPUTED_VALUE"""),25.82)</f>
        <v>25.82</v>
      </c>
      <c r="C786" s="2">
        <f t="shared" ca="1" si="3"/>
        <v>-3.3320853612879092E-2</v>
      </c>
    </row>
    <row r="787" spans="1:3">
      <c r="A787" s="3">
        <f ca="1">IFERROR(__xludf.UNSUPPORTED("""COMPUTED_VALUE"""),44603.6666666666)</f>
        <v>44603.666666666599</v>
      </c>
      <c r="B787" s="1">
        <f ca="1">IFERROR(__xludf.UNSUPPORTED("""COMPUTED_VALUE"""),23.95)</f>
        <v>23.95</v>
      </c>
      <c r="C787" s="2">
        <f t="shared" ca="1" si="3"/>
        <v>-7.2424477149496555E-2</v>
      </c>
    </row>
    <row r="788" spans="1:3">
      <c r="A788" s="3">
        <f ca="1">IFERROR(__xludf.UNSUPPORTED("""COMPUTED_VALUE"""),44606.6666666666)</f>
        <v>44606.666666666599</v>
      </c>
      <c r="B788" s="1">
        <f ca="1">IFERROR(__xludf.UNSUPPORTED("""COMPUTED_VALUE"""),24.27)</f>
        <v>24.27</v>
      </c>
      <c r="C788" s="2">
        <f t="shared" ca="1" si="3"/>
        <v>1.3361169102296464E-2</v>
      </c>
    </row>
    <row r="789" spans="1:3">
      <c r="A789" s="3">
        <f ca="1">IFERROR(__xludf.UNSUPPORTED("""COMPUTED_VALUE"""),44607.6666666666)</f>
        <v>44607.666666666599</v>
      </c>
      <c r="B789" s="1">
        <f ca="1">IFERROR(__xludf.UNSUPPORTED("""COMPUTED_VALUE"""),26.5)</f>
        <v>26.5</v>
      </c>
      <c r="C789" s="2">
        <f t="shared" ca="1" si="3"/>
        <v>9.1882983106716123E-2</v>
      </c>
    </row>
    <row r="790" spans="1:3">
      <c r="A790" s="3">
        <f ca="1">IFERROR(__xludf.UNSUPPORTED("""COMPUTED_VALUE"""),44608.6666666666)</f>
        <v>44608.666666666599</v>
      </c>
      <c r="B790" s="1">
        <f ca="1">IFERROR(__xludf.UNSUPPORTED("""COMPUTED_VALUE"""),26.51)</f>
        <v>26.51</v>
      </c>
      <c r="C790" s="2">
        <f t="shared" ca="1" si="3"/>
        <v>3.773584905660967E-4</v>
      </c>
    </row>
    <row r="791" spans="1:3">
      <c r="A791" s="3">
        <f ca="1">IFERROR(__xludf.UNSUPPORTED("""COMPUTED_VALUE"""),44609.6666666666)</f>
        <v>44609.666666666599</v>
      </c>
      <c r="B791" s="1">
        <f ca="1">IFERROR(__xludf.UNSUPPORTED("""COMPUTED_VALUE"""),24.51)</f>
        <v>24.51</v>
      </c>
      <c r="C791" s="2">
        <f t="shared" ca="1" si="3"/>
        <v>-7.5443228970199921E-2</v>
      </c>
    </row>
    <row r="792" spans="1:3">
      <c r="A792" s="3">
        <f ca="1">IFERROR(__xludf.UNSUPPORTED("""COMPUTED_VALUE"""),44610.6666666666)</f>
        <v>44610.666666666599</v>
      </c>
      <c r="B792" s="1">
        <f ca="1">IFERROR(__xludf.UNSUPPORTED("""COMPUTED_VALUE"""),23.64)</f>
        <v>23.64</v>
      </c>
      <c r="C792" s="2">
        <f t="shared" ca="1" si="3"/>
        <v>-3.5495716034271763E-2</v>
      </c>
    </row>
    <row r="793" spans="1:3">
      <c r="A793" s="3">
        <f ca="1">IFERROR(__xludf.UNSUPPORTED("""COMPUTED_VALUE"""),44614.6666666666)</f>
        <v>44614.666666666599</v>
      </c>
      <c r="B793" s="1">
        <f ca="1">IFERROR(__xludf.UNSUPPORTED("""COMPUTED_VALUE"""),23.39)</f>
        <v>23.39</v>
      </c>
      <c r="C793" s="2">
        <f t="shared" ca="1" si="3"/>
        <v>-1.0575296108291032E-2</v>
      </c>
    </row>
    <row r="794" spans="1:3">
      <c r="A794" s="3">
        <f ca="1">IFERROR(__xludf.UNSUPPORTED("""COMPUTED_VALUE"""),44615.6666666666)</f>
        <v>44615.666666666599</v>
      </c>
      <c r="B794" s="1">
        <f ca="1">IFERROR(__xludf.UNSUPPORTED("""COMPUTED_VALUE"""),22.39)</f>
        <v>22.39</v>
      </c>
      <c r="C794" s="2">
        <f t="shared" ca="1" si="3"/>
        <v>-4.2753313381787089E-2</v>
      </c>
    </row>
    <row r="795" spans="1:3">
      <c r="A795" s="3">
        <f ca="1">IFERROR(__xludf.UNSUPPORTED("""COMPUTED_VALUE"""),44616.6666666666)</f>
        <v>44616.666666666599</v>
      </c>
      <c r="B795" s="1">
        <f ca="1">IFERROR(__xludf.UNSUPPORTED("""COMPUTED_VALUE"""),23.75)</f>
        <v>23.75</v>
      </c>
      <c r="C795" s="2">
        <f t="shared" ca="1" si="3"/>
        <v>6.0741402411790948E-2</v>
      </c>
    </row>
    <row r="796" spans="1:3">
      <c r="A796" s="3">
        <f ca="1">IFERROR(__xludf.UNSUPPORTED("""COMPUTED_VALUE"""),44617.6666666666)</f>
        <v>44617.666666666599</v>
      </c>
      <c r="B796" s="1">
        <f ca="1">IFERROR(__xludf.UNSUPPORTED("""COMPUTED_VALUE"""),24.16)</f>
        <v>24.16</v>
      </c>
      <c r="C796" s="2">
        <f t="shared" ca="1" si="3"/>
        <v>1.7263157894736848E-2</v>
      </c>
    </row>
    <row r="797" spans="1:3">
      <c r="A797" s="3">
        <f ca="1">IFERROR(__xludf.UNSUPPORTED("""COMPUTED_VALUE"""),44620.6666666666)</f>
        <v>44620.666666666599</v>
      </c>
      <c r="B797" s="1">
        <f ca="1">IFERROR(__xludf.UNSUPPORTED("""COMPUTED_VALUE"""),24.39)</f>
        <v>24.39</v>
      </c>
      <c r="C797" s="2">
        <f t="shared" ca="1" si="3"/>
        <v>9.5198675496688916E-3</v>
      </c>
    </row>
    <row r="798" spans="1:3">
      <c r="A798" s="3">
        <f ca="1">IFERROR(__xludf.UNSUPPORTED("""COMPUTED_VALUE"""),44621.6666666666)</f>
        <v>44621.666666666599</v>
      </c>
      <c r="B798" s="1">
        <f ca="1">IFERROR(__xludf.UNSUPPORTED("""COMPUTED_VALUE"""),23.48)</f>
        <v>23.48</v>
      </c>
      <c r="C798" s="2">
        <f t="shared" ca="1" si="3"/>
        <v>-3.7310373103731045E-2</v>
      </c>
    </row>
    <row r="799" spans="1:3">
      <c r="A799" s="3">
        <f ca="1">IFERROR(__xludf.UNSUPPORTED("""COMPUTED_VALUE"""),44622.6666666666)</f>
        <v>44622.666666666599</v>
      </c>
      <c r="B799" s="1">
        <f ca="1">IFERROR(__xludf.UNSUPPORTED("""COMPUTED_VALUE"""),24.22)</f>
        <v>24.22</v>
      </c>
      <c r="C799" s="2">
        <f t="shared" ca="1" si="3"/>
        <v>3.1516183986371314E-2</v>
      </c>
    </row>
    <row r="800" spans="1:3">
      <c r="A800" s="3">
        <f ca="1">IFERROR(__xludf.UNSUPPORTED("""COMPUTED_VALUE"""),44623.6666666666)</f>
        <v>44623.666666666599</v>
      </c>
      <c r="B800" s="1">
        <f ca="1">IFERROR(__xludf.UNSUPPORTED("""COMPUTED_VALUE"""),23.71)</f>
        <v>23.71</v>
      </c>
      <c r="C800" s="2">
        <f t="shared" ca="1" si="3"/>
        <v>-2.1056977704376468E-2</v>
      </c>
    </row>
    <row r="801" spans="1:3">
      <c r="A801" s="3">
        <f ca="1">IFERROR(__xludf.UNSUPPORTED("""COMPUTED_VALUE"""),44624.6666666666)</f>
        <v>44624.666666666599</v>
      </c>
      <c r="B801" s="1">
        <f ca="1">IFERROR(__xludf.UNSUPPORTED("""COMPUTED_VALUE"""),22.94)</f>
        <v>22.94</v>
      </c>
      <c r="C801" s="2">
        <f t="shared" ca="1" si="3"/>
        <v>-3.2475748629270329E-2</v>
      </c>
    </row>
    <row r="802" spans="1:3">
      <c r="A802" s="3">
        <f ca="1">IFERROR(__xludf.UNSUPPORTED("""COMPUTED_VALUE"""),44627.6666666666)</f>
        <v>44627.666666666599</v>
      </c>
      <c r="B802" s="1">
        <f ca="1">IFERROR(__xludf.UNSUPPORTED("""COMPUTED_VALUE"""),21.35)</f>
        <v>21.35</v>
      </c>
      <c r="C802" s="2">
        <f t="shared" ca="1" si="3"/>
        <v>-6.9311246730601558E-2</v>
      </c>
    </row>
    <row r="803" spans="1:3">
      <c r="A803" s="3">
        <f ca="1">IFERROR(__xludf.UNSUPPORTED("""COMPUTED_VALUE"""),44628.6666666666)</f>
        <v>44628.666666666599</v>
      </c>
      <c r="B803" s="1">
        <f ca="1">IFERROR(__xludf.UNSUPPORTED("""COMPUTED_VALUE"""),21.51)</f>
        <v>21.51</v>
      </c>
      <c r="C803" s="2">
        <f t="shared" ca="1" si="3"/>
        <v>7.4941451990632379E-3</v>
      </c>
    </row>
    <row r="804" spans="1:3">
      <c r="A804" s="3">
        <f ca="1">IFERROR(__xludf.UNSUPPORTED("""COMPUTED_VALUE"""),44629.6666666666)</f>
        <v>44629.666666666599</v>
      </c>
      <c r="B804" s="1">
        <f ca="1">IFERROR(__xludf.UNSUPPORTED("""COMPUTED_VALUE"""),23.01)</f>
        <v>23.01</v>
      </c>
      <c r="C804" s="2">
        <f t="shared" ca="1" si="3"/>
        <v>6.9735006973500699E-2</v>
      </c>
    </row>
    <row r="805" spans="1:3">
      <c r="A805" s="3">
        <f ca="1">IFERROR(__xludf.UNSUPPORTED("""COMPUTED_VALUE"""),44630.6666666666)</f>
        <v>44630.666666666599</v>
      </c>
      <c r="B805" s="1">
        <f ca="1">IFERROR(__xludf.UNSUPPORTED("""COMPUTED_VALUE"""),22.66)</f>
        <v>22.66</v>
      </c>
      <c r="C805" s="2">
        <f t="shared" ca="1" si="3"/>
        <v>-1.521077792264239E-2</v>
      </c>
    </row>
    <row r="806" spans="1:3">
      <c r="A806" s="3">
        <f ca="1">IFERROR(__xludf.UNSUPPORTED("""COMPUTED_VALUE"""),44631.6666666666)</f>
        <v>44631.666666666599</v>
      </c>
      <c r="B806" s="1">
        <f ca="1">IFERROR(__xludf.UNSUPPORTED("""COMPUTED_VALUE"""),22.1)</f>
        <v>22.1</v>
      </c>
      <c r="C806" s="2">
        <f t="shared" ca="1" si="3"/>
        <v>-2.4713150926743102E-2</v>
      </c>
    </row>
    <row r="807" spans="1:3">
      <c r="A807" s="3">
        <f ca="1">IFERROR(__xludf.UNSUPPORTED("""COMPUTED_VALUE"""),44634.6666666666)</f>
        <v>44634.666666666599</v>
      </c>
      <c r="B807" s="1">
        <f ca="1">IFERROR(__xludf.UNSUPPORTED("""COMPUTED_VALUE"""),21.33)</f>
        <v>21.33</v>
      </c>
      <c r="C807" s="2">
        <f t="shared" ca="1" si="3"/>
        <v>-3.4841628959276158E-2</v>
      </c>
    </row>
    <row r="808" spans="1:3">
      <c r="A808" s="3">
        <f ca="1">IFERROR(__xludf.UNSUPPORTED("""COMPUTED_VALUE"""),44635.6666666666)</f>
        <v>44635.666666666599</v>
      </c>
      <c r="B808" s="1">
        <f ca="1">IFERROR(__xludf.UNSUPPORTED("""COMPUTED_VALUE"""),22.97)</f>
        <v>22.97</v>
      </c>
      <c r="C808" s="2">
        <f t="shared" ca="1" si="3"/>
        <v>7.6887013595874382E-2</v>
      </c>
    </row>
    <row r="809" spans="1:3">
      <c r="A809" s="3">
        <f ca="1">IFERROR(__xludf.UNSUPPORTED("""COMPUTED_VALUE"""),44636.6666666666)</f>
        <v>44636.666666666599</v>
      </c>
      <c r="B809" s="1">
        <f ca="1">IFERROR(__xludf.UNSUPPORTED("""COMPUTED_VALUE"""),24.5)</f>
        <v>24.5</v>
      </c>
      <c r="C809" s="2">
        <f t="shared" ca="1" si="3"/>
        <v>6.6608619939050984E-2</v>
      </c>
    </row>
    <row r="810" spans="1:3">
      <c r="A810" s="3">
        <f ca="1">IFERROR(__xludf.UNSUPPORTED("""COMPUTED_VALUE"""),44637.6666666666)</f>
        <v>44637.666666666599</v>
      </c>
      <c r="B810" s="1">
        <f ca="1">IFERROR(__xludf.UNSUPPORTED("""COMPUTED_VALUE"""),24.77)</f>
        <v>24.77</v>
      </c>
      <c r="C810" s="2">
        <f t="shared" ca="1" si="3"/>
        <v>1.1020408163265289E-2</v>
      </c>
    </row>
    <row r="811" spans="1:3">
      <c r="A811" s="3">
        <f ca="1">IFERROR(__xludf.UNSUPPORTED("""COMPUTED_VALUE"""),44638.6666666666)</f>
        <v>44638.666666666599</v>
      </c>
      <c r="B811" s="1">
        <f ca="1">IFERROR(__xludf.UNSUPPORTED("""COMPUTED_VALUE"""),26.45)</f>
        <v>26.45</v>
      </c>
      <c r="C811" s="2">
        <f t="shared" ca="1" si="3"/>
        <v>6.7823980621719807E-2</v>
      </c>
    </row>
    <row r="812" spans="1:3">
      <c r="A812" s="3">
        <f ca="1">IFERROR(__xludf.UNSUPPORTED("""COMPUTED_VALUE"""),44641.6666666666)</f>
        <v>44641.666666666599</v>
      </c>
      <c r="B812" s="1">
        <f ca="1">IFERROR(__xludf.UNSUPPORTED("""COMPUTED_VALUE"""),26.73)</f>
        <v>26.73</v>
      </c>
      <c r="C812" s="2">
        <f t="shared" ca="1" si="3"/>
        <v>1.0586011342155052E-2</v>
      </c>
    </row>
    <row r="813" spans="1:3">
      <c r="A813" s="3">
        <f ca="1">IFERROR(__xludf.UNSUPPORTED("""COMPUTED_VALUE"""),44642.6666666666)</f>
        <v>44642.666666666599</v>
      </c>
      <c r="B813" s="1">
        <f ca="1">IFERROR(__xludf.UNSUPPORTED("""COMPUTED_VALUE"""),26.52)</f>
        <v>26.52</v>
      </c>
      <c r="C813" s="2">
        <f t="shared" ca="1" si="3"/>
        <v>-7.8563411896745549E-3</v>
      </c>
    </row>
    <row r="814" spans="1:3">
      <c r="A814" s="3">
        <f ca="1">IFERROR(__xludf.UNSUPPORTED("""COMPUTED_VALUE"""),44643.6666666666)</f>
        <v>44643.666666666599</v>
      </c>
      <c r="B814" s="1">
        <f ca="1">IFERROR(__xludf.UNSUPPORTED("""COMPUTED_VALUE"""),25.63)</f>
        <v>25.63</v>
      </c>
      <c r="C814" s="2">
        <f t="shared" ca="1" si="3"/>
        <v>-3.3559577677224756E-2</v>
      </c>
    </row>
    <row r="815" spans="1:3">
      <c r="A815" s="3">
        <f ca="1">IFERROR(__xludf.UNSUPPORTED("""COMPUTED_VALUE"""),44644.6666666666)</f>
        <v>44644.666666666599</v>
      </c>
      <c r="B815" s="1">
        <f ca="1">IFERROR(__xludf.UNSUPPORTED("""COMPUTED_VALUE"""),28.15)</f>
        <v>28.15</v>
      </c>
      <c r="C815" s="2">
        <f t="shared" ca="1" si="3"/>
        <v>9.8322278579789299E-2</v>
      </c>
    </row>
    <row r="816" spans="1:3">
      <c r="A816" s="3">
        <f ca="1">IFERROR(__xludf.UNSUPPORTED("""COMPUTED_VALUE"""),44645.6666666666)</f>
        <v>44645.666666666599</v>
      </c>
      <c r="B816" s="1">
        <f ca="1">IFERROR(__xludf.UNSUPPORTED("""COMPUTED_VALUE"""),27.69)</f>
        <v>27.69</v>
      </c>
      <c r="C816" s="2">
        <f t="shared" ca="1" si="3"/>
        <v>-1.6341030195381787E-2</v>
      </c>
    </row>
    <row r="817" spans="1:3">
      <c r="A817" s="3">
        <f ca="1">IFERROR(__xludf.UNSUPPORTED("""COMPUTED_VALUE"""),44648.6666666666)</f>
        <v>44648.666666666599</v>
      </c>
      <c r="B817" s="1">
        <f ca="1">IFERROR(__xludf.UNSUPPORTED("""COMPUTED_VALUE"""),28.22)</f>
        <v>28.22</v>
      </c>
      <c r="C817" s="2">
        <f t="shared" ca="1" si="3"/>
        <v>1.9140483929216235E-2</v>
      </c>
    </row>
    <row r="818" spans="1:3">
      <c r="A818" s="3">
        <f ca="1">IFERROR(__xludf.UNSUPPORTED("""COMPUTED_VALUE"""),44649.6666666666)</f>
        <v>44649.666666666599</v>
      </c>
      <c r="B818" s="1">
        <f ca="1">IFERROR(__xludf.UNSUPPORTED("""COMPUTED_VALUE"""),28.66)</f>
        <v>28.66</v>
      </c>
      <c r="C818" s="2">
        <f t="shared" ca="1" si="3"/>
        <v>1.5591778880226835E-2</v>
      </c>
    </row>
    <row r="819" spans="1:3">
      <c r="A819" s="3">
        <f ca="1">IFERROR(__xludf.UNSUPPORTED("""COMPUTED_VALUE"""),44650.6666666666)</f>
        <v>44650.666666666599</v>
      </c>
      <c r="B819" s="1">
        <f ca="1">IFERROR(__xludf.UNSUPPORTED("""COMPUTED_VALUE"""),27.69)</f>
        <v>27.69</v>
      </c>
      <c r="C819" s="2">
        <f t="shared" ca="1" si="3"/>
        <v>-3.3845080251221175E-2</v>
      </c>
    </row>
    <row r="820" spans="1:3">
      <c r="A820" s="3">
        <f ca="1">IFERROR(__xludf.UNSUPPORTED("""COMPUTED_VALUE"""),44651.6666666666)</f>
        <v>44651.666666666599</v>
      </c>
      <c r="B820" s="1">
        <f ca="1">IFERROR(__xludf.UNSUPPORTED("""COMPUTED_VALUE"""),27.29)</f>
        <v>27.29</v>
      </c>
      <c r="C820" s="2">
        <f t="shared" ca="1" si="3"/>
        <v>-1.4445648248465226E-2</v>
      </c>
    </row>
    <row r="821" spans="1:3">
      <c r="A821" s="3">
        <f ca="1">IFERROR(__xludf.UNSUPPORTED("""COMPUTED_VALUE"""),44652.6666666666)</f>
        <v>44652.666666666599</v>
      </c>
      <c r="B821" s="1">
        <f ca="1">IFERROR(__xludf.UNSUPPORTED("""COMPUTED_VALUE"""),26.71)</f>
        <v>26.71</v>
      </c>
      <c r="C821" s="2">
        <f t="shared" ca="1" si="3"/>
        <v>-2.125320630267491E-2</v>
      </c>
    </row>
    <row r="822" spans="1:3">
      <c r="A822" s="3">
        <f ca="1">IFERROR(__xludf.UNSUPPORTED("""COMPUTED_VALUE"""),44655.6666666666)</f>
        <v>44655.666666666599</v>
      </c>
      <c r="B822" s="1">
        <f ca="1">IFERROR(__xludf.UNSUPPORTED("""COMPUTED_VALUE"""),27.36)</f>
        <v>27.36</v>
      </c>
      <c r="C822" s="2">
        <f t="shared" ca="1" si="3"/>
        <v>2.4335454885810504E-2</v>
      </c>
    </row>
    <row r="823" spans="1:3">
      <c r="A823" s="3">
        <f ca="1">IFERROR(__xludf.UNSUPPORTED("""COMPUTED_VALUE"""),44656.6666666666)</f>
        <v>44656.666666666599</v>
      </c>
      <c r="B823" s="1">
        <f ca="1">IFERROR(__xludf.UNSUPPORTED("""COMPUTED_VALUE"""),25.93)</f>
        <v>25.93</v>
      </c>
      <c r="C823" s="2">
        <f t="shared" ca="1" si="3"/>
        <v>-5.2266081871345023E-2</v>
      </c>
    </row>
    <row r="824" spans="1:3">
      <c r="A824" s="3">
        <f ca="1">IFERROR(__xludf.UNSUPPORTED("""COMPUTED_VALUE"""),44657.6666666666)</f>
        <v>44657.666666666599</v>
      </c>
      <c r="B824" s="1">
        <f ca="1">IFERROR(__xludf.UNSUPPORTED("""COMPUTED_VALUE"""),24.41)</f>
        <v>24.41</v>
      </c>
      <c r="C824" s="2">
        <f t="shared" ca="1" si="3"/>
        <v>-5.8619359814886217E-2</v>
      </c>
    </row>
    <row r="825" spans="1:3">
      <c r="A825" s="3">
        <f ca="1">IFERROR(__xludf.UNSUPPORTED("""COMPUTED_VALUE"""),44658.6666666666)</f>
        <v>44658.666666666599</v>
      </c>
      <c r="B825" s="1">
        <f ca="1">IFERROR(__xludf.UNSUPPORTED("""COMPUTED_VALUE"""),24.21)</f>
        <v>24.21</v>
      </c>
      <c r="C825" s="2">
        <f t="shared" ca="1" si="3"/>
        <v>-8.1933633756656812E-3</v>
      </c>
    </row>
    <row r="826" spans="1:3">
      <c r="A826" s="3">
        <f ca="1">IFERROR(__xludf.UNSUPPORTED("""COMPUTED_VALUE"""),44659.6666666666)</f>
        <v>44659.666666666599</v>
      </c>
      <c r="B826" s="1">
        <f ca="1">IFERROR(__xludf.UNSUPPORTED("""COMPUTED_VALUE"""),23.12)</f>
        <v>23.12</v>
      </c>
      <c r="C826" s="2">
        <f t="shared" ca="1" si="3"/>
        <v>-4.5022717885171412E-2</v>
      </c>
    </row>
    <row r="827" spans="1:3">
      <c r="A827" s="3">
        <f ca="1">IFERROR(__xludf.UNSUPPORTED("""COMPUTED_VALUE"""),44662.6666666666)</f>
        <v>44662.666666666599</v>
      </c>
      <c r="B827" s="1">
        <f ca="1">IFERROR(__xludf.UNSUPPORTED("""COMPUTED_VALUE"""),21.92)</f>
        <v>21.92</v>
      </c>
      <c r="C827" s="2">
        <f t="shared" ca="1" si="3"/>
        <v>-5.1903114186851181E-2</v>
      </c>
    </row>
    <row r="828" spans="1:3">
      <c r="A828" s="3">
        <f ca="1">IFERROR(__xludf.UNSUPPORTED("""COMPUTED_VALUE"""),44663.6666666666)</f>
        <v>44663.666666666599</v>
      </c>
      <c r="B828" s="1">
        <f ca="1">IFERROR(__xludf.UNSUPPORTED("""COMPUTED_VALUE"""),21.5)</f>
        <v>21.5</v>
      </c>
      <c r="C828" s="2">
        <f t="shared" ca="1" si="3"/>
        <v>-1.9160583941605917E-2</v>
      </c>
    </row>
    <row r="829" spans="1:3">
      <c r="A829" s="3">
        <f ca="1">IFERROR(__xludf.UNSUPPORTED("""COMPUTED_VALUE"""),44664.6666666666)</f>
        <v>44664.666666666599</v>
      </c>
      <c r="B829" s="1">
        <f ca="1">IFERROR(__xludf.UNSUPPORTED("""COMPUTED_VALUE"""),22.2)</f>
        <v>22.2</v>
      </c>
      <c r="C829" s="2">
        <f t="shared" ca="1" si="3"/>
        <v>3.2558139534883686E-2</v>
      </c>
    </row>
    <row r="830" spans="1:3">
      <c r="A830" s="3">
        <f ca="1">IFERROR(__xludf.UNSUPPORTED("""COMPUTED_VALUE"""),44665.6666666666)</f>
        <v>44665.666666666599</v>
      </c>
      <c r="B830" s="1">
        <f ca="1">IFERROR(__xludf.UNSUPPORTED("""COMPUTED_VALUE"""),21.26)</f>
        <v>21.26</v>
      </c>
      <c r="C830" s="2">
        <f t="shared" ca="1" si="3"/>
        <v>-4.2342342342342243E-2</v>
      </c>
    </row>
    <row r="831" spans="1:3">
      <c r="A831" s="3">
        <f ca="1">IFERROR(__xludf.UNSUPPORTED("""COMPUTED_VALUE"""),44669.6666666666)</f>
        <v>44669.666666666599</v>
      </c>
      <c r="B831" s="1">
        <f ca="1">IFERROR(__xludf.UNSUPPORTED("""COMPUTED_VALUE"""),21.78)</f>
        <v>21.78</v>
      </c>
      <c r="C831" s="2">
        <f t="shared" ca="1" si="3"/>
        <v>2.4459078080903082E-2</v>
      </c>
    </row>
    <row r="832" spans="1:3">
      <c r="A832" s="3">
        <f ca="1">IFERROR(__xludf.UNSUPPORTED("""COMPUTED_VALUE"""),44670.6666666666)</f>
        <v>44670.666666666599</v>
      </c>
      <c r="B832" s="1">
        <f ca="1">IFERROR(__xludf.UNSUPPORTED("""COMPUTED_VALUE"""),22.2)</f>
        <v>22.2</v>
      </c>
      <c r="C832" s="2">
        <f t="shared" ca="1" si="3"/>
        <v>1.9283746556473743E-2</v>
      </c>
    </row>
    <row r="833" spans="1:3">
      <c r="A833" s="3">
        <f ca="1">IFERROR(__xludf.UNSUPPORTED("""COMPUTED_VALUE"""),44671.6666666666)</f>
        <v>44671.666666666599</v>
      </c>
      <c r="B833" s="1">
        <f ca="1">IFERROR(__xludf.UNSUPPORTED("""COMPUTED_VALUE"""),21.48)</f>
        <v>21.48</v>
      </c>
      <c r="C833" s="2">
        <f t="shared" ca="1" si="3"/>
        <v>-3.2432432432432386E-2</v>
      </c>
    </row>
    <row r="834" spans="1:3">
      <c r="A834" s="3">
        <f ca="1">IFERROR(__xludf.UNSUPPORTED("""COMPUTED_VALUE"""),44672.6666666666)</f>
        <v>44672.666666666599</v>
      </c>
      <c r="B834" s="1">
        <f ca="1">IFERROR(__xludf.UNSUPPORTED("""COMPUTED_VALUE"""),20.18)</f>
        <v>20.18</v>
      </c>
      <c r="C834" s="2">
        <f t="shared" ca="1" si="3"/>
        <v>-6.0521415270018655E-2</v>
      </c>
    </row>
    <row r="835" spans="1:3">
      <c r="A835" s="3">
        <f ca="1">IFERROR(__xludf.UNSUPPORTED("""COMPUTED_VALUE"""),44673.6666666666)</f>
        <v>44673.666666666599</v>
      </c>
      <c r="B835" s="1">
        <f ca="1">IFERROR(__xludf.UNSUPPORTED("""COMPUTED_VALUE"""),19.52)</f>
        <v>19.52</v>
      </c>
      <c r="C835" s="2">
        <f t="shared" ca="1" si="3"/>
        <v>-3.270564915758177E-2</v>
      </c>
    </row>
    <row r="836" spans="1:3">
      <c r="A836" s="3">
        <f ca="1">IFERROR(__xludf.UNSUPPORTED("""COMPUTED_VALUE"""),44676.6666666666)</f>
        <v>44676.666666666599</v>
      </c>
      <c r="B836" s="1">
        <f ca="1">IFERROR(__xludf.UNSUPPORTED("""COMPUTED_VALUE"""),19.9)</f>
        <v>19.899999999999999</v>
      </c>
      <c r="C836" s="2">
        <f t="shared" ca="1" si="3"/>
        <v>1.9467213114754047E-2</v>
      </c>
    </row>
    <row r="837" spans="1:3">
      <c r="A837" s="3">
        <f ca="1">IFERROR(__xludf.UNSUPPORTED("""COMPUTED_VALUE"""),44677.6666666666)</f>
        <v>44677.666666666599</v>
      </c>
      <c r="B837" s="1">
        <f ca="1">IFERROR(__xludf.UNSUPPORTED("""COMPUTED_VALUE"""),18.79)</f>
        <v>18.79</v>
      </c>
      <c r="C837" s="2">
        <f t="shared" ca="1" si="3"/>
        <v>-5.5778894472361784E-2</v>
      </c>
    </row>
    <row r="838" spans="1:3">
      <c r="A838" s="3">
        <f ca="1">IFERROR(__xludf.UNSUPPORTED("""COMPUTED_VALUE"""),44678.6666666666)</f>
        <v>44678.666666666599</v>
      </c>
      <c r="B838" s="1">
        <f ca="1">IFERROR(__xludf.UNSUPPORTED("""COMPUTED_VALUE"""),18.42)</f>
        <v>18.420000000000002</v>
      </c>
      <c r="C838" s="2">
        <f t="shared" ca="1" si="3"/>
        <v>-1.9691325172964208E-2</v>
      </c>
    </row>
    <row r="839" spans="1:3">
      <c r="A839" s="3">
        <f ca="1">IFERROR(__xludf.UNSUPPORTED("""COMPUTED_VALUE"""),44679.6666666666)</f>
        <v>44679.666666666599</v>
      </c>
      <c r="B839" s="1">
        <f ca="1">IFERROR(__xludf.UNSUPPORTED("""COMPUTED_VALUE"""),19.78)</f>
        <v>19.78</v>
      </c>
      <c r="C839" s="2">
        <f t="shared" ca="1" si="3"/>
        <v>7.3832790445168259E-2</v>
      </c>
    </row>
    <row r="840" spans="1:3">
      <c r="A840" s="3">
        <f ca="1">IFERROR(__xludf.UNSUPPORTED("""COMPUTED_VALUE"""),44680.6666666666)</f>
        <v>44680.666666666599</v>
      </c>
      <c r="B840" s="1">
        <f ca="1">IFERROR(__xludf.UNSUPPORTED("""COMPUTED_VALUE"""),18.55)</f>
        <v>18.55</v>
      </c>
      <c r="C840" s="2">
        <f t="shared" ca="1" si="3"/>
        <v>-6.2184024266936318E-2</v>
      </c>
    </row>
    <row r="841" spans="1:3">
      <c r="A841" s="3">
        <f ca="1">IFERROR(__xludf.UNSUPPORTED("""COMPUTED_VALUE"""),44683.6666666666)</f>
        <v>44683.666666666599</v>
      </c>
      <c r="B841" s="1">
        <f ca="1">IFERROR(__xludf.UNSUPPORTED("""COMPUTED_VALUE"""),19.53)</f>
        <v>19.53</v>
      </c>
      <c r="C841" s="2">
        <f t="shared" ca="1" si="3"/>
        <v>5.2830188679245306E-2</v>
      </c>
    </row>
    <row r="842" spans="1:3">
      <c r="A842" s="3">
        <f ca="1">IFERROR(__xludf.UNSUPPORTED("""COMPUTED_VALUE"""),44684.6666666666)</f>
        <v>44684.666666666599</v>
      </c>
      <c r="B842" s="1">
        <f ca="1">IFERROR(__xludf.UNSUPPORTED("""COMPUTED_VALUE"""),19.6)</f>
        <v>19.600000000000001</v>
      </c>
      <c r="C842" s="2">
        <f t="shared" ca="1" si="3"/>
        <v>3.5842293906810179E-3</v>
      </c>
    </row>
    <row r="843" spans="1:3">
      <c r="A843" s="3">
        <f ca="1">IFERROR(__xludf.UNSUPPORTED("""COMPUTED_VALUE"""),44685.6666666666)</f>
        <v>44685.666666666599</v>
      </c>
      <c r="B843" s="1">
        <f ca="1">IFERROR(__xludf.UNSUPPORTED("""COMPUTED_VALUE"""),20.33)</f>
        <v>20.329999999999998</v>
      </c>
      <c r="C843" s="2">
        <f t="shared" ca="1" si="3"/>
        <v>3.7244897959183509E-2</v>
      </c>
    </row>
    <row r="844" spans="1:3">
      <c r="A844" s="3">
        <f ca="1">IFERROR(__xludf.UNSUPPORTED("""COMPUTED_VALUE"""),44686.6666666666)</f>
        <v>44686.666666666599</v>
      </c>
      <c r="B844" s="1">
        <f ca="1">IFERROR(__xludf.UNSUPPORTED("""COMPUTED_VALUE"""),18.84)</f>
        <v>18.84</v>
      </c>
      <c r="C844" s="2">
        <f t="shared" ca="1" si="3"/>
        <v>-7.3290703393998943E-2</v>
      </c>
    </row>
    <row r="845" spans="1:3">
      <c r="A845" s="3">
        <f ca="1">IFERROR(__xludf.UNSUPPORTED("""COMPUTED_VALUE"""),44687.6666666666)</f>
        <v>44687.666666666599</v>
      </c>
      <c r="B845" s="1">
        <f ca="1">IFERROR(__xludf.UNSUPPORTED("""COMPUTED_VALUE"""),18.68)</f>
        <v>18.68</v>
      </c>
      <c r="C845" s="2">
        <f t="shared" ca="1" si="3"/>
        <v>-8.492569002123149E-3</v>
      </c>
    </row>
    <row r="846" spans="1:3">
      <c r="A846" s="3">
        <f ca="1">IFERROR(__xludf.UNSUPPORTED("""COMPUTED_VALUE"""),44690.6666666666)</f>
        <v>44690.666666666599</v>
      </c>
      <c r="B846" s="1">
        <f ca="1">IFERROR(__xludf.UNSUPPORTED("""COMPUTED_VALUE"""),16.95)</f>
        <v>16.95</v>
      </c>
      <c r="C846" s="2">
        <f t="shared" ca="1" si="3"/>
        <v>-9.2612419700214152E-2</v>
      </c>
    </row>
    <row r="847" spans="1:3">
      <c r="A847" s="3">
        <f ca="1">IFERROR(__xludf.UNSUPPORTED("""COMPUTED_VALUE"""),44691.6666666666)</f>
        <v>44691.666666666599</v>
      </c>
      <c r="B847" s="1">
        <f ca="1">IFERROR(__xludf.UNSUPPORTED("""COMPUTED_VALUE"""),17.6)</f>
        <v>17.600000000000001</v>
      </c>
      <c r="C847" s="2">
        <f t="shared" ca="1" si="3"/>
        <v>3.8348082595870331E-2</v>
      </c>
    </row>
    <row r="848" spans="1:3">
      <c r="A848" s="3">
        <f ca="1">IFERROR(__xludf.UNSUPPORTED("""COMPUTED_VALUE"""),44692.6666666666)</f>
        <v>44692.666666666599</v>
      </c>
      <c r="B848" s="1">
        <f ca="1">IFERROR(__xludf.UNSUPPORTED("""COMPUTED_VALUE"""),16.63)</f>
        <v>16.63</v>
      </c>
      <c r="C848" s="2">
        <f t="shared" ca="1" si="3"/>
        <v>-5.5113636363636496E-2</v>
      </c>
    </row>
    <row r="849" spans="1:3">
      <c r="A849" s="3">
        <f ca="1">IFERROR(__xludf.UNSUPPORTED("""COMPUTED_VALUE"""),44693.6666666666)</f>
        <v>44693.666666666599</v>
      </c>
      <c r="B849" s="1">
        <f ca="1">IFERROR(__xludf.UNSUPPORTED("""COMPUTED_VALUE"""),16.18)</f>
        <v>16.18</v>
      </c>
      <c r="C849" s="2">
        <f t="shared" ca="1" si="3"/>
        <v>-2.7059530968129845E-2</v>
      </c>
    </row>
    <row r="850" spans="1:3">
      <c r="A850" s="3">
        <f ca="1">IFERROR(__xludf.UNSUPPORTED("""COMPUTED_VALUE"""),44694.6666666666)</f>
        <v>44694.666666666599</v>
      </c>
      <c r="B850" s="1">
        <f ca="1">IFERROR(__xludf.UNSUPPORTED("""COMPUTED_VALUE"""),17.71)</f>
        <v>17.71</v>
      </c>
      <c r="C850" s="2">
        <f t="shared" ca="1" si="3"/>
        <v>9.456118665018548E-2</v>
      </c>
    </row>
    <row r="851" spans="1:3">
      <c r="A851" s="3">
        <f ca="1">IFERROR(__xludf.UNSUPPORTED("""COMPUTED_VALUE"""),44697.6666666666)</f>
        <v>44697.666666666599</v>
      </c>
      <c r="B851" s="1">
        <f ca="1">IFERROR(__xludf.UNSUPPORTED("""COMPUTED_VALUE"""),17.26)</f>
        <v>17.260000000000002</v>
      </c>
      <c r="C851" s="2">
        <f t="shared" ca="1" si="3"/>
        <v>-2.540937323546015E-2</v>
      </c>
    </row>
    <row r="852" spans="1:3">
      <c r="A852" s="3">
        <f ca="1">IFERROR(__xludf.UNSUPPORTED("""COMPUTED_VALUE"""),44698.6666666666)</f>
        <v>44698.666666666599</v>
      </c>
      <c r="B852" s="1">
        <f ca="1">IFERROR(__xludf.UNSUPPORTED("""COMPUTED_VALUE"""),18.18)</f>
        <v>18.18</v>
      </c>
      <c r="C852" s="2">
        <f t="shared" ca="1" si="3"/>
        <v>5.3302433371958176E-2</v>
      </c>
    </row>
    <row r="853" spans="1:3">
      <c r="A853" s="3">
        <f ca="1">IFERROR(__xludf.UNSUPPORTED("""COMPUTED_VALUE"""),44699.6666666666)</f>
        <v>44699.666666666599</v>
      </c>
      <c r="B853" s="1">
        <f ca="1">IFERROR(__xludf.UNSUPPORTED("""COMPUTED_VALUE"""),16.94)</f>
        <v>16.940000000000001</v>
      </c>
      <c r="C853" s="2">
        <f t="shared" ca="1" si="3"/>
        <v>-6.8206820682068126E-2</v>
      </c>
    </row>
    <row r="854" spans="1:3">
      <c r="A854" s="3">
        <f ca="1">IFERROR(__xludf.UNSUPPORTED("""COMPUTED_VALUE"""),44700.6666666666)</f>
        <v>44700.666666666599</v>
      </c>
      <c r="B854" s="1">
        <f ca="1">IFERROR(__xludf.UNSUPPORTED("""COMPUTED_VALUE"""),17.12)</f>
        <v>17.12</v>
      </c>
      <c r="C854" s="2">
        <f t="shared" ca="1" si="3"/>
        <v>1.0625737898465154E-2</v>
      </c>
    </row>
    <row r="855" spans="1:3">
      <c r="A855" s="3">
        <f ca="1">IFERROR(__xludf.UNSUPPORTED("""COMPUTED_VALUE"""),44701.6666666666)</f>
        <v>44701.666666666599</v>
      </c>
      <c r="B855" s="1">
        <f ca="1">IFERROR(__xludf.UNSUPPORTED("""COMPUTED_VALUE"""),16.69)</f>
        <v>16.690000000000001</v>
      </c>
      <c r="C855" s="2">
        <f t="shared" ca="1" si="3"/>
        <v>-2.5116822429906524E-2</v>
      </c>
    </row>
    <row r="856" spans="1:3">
      <c r="A856" s="3">
        <f ca="1">IFERROR(__xludf.UNSUPPORTED("""COMPUTED_VALUE"""),44704.6666666666)</f>
        <v>44704.666666666599</v>
      </c>
      <c r="B856" s="1">
        <f ca="1">IFERROR(__xludf.UNSUPPORTED("""COMPUTED_VALUE"""),16.9)</f>
        <v>16.899999999999999</v>
      </c>
      <c r="C856" s="2">
        <f t="shared" ca="1" si="3"/>
        <v>1.2582384661473774E-2</v>
      </c>
    </row>
    <row r="857" spans="1:3">
      <c r="A857" s="3">
        <f ca="1">IFERROR(__xludf.UNSUPPORTED("""COMPUTED_VALUE"""),44705.6666666666)</f>
        <v>44705.666666666599</v>
      </c>
      <c r="B857" s="1">
        <f ca="1">IFERROR(__xludf.UNSUPPORTED("""COMPUTED_VALUE"""),16.15)</f>
        <v>16.149999999999999</v>
      </c>
      <c r="C857" s="2">
        <f t="shared" ca="1" si="3"/>
        <v>-4.4378698224852076E-2</v>
      </c>
    </row>
    <row r="858" spans="1:3">
      <c r="A858" s="3">
        <f ca="1">IFERROR(__xludf.UNSUPPORTED("""COMPUTED_VALUE"""),44706.6666666666)</f>
        <v>44706.666666666599</v>
      </c>
      <c r="B858" s="1">
        <f ca="1">IFERROR(__xludf.UNSUPPORTED("""COMPUTED_VALUE"""),16.98)</f>
        <v>16.98</v>
      </c>
      <c r="C858" s="2">
        <f t="shared" ca="1" si="3"/>
        <v>5.1393188854489284E-2</v>
      </c>
    </row>
    <row r="859" spans="1:3">
      <c r="A859" s="3">
        <f ca="1">IFERROR(__xludf.UNSUPPORTED("""COMPUTED_VALUE"""),44707.6666666666)</f>
        <v>44707.666666666599</v>
      </c>
      <c r="B859" s="1">
        <f ca="1">IFERROR(__xludf.UNSUPPORTED("""COMPUTED_VALUE"""),17.85)</f>
        <v>17.850000000000001</v>
      </c>
      <c r="C859" s="2">
        <f t="shared" ca="1" si="3"/>
        <v>5.1236749116607833E-2</v>
      </c>
    </row>
    <row r="860" spans="1:3">
      <c r="A860" s="3">
        <f ca="1">IFERROR(__xludf.UNSUPPORTED("""COMPUTED_VALUE"""),44708.6666666666)</f>
        <v>44708.666666666599</v>
      </c>
      <c r="B860" s="1">
        <f ca="1">IFERROR(__xludf.UNSUPPORTED("""COMPUTED_VALUE"""),18.81)</f>
        <v>18.809999999999999</v>
      </c>
      <c r="C860" s="2">
        <f t="shared" ca="1" si="3"/>
        <v>5.378151260504186E-2</v>
      </c>
    </row>
    <row r="861" spans="1:3">
      <c r="A861" s="3">
        <f ca="1">IFERROR(__xludf.UNSUPPORTED("""COMPUTED_VALUE"""),44712.6666666666)</f>
        <v>44712.666666666599</v>
      </c>
      <c r="B861" s="1">
        <f ca="1">IFERROR(__xludf.UNSUPPORTED("""COMPUTED_VALUE"""),18.67)</f>
        <v>18.670000000000002</v>
      </c>
      <c r="C861" s="2">
        <f t="shared" ca="1" si="3"/>
        <v>-7.442849548112548E-3</v>
      </c>
    </row>
    <row r="862" spans="1:3">
      <c r="A862" s="3">
        <f ca="1">IFERROR(__xludf.UNSUPPORTED("""COMPUTED_VALUE"""),44713.6666666666)</f>
        <v>44713.666666666599</v>
      </c>
      <c r="B862" s="1">
        <f ca="1">IFERROR(__xludf.UNSUPPORTED("""COMPUTED_VALUE"""),18.32)</f>
        <v>18.32</v>
      </c>
      <c r="C862" s="2">
        <f t="shared" ca="1" si="3"/>
        <v>-1.874665238350302E-2</v>
      </c>
    </row>
    <row r="863" spans="1:3">
      <c r="A863" s="3">
        <f ca="1">IFERROR(__xludf.UNSUPPORTED("""COMPUTED_VALUE"""),44714.6666666666)</f>
        <v>44714.666666666599</v>
      </c>
      <c r="B863" s="1">
        <f ca="1">IFERROR(__xludf.UNSUPPORTED("""COMPUTED_VALUE"""),19.59)</f>
        <v>19.59</v>
      </c>
      <c r="C863" s="2">
        <f t="shared" ca="1" si="3"/>
        <v>6.9323144104803475E-2</v>
      </c>
    </row>
    <row r="864" spans="1:3">
      <c r="A864" s="3">
        <f ca="1">IFERROR(__xludf.UNSUPPORTED("""COMPUTED_VALUE"""),44715.6666666666)</f>
        <v>44715.666666666599</v>
      </c>
      <c r="B864" s="1">
        <f ca="1">IFERROR(__xludf.UNSUPPORTED("""COMPUTED_VALUE"""),18.72)</f>
        <v>18.72</v>
      </c>
      <c r="C864" s="2">
        <f t="shared" ca="1" si="3"/>
        <v>-4.4410413476263448E-2</v>
      </c>
    </row>
    <row r="865" spans="1:3">
      <c r="A865" s="3">
        <f ca="1">IFERROR(__xludf.UNSUPPORTED("""COMPUTED_VALUE"""),44718.6666666666)</f>
        <v>44718.666666666599</v>
      </c>
      <c r="B865" s="1">
        <f ca="1">IFERROR(__xludf.UNSUPPORTED("""COMPUTED_VALUE"""),18.79)</f>
        <v>18.79</v>
      </c>
      <c r="C865" s="2">
        <f t="shared" ca="1" si="3"/>
        <v>3.7393162393162547E-3</v>
      </c>
    </row>
    <row r="866" spans="1:3">
      <c r="A866" s="3">
        <f ca="1">IFERROR(__xludf.UNSUPPORTED("""COMPUTED_VALUE"""),44719.6666666666)</f>
        <v>44719.666666666599</v>
      </c>
      <c r="B866" s="1">
        <f ca="1">IFERROR(__xludf.UNSUPPORTED("""COMPUTED_VALUE"""),18.93)</f>
        <v>18.93</v>
      </c>
      <c r="C866" s="2">
        <f t="shared" ca="1" si="3"/>
        <v>7.4507716870676199E-3</v>
      </c>
    </row>
    <row r="867" spans="1:3">
      <c r="A867" s="3">
        <f ca="1">IFERROR(__xludf.UNSUPPORTED("""COMPUTED_VALUE"""),44720.6666666666)</f>
        <v>44720.666666666599</v>
      </c>
      <c r="B867" s="1">
        <f ca="1">IFERROR(__xludf.UNSUPPORTED("""COMPUTED_VALUE"""),18.65)</f>
        <v>18.649999999999999</v>
      </c>
      <c r="C867" s="2">
        <f t="shared" ca="1" si="3"/>
        <v>-1.4791336502905501E-2</v>
      </c>
    </row>
    <row r="868" spans="1:3">
      <c r="A868" s="3">
        <f ca="1">IFERROR(__xludf.UNSUPPORTED("""COMPUTED_VALUE"""),44721.6666666666)</f>
        <v>44721.666666666599</v>
      </c>
      <c r="B868" s="1">
        <f ca="1">IFERROR(__xludf.UNSUPPORTED("""COMPUTED_VALUE"""),18.05)</f>
        <v>18.05</v>
      </c>
      <c r="C868" s="2">
        <f t="shared" ca="1" si="3"/>
        <v>-3.2171581769436887E-2</v>
      </c>
    </row>
    <row r="869" spans="1:3">
      <c r="A869" s="3">
        <f ca="1">IFERROR(__xludf.UNSUPPORTED("""COMPUTED_VALUE"""),44722.6666666666)</f>
        <v>44722.666666666599</v>
      </c>
      <c r="B869" s="1">
        <f ca="1">IFERROR(__xludf.UNSUPPORTED("""COMPUTED_VALUE"""),16.97)</f>
        <v>16.97</v>
      </c>
      <c r="C869" s="2">
        <f t="shared" ca="1" si="3"/>
        <v>-5.9833795013850513E-2</v>
      </c>
    </row>
    <row r="870" spans="1:3">
      <c r="A870" s="3">
        <f ca="1">IFERROR(__xludf.UNSUPPORTED("""COMPUTED_VALUE"""),44725.6666666666)</f>
        <v>44725.666666666599</v>
      </c>
      <c r="B870" s="1">
        <f ca="1">IFERROR(__xludf.UNSUPPORTED("""COMPUTED_VALUE"""),15.65)</f>
        <v>15.65</v>
      </c>
      <c r="C870" s="2">
        <f t="shared" ca="1" si="3"/>
        <v>-7.7784325279905628E-2</v>
      </c>
    </row>
    <row r="871" spans="1:3">
      <c r="A871" s="3">
        <f ca="1">IFERROR(__xludf.UNSUPPORTED("""COMPUTED_VALUE"""),44726.6666666666)</f>
        <v>44726.666666666599</v>
      </c>
      <c r="B871" s="1">
        <f ca="1">IFERROR(__xludf.UNSUPPORTED("""COMPUTED_VALUE"""),15.84)</f>
        <v>15.84</v>
      </c>
      <c r="C871" s="2">
        <f t="shared" ca="1" si="3"/>
        <v>1.2140575079872172E-2</v>
      </c>
    </row>
    <row r="872" spans="1:3">
      <c r="A872" s="3">
        <f ca="1">IFERROR(__xludf.UNSUPPORTED("""COMPUTED_VALUE"""),44727.6666666666)</f>
        <v>44727.666666666599</v>
      </c>
      <c r="B872" s="1">
        <f ca="1">IFERROR(__xludf.UNSUPPORTED("""COMPUTED_VALUE"""),16.53)</f>
        <v>16.53</v>
      </c>
      <c r="C872" s="2">
        <f t="shared" ca="1" si="3"/>
        <v>4.356060606060614E-2</v>
      </c>
    </row>
    <row r="873" spans="1:3">
      <c r="A873" s="3">
        <f ca="1">IFERROR(__xludf.UNSUPPORTED("""COMPUTED_VALUE"""),44728.6666666666)</f>
        <v>44728.666666666599</v>
      </c>
      <c r="B873" s="1">
        <f ca="1">IFERROR(__xludf.UNSUPPORTED("""COMPUTED_VALUE"""),15.6)</f>
        <v>15.6</v>
      </c>
      <c r="C873" s="2">
        <f t="shared" ca="1" si="3"/>
        <v>-5.626134301270426E-2</v>
      </c>
    </row>
    <row r="874" spans="1:3">
      <c r="A874" s="3">
        <f ca="1">IFERROR(__xludf.UNSUPPORTED("""COMPUTED_VALUE"""),44729.6666666666)</f>
        <v>44729.666666666599</v>
      </c>
      <c r="B874" s="1">
        <f ca="1">IFERROR(__xludf.UNSUPPORTED("""COMPUTED_VALUE"""),15.88)</f>
        <v>15.88</v>
      </c>
      <c r="C874" s="2">
        <f t="shared" ca="1" si="3"/>
        <v>1.7948717948718024E-2</v>
      </c>
    </row>
    <row r="875" spans="1:3">
      <c r="A875" s="3">
        <f ca="1">IFERROR(__xludf.UNSUPPORTED("""COMPUTED_VALUE"""),44733.6666666666)</f>
        <v>44733.666666666599</v>
      </c>
      <c r="B875" s="1">
        <f ca="1">IFERROR(__xludf.UNSUPPORTED("""COMPUTED_VALUE"""),16.57)</f>
        <v>16.57</v>
      </c>
      <c r="C875" s="2">
        <f t="shared" ca="1" si="3"/>
        <v>4.3450881612090646E-2</v>
      </c>
    </row>
    <row r="876" spans="1:3">
      <c r="A876" s="3">
        <f ca="1">IFERROR(__xludf.UNSUPPORTED("""COMPUTED_VALUE"""),44734.6666666666)</f>
        <v>44734.666666666599</v>
      </c>
      <c r="B876" s="1">
        <f ca="1">IFERROR(__xludf.UNSUPPORTED("""COMPUTED_VALUE"""),16.36)</f>
        <v>16.36</v>
      </c>
      <c r="C876" s="2">
        <f t="shared" ca="1" si="3"/>
        <v>-1.267350633675322E-2</v>
      </c>
    </row>
    <row r="877" spans="1:3">
      <c r="A877" s="3">
        <f ca="1">IFERROR(__xludf.UNSUPPORTED("""COMPUTED_VALUE"""),44735.6666666666)</f>
        <v>44735.666666666599</v>
      </c>
      <c r="B877" s="1">
        <f ca="1">IFERROR(__xludf.UNSUPPORTED("""COMPUTED_VALUE"""),16.23)</f>
        <v>16.23</v>
      </c>
      <c r="C877" s="2">
        <f t="shared" ca="1" si="3"/>
        <v>-7.9462102689485947E-3</v>
      </c>
    </row>
    <row r="878" spans="1:3">
      <c r="A878" s="3">
        <f ca="1">IFERROR(__xludf.UNSUPPORTED("""COMPUTED_VALUE"""),44736.6666666666)</f>
        <v>44736.666666666599</v>
      </c>
      <c r="B878" s="1">
        <f ca="1">IFERROR(__xludf.UNSUPPORTED("""COMPUTED_VALUE"""),17.13)</f>
        <v>17.13</v>
      </c>
      <c r="C878" s="2">
        <f t="shared" ca="1" si="3"/>
        <v>5.545286506469492E-2</v>
      </c>
    </row>
    <row r="879" spans="1:3">
      <c r="A879" s="3">
        <f ca="1">IFERROR(__xludf.UNSUPPORTED("""COMPUTED_VALUE"""),44739.6666666666)</f>
        <v>44739.666666666599</v>
      </c>
      <c r="B879" s="1">
        <f ca="1">IFERROR(__xludf.UNSUPPORTED("""COMPUTED_VALUE"""),16.87)</f>
        <v>16.87</v>
      </c>
      <c r="C879" s="2">
        <f t="shared" ca="1" si="3"/>
        <v>-1.517805020431979E-2</v>
      </c>
    </row>
    <row r="880" spans="1:3">
      <c r="A880" s="3">
        <f ca="1">IFERROR(__xludf.UNSUPPORTED("""COMPUTED_VALUE"""),44740.6666666666)</f>
        <v>44740.666666666599</v>
      </c>
      <c r="B880" s="1">
        <f ca="1">IFERROR(__xludf.UNSUPPORTED("""COMPUTED_VALUE"""),15.98)</f>
        <v>15.98</v>
      </c>
      <c r="C880" s="2">
        <f t="shared" ca="1" si="3"/>
        <v>-5.2756372258446975E-2</v>
      </c>
    </row>
    <row r="881" spans="1:3">
      <c r="A881" s="3">
        <f ca="1">IFERROR(__xludf.UNSUPPORTED("""COMPUTED_VALUE"""),44741.6666666666)</f>
        <v>44741.666666666599</v>
      </c>
      <c r="B881" s="1">
        <f ca="1">IFERROR(__xludf.UNSUPPORTED("""COMPUTED_VALUE"""),15.54)</f>
        <v>15.54</v>
      </c>
      <c r="C881" s="2">
        <f t="shared" ca="1" si="3"/>
        <v>-2.7534418022528241E-2</v>
      </c>
    </row>
    <row r="882" spans="1:3">
      <c r="A882" s="3">
        <f ca="1">IFERROR(__xludf.UNSUPPORTED("""COMPUTED_VALUE"""),44742.6666666666)</f>
        <v>44742.666666666599</v>
      </c>
      <c r="B882" s="1">
        <f ca="1">IFERROR(__xludf.UNSUPPORTED("""COMPUTED_VALUE"""),15.16)</f>
        <v>15.16</v>
      </c>
      <c r="C882" s="2">
        <f t="shared" ca="1" si="3"/>
        <v>-2.4453024453024389E-2</v>
      </c>
    </row>
    <row r="883" spans="1:3">
      <c r="A883" s="3">
        <f ca="1">IFERROR(__xludf.UNSUPPORTED("""COMPUTED_VALUE"""),44743.6666666666)</f>
        <v>44743.666666666599</v>
      </c>
      <c r="B883" s="1">
        <f ca="1">IFERROR(__xludf.UNSUPPORTED("""COMPUTED_VALUE"""),14.52)</f>
        <v>14.52</v>
      </c>
      <c r="C883" s="2">
        <f t="shared" ca="1" si="3"/>
        <v>-4.2216358839050172E-2</v>
      </c>
    </row>
    <row r="884" spans="1:3">
      <c r="A884" s="3">
        <f ca="1">IFERROR(__xludf.UNSUPPORTED("""COMPUTED_VALUE"""),44747.6666666666)</f>
        <v>44747.666666666599</v>
      </c>
      <c r="B884" s="1">
        <f ca="1">IFERROR(__xludf.UNSUPPORTED("""COMPUTED_VALUE"""),14.96)</f>
        <v>14.96</v>
      </c>
      <c r="C884" s="2">
        <f t="shared" ca="1" si="3"/>
        <v>3.0303030303030391E-2</v>
      </c>
    </row>
    <row r="885" spans="1:3">
      <c r="A885" s="3">
        <f ca="1">IFERROR(__xludf.UNSUPPORTED("""COMPUTED_VALUE"""),44748.6666666666)</f>
        <v>44748.666666666599</v>
      </c>
      <c r="B885" s="1">
        <f ca="1">IFERROR(__xludf.UNSUPPORTED("""COMPUTED_VALUE"""),15.13)</f>
        <v>15.13</v>
      </c>
      <c r="C885" s="2">
        <f t="shared" ca="1" si="3"/>
        <v>1.1363636363636359E-2</v>
      </c>
    </row>
    <row r="886" spans="1:3">
      <c r="A886" s="3">
        <f ca="1">IFERROR(__xludf.UNSUPPORTED("""COMPUTED_VALUE"""),44749.6666666666)</f>
        <v>44749.666666666599</v>
      </c>
      <c r="B886" s="1">
        <f ca="1">IFERROR(__xludf.UNSUPPORTED("""COMPUTED_VALUE"""),15.86)</f>
        <v>15.86</v>
      </c>
      <c r="C886" s="2">
        <f t="shared" ca="1" si="3"/>
        <v>4.8248512888301294E-2</v>
      </c>
    </row>
    <row r="887" spans="1:3">
      <c r="A887" s="3">
        <f ca="1">IFERROR(__xludf.UNSUPPORTED("""COMPUTED_VALUE"""),44750.6666666666)</f>
        <v>44750.666666666599</v>
      </c>
      <c r="B887" s="1">
        <f ca="1">IFERROR(__xludf.UNSUPPORTED("""COMPUTED_VALUE"""),15.84)</f>
        <v>15.84</v>
      </c>
      <c r="C887" s="2">
        <f t="shared" ca="1" si="3"/>
        <v>-1.2610340479192669E-3</v>
      </c>
    </row>
    <row r="888" spans="1:3">
      <c r="A888" s="3">
        <f ca="1">IFERROR(__xludf.UNSUPPORTED("""COMPUTED_VALUE"""),44753.6666666666)</f>
        <v>44753.666666666599</v>
      </c>
      <c r="B888" s="1">
        <f ca="1">IFERROR(__xludf.UNSUPPORTED("""COMPUTED_VALUE"""),15.15)</f>
        <v>15.15</v>
      </c>
      <c r="C888" s="2">
        <f t="shared" ca="1" si="3"/>
        <v>-4.3560606060606029E-2</v>
      </c>
    </row>
    <row r="889" spans="1:3">
      <c r="A889" s="3">
        <f ca="1">IFERROR(__xludf.UNSUPPORTED("""COMPUTED_VALUE"""),44754.6666666666)</f>
        <v>44754.666666666599</v>
      </c>
      <c r="B889" s="1">
        <f ca="1">IFERROR(__xludf.UNSUPPORTED("""COMPUTED_VALUE"""),15.08)</f>
        <v>15.08</v>
      </c>
      <c r="C889" s="2">
        <f t="shared" ca="1" si="3"/>
        <v>-4.6204620462046387E-3</v>
      </c>
    </row>
    <row r="890" spans="1:3">
      <c r="A890" s="3">
        <f ca="1">IFERROR(__xludf.UNSUPPORTED("""COMPUTED_VALUE"""),44755.6666666666)</f>
        <v>44755.666666666599</v>
      </c>
      <c r="B890" s="1">
        <f ca="1">IFERROR(__xludf.UNSUPPORTED("""COMPUTED_VALUE"""),15.16)</f>
        <v>15.16</v>
      </c>
      <c r="C890" s="2">
        <f t="shared" ca="1" si="3"/>
        <v>5.3050397877984134E-3</v>
      </c>
    </row>
    <row r="891" spans="1:3">
      <c r="A891" s="3">
        <f ca="1">IFERROR(__xludf.UNSUPPORTED("""COMPUTED_VALUE"""),44756.6666666666)</f>
        <v>44756.666666666599</v>
      </c>
      <c r="B891" s="1">
        <f ca="1">IFERROR(__xludf.UNSUPPORTED("""COMPUTED_VALUE"""),15.37)</f>
        <v>15.37</v>
      </c>
      <c r="C891" s="2">
        <f t="shared" ca="1" si="3"/>
        <v>1.3852242744063263E-2</v>
      </c>
    </row>
    <row r="892" spans="1:3">
      <c r="A892" s="3">
        <f ca="1">IFERROR(__xludf.UNSUPPORTED("""COMPUTED_VALUE"""),44757.6666666666)</f>
        <v>44757.666666666599</v>
      </c>
      <c r="B892" s="1">
        <f ca="1">IFERROR(__xludf.UNSUPPORTED("""COMPUTED_VALUE"""),15.76)</f>
        <v>15.76</v>
      </c>
      <c r="C892" s="2">
        <f t="shared" ca="1" si="3"/>
        <v>2.5374105400130163E-2</v>
      </c>
    </row>
    <row r="893" spans="1:3">
      <c r="A893" s="3">
        <f ca="1">IFERROR(__xludf.UNSUPPORTED("""COMPUTED_VALUE"""),44760.6666666666)</f>
        <v>44760.666666666599</v>
      </c>
      <c r="B893" s="1">
        <f ca="1">IFERROR(__xludf.UNSUPPORTED("""COMPUTED_VALUE"""),16.1)</f>
        <v>16.100000000000001</v>
      </c>
      <c r="C893" s="2">
        <f t="shared" ca="1" si="3"/>
        <v>2.1573604060913808E-2</v>
      </c>
    </row>
    <row r="894" spans="1:3">
      <c r="A894" s="3">
        <f ca="1">IFERROR(__xludf.UNSUPPORTED("""COMPUTED_VALUE"""),44761.6666666666)</f>
        <v>44761.666666666599</v>
      </c>
      <c r="B894" s="1">
        <f ca="1">IFERROR(__xludf.UNSUPPORTED("""COMPUTED_VALUE"""),16.99)</f>
        <v>16.989999999999998</v>
      </c>
      <c r="C894" s="2">
        <f t="shared" ca="1" si="3"/>
        <v>5.5279503105589871E-2</v>
      </c>
    </row>
    <row r="895" spans="1:3">
      <c r="A895" s="3">
        <f ca="1">IFERROR(__xludf.UNSUPPORTED("""COMPUTED_VALUE"""),44762.6666666666)</f>
        <v>44762.666666666599</v>
      </c>
      <c r="B895" s="1">
        <f ca="1">IFERROR(__xludf.UNSUPPORTED("""COMPUTED_VALUE"""),17.81)</f>
        <v>17.809999999999999</v>
      </c>
      <c r="C895" s="2">
        <f t="shared" ca="1" si="3"/>
        <v>4.8263684520306084E-2</v>
      </c>
    </row>
    <row r="896" spans="1:3">
      <c r="A896" s="3">
        <f ca="1">IFERROR(__xludf.UNSUPPORTED("""COMPUTED_VALUE"""),44763.6666666666)</f>
        <v>44763.666666666599</v>
      </c>
      <c r="B896" s="1">
        <f ca="1">IFERROR(__xludf.UNSUPPORTED("""COMPUTED_VALUE"""),18.05)</f>
        <v>18.05</v>
      </c>
      <c r="C896" s="2">
        <f t="shared" ca="1" si="3"/>
        <v>1.3475575519371253E-2</v>
      </c>
    </row>
    <row r="897" spans="1:3">
      <c r="A897" s="3">
        <f ca="1">IFERROR(__xludf.UNSUPPORTED("""COMPUTED_VALUE"""),44764.6666666666)</f>
        <v>44764.666666666599</v>
      </c>
      <c r="B897" s="1">
        <f ca="1">IFERROR(__xludf.UNSUPPORTED("""COMPUTED_VALUE"""),17.32)</f>
        <v>17.32</v>
      </c>
      <c r="C897" s="2">
        <f t="shared" ca="1" si="3"/>
        <v>-4.0443213296398911E-2</v>
      </c>
    </row>
    <row r="898" spans="1:3">
      <c r="A898" s="3">
        <f ca="1">IFERROR(__xludf.UNSUPPORTED("""COMPUTED_VALUE"""),44767.6666666666)</f>
        <v>44767.666666666599</v>
      </c>
      <c r="B898" s="1">
        <f ca="1">IFERROR(__xludf.UNSUPPORTED("""COMPUTED_VALUE"""),17.02)</f>
        <v>17.02</v>
      </c>
      <c r="C898" s="2">
        <f t="shared" ca="1" si="3"/>
        <v>-1.7321016166281795E-2</v>
      </c>
    </row>
    <row r="899" spans="1:3">
      <c r="A899" s="3">
        <f ca="1">IFERROR(__xludf.UNSUPPORTED("""COMPUTED_VALUE"""),44768.6666666666)</f>
        <v>44768.666666666599</v>
      </c>
      <c r="B899" s="1">
        <f ca="1">IFERROR(__xludf.UNSUPPORTED("""COMPUTED_VALUE"""),16.53)</f>
        <v>16.53</v>
      </c>
      <c r="C899" s="2">
        <f t="shared" ca="1" si="3"/>
        <v>-2.8789659224441742E-2</v>
      </c>
    </row>
    <row r="900" spans="1:3">
      <c r="A900" s="3">
        <f ca="1">IFERROR(__xludf.UNSUPPORTED("""COMPUTED_VALUE"""),44769.6666666666)</f>
        <v>44769.666666666599</v>
      </c>
      <c r="B900" s="1">
        <f ca="1">IFERROR(__xludf.UNSUPPORTED("""COMPUTED_VALUE"""),17.79)</f>
        <v>17.79</v>
      </c>
      <c r="C900" s="2">
        <f t="shared" ca="1" si="3"/>
        <v>7.6225045372050687E-2</v>
      </c>
    </row>
    <row r="901" spans="1:3">
      <c r="A901" s="3">
        <f ca="1">IFERROR(__xludf.UNSUPPORTED("""COMPUTED_VALUE"""),44770.6666666666)</f>
        <v>44770.666666666599</v>
      </c>
      <c r="B901" s="1">
        <f ca="1">IFERROR(__xludf.UNSUPPORTED("""COMPUTED_VALUE"""),17.98)</f>
        <v>17.98</v>
      </c>
      <c r="C901" s="2">
        <f t="shared" ca="1" si="3"/>
        <v>1.0680157391793215E-2</v>
      </c>
    </row>
    <row r="902" spans="1:3">
      <c r="A902" s="3">
        <f ca="1">IFERROR(__xludf.UNSUPPORTED("""COMPUTED_VALUE"""),44771.6666666666)</f>
        <v>44771.666666666599</v>
      </c>
      <c r="B902" s="1">
        <f ca="1">IFERROR(__xludf.UNSUPPORTED("""COMPUTED_VALUE"""),18.16)</f>
        <v>18.16</v>
      </c>
      <c r="C902" s="2">
        <f t="shared" ca="1" si="3"/>
        <v>1.0011123470522788E-2</v>
      </c>
    </row>
    <row r="903" spans="1:3">
      <c r="A903" s="3">
        <f ca="1">IFERROR(__xludf.UNSUPPORTED("""COMPUTED_VALUE"""),44774.6666666666)</f>
        <v>44774.666666666599</v>
      </c>
      <c r="B903" s="1">
        <f ca="1">IFERROR(__xludf.UNSUPPORTED("""COMPUTED_VALUE"""),18.44)</f>
        <v>18.440000000000001</v>
      </c>
      <c r="C903" s="2">
        <f t="shared" ca="1" si="3"/>
        <v>1.5418502202643234E-2</v>
      </c>
    </row>
    <row r="904" spans="1:3">
      <c r="A904" s="3">
        <f ca="1">IFERROR(__xludf.UNSUPPORTED("""COMPUTED_VALUE"""),44775.6666666666)</f>
        <v>44775.666666666599</v>
      </c>
      <c r="B904" s="1">
        <f ca="1">IFERROR(__xludf.UNSUPPORTED("""COMPUTED_VALUE"""),18.53)</f>
        <v>18.53</v>
      </c>
      <c r="C904" s="2">
        <f t="shared" ca="1" si="3"/>
        <v>4.8806941431670204E-3</v>
      </c>
    </row>
    <row r="905" spans="1:3">
      <c r="A905" s="3">
        <f ca="1">IFERROR(__xludf.UNSUPPORTED("""COMPUTED_VALUE"""),44776.6666666666)</f>
        <v>44776.666666666599</v>
      </c>
      <c r="B905" s="1">
        <f ca="1">IFERROR(__xludf.UNSUPPORTED("""COMPUTED_VALUE"""),18.89)</f>
        <v>18.89</v>
      </c>
      <c r="C905" s="2">
        <f t="shared" ca="1" si="3"/>
        <v>1.9427954668105742E-2</v>
      </c>
    </row>
    <row r="906" spans="1:3">
      <c r="A906" s="3">
        <f ca="1">IFERROR(__xludf.UNSUPPORTED("""COMPUTED_VALUE"""),44777.6666666666)</f>
        <v>44777.666666666599</v>
      </c>
      <c r="B906" s="1">
        <f ca="1">IFERROR(__xludf.UNSUPPORTED("""COMPUTED_VALUE"""),19.22)</f>
        <v>19.22</v>
      </c>
      <c r="C906" s="2">
        <f t="shared" ca="1" si="3"/>
        <v>1.7469560614081434E-2</v>
      </c>
    </row>
    <row r="907" spans="1:3">
      <c r="A907" s="3">
        <f ca="1">IFERROR(__xludf.UNSUPPORTED("""COMPUTED_VALUE"""),44778.6666666666)</f>
        <v>44778.666666666599</v>
      </c>
      <c r="B907" s="1">
        <f ca="1">IFERROR(__xludf.UNSUPPORTED("""COMPUTED_VALUE"""),18.99)</f>
        <v>18.989999999999998</v>
      </c>
      <c r="C907" s="2">
        <f t="shared" ca="1" si="3"/>
        <v>-1.1966701352757568E-2</v>
      </c>
    </row>
    <row r="908" spans="1:3">
      <c r="A908" s="3">
        <f ca="1">IFERROR(__xludf.UNSUPPORTED("""COMPUTED_VALUE"""),44781.6666666666)</f>
        <v>44781.666666666599</v>
      </c>
      <c r="B908" s="1">
        <f ca="1">IFERROR(__xludf.UNSUPPORTED("""COMPUTED_VALUE"""),17.79)</f>
        <v>17.79</v>
      </c>
      <c r="C908" s="2">
        <f t="shared" ca="1" si="3"/>
        <v>-6.3191153238546571E-2</v>
      </c>
    </row>
    <row r="909" spans="1:3">
      <c r="A909" s="3">
        <f ca="1">IFERROR(__xludf.UNSUPPORTED("""COMPUTED_VALUE"""),44782.6666666666)</f>
        <v>44782.666666666599</v>
      </c>
      <c r="B909" s="1">
        <f ca="1">IFERROR(__xludf.UNSUPPORTED("""COMPUTED_VALUE"""),17.09)</f>
        <v>17.09</v>
      </c>
      <c r="C909" s="2">
        <f t="shared" ca="1" si="3"/>
        <v>-3.9347948285553644E-2</v>
      </c>
    </row>
    <row r="910" spans="1:3">
      <c r="A910" s="3">
        <f ca="1">IFERROR(__xludf.UNSUPPORTED("""COMPUTED_VALUE"""),44783.6666666666)</f>
        <v>44783.666666666599</v>
      </c>
      <c r="B910" s="1">
        <f ca="1">IFERROR(__xludf.UNSUPPORTED("""COMPUTED_VALUE"""),18.1)</f>
        <v>18.100000000000001</v>
      </c>
      <c r="C910" s="2">
        <f t="shared" ca="1" si="3"/>
        <v>5.9098888238736193E-2</v>
      </c>
    </row>
    <row r="911" spans="1:3">
      <c r="A911" s="3">
        <f ca="1">IFERROR(__xludf.UNSUPPORTED("""COMPUTED_VALUE"""),44784.6666666666)</f>
        <v>44784.666666666599</v>
      </c>
      <c r="B911" s="1">
        <f ca="1">IFERROR(__xludf.UNSUPPORTED("""COMPUTED_VALUE"""),17.94)</f>
        <v>17.940000000000001</v>
      </c>
      <c r="C911" s="2">
        <f t="shared" ca="1" si="3"/>
        <v>-8.8397790055248695E-3</v>
      </c>
    </row>
    <row r="912" spans="1:3">
      <c r="A912" s="3">
        <f ca="1">IFERROR(__xludf.UNSUPPORTED("""COMPUTED_VALUE"""),44785.6666666666)</f>
        <v>44785.666666666599</v>
      </c>
      <c r="B912" s="1">
        <f ca="1">IFERROR(__xludf.UNSUPPORTED("""COMPUTED_VALUE"""),18.71)</f>
        <v>18.71</v>
      </c>
      <c r="C912" s="2">
        <f t="shared" ca="1" si="3"/>
        <v>4.2920847268673332E-2</v>
      </c>
    </row>
    <row r="913" spans="1:3">
      <c r="A913" s="3">
        <f ca="1">IFERROR(__xludf.UNSUPPORTED("""COMPUTED_VALUE"""),44788.6666666666)</f>
        <v>44788.666666666599</v>
      </c>
      <c r="B913" s="1">
        <f ca="1">IFERROR(__xludf.UNSUPPORTED("""COMPUTED_VALUE"""),19.03)</f>
        <v>19.03</v>
      </c>
      <c r="C913" s="2">
        <f t="shared" ca="1" si="3"/>
        <v>1.7103153393907018E-2</v>
      </c>
    </row>
    <row r="914" spans="1:3">
      <c r="A914" s="3">
        <f ca="1">IFERROR(__xludf.UNSUPPORTED("""COMPUTED_VALUE"""),44789.6666666666)</f>
        <v>44789.666666666599</v>
      </c>
      <c r="B914" s="1">
        <f ca="1">IFERROR(__xludf.UNSUPPORTED("""COMPUTED_VALUE"""),18.88)</f>
        <v>18.88</v>
      </c>
      <c r="C914" s="2">
        <f t="shared" ca="1" si="3"/>
        <v>-7.8822911192854509E-3</v>
      </c>
    </row>
    <row r="915" spans="1:3">
      <c r="A915" s="3">
        <f ca="1">IFERROR(__xludf.UNSUPPORTED("""COMPUTED_VALUE"""),44790.6666666666)</f>
        <v>44790.666666666599</v>
      </c>
      <c r="B915" s="1">
        <f ca="1">IFERROR(__xludf.UNSUPPORTED("""COMPUTED_VALUE"""),18.34)</f>
        <v>18.34</v>
      </c>
      <c r="C915" s="2">
        <f t="shared" ca="1" si="3"/>
        <v>-2.8601694915254192E-2</v>
      </c>
    </row>
    <row r="916" spans="1:3">
      <c r="A916" s="3">
        <f ca="1">IFERROR(__xludf.UNSUPPORTED("""COMPUTED_VALUE"""),44791.6666666666)</f>
        <v>44791.666666666599</v>
      </c>
      <c r="B916" s="1">
        <f ca="1">IFERROR(__xludf.UNSUPPORTED("""COMPUTED_VALUE"""),18.77)</f>
        <v>18.77</v>
      </c>
      <c r="C916" s="2">
        <f t="shared" ca="1" si="3"/>
        <v>2.3446019629225722E-2</v>
      </c>
    </row>
    <row r="917" spans="1:3">
      <c r="A917" s="3">
        <f ca="1">IFERROR(__xludf.UNSUPPORTED("""COMPUTED_VALUE"""),44792.6666666666)</f>
        <v>44792.666666666599</v>
      </c>
      <c r="B917" s="1">
        <f ca="1">IFERROR(__xludf.UNSUPPORTED("""COMPUTED_VALUE"""),17.85)</f>
        <v>17.850000000000001</v>
      </c>
      <c r="C917" s="2">
        <f t="shared" ca="1" si="3"/>
        <v>-4.9014384656366448E-2</v>
      </c>
    </row>
    <row r="918" spans="1:3">
      <c r="A918" s="3">
        <f ca="1">IFERROR(__xludf.UNSUPPORTED("""COMPUTED_VALUE"""),44795.6666666666)</f>
        <v>44795.666666666599</v>
      </c>
      <c r="B918" s="1">
        <f ca="1">IFERROR(__xludf.UNSUPPORTED("""COMPUTED_VALUE"""),17.03)</f>
        <v>17.03</v>
      </c>
      <c r="C918" s="2">
        <f t="shared" ca="1" si="3"/>
        <v>-4.5938375350140066E-2</v>
      </c>
    </row>
    <row r="919" spans="1:3">
      <c r="A919" s="3">
        <f ca="1">IFERROR(__xludf.UNSUPPORTED("""COMPUTED_VALUE"""),44796.6666666666)</f>
        <v>44796.666666666599</v>
      </c>
      <c r="B919" s="1">
        <f ca="1">IFERROR(__xludf.UNSUPPORTED("""COMPUTED_VALUE"""),17.18)</f>
        <v>17.18</v>
      </c>
      <c r="C919" s="2">
        <f t="shared" ca="1" si="3"/>
        <v>8.8079859072224646E-3</v>
      </c>
    </row>
    <row r="920" spans="1:3">
      <c r="A920" s="3">
        <f ca="1">IFERROR(__xludf.UNSUPPORTED("""COMPUTED_VALUE"""),44797.6666666666)</f>
        <v>44797.666666666599</v>
      </c>
      <c r="B920" s="1">
        <f ca="1">IFERROR(__xludf.UNSUPPORTED("""COMPUTED_VALUE"""),17.22)</f>
        <v>17.22</v>
      </c>
      <c r="C920" s="2">
        <f t="shared" ca="1" si="3"/>
        <v>2.3282887077997177E-3</v>
      </c>
    </row>
    <row r="921" spans="1:3">
      <c r="A921" s="3">
        <f ca="1">IFERROR(__xludf.UNSUPPORTED("""COMPUTED_VALUE"""),44798.6666666666)</f>
        <v>44798.666666666599</v>
      </c>
      <c r="B921" s="1">
        <f ca="1">IFERROR(__xludf.UNSUPPORTED("""COMPUTED_VALUE"""),17.91)</f>
        <v>17.91</v>
      </c>
      <c r="C921" s="2">
        <f t="shared" ca="1" si="3"/>
        <v>4.0069686411149906E-2</v>
      </c>
    </row>
    <row r="922" spans="1:3">
      <c r="A922" s="3">
        <f ca="1">IFERROR(__xludf.UNSUPPORTED("""COMPUTED_VALUE"""),44799.6666666666)</f>
        <v>44799.666666666599</v>
      </c>
      <c r="B922" s="1">
        <f ca="1">IFERROR(__xludf.UNSUPPORTED("""COMPUTED_VALUE"""),16.26)</f>
        <v>16.260000000000002</v>
      </c>
      <c r="C922" s="2">
        <f t="shared" ca="1" si="3"/>
        <v>-9.2127303182579487E-2</v>
      </c>
    </row>
    <row r="923" spans="1:3">
      <c r="A923" s="3">
        <f ca="1">IFERROR(__xludf.UNSUPPORTED("""COMPUTED_VALUE"""),44802.6666666666)</f>
        <v>44802.666666666599</v>
      </c>
      <c r="B923" s="1">
        <f ca="1">IFERROR(__xludf.UNSUPPORTED("""COMPUTED_VALUE"""),15.8)</f>
        <v>15.8</v>
      </c>
      <c r="C923" s="2">
        <f t="shared" ca="1" si="3"/>
        <v>-2.8290282902829079E-2</v>
      </c>
    </row>
    <row r="924" spans="1:3">
      <c r="A924" s="3">
        <f ca="1">IFERROR(__xludf.UNSUPPORTED("""COMPUTED_VALUE"""),44803.6666666666)</f>
        <v>44803.666666666599</v>
      </c>
      <c r="B924" s="1">
        <f ca="1">IFERROR(__xludf.UNSUPPORTED("""COMPUTED_VALUE"""),15.47)</f>
        <v>15.47</v>
      </c>
      <c r="C924" s="2">
        <f t="shared" ca="1" si="3"/>
        <v>-2.0886075949367092E-2</v>
      </c>
    </row>
    <row r="925" spans="1:3">
      <c r="A925" s="3">
        <f ca="1">IFERROR(__xludf.UNSUPPORTED("""COMPUTED_VALUE"""),44804.6666666666)</f>
        <v>44804.666666666599</v>
      </c>
      <c r="B925" s="1">
        <f ca="1">IFERROR(__xludf.UNSUPPORTED("""COMPUTED_VALUE"""),15.09)</f>
        <v>15.09</v>
      </c>
      <c r="C925" s="2">
        <f t="shared" ca="1" si="3"/>
        <v>-2.45636716224952E-2</v>
      </c>
    </row>
    <row r="926" spans="1:3">
      <c r="A926" s="3">
        <f ca="1">IFERROR(__xludf.UNSUPPORTED("""COMPUTED_VALUE"""),44805.6666666666)</f>
        <v>44805.666666666599</v>
      </c>
      <c r="B926" s="1">
        <f ca="1">IFERROR(__xludf.UNSUPPORTED("""COMPUTED_VALUE"""),13.94)</f>
        <v>13.94</v>
      </c>
      <c r="C926" s="2">
        <f t="shared" ca="1" si="3"/>
        <v>-7.6209410205434092E-2</v>
      </c>
    </row>
    <row r="927" spans="1:3">
      <c r="A927" s="3">
        <f ca="1">IFERROR(__xludf.UNSUPPORTED("""COMPUTED_VALUE"""),44806.6666666666)</f>
        <v>44806.666666666599</v>
      </c>
      <c r="B927" s="1">
        <f ca="1">IFERROR(__xludf.UNSUPPORTED("""COMPUTED_VALUE"""),13.65)</f>
        <v>13.65</v>
      </c>
      <c r="C927" s="2">
        <f t="shared" ca="1" si="3"/>
        <v>-2.0803443328550872E-2</v>
      </c>
    </row>
    <row r="928" spans="1:3">
      <c r="A928" s="3">
        <f ca="1">IFERROR(__xludf.UNSUPPORTED("""COMPUTED_VALUE"""),44810.6666666666)</f>
        <v>44810.666666666599</v>
      </c>
      <c r="B928" s="1">
        <f ca="1">IFERROR(__xludf.UNSUPPORTED("""COMPUTED_VALUE"""),13.47)</f>
        <v>13.47</v>
      </c>
      <c r="C928" s="2">
        <f t="shared" ca="1" si="3"/>
        <v>-1.3186813186813166E-2</v>
      </c>
    </row>
    <row r="929" spans="1:3">
      <c r="A929" s="3">
        <f ca="1">IFERROR(__xludf.UNSUPPORTED("""COMPUTED_VALUE"""),44811.6666666666)</f>
        <v>44811.666666666599</v>
      </c>
      <c r="B929" s="1">
        <f ca="1">IFERROR(__xludf.UNSUPPORTED("""COMPUTED_VALUE"""),13.71)</f>
        <v>13.71</v>
      </c>
      <c r="C929" s="2">
        <f t="shared" ca="1" si="3"/>
        <v>1.7817371937639215E-2</v>
      </c>
    </row>
    <row r="930" spans="1:3">
      <c r="A930" s="3">
        <f ca="1">IFERROR(__xludf.UNSUPPORTED("""COMPUTED_VALUE"""),44812.6666666666)</f>
        <v>44812.666666666599</v>
      </c>
      <c r="B930" s="1">
        <f ca="1">IFERROR(__xludf.UNSUPPORTED("""COMPUTED_VALUE"""),13.99)</f>
        <v>13.99</v>
      </c>
      <c r="C930" s="2">
        <f t="shared" ca="1" si="3"/>
        <v>2.0423048869438319E-2</v>
      </c>
    </row>
    <row r="931" spans="1:3">
      <c r="A931" s="3">
        <f ca="1">IFERROR(__xludf.UNSUPPORTED("""COMPUTED_VALUE"""),44813.6666666666)</f>
        <v>44813.666666666599</v>
      </c>
      <c r="B931" s="1">
        <f ca="1">IFERROR(__xludf.UNSUPPORTED("""COMPUTED_VALUE"""),14.39)</f>
        <v>14.39</v>
      </c>
      <c r="C931" s="2">
        <f t="shared" ca="1" si="3"/>
        <v>2.8591851322373147E-2</v>
      </c>
    </row>
    <row r="932" spans="1:3">
      <c r="A932" s="3">
        <f ca="1">IFERROR(__xludf.UNSUPPORTED("""COMPUTED_VALUE"""),44816.6666666666)</f>
        <v>44816.666666666599</v>
      </c>
      <c r="B932" s="1">
        <f ca="1">IFERROR(__xludf.UNSUPPORTED("""COMPUTED_VALUE"""),14.51)</f>
        <v>14.51</v>
      </c>
      <c r="C932" s="2">
        <f t="shared" ca="1" si="3"/>
        <v>8.339124391938792E-3</v>
      </c>
    </row>
    <row r="933" spans="1:3">
      <c r="A933" s="3">
        <f ca="1">IFERROR(__xludf.UNSUPPORTED("""COMPUTED_VALUE"""),44817.6666666666)</f>
        <v>44817.666666666599</v>
      </c>
      <c r="B933" s="1">
        <f ca="1">IFERROR(__xludf.UNSUPPORTED("""COMPUTED_VALUE"""),13.13)</f>
        <v>13.13</v>
      </c>
      <c r="C933" s="2">
        <f t="shared" ca="1" si="3"/>
        <v>-9.510682288077181E-2</v>
      </c>
    </row>
    <row r="934" spans="1:3">
      <c r="A934" s="3">
        <f ca="1">IFERROR(__xludf.UNSUPPORTED("""COMPUTED_VALUE"""),44818.6666666666)</f>
        <v>44818.666666666599</v>
      </c>
      <c r="B934" s="1">
        <f ca="1">IFERROR(__xludf.UNSUPPORTED("""COMPUTED_VALUE"""),13.13)</f>
        <v>13.13</v>
      </c>
      <c r="C934" s="2">
        <f t="shared" ca="1" si="3"/>
        <v>0</v>
      </c>
    </row>
    <row r="935" spans="1:3">
      <c r="A935" s="3">
        <f ca="1">IFERROR(__xludf.UNSUPPORTED("""COMPUTED_VALUE"""),44819.6666666666)</f>
        <v>44819.666666666599</v>
      </c>
      <c r="B935" s="1">
        <f ca="1">IFERROR(__xludf.UNSUPPORTED("""COMPUTED_VALUE"""),12.93)</f>
        <v>12.93</v>
      </c>
      <c r="C935" s="2">
        <f t="shared" ca="1" si="3"/>
        <v>-1.5232292460015312E-2</v>
      </c>
    </row>
    <row r="936" spans="1:3">
      <c r="A936" s="3">
        <f ca="1">IFERROR(__xludf.UNSUPPORTED("""COMPUTED_VALUE"""),44820.6666666666)</f>
        <v>44820.666666666599</v>
      </c>
      <c r="B936" s="1">
        <f ca="1">IFERROR(__xludf.UNSUPPORTED("""COMPUTED_VALUE"""),13.2)</f>
        <v>13.2</v>
      </c>
      <c r="C936" s="2">
        <f t="shared" ca="1" si="3"/>
        <v>2.0881670533642659E-2</v>
      </c>
    </row>
    <row r="937" spans="1:3">
      <c r="A937" s="3">
        <f ca="1">IFERROR(__xludf.UNSUPPORTED("""COMPUTED_VALUE"""),44823.6666666666)</f>
        <v>44823.666666666599</v>
      </c>
      <c r="B937" s="1">
        <f ca="1">IFERROR(__xludf.UNSUPPORTED("""COMPUTED_VALUE"""),13.38)</f>
        <v>13.38</v>
      </c>
      <c r="C937" s="2">
        <f t="shared" ca="1" si="3"/>
        <v>1.363636363636375E-2</v>
      </c>
    </row>
    <row r="938" spans="1:3">
      <c r="A938" s="3">
        <f ca="1">IFERROR(__xludf.UNSUPPORTED("""COMPUTED_VALUE"""),44824.6666666666)</f>
        <v>44824.666666666599</v>
      </c>
      <c r="B938" s="1">
        <f ca="1">IFERROR(__xludf.UNSUPPORTED("""COMPUTED_VALUE"""),13.18)</f>
        <v>13.18</v>
      </c>
      <c r="C938" s="2">
        <f t="shared" ca="1" si="3"/>
        <v>-1.4947683109118166E-2</v>
      </c>
    </row>
    <row r="939" spans="1:3">
      <c r="A939" s="3">
        <f ca="1">IFERROR(__xludf.UNSUPPORTED("""COMPUTED_VALUE"""),44825.6666666666)</f>
        <v>44825.666666666599</v>
      </c>
      <c r="B939" s="1">
        <f ca="1">IFERROR(__xludf.UNSUPPORTED("""COMPUTED_VALUE"""),13.26)</f>
        <v>13.26</v>
      </c>
      <c r="C939" s="2">
        <f t="shared" ca="1" si="3"/>
        <v>6.0698027314112345E-3</v>
      </c>
    </row>
    <row r="940" spans="1:3">
      <c r="A940" s="3">
        <f ca="1">IFERROR(__xludf.UNSUPPORTED("""COMPUTED_VALUE"""),44826.6666666666)</f>
        <v>44826.666666666599</v>
      </c>
      <c r="B940" s="1">
        <f ca="1">IFERROR(__xludf.UNSUPPORTED("""COMPUTED_VALUE"""),12.56)</f>
        <v>12.56</v>
      </c>
      <c r="C940" s="2">
        <f t="shared" ca="1" si="3"/>
        <v>-5.2790346907993911E-2</v>
      </c>
    </row>
    <row r="941" spans="1:3">
      <c r="A941" s="3">
        <f ca="1">IFERROR(__xludf.UNSUPPORTED("""COMPUTED_VALUE"""),44827.6666666666)</f>
        <v>44827.666666666599</v>
      </c>
      <c r="B941" s="1">
        <f ca="1">IFERROR(__xludf.UNSUPPORTED("""COMPUTED_VALUE"""),12.52)</f>
        <v>12.52</v>
      </c>
      <c r="C941" s="2">
        <f t="shared" ca="1" si="3"/>
        <v>-3.1847133757962518E-3</v>
      </c>
    </row>
    <row r="942" spans="1:3">
      <c r="A942" s="3">
        <f ca="1">IFERROR(__xludf.UNSUPPORTED("""COMPUTED_VALUE"""),44830.6666666666)</f>
        <v>44830.666666666599</v>
      </c>
      <c r="B942" s="1">
        <f ca="1">IFERROR(__xludf.UNSUPPORTED("""COMPUTED_VALUE"""),12.23)</f>
        <v>12.23</v>
      </c>
      <c r="C942" s="2">
        <f t="shared" ca="1" si="3"/>
        <v>-2.3162939297124534E-2</v>
      </c>
    </row>
    <row r="943" spans="1:3">
      <c r="A943" s="3">
        <f ca="1">IFERROR(__xludf.UNSUPPORTED("""COMPUTED_VALUE"""),44831.6666666666)</f>
        <v>44831.666666666599</v>
      </c>
      <c r="B943" s="1">
        <f ca="1">IFERROR(__xludf.UNSUPPORTED("""COMPUTED_VALUE"""),12.41)</f>
        <v>12.41</v>
      </c>
      <c r="C943" s="2">
        <f t="shared" ca="1" si="3"/>
        <v>1.4717906786590329E-2</v>
      </c>
    </row>
    <row r="944" spans="1:3">
      <c r="A944" s="3">
        <f ca="1">IFERROR(__xludf.UNSUPPORTED("""COMPUTED_VALUE"""),44832.6666666666)</f>
        <v>44832.666666666599</v>
      </c>
      <c r="B944" s="1">
        <f ca="1">IFERROR(__xludf.UNSUPPORTED("""COMPUTED_VALUE"""),12.74)</f>
        <v>12.74</v>
      </c>
      <c r="C944" s="2">
        <f t="shared" ca="1" si="3"/>
        <v>2.6591458501208708E-2</v>
      </c>
    </row>
    <row r="945" spans="1:3">
      <c r="A945" s="3">
        <f ca="1">IFERROR(__xludf.UNSUPPORTED("""COMPUTED_VALUE"""),44833.6666666666)</f>
        <v>44833.666666666599</v>
      </c>
      <c r="B945" s="1">
        <f ca="1">IFERROR(__xludf.UNSUPPORTED("""COMPUTED_VALUE"""),12.22)</f>
        <v>12.22</v>
      </c>
      <c r="C945" s="2">
        <f t="shared" ca="1" si="3"/>
        <v>-4.0816326530612214E-2</v>
      </c>
    </row>
    <row r="946" spans="1:3">
      <c r="A946" s="3">
        <f ca="1">IFERROR(__xludf.UNSUPPORTED("""COMPUTED_VALUE"""),44834.6666666666)</f>
        <v>44834.666666666599</v>
      </c>
      <c r="B946" s="1">
        <f ca="1">IFERROR(__xludf.UNSUPPORTED("""COMPUTED_VALUE"""),12.14)</f>
        <v>12.14</v>
      </c>
      <c r="C946" s="2">
        <f t="shared" ca="1" si="3"/>
        <v>-6.5466448445171905E-3</v>
      </c>
    </row>
    <row r="947" spans="1:3">
      <c r="A947" s="3">
        <f ca="1">IFERROR(__xludf.UNSUPPORTED("""COMPUTED_VALUE"""),44837.6666666666)</f>
        <v>44837.666666666599</v>
      </c>
      <c r="B947" s="1">
        <f ca="1">IFERROR(__xludf.UNSUPPORTED("""COMPUTED_VALUE"""),12.51)</f>
        <v>12.51</v>
      </c>
      <c r="C947" s="2">
        <f t="shared" ca="1" si="3"/>
        <v>3.0477759472817067E-2</v>
      </c>
    </row>
    <row r="948" spans="1:3">
      <c r="A948" s="3">
        <f ca="1">IFERROR(__xludf.UNSUPPORTED("""COMPUTED_VALUE"""),44838.6666666666)</f>
        <v>44838.666666666599</v>
      </c>
      <c r="B948" s="1">
        <f ca="1">IFERROR(__xludf.UNSUPPORTED("""COMPUTED_VALUE"""),13.17)</f>
        <v>13.17</v>
      </c>
      <c r="C948" s="2">
        <f t="shared" ca="1" si="3"/>
        <v>5.2757793764988022E-2</v>
      </c>
    </row>
    <row r="949" spans="1:3">
      <c r="A949" s="3">
        <f ca="1">IFERROR(__xludf.UNSUPPORTED("""COMPUTED_VALUE"""),44839.6666666666)</f>
        <v>44839.666666666599</v>
      </c>
      <c r="B949" s="1">
        <f ca="1">IFERROR(__xludf.UNSUPPORTED("""COMPUTED_VALUE"""),13.21)</f>
        <v>13.21</v>
      </c>
      <c r="C949" s="2">
        <f t="shared" ca="1" si="3"/>
        <v>3.0372057706910343E-3</v>
      </c>
    </row>
    <row r="950" spans="1:3">
      <c r="A950" s="3">
        <f ca="1">IFERROR(__xludf.UNSUPPORTED("""COMPUTED_VALUE"""),44840.6666666666)</f>
        <v>44840.666666666599</v>
      </c>
      <c r="B950" s="1">
        <f ca="1">IFERROR(__xludf.UNSUPPORTED("""COMPUTED_VALUE"""),13.13)</f>
        <v>13.13</v>
      </c>
      <c r="C950" s="2">
        <f t="shared" ca="1" si="3"/>
        <v>-6.0560181680545094E-3</v>
      </c>
    </row>
    <row r="951" spans="1:3">
      <c r="A951" s="3">
        <f ca="1">IFERROR(__xludf.UNSUPPORTED("""COMPUTED_VALUE"""),44841.6666666666)</f>
        <v>44841.666666666599</v>
      </c>
      <c r="B951" s="1">
        <f ca="1">IFERROR(__xludf.UNSUPPORTED("""COMPUTED_VALUE"""),12.08)</f>
        <v>12.08</v>
      </c>
      <c r="C951" s="2">
        <f t="shared" ca="1" si="3"/>
        <v>-7.996953541508002E-2</v>
      </c>
    </row>
    <row r="952" spans="1:3">
      <c r="A952" s="3">
        <f ca="1">IFERROR(__xludf.UNSUPPORTED("""COMPUTED_VALUE"""),44844.6666666666)</f>
        <v>44844.666666666599</v>
      </c>
      <c r="B952" s="1">
        <f ca="1">IFERROR(__xludf.UNSUPPORTED("""COMPUTED_VALUE"""),11.67)</f>
        <v>11.67</v>
      </c>
      <c r="C952" s="2">
        <f t="shared" ca="1" si="3"/>
        <v>-3.3940397350993391E-2</v>
      </c>
    </row>
    <row r="953" spans="1:3">
      <c r="A953" s="3">
        <f ca="1">IFERROR(__xludf.UNSUPPORTED("""COMPUTED_VALUE"""),44845.6666666666)</f>
        <v>44845.666666666599</v>
      </c>
      <c r="B953" s="1">
        <f ca="1">IFERROR(__xludf.UNSUPPORTED("""COMPUTED_VALUE"""),11.59)</f>
        <v>11.59</v>
      </c>
      <c r="C953" s="2">
        <f t="shared" ca="1" si="3"/>
        <v>-6.8551842330762704E-3</v>
      </c>
    </row>
    <row r="954" spans="1:3">
      <c r="A954" s="3">
        <f ca="1">IFERROR(__xludf.UNSUPPORTED("""COMPUTED_VALUE"""),44846.6666666666)</f>
        <v>44846.666666666599</v>
      </c>
      <c r="B954" s="1">
        <f ca="1">IFERROR(__xludf.UNSUPPORTED("""COMPUTED_VALUE"""),11.5)</f>
        <v>11.5</v>
      </c>
      <c r="C954" s="2">
        <f t="shared" ca="1" si="3"/>
        <v>-7.7653149266609022E-3</v>
      </c>
    </row>
    <row r="955" spans="1:3">
      <c r="A955" s="3">
        <f ca="1">IFERROR(__xludf.UNSUPPORTED("""COMPUTED_VALUE"""),44847.6666666666)</f>
        <v>44847.666666666599</v>
      </c>
      <c r="B955" s="1">
        <f ca="1">IFERROR(__xludf.UNSUPPORTED("""COMPUTED_VALUE"""),11.96)</f>
        <v>11.96</v>
      </c>
      <c r="C955" s="2">
        <f t="shared" ca="1" si="3"/>
        <v>4.0000000000000077E-2</v>
      </c>
    </row>
    <row r="956" spans="1:3">
      <c r="A956" s="3">
        <f ca="1">IFERROR(__xludf.UNSUPPORTED("""COMPUTED_VALUE"""),44848.6666666666)</f>
        <v>44848.666666666599</v>
      </c>
      <c r="B956" s="1">
        <f ca="1">IFERROR(__xludf.UNSUPPORTED("""COMPUTED_VALUE"""),11.23)</f>
        <v>11.23</v>
      </c>
      <c r="C956" s="2">
        <f t="shared" ca="1" si="3"/>
        <v>-6.1036789297658892E-2</v>
      </c>
    </row>
    <row r="957" spans="1:3">
      <c r="A957" s="3">
        <f ca="1">IFERROR(__xludf.UNSUPPORTED("""COMPUTED_VALUE"""),44851.6666666666)</f>
        <v>44851.666666666599</v>
      </c>
      <c r="B957" s="1">
        <f ca="1">IFERROR(__xludf.UNSUPPORTED("""COMPUTED_VALUE"""),11.89)</f>
        <v>11.89</v>
      </c>
      <c r="C957" s="2">
        <f t="shared" ca="1" si="3"/>
        <v>5.8771148708815682E-2</v>
      </c>
    </row>
    <row r="958" spans="1:3">
      <c r="A958" s="3">
        <f ca="1">IFERROR(__xludf.UNSUPPORTED("""COMPUTED_VALUE"""),44852.6666666666)</f>
        <v>44852.666666666599</v>
      </c>
      <c r="B958" s="1">
        <f ca="1">IFERROR(__xludf.UNSUPPORTED("""COMPUTED_VALUE"""),11.97)</f>
        <v>11.97</v>
      </c>
      <c r="C958" s="2">
        <f t="shared" ca="1" si="3"/>
        <v>6.7283431455004263E-3</v>
      </c>
    </row>
    <row r="959" spans="1:3">
      <c r="A959" s="3">
        <f ca="1">IFERROR(__xludf.UNSUPPORTED("""COMPUTED_VALUE"""),44853.6666666666)</f>
        <v>44853.666666666599</v>
      </c>
      <c r="B959" s="1">
        <f ca="1">IFERROR(__xludf.UNSUPPORTED("""COMPUTED_VALUE"""),12.05)</f>
        <v>12.05</v>
      </c>
      <c r="C959" s="2">
        <f t="shared" ca="1" si="3"/>
        <v>6.6833751044277417E-3</v>
      </c>
    </row>
    <row r="960" spans="1:3">
      <c r="A960" s="3">
        <f ca="1">IFERROR(__xludf.UNSUPPORTED("""COMPUTED_VALUE"""),44854.6666666666)</f>
        <v>44854.666666666599</v>
      </c>
      <c r="B960" s="1">
        <f ca="1">IFERROR(__xludf.UNSUPPORTED("""COMPUTED_VALUE"""),12.19)</f>
        <v>12.19</v>
      </c>
      <c r="C960" s="2">
        <f t="shared" ca="1" si="3"/>
        <v>1.1618257261410688E-2</v>
      </c>
    </row>
    <row r="961" spans="1:3">
      <c r="A961" s="3">
        <f ca="1">IFERROR(__xludf.UNSUPPORTED("""COMPUTED_VALUE"""),44855.6666666666)</f>
        <v>44855.666666666599</v>
      </c>
      <c r="B961" s="1">
        <f ca="1">IFERROR(__xludf.UNSUPPORTED("""COMPUTED_VALUE"""),12.47)</f>
        <v>12.47</v>
      </c>
      <c r="C961" s="2">
        <f t="shared" ca="1" si="3"/>
        <v>2.296964725184587E-2</v>
      </c>
    </row>
    <row r="962" spans="1:3">
      <c r="A962" s="3">
        <f ca="1">IFERROR(__xludf.UNSUPPORTED("""COMPUTED_VALUE"""),44858.6666666666)</f>
        <v>44858.666666666599</v>
      </c>
      <c r="B962" s="1">
        <f ca="1">IFERROR(__xludf.UNSUPPORTED("""COMPUTED_VALUE"""),12.6)</f>
        <v>12.6</v>
      </c>
      <c r="C962" s="2">
        <f t="shared" ca="1" si="3"/>
        <v>1.0425020048115397E-2</v>
      </c>
    </row>
    <row r="963" spans="1:3">
      <c r="A963" s="3">
        <f ca="1">IFERROR(__xludf.UNSUPPORTED("""COMPUTED_VALUE"""),44859.6666666666)</f>
        <v>44859.666666666599</v>
      </c>
      <c r="B963" s="1">
        <f ca="1">IFERROR(__xludf.UNSUPPORTED("""COMPUTED_VALUE"""),13.26)</f>
        <v>13.26</v>
      </c>
      <c r="C963" s="2">
        <f t="shared" ca="1" si="3"/>
        <v>5.2380952380952396E-2</v>
      </c>
    </row>
    <row r="964" spans="1:3">
      <c r="A964" s="3">
        <f ca="1">IFERROR(__xludf.UNSUPPORTED("""COMPUTED_VALUE"""),44860.6666666666)</f>
        <v>44860.666666666599</v>
      </c>
      <c r="B964" s="1">
        <f ca="1">IFERROR(__xludf.UNSUPPORTED("""COMPUTED_VALUE"""),12.9)</f>
        <v>12.9</v>
      </c>
      <c r="C964" s="2">
        <f t="shared" ca="1" si="3"/>
        <v>-2.7149321266968285E-2</v>
      </c>
    </row>
    <row r="965" spans="1:3">
      <c r="A965" s="3">
        <f ca="1">IFERROR(__xludf.UNSUPPORTED("""COMPUTED_VALUE"""),44861.6666666666)</f>
        <v>44861.666666666599</v>
      </c>
      <c r="B965" s="1">
        <f ca="1">IFERROR(__xludf.UNSUPPORTED("""COMPUTED_VALUE"""),13.18)</f>
        <v>13.18</v>
      </c>
      <c r="C965" s="2">
        <f t="shared" ca="1" si="3"/>
        <v>2.1705426356589098E-2</v>
      </c>
    </row>
    <row r="966" spans="1:3">
      <c r="A966" s="3">
        <f ca="1">IFERROR(__xludf.UNSUPPORTED("""COMPUTED_VALUE"""),44862.6666666666)</f>
        <v>44862.666666666599</v>
      </c>
      <c r="B966" s="1">
        <f ca="1">IFERROR(__xludf.UNSUPPORTED("""COMPUTED_VALUE"""),13.83)</f>
        <v>13.83</v>
      </c>
      <c r="C966" s="2">
        <f t="shared" ca="1" si="3"/>
        <v>4.9317147192716265E-2</v>
      </c>
    </row>
    <row r="967" spans="1:3">
      <c r="A967" s="3">
        <f ca="1">IFERROR(__xludf.UNSUPPORTED("""COMPUTED_VALUE"""),44865.6666666666)</f>
        <v>44865.666666666599</v>
      </c>
      <c r="B967" s="1">
        <f ca="1">IFERROR(__xludf.UNSUPPORTED("""COMPUTED_VALUE"""),13.5)</f>
        <v>13.5</v>
      </c>
      <c r="C967" s="2">
        <f t="shared" ca="1" si="3"/>
        <v>-2.3861171366594366E-2</v>
      </c>
    </row>
    <row r="968" spans="1:3">
      <c r="A968" s="3">
        <f ca="1">IFERROR(__xludf.UNSUPPORTED("""COMPUTED_VALUE"""),44866.6666666666)</f>
        <v>44866.666666666599</v>
      </c>
      <c r="B968" s="1">
        <f ca="1">IFERROR(__xludf.UNSUPPORTED("""COMPUTED_VALUE"""),13.54)</f>
        <v>13.54</v>
      </c>
      <c r="C968" s="2">
        <f t="shared" ca="1" si="3"/>
        <v>2.9629629629628999E-3</v>
      </c>
    </row>
    <row r="969" spans="1:3">
      <c r="A969" s="3">
        <f ca="1">IFERROR(__xludf.UNSUPPORTED("""COMPUTED_VALUE"""),44867.6666666666)</f>
        <v>44867.666666666599</v>
      </c>
      <c r="B969" s="1">
        <f ca="1">IFERROR(__xludf.UNSUPPORTED("""COMPUTED_VALUE"""),13.22)</f>
        <v>13.22</v>
      </c>
      <c r="C969" s="2">
        <f t="shared" ca="1" si="3"/>
        <v>-2.3633677991137261E-2</v>
      </c>
    </row>
    <row r="970" spans="1:3">
      <c r="A970" s="3">
        <f ca="1">IFERROR(__xludf.UNSUPPORTED("""COMPUTED_VALUE"""),44868.6666666666)</f>
        <v>44868.666666666599</v>
      </c>
      <c r="B970" s="1">
        <f ca="1">IFERROR(__xludf.UNSUPPORTED("""COMPUTED_VALUE"""),13.42)</f>
        <v>13.42</v>
      </c>
      <c r="C970" s="2">
        <f t="shared" ca="1" si="3"/>
        <v>1.5128593040847146E-2</v>
      </c>
    </row>
    <row r="971" spans="1:3">
      <c r="A971" s="3">
        <f ca="1">IFERROR(__xludf.UNSUPPORTED("""COMPUTED_VALUE"""),44869.6666666666)</f>
        <v>44869.666666666599</v>
      </c>
      <c r="B971" s="1">
        <f ca="1">IFERROR(__xludf.UNSUPPORTED("""COMPUTED_VALUE"""),14.16)</f>
        <v>14.16</v>
      </c>
      <c r="C971" s="2">
        <f t="shared" ca="1" si="3"/>
        <v>5.5141579731743683E-2</v>
      </c>
    </row>
    <row r="972" spans="1:3">
      <c r="A972" s="3">
        <f ca="1">IFERROR(__xludf.UNSUPPORTED("""COMPUTED_VALUE"""),44872.6666666666)</f>
        <v>44872.666666666599</v>
      </c>
      <c r="B972" s="1">
        <f ca="1">IFERROR(__xludf.UNSUPPORTED("""COMPUTED_VALUE"""),14.3)</f>
        <v>14.3</v>
      </c>
      <c r="C972" s="2">
        <f t="shared" ca="1" si="3"/>
        <v>9.8870056497175549E-3</v>
      </c>
    </row>
    <row r="973" spans="1:3">
      <c r="A973" s="3">
        <f ca="1">IFERROR(__xludf.UNSUPPORTED("""COMPUTED_VALUE"""),44873.6666666666)</f>
        <v>44873.666666666599</v>
      </c>
      <c r="B973" s="1">
        <f ca="1">IFERROR(__xludf.UNSUPPORTED("""COMPUTED_VALUE"""),14.6)</f>
        <v>14.6</v>
      </c>
      <c r="C973" s="2">
        <f t="shared" ca="1" si="3"/>
        <v>2.0979020979020904E-2</v>
      </c>
    </row>
    <row r="974" spans="1:3">
      <c r="A974" s="3">
        <f ca="1">IFERROR(__xludf.UNSUPPORTED("""COMPUTED_VALUE"""),44874.6666666666)</f>
        <v>44874.666666666599</v>
      </c>
      <c r="B974" s="1">
        <f ca="1">IFERROR(__xludf.UNSUPPORTED("""COMPUTED_VALUE"""),13.78)</f>
        <v>13.78</v>
      </c>
      <c r="C974" s="2">
        <f t="shared" ca="1" si="3"/>
        <v>-5.6164383561643855E-2</v>
      </c>
    </row>
    <row r="975" spans="1:3">
      <c r="A975" s="3">
        <f ca="1">IFERROR(__xludf.UNSUPPORTED("""COMPUTED_VALUE"""),44875.6666666666)</f>
        <v>44875.666666666599</v>
      </c>
      <c r="B975" s="1">
        <f ca="1">IFERROR(__xludf.UNSUPPORTED("""COMPUTED_VALUE"""),15.75)</f>
        <v>15.75</v>
      </c>
      <c r="C975" s="2">
        <f t="shared" ca="1" si="3"/>
        <v>0.14296081277213357</v>
      </c>
    </row>
    <row r="976" spans="1:3">
      <c r="A976" s="3">
        <f ca="1">IFERROR(__xludf.UNSUPPORTED("""COMPUTED_VALUE"""),44876.6666666666)</f>
        <v>44876.666666666599</v>
      </c>
      <c r="B976" s="1">
        <f ca="1">IFERROR(__xludf.UNSUPPORTED("""COMPUTED_VALUE"""),16.33)</f>
        <v>16.329999999999998</v>
      </c>
      <c r="C976" s="2">
        <f t="shared" ca="1" si="3"/>
        <v>3.682539682539672E-2</v>
      </c>
    </row>
    <row r="977" spans="1:3">
      <c r="A977" s="3">
        <f ca="1">IFERROR(__xludf.UNSUPPORTED("""COMPUTED_VALUE"""),44879.6666666666)</f>
        <v>44879.666666666599</v>
      </c>
      <c r="B977" s="1">
        <f ca="1">IFERROR(__xludf.UNSUPPORTED("""COMPUTED_VALUE"""),16.3)</f>
        <v>16.3</v>
      </c>
      <c r="C977" s="2">
        <f t="shared" ca="1" si="3"/>
        <v>-1.8371096142068334E-3</v>
      </c>
    </row>
    <row r="978" spans="1:3">
      <c r="A978" s="3">
        <f ca="1">IFERROR(__xludf.UNSUPPORTED("""COMPUTED_VALUE"""),44880.6666666666)</f>
        <v>44880.666666666599</v>
      </c>
      <c r="B978" s="1">
        <f ca="1">IFERROR(__xludf.UNSUPPORTED("""COMPUTED_VALUE"""),16.67)</f>
        <v>16.670000000000002</v>
      </c>
      <c r="C978" s="2">
        <f t="shared" ca="1" si="3"/>
        <v>2.2699386503067544E-2</v>
      </c>
    </row>
    <row r="979" spans="1:3">
      <c r="A979" s="3">
        <f ca="1">IFERROR(__xludf.UNSUPPORTED("""COMPUTED_VALUE"""),44881.6666666666)</f>
        <v>44881.666666666599</v>
      </c>
      <c r="B979" s="1">
        <f ca="1">IFERROR(__xludf.UNSUPPORTED("""COMPUTED_VALUE"""),15.91)</f>
        <v>15.91</v>
      </c>
      <c r="C979" s="2">
        <f t="shared" ca="1" si="3"/>
        <v>-4.5590881823635361E-2</v>
      </c>
    </row>
    <row r="980" spans="1:3">
      <c r="A980" s="3">
        <f ca="1">IFERROR(__xludf.UNSUPPORTED("""COMPUTED_VALUE"""),44882.6666666666)</f>
        <v>44882.666666666599</v>
      </c>
      <c r="B980" s="1">
        <f ca="1">IFERROR(__xludf.UNSUPPORTED("""COMPUTED_VALUE"""),15.68)</f>
        <v>15.68</v>
      </c>
      <c r="C980" s="2">
        <f t="shared" ca="1" si="3"/>
        <v>-1.4456316781898204E-2</v>
      </c>
    </row>
    <row r="981" spans="1:3">
      <c r="A981" s="3">
        <f ca="1">IFERROR(__xludf.UNSUPPORTED("""COMPUTED_VALUE"""),44883.6666666666)</f>
        <v>44883.666666666599</v>
      </c>
      <c r="B981" s="1">
        <f ca="1">IFERROR(__xludf.UNSUPPORTED("""COMPUTED_VALUE"""),15.41)</f>
        <v>15.41</v>
      </c>
      <c r="C981" s="2">
        <f t="shared" ca="1" si="3"/>
        <v>-1.7219387755102015E-2</v>
      </c>
    </row>
    <row r="982" spans="1:3">
      <c r="A982" s="3">
        <f ca="1">IFERROR(__xludf.UNSUPPORTED("""COMPUTED_VALUE"""),44886.6666666666)</f>
        <v>44886.666666666599</v>
      </c>
      <c r="B982" s="1">
        <f ca="1">IFERROR(__xludf.UNSUPPORTED("""COMPUTED_VALUE"""),15.32)</f>
        <v>15.32</v>
      </c>
      <c r="C982" s="2">
        <f t="shared" ca="1" si="3"/>
        <v>-5.8403634003893479E-3</v>
      </c>
    </row>
    <row r="983" spans="1:3">
      <c r="A983" s="3">
        <f ca="1">IFERROR(__xludf.UNSUPPORTED("""COMPUTED_VALUE"""),44887.6666666666)</f>
        <v>44887.666666666599</v>
      </c>
      <c r="B983" s="1">
        <f ca="1">IFERROR(__xludf.UNSUPPORTED("""COMPUTED_VALUE"""),16.04)</f>
        <v>16.04</v>
      </c>
      <c r="C983" s="2">
        <f t="shared" ca="1" si="3"/>
        <v>4.6997389033942481E-2</v>
      </c>
    </row>
    <row r="984" spans="1:3">
      <c r="A984" s="3">
        <f ca="1">IFERROR(__xludf.UNSUPPORTED("""COMPUTED_VALUE"""),44888.6666666666)</f>
        <v>44888.666666666599</v>
      </c>
      <c r="B984" s="1">
        <f ca="1">IFERROR(__xludf.UNSUPPORTED("""COMPUTED_VALUE"""),16.52)</f>
        <v>16.52</v>
      </c>
      <c r="C984" s="2">
        <f t="shared" ca="1" si="3"/>
        <v>2.992518703241898E-2</v>
      </c>
    </row>
    <row r="985" spans="1:3">
      <c r="A985" s="3">
        <f ca="1">IFERROR(__xludf.UNSUPPORTED("""COMPUTED_VALUE"""),44890.5451388888)</f>
        <v>44890.545138888803</v>
      </c>
      <c r="B985" s="1">
        <f ca="1">IFERROR(__xludf.UNSUPPORTED("""COMPUTED_VALUE"""),16.27)</f>
        <v>16.27</v>
      </c>
      <c r="C985" s="2">
        <f t="shared" ca="1" si="3"/>
        <v>-1.513317191283293E-2</v>
      </c>
    </row>
    <row r="986" spans="1:3">
      <c r="A986" s="3">
        <f ca="1">IFERROR(__xludf.UNSUPPORTED("""COMPUTED_VALUE"""),44893.6666666666)</f>
        <v>44893.666666666599</v>
      </c>
      <c r="B986" s="1">
        <f ca="1">IFERROR(__xludf.UNSUPPORTED("""COMPUTED_VALUE"""),15.83)</f>
        <v>15.83</v>
      </c>
      <c r="C986" s="2">
        <f t="shared" ca="1" si="3"/>
        <v>-2.7043638598647789E-2</v>
      </c>
    </row>
    <row r="987" spans="1:3">
      <c r="A987" s="3">
        <f ca="1">IFERROR(__xludf.UNSUPPORTED("""COMPUTED_VALUE"""),44894.6666666666)</f>
        <v>44894.666666666599</v>
      </c>
      <c r="B987" s="1">
        <f ca="1">IFERROR(__xludf.UNSUPPORTED("""COMPUTED_VALUE"""),15.64)</f>
        <v>15.64</v>
      </c>
      <c r="C987" s="2">
        <f t="shared" ca="1" si="3"/>
        <v>-1.2002526847757392E-2</v>
      </c>
    </row>
    <row r="988" spans="1:3">
      <c r="A988" s="3">
        <f ca="1">IFERROR(__xludf.UNSUPPORTED("""COMPUTED_VALUE"""),44895.6666666666)</f>
        <v>44895.666666666599</v>
      </c>
      <c r="B988" s="1">
        <f ca="1">IFERROR(__xludf.UNSUPPORTED("""COMPUTED_VALUE"""),16.92)</f>
        <v>16.920000000000002</v>
      </c>
      <c r="C988" s="2">
        <f t="shared" ca="1" si="3"/>
        <v>8.1841432225064015E-2</v>
      </c>
    </row>
    <row r="989" spans="1:3">
      <c r="A989" s="3">
        <f ca="1">IFERROR(__xludf.UNSUPPORTED("""COMPUTED_VALUE"""),44896.6666666666)</f>
        <v>44896.666666666599</v>
      </c>
      <c r="B989" s="1">
        <f ca="1">IFERROR(__xludf.UNSUPPORTED("""COMPUTED_VALUE"""),17.14)</f>
        <v>17.14</v>
      </c>
      <c r="C989" s="2">
        <f t="shared" ca="1" si="3"/>
        <v>1.3002364066193785E-2</v>
      </c>
    </row>
    <row r="990" spans="1:3">
      <c r="A990" s="3">
        <f ca="1">IFERROR(__xludf.UNSUPPORTED("""COMPUTED_VALUE"""),44897.6666666666)</f>
        <v>44897.666666666599</v>
      </c>
      <c r="B990" s="1">
        <f ca="1">IFERROR(__xludf.UNSUPPORTED("""COMPUTED_VALUE"""),16.88)</f>
        <v>16.88</v>
      </c>
      <c r="C990" s="2">
        <f t="shared" ca="1" si="3"/>
        <v>-1.5169194865811059E-2</v>
      </c>
    </row>
    <row r="991" spans="1:3">
      <c r="A991" s="3">
        <f ca="1">IFERROR(__xludf.UNSUPPORTED("""COMPUTED_VALUE"""),44900.6666666666)</f>
        <v>44900.666666666599</v>
      </c>
      <c r="B991" s="1">
        <f ca="1">IFERROR(__xludf.UNSUPPORTED("""COMPUTED_VALUE"""),16.61)</f>
        <v>16.61</v>
      </c>
      <c r="C991" s="2">
        <f t="shared" ca="1" si="3"/>
        <v>-1.5995260663507083E-2</v>
      </c>
    </row>
    <row r="992" spans="1:3">
      <c r="A992" s="3">
        <f ca="1">IFERROR(__xludf.UNSUPPORTED("""COMPUTED_VALUE"""),44901.6666666666)</f>
        <v>44901.666666666599</v>
      </c>
      <c r="B992" s="1">
        <f ca="1">IFERROR(__xludf.UNSUPPORTED("""COMPUTED_VALUE"""),15.99)</f>
        <v>15.99</v>
      </c>
      <c r="C992" s="2">
        <f t="shared" ca="1" si="3"/>
        <v>-3.7326911499096886E-2</v>
      </c>
    </row>
    <row r="993" spans="1:3">
      <c r="A993" s="3">
        <f ca="1">IFERROR(__xludf.UNSUPPORTED("""COMPUTED_VALUE"""),44902.6666666666)</f>
        <v>44902.666666666599</v>
      </c>
      <c r="B993" s="1">
        <f ca="1">IFERROR(__xludf.UNSUPPORTED("""COMPUTED_VALUE"""),16.12)</f>
        <v>16.12</v>
      </c>
      <c r="C993" s="2">
        <f t="shared" ca="1" si="3"/>
        <v>8.1300813008130576E-3</v>
      </c>
    </row>
    <row r="994" spans="1:3">
      <c r="A994" s="3">
        <f ca="1">IFERROR(__xludf.UNSUPPORTED("""COMPUTED_VALUE"""),44903.6666666666)</f>
        <v>44903.666666666599</v>
      </c>
      <c r="B994" s="1">
        <f ca="1">IFERROR(__xludf.UNSUPPORTED("""COMPUTED_VALUE"""),17.17)</f>
        <v>17.170000000000002</v>
      </c>
      <c r="C994" s="2">
        <f t="shared" ca="1" si="3"/>
        <v>6.5136476426799053E-2</v>
      </c>
    </row>
    <row r="995" spans="1:3">
      <c r="A995" s="3">
        <f ca="1">IFERROR(__xludf.UNSUPPORTED("""COMPUTED_VALUE"""),44904.6666666666)</f>
        <v>44904.666666666599</v>
      </c>
      <c r="B995" s="1">
        <f ca="1">IFERROR(__xludf.UNSUPPORTED("""COMPUTED_VALUE"""),17)</f>
        <v>17</v>
      </c>
      <c r="C995" s="2">
        <f t="shared" ca="1" si="3"/>
        <v>-9.90099009901E-3</v>
      </c>
    </row>
    <row r="996" spans="1:3">
      <c r="A996" s="3">
        <f ca="1">IFERROR(__xludf.UNSUPPORTED("""COMPUTED_VALUE"""),44907.6666666666)</f>
        <v>44907.666666666599</v>
      </c>
      <c r="B996" s="1">
        <f ca="1">IFERROR(__xludf.UNSUPPORTED("""COMPUTED_VALUE"""),17.54)</f>
        <v>17.54</v>
      </c>
      <c r="C996" s="2">
        <f t="shared" ca="1" si="3"/>
        <v>3.1764705882352889E-2</v>
      </c>
    </row>
    <row r="997" spans="1:3">
      <c r="A997" s="3">
        <f ca="1">IFERROR(__xludf.UNSUPPORTED("""COMPUTED_VALUE"""),44908.6666666666)</f>
        <v>44908.666666666599</v>
      </c>
      <c r="B997" s="1">
        <f ca="1">IFERROR(__xludf.UNSUPPORTED("""COMPUTED_VALUE"""),18.07)</f>
        <v>18.07</v>
      </c>
      <c r="C997" s="2">
        <f t="shared" ca="1" si="3"/>
        <v>3.0216647662485812E-2</v>
      </c>
    </row>
    <row r="998" spans="1:3">
      <c r="A998" s="3">
        <f ca="1">IFERROR(__xludf.UNSUPPORTED("""COMPUTED_VALUE"""),44909.6666666666)</f>
        <v>44909.666666666599</v>
      </c>
      <c r="B998" s="1">
        <f ca="1">IFERROR(__xludf.UNSUPPORTED("""COMPUTED_VALUE"""),17.67)</f>
        <v>17.670000000000002</v>
      </c>
      <c r="C998" s="2">
        <f t="shared" ca="1" si="3"/>
        <v>-2.2136137244050835E-2</v>
      </c>
    </row>
    <row r="999" spans="1:3">
      <c r="A999" s="3">
        <f ca="1">IFERROR(__xludf.UNSUPPORTED("""COMPUTED_VALUE"""),44910.6666666666)</f>
        <v>44910.666666666599</v>
      </c>
      <c r="B999" s="1">
        <f ca="1">IFERROR(__xludf.UNSUPPORTED("""COMPUTED_VALUE"""),16.95)</f>
        <v>16.95</v>
      </c>
      <c r="C999" s="2">
        <f t="shared" ca="1" si="3"/>
        <v>-4.0747028862478912E-2</v>
      </c>
    </row>
    <row r="1000" spans="1:3">
      <c r="A1000" s="3">
        <f ca="1">IFERROR(__xludf.UNSUPPORTED("""COMPUTED_VALUE"""),44911.6666666666)</f>
        <v>44911.666666666599</v>
      </c>
      <c r="B1000" s="1">
        <f ca="1">IFERROR(__xludf.UNSUPPORTED("""COMPUTED_VALUE"""),16.57)</f>
        <v>16.57</v>
      </c>
      <c r="C1000" s="2">
        <f t="shared" ca="1" si="3"/>
        <v>-2.2418879056047138E-2</v>
      </c>
    </row>
    <row r="1001" spans="1:3">
      <c r="A1001" s="3">
        <f ca="1">IFERROR(__xludf.UNSUPPORTED("""COMPUTED_VALUE"""),44914.6666666666)</f>
        <v>44914.666666666599</v>
      </c>
      <c r="B1001" s="1">
        <f ca="1">IFERROR(__xludf.UNSUPPORTED("""COMPUTED_VALUE"""),16.25)</f>
        <v>16.25</v>
      </c>
      <c r="C1001" s="2">
        <f t="shared" ca="1" si="3"/>
        <v>-1.9312009656004846E-2</v>
      </c>
    </row>
    <row r="1002" spans="1:3">
      <c r="A1002" s="3">
        <f ca="1">IFERROR(__xludf.UNSUPPORTED("""COMPUTED_VALUE"""),44915.6666666666)</f>
        <v>44915.666666666599</v>
      </c>
      <c r="B1002" s="1">
        <f ca="1">IFERROR(__xludf.UNSUPPORTED("""COMPUTED_VALUE"""),16.09)</f>
        <v>16.09</v>
      </c>
      <c r="C1002" s="2">
        <f t="shared" ca="1" si="3"/>
        <v>-9.8461538461538552E-3</v>
      </c>
    </row>
    <row r="1003" spans="1:3">
      <c r="A1003" s="3">
        <f ca="1">IFERROR(__xludf.UNSUPPORTED("""COMPUTED_VALUE"""),44916.6666666666)</f>
        <v>44916.666666666599</v>
      </c>
      <c r="B1003" s="1">
        <f ca="1">IFERROR(__xludf.UNSUPPORTED("""COMPUTED_VALUE"""),16.5)</f>
        <v>16.5</v>
      </c>
      <c r="C1003" s="2">
        <f t="shared" ca="1" si="3"/>
        <v>2.548166563082661E-2</v>
      </c>
    </row>
    <row r="1004" spans="1:3">
      <c r="A1004" s="3">
        <f ca="1">IFERROR(__xludf.UNSUPPORTED("""COMPUTED_VALUE"""),44917.6666666666)</f>
        <v>44917.666666666599</v>
      </c>
      <c r="B1004" s="1">
        <f ca="1">IFERROR(__xludf.UNSUPPORTED("""COMPUTED_VALUE"""),15.34)</f>
        <v>15.34</v>
      </c>
      <c r="C1004" s="2">
        <f t="shared" ca="1" si="3"/>
        <v>-7.0303030303030312E-2</v>
      </c>
    </row>
    <row r="1005" spans="1:3">
      <c r="A1005" s="3">
        <f ca="1">IFERROR(__xludf.UNSUPPORTED("""COMPUTED_VALUE"""),44918.6666666666)</f>
        <v>44918.666666666599</v>
      </c>
      <c r="B1005" s="1">
        <f ca="1">IFERROR(__xludf.UNSUPPORTED("""COMPUTED_VALUE"""),15.21)</f>
        <v>15.21</v>
      </c>
      <c r="C1005" s="2">
        <f t="shared" ca="1" si="3"/>
        <v>-8.4745762711863765E-3</v>
      </c>
    </row>
    <row r="1006" spans="1:3">
      <c r="A1006" s="3">
        <f ca="1">IFERROR(__xludf.UNSUPPORTED("""COMPUTED_VALUE"""),44922.6666666666)</f>
        <v>44922.666666666599</v>
      </c>
      <c r="B1006" s="1">
        <f ca="1">IFERROR(__xludf.UNSUPPORTED("""COMPUTED_VALUE"""),14.12)</f>
        <v>14.12</v>
      </c>
      <c r="C1006" s="2">
        <f t="shared" ca="1" si="3"/>
        <v>-7.1663379355687146E-2</v>
      </c>
    </row>
    <row r="1007" spans="1:3">
      <c r="A1007" s="3">
        <f ca="1">IFERROR(__xludf.UNSUPPORTED("""COMPUTED_VALUE"""),44923.6666666666)</f>
        <v>44923.666666666599</v>
      </c>
      <c r="B1007" s="1">
        <f ca="1">IFERROR(__xludf.UNSUPPORTED("""COMPUTED_VALUE"""),14.04)</f>
        <v>14.04</v>
      </c>
      <c r="C1007" s="2">
        <f t="shared" ca="1" si="3"/>
        <v>-5.6657223796034049E-3</v>
      </c>
    </row>
    <row r="1008" spans="1:3">
      <c r="A1008" s="3">
        <f ca="1">IFERROR(__xludf.UNSUPPORTED("""COMPUTED_VALUE"""),44924.6666666666)</f>
        <v>44924.666666666599</v>
      </c>
      <c r="B1008" s="1">
        <f ca="1">IFERROR(__xludf.UNSUPPORTED("""COMPUTED_VALUE"""),14.6)</f>
        <v>14.6</v>
      </c>
      <c r="C1008" s="2">
        <f t="shared" ca="1" si="3"/>
        <v>3.9886039886039927E-2</v>
      </c>
    </row>
    <row r="1009" spans="1:3">
      <c r="A1009" s="3">
        <f ca="1">IFERROR(__xludf.UNSUPPORTED("""COMPUTED_VALUE"""),44925.6666666666)</f>
        <v>44925.666666666599</v>
      </c>
      <c r="B1009" s="1">
        <f ca="1">IFERROR(__xludf.UNSUPPORTED("""COMPUTED_VALUE"""),14.61)</f>
        <v>14.61</v>
      </c>
      <c r="C1009" s="2">
        <f t="shared" ca="1" si="3"/>
        <v>6.8493150684930044E-4</v>
      </c>
    </row>
    <row r="1010" spans="1:3">
      <c r="A1010" s="3">
        <f ca="1">IFERROR(__xludf.UNSUPPORTED("""COMPUTED_VALUE"""),44929.6666666666)</f>
        <v>44929.666666666599</v>
      </c>
      <c r="B1010" s="1">
        <f ca="1">IFERROR(__xludf.UNSUPPORTED("""COMPUTED_VALUE"""),14.32)</f>
        <v>14.32</v>
      </c>
      <c r="C1010" s="2">
        <f t="shared" ca="1" si="3"/>
        <v>-1.9849418206707676E-2</v>
      </c>
    </row>
    <row r="1011" spans="1:3">
      <c r="A1011" s="3">
        <f ca="1">IFERROR(__xludf.UNSUPPORTED("""COMPUTED_VALUE"""),44930.6666666666)</f>
        <v>44930.666666666599</v>
      </c>
      <c r="B1011" s="1">
        <f ca="1">IFERROR(__xludf.UNSUPPORTED("""COMPUTED_VALUE"""),14.75)</f>
        <v>14.75</v>
      </c>
      <c r="C1011" s="2">
        <f t="shared" ca="1" si="3"/>
        <v>3.0027932960893833E-2</v>
      </c>
    </row>
    <row r="1012" spans="1:3">
      <c r="A1012" s="3">
        <f ca="1">IFERROR(__xludf.UNSUPPORTED("""COMPUTED_VALUE"""),44931.6666666666)</f>
        <v>44931.666666666599</v>
      </c>
      <c r="B1012" s="1">
        <f ca="1">IFERROR(__xludf.UNSUPPORTED("""COMPUTED_VALUE"""),14.27)</f>
        <v>14.27</v>
      </c>
      <c r="C1012" s="2">
        <f t="shared" ca="1" si="3"/>
        <v>-3.254237288135596E-2</v>
      </c>
    </row>
    <row r="1013" spans="1:3">
      <c r="A1013" s="3">
        <f ca="1">IFERROR(__xludf.UNSUPPORTED("""COMPUTED_VALUE"""),44932.6666666666)</f>
        <v>44932.666666666599</v>
      </c>
      <c r="B1013" s="1">
        <f ca="1">IFERROR(__xludf.UNSUPPORTED("""COMPUTED_VALUE"""),14.86)</f>
        <v>14.86</v>
      </c>
      <c r="C1013" s="2">
        <f t="shared" ca="1" si="3"/>
        <v>4.1345480028030825E-2</v>
      </c>
    </row>
    <row r="1014" spans="1:3">
      <c r="A1014" s="3">
        <f ca="1">IFERROR(__xludf.UNSUPPORTED("""COMPUTED_VALUE"""),44935.6666666666)</f>
        <v>44935.666666666599</v>
      </c>
      <c r="B1014" s="1">
        <f ca="1">IFERROR(__xludf.UNSUPPORTED("""COMPUTED_VALUE"""),15.63)</f>
        <v>15.63</v>
      </c>
      <c r="C1014" s="2">
        <f t="shared" ca="1" si="3"/>
        <v>5.1816958277254466E-2</v>
      </c>
    </row>
    <row r="1015" spans="1:3">
      <c r="A1015" s="3">
        <f ca="1">IFERROR(__xludf.UNSUPPORTED("""COMPUTED_VALUE"""),44936.6666666666)</f>
        <v>44936.666666666599</v>
      </c>
      <c r="B1015" s="1">
        <f ca="1">IFERROR(__xludf.UNSUPPORTED("""COMPUTED_VALUE"""),15.91)</f>
        <v>15.91</v>
      </c>
      <c r="C1015" s="2">
        <f t="shared" ca="1" si="3"/>
        <v>1.7914267434420945E-2</v>
      </c>
    </row>
    <row r="1016" spans="1:3">
      <c r="A1016" s="3">
        <f ca="1">IFERROR(__xludf.UNSUPPORTED("""COMPUTED_VALUE"""),44937.6666666666)</f>
        <v>44937.666666666599</v>
      </c>
      <c r="B1016" s="1">
        <f ca="1">IFERROR(__xludf.UNSUPPORTED("""COMPUTED_VALUE"""),16)</f>
        <v>16</v>
      </c>
      <c r="C1016" s="2">
        <f t="shared" ca="1" si="3"/>
        <v>5.656819610307973E-3</v>
      </c>
    </row>
    <row r="1017" spans="1:3">
      <c r="A1017" s="3">
        <f ca="1">IFERROR(__xludf.UNSUPPORTED("""COMPUTED_VALUE"""),44938.6666666666)</f>
        <v>44938.666666666599</v>
      </c>
      <c r="B1017" s="1">
        <f ca="1">IFERROR(__xludf.UNSUPPORTED("""COMPUTED_VALUE"""),16.51)</f>
        <v>16.510000000000002</v>
      </c>
      <c r="C1017" s="2">
        <f t="shared" ca="1" si="3"/>
        <v>3.1875000000000098E-2</v>
      </c>
    </row>
    <row r="1018" spans="1:3">
      <c r="A1018" s="3">
        <f ca="1">IFERROR(__xludf.UNSUPPORTED("""COMPUTED_VALUE"""),44939.6666666666)</f>
        <v>44939.666666666599</v>
      </c>
      <c r="B1018" s="1">
        <f ca="1">IFERROR(__xludf.UNSUPPORTED("""COMPUTED_VALUE"""),16.9)</f>
        <v>16.899999999999999</v>
      </c>
      <c r="C1018" s="2">
        <f t="shared" ca="1" si="3"/>
        <v>2.3622047244094304E-2</v>
      </c>
    </row>
    <row r="1019" spans="1:3">
      <c r="A1019" s="3">
        <f ca="1">IFERROR(__xludf.UNSUPPORTED("""COMPUTED_VALUE"""),44943.6666666666)</f>
        <v>44943.666666666599</v>
      </c>
      <c r="B1019" s="1">
        <f ca="1">IFERROR(__xludf.UNSUPPORTED("""COMPUTED_VALUE"""),17.7)</f>
        <v>17.7</v>
      </c>
      <c r="C1019" s="2">
        <f t="shared" ca="1" si="3"/>
        <v>4.7337278106508923E-2</v>
      </c>
    </row>
    <row r="1020" spans="1:3">
      <c r="A1020" s="3">
        <f ca="1">IFERROR(__xludf.UNSUPPORTED("""COMPUTED_VALUE"""),44944.6666666666)</f>
        <v>44944.666666666599</v>
      </c>
      <c r="B1020" s="1">
        <f ca="1">IFERROR(__xludf.UNSUPPORTED("""COMPUTED_VALUE"""),17.38)</f>
        <v>17.38</v>
      </c>
      <c r="C1020" s="2">
        <f t="shared" ca="1" si="3"/>
        <v>-1.8079096045197758E-2</v>
      </c>
    </row>
    <row r="1021" spans="1:3">
      <c r="A1021" s="3">
        <f ca="1">IFERROR(__xludf.UNSUPPORTED("""COMPUTED_VALUE"""),44945.6666666666)</f>
        <v>44945.666666666599</v>
      </c>
      <c r="B1021" s="1">
        <f ca="1">IFERROR(__xludf.UNSUPPORTED("""COMPUTED_VALUE"""),16.77)</f>
        <v>16.77</v>
      </c>
      <c r="C1021" s="2">
        <f t="shared" ca="1" si="3"/>
        <v>-3.5097813578826208E-2</v>
      </c>
    </row>
    <row r="1022" spans="1:3">
      <c r="A1022" s="3">
        <f ca="1">IFERROR(__xludf.UNSUPPORTED("""COMPUTED_VALUE"""),44946.6666666666)</f>
        <v>44946.666666666599</v>
      </c>
      <c r="B1022" s="1">
        <f ca="1">IFERROR(__xludf.UNSUPPORTED("""COMPUTED_VALUE"""),17.84)</f>
        <v>17.84</v>
      </c>
      <c r="C1022" s="2">
        <f t="shared" ca="1" si="3"/>
        <v>6.3804412641621969E-2</v>
      </c>
    </row>
    <row r="1023" spans="1:3">
      <c r="A1023" s="3">
        <f ca="1">IFERROR(__xludf.UNSUPPORTED("""COMPUTED_VALUE"""),44949.6666666666)</f>
        <v>44949.666666666599</v>
      </c>
      <c r="B1023" s="1">
        <f ca="1">IFERROR(__xludf.UNSUPPORTED("""COMPUTED_VALUE"""),19.19)</f>
        <v>19.190000000000001</v>
      </c>
      <c r="C1023" s="2">
        <f t="shared" ref="C1023:C1277" ca="1" si="4">(B1023-B1022)/B1022</f>
        <v>7.5672645739910394E-2</v>
      </c>
    </row>
    <row r="1024" spans="1:3">
      <c r="A1024" s="3">
        <f ca="1">IFERROR(__xludf.UNSUPPORTED("""COMPUTED_VALUE"""),44950.6666666666)</f>
        <v>44950.666666666599</v>
      </c>
      <c r="B1024" s="1">
        <f ca="1">IFERROR(__xludf.UNSUPPORTED("""COMPUTED_VALUE"""),19.27)</f>
        <v>19.27</v>
      </c>
      <c r="C1024" s="2">
        <f t="shared" ca="1" si="4"/>
        <v>4.1688379364251326E-3</v>
      </c>
    </row>
    <row r="1025" spans="1:3">
      <c r="A1025" s="3">
        <f ca="1">IFERROR(__xludf.UNSUPPORTED("""COMPUTED_VALUE"""),44951.6666666666)</f>
        <v>44951.666666666599</v>
      </c>
      <c r="B1025" s="1">
        <f ca="1">IFERROR(__xludf.UNSUPPORTED("""COMPUTED_VALUE"""),19.32)</f>
        <v>19.32</v>
      </c>
      <c r="C1025" s="2">
        <f t="shared" ca="1" si="4"/>
        <v>2.5947067981318479E-3</v>
      </c>
    </row>
    <row r="1026" spans="1:3">
      <c r="A1026" s="3">
        <f ca="1">IFERROR(__xludf.UNSUPPORTED("""COMPUTED_VALUE"""),44952.6666666666)</f>
        <v>44952.666666666599</v>
      </c>
      <c r="B1026" s="1">
        <f ca="1">IFERROR(__xludf.UNSUPPORTED("""COMPUTED_VALUE"""),19.8)</f>
        <v>19.8</v>
      </c>
      <c r="C1026" s="2">
        <f t="shared" ca="1" si="4"/>
        <v>2.4844720496894433E-2</v>
      </c>
    </row>
    <row r="1027" spans="1:3">
      <c r="A1027" s="3">
        <f ca="1">IFERROR(__xludf.UNSUPPORTED("""COMPUTED_VALUE"""),44953.6666666666)</f>
        <v>44953.666666666599</v>
      </c>
      <c r="B1027" s="1">
        <f ca="1">IFERROR(__xludf.UNSUPPORTED("""COMPUTED_VALUE"""),20.36)</f>
        <v>20.36</v>
      </c>
      <c r="C1027" s="2">
        <f t="shared" ca="1" si="4"/>
        <v>2.8282828282828219E-2</v>
      </c>
    </row>
    <row r="1028" spans="1:3">
      <c r="A1028" s="3">
        <f ca="1">IFERROR(__xludf.UNSUPPORTED("""COMPUTED_VALUE"""),44956.6666666666)</f>
        <v>44956.666666666599</v>
      </c>
      <c r="B1028" s="1">
        <f ca="1">IFERROR(__xludf.UNSUPPORTED("""COMPUTED_VALUE"""),19.16)</f>
        <v>19.16</v>
      </c>
      <c r="C1028" s="2">
        <f t="shared" ca="1" si="4"/>
        <v>-5.8939096267190537E-2</v>
      </c>
    </row>
    <row r="1029" spans="1:3">
      <c r="A1029" s="3">
        <f ca="1">IFERROR(__xludf.UNSUPPORTED("""COMPUTED_VALUE"""),44957.6666666666)</f>
        <v>44957.666666666599</v>
      </c>
      <c r="B1029" s="1">
        <f ca="1">IFERROR(__xludf.UNSUPPORTED("""COMPUTED_VALUE"""),19.54)</f>
        <v>19.54</v>
      </c>
      <c r="C1029" s="2">
        <f t="shared" ca="1" si="4"/>
        <v>1.9832985386221243E-2</v>
      </c>
    </row>
    <row r="1030" spans="1:3">
      <c r="A1030" s="3">
        <f ca="1">IFERROR(__xludf.UNSUPPORTED("""COMPUTED_VALUE"""),44958.6666666666)</f>
        <v>44958.666666666599</v>
      </c>
      <c r="B1030" s="1">
        <f ca="1">IFERROR(__xludf.UNSUPPORTED("""COMPUTED_VALUE"""),20.94)</f>
        <v>20.94</v>
      </c>
      <c r="C1030" s="2">
        <f t="shared" ca="1" si="4"/>
        <v>7.1647901740020586E-2</v>
      </c>
    </row>
    <row r="1031" spans="1:3">
      <c r="A1031" s="3">
        <f ca="1">IFERROR(__xludf.UNSUPPORTED("""COMPUTED_VALUE"""),44959.6666666666)</f>
        <v>44959.666666666599</v>
      </c>
      <c r="B1031" s="1">
        <f ca="1">IFERROR(__xludf.UNSUPPORTED("""COMPUTED_VALUE"""),21.71)</f>
        <v>21.71</v>
      </c>
      <c r="C1031" s="2">
        <f t="shared" ca="1" si="4"/>
        <v>3.677172874880609E-2</v>
      </c>
    </row>
    <row r="1032" spans="1:3">
      <c r="A1032" s="3">
        <f ca="1">IFERROR(__xludf.UNSUPPORTED("""COMPUTED_VALUE"""),44960.6666666666)</f>
        <v>44960.666666666599</v>
      </c>
      <c r="B1032" s="1">
        <f ca="1">IFERROR(__xludf.UNSUPPORTED("""COMPUTED_VALUE"""),21.1)</f>
        <v>21.1</v>
      </c>
      <c r="C1032" s="2">
        <f t="shared" ca="1" si="4"/>
        <v>-2.8097650852141842E-2</v>
      </c>
    </row>
    <row r="1033" spans="1:3">
      <c r="A1033" s="3">
        <f ca="1">IFERROR(__xludf.UNSUPPORTED("""COMPUTED_VALUE"""),44963.6666666666)</f>
        <v>44963.666666666599</v>
      </c>
      <c r="B1033" s="1">
        <f ca="1">IFERROR(__xludf.UNSUPPORTED("""COMPUTED_VALUE"""),21.09)</f>
        <v>21.09</v>
      </c>
      <c r="C1033" s="2">
        <f t="shared" ca="1" si="4"/>
        <v>-4.7393364928917359E-4</v>
      </c>
    </row>
    <row r="1034" spans="1:3">
      <c r="A1034" s="3">
        <f ca="1">IFERROR(__xludf.UNSUPPORTED("""COMPUTED_VALUE"""),44964.6666666666)</f>
        <v>44964.666666666599</v>
      </c>
      <c r="B1034" s="1">
        <f ca="1">IFERROR(__xludf.UNSUPPORTED("""COMPUTED_VALUE"""),22.17)</f>
        <v>22.17</v>
      </c>
      <c r="C1034" s="2">
        <f t="shared" ca="1" si="4"/>
        <v>5.1209103840682876E-2</v>
      </c>
    </row>
    <row r="1035" spans="1:3">
      <c r="A1035" s="3">
        <f ca="1">IFERROR(__xludf.UNSUPPORTED("""COMPUTED_VALUE"""),44965.6666666666)</f>
        <v>44965.666666666599</v>
      </c>
      <c r="B1035" s="1">
        <f ca="1">IFERROR(__xludf.UNSUPPORTED("""COMPUTED_VALUE"""),22.21)</f>
        <v>22.21</v>
      </c>
      <c r="C1035" s="2">
        <f t="shared" ca="1" si="4"/>
        <v>1.8042399639151621E-3</v>
      </c>
    </row>
    <row r="1036" spans="1:3">
      <c r="A1036" s="3">
        <f ca="1">IFERROR(__xludf.UNSUPPORTED("""COMPUTED_VALUE"""),44966.6666666666)</f>
        <v>44966.666666666599</v>
      </c>
      <c r="B1036" s="1">
        <f ca="1">IFERROR(__xludf.UNSUPPORTED("""COMPUTED_VALUE"""),22.34)</f>
        <v>22.34</v>
      </c>
      <c r="C1036" s="2">
        <f t="shared" ca="1" si="4"/>
        <v>5.8532192705987845E-3</v>
      </c>
    </row>
    <row r="1037" spans="1:3">
      <c r="A1037" s="3">
        <f ca="1">IFERROR(__xludf.UNSUPPORTED("""COMPUTED_VALUE"""),44967.6666666666)</f>
        <v>44967.666666666599</v>
      </c>
      <c r="B1037" s="1">
        <f ca="1">IFERROR(__xludf.UNSUPPORTED("""COMPUTED_VALUE"""),21.27)</f>
        <v>21.27</v>
      </c>
      <c r="C1037" s="2">
        <f t="shared" ca="1" si="4"/>
        <v>-4.789615040286483E-2</v>
      </c>
    </row>
    <row r="1038" spans="1:3">
      <c r="A1038" s="3">
        <f ca="1">IFERROR(__xludf.UNSUPPORTED("""COMPUTED_VALUE"""),44970.6666666666)</f>
        <v>44970.666666666599</v>
      </c>
      <c r="B1038" s="1">
        <f ca="1">IFERROR(__xludf.UNSUPPORTED("""COMPUTED_VALUE"""),21.79)</f>
        <v>21.79</v>
      </c>
      <c r="C1038" s="2">
        <f t="shared" ca="1" si="4"/>
        <v>2.4447578749412297E-2</v>
      </c>
    </row>
    <row r="1039" spans="1:3">
      <c r="A1039" s="3">
        <f ca="1">IFERROR(__xludf.UNSUPPORTED("""COMPUTED_VALUE"""),44971.6666666666)</f>
        <v>44971.666666666599</v>
      </c>
      <c r="B1039" s="1">
        <f ca="1">IFERROR(__xludf.UNSUPPORTED("""COMPUTED_VALUE"""),22.97)</f>
        <v>22.97</v>
      </c>
      <c r="C1039" s="2">
        <f t="shared" ca="1" si="4"/>
        <v>5.4153281321707193E-2</v>
      </c>
    </row>
    <row r="1040" spans="1:3">
      <c r="A1040" s="3">
        <f ca="1">IFERROR(__xludf.UNSUPPORTED("""COMPUTED_VALUE"""),44972.6666666666)</f>
        <v>44972.666666666599</v>
      </c>
      <c r="B1040" s="1">
        <f ca="1">IFERROR(__xludf.UNSUPPORTED("""COMPUTED_VALUE"""),22.76)</f>
        <v>22.76</v>
      </c>
      <c r="C1040" s="2">
        <f t="shared" ca="1" si="4"/>
        <v>-9.1423595994774617E-3</v>
      </c>
    </row>
    <row r="1041" spans="1:3">
      <c r="A1041" s="3">
        <f ca="1">IFERROR(__xludf.UNSUPPORTED("""COMPUTED_VALUE"""),44973.6666666666)</f>
        <v>44973.666666666599</v>
      </c>
      <c r="B1041" s="1">
        <f ca="1">IFERROR(__xludf.UNSUPPORTED("""COMPUTED_VALUE"""),22)</f>
        <v>22</v>
      </c>
      <c r="C1041" s="2">
        <f t="shared" ca="1" si="4"/>
        <v>-3.3391915641476339E-2</v>
      </c>
    </row>
    <row r="1042" spans="1:3">
      <c r="A1042" s="3">
        <f ca="1">IFERROR(__xludf.UNSUPPORTED("""COMPUTED_VALUE"""),44974.6666666666)</f>
        <v>44974.666666666599</v>
      </c>
      <c r="B1042" s="1">
        <f ca="1">IFERROR(__xludf.UNSUPPORTED("""COMPUTED_VALUE"""),21.39)</f>
        <v>21.39</v>
      </c>
      <c r="C1042" s="2">
        <f t="shared" ca="1" si="4"/>
        <v>-2.7727272727272701E-2</v>
      </c>
    </row>
    <row r="1043" spans="1:3">
      <c r="A1043" s="3">
        <f ca="1">IFERROR(__xludf.UNSUPPORTED("""COMPUTED_VALUE"""),44978.6666666666)</f>
        <v>44978.666666666599</v>
      </c>
      <c r="B1043" s="1">
        <f ca="1">IFERROR(__xludf.UNSUPPORTED("""COMPUTED_VALUE"""),20.66)</f>
        <v>20.66</v>
      </c>
      <c r="C1043" s="2">
        <f t="shared" ca="1" si="4"/>
        <v>-3.4128097241701752E-2</v>
      </c>
    </row>
    <row r="1044" spans="1:3">
      <c r="A1044" s="3">
        <f ca="1">IFERROR(__xludf.UNSUPPORTED("""COMPUTED_VALUE"""),44979.6666666666)</f>
        <v>44979.666666666599</v>
      </c>
      <c r="B1044" s="1">
        <f ca="1">IFERROR(__xludf.UNSUPPORTED("""COMPUTED_VALUE"""),20.75)</f>
        <v>20.75</v>
      </c>
      <c r="C1044" s="2">
        <f t="shared" ca="1" si="4"/>
        <v>4.3562439496611744E-3</v>
      </c>
    </row>
    <row r="1045" spans="1:3">
      <c r="A1045" s="3">
        <f ca="1">IFERROR(__xludf.UNSUPPORTED("""COMPUTED_VALUE"""),44980.6666666666)</f>
        <v>44980.666666666599</v>
      </c>
      <c r="B1045" s="1">
        <f ca="1">IFERROR(__xludf.UNSUPPORTED("""COMPUTED_VALUE"""),23.66)</f>
        <v>23.66</v>
      </c>
      <c r="C1045" s="2">
        <f t="shared" ca="1" si="4"/>
        <v>0.1402409638554217</v>
      </c>
    </row>
    <row r="1046" spans="1:3">
      <c r="A1046" s="3">
        <f ca="1">IFERROR(__xludf.UNSUPPORTED("""COMPUTED_VALUE"""),44981.6666666666)</f>
        <v>44981.666666666599</v>
      </c>
      <c r="B1046" s="1">
        <f ca="1">IFERROR(__xludf.UNSUPPORTED("""COMPUTED_VALUE"""),23.29)</f>
        <v>23.29</v>
      </c>
      <c r="C1046" s="2">
        <f t="shared" ca="1" si="4"/>
        <v>-1.5638207945900297E-2</v>
      </c>
    </row>
    <row r="1047" spans="1:3">
      <c r="A1047" s="3">
        <f ca="1">IFERROR(__xludf.UNSUPPORTED("""COMPUTED_VALUE"""),44984.6666666666)</f>
        <v>44984.666666666599</v>
      </c>
      <c r="B1047" s="1">
        <f ca="1">IFERROR(__xludf.UNSUPPORTED("""COMPUTED_VALUE"""),23.5)</f>
        <v>23.5</v>
      </c>
      <c r="C1047" s="2">
        <f t="shared" ca="1" si="4"/>
        <v>9.0167453842851381E-3</v>
      </c>
    </row>
    <row r="1048" spans="1:3">
      <c r="A1048" s="3">
        <f ca="1">IFERROR(__xludf.UNSUPPORTED("""COMPUTED_VALUE"""),44985.6666666666)</f>
        <v>44985.666666666599</v>
      </c>
      <c r="B1048" s="1">
        <f ca="1">IFERROR(__xludf.UNSUPPORTED("""COMPUTED_VALUE"""),23.22)</f>
        <v>23.22</v>
      </c>
      <c r="C1048" s="2">
        <f t="shared" ca="1" si="4"/>
        <v>-1.1914893617021326E-2</v>
      </c>
    </row>
    <row r="1049" spans="1:3">
      <c r="A1049" s="3">
        <f ca="1">IFERROR(__xludf.UNSUPPORTED("""COMPUTED_VALUE"""),44986.6666666666)</f>
        <v>44986.666666666599</v>
      </c>
      <c r="B1049" s="1">
        <f ca="1">IFERROR(__xludf.UNSUPPORTED("""COMPUTED_VALUE"""),22.7)</f>
        <v>22.7</v>
      </c>
      <c r="C1049" s="2">
        <f t="shared" ca="1" si="4"/>
        <v>-2.2394487510766562E-2</v>
      </c>
    </row>
    <row r="1050" spans="1:3">
      <c r="A1050" s="3">
        <f ca="1">IFERROR(__xludf.UNSUPPORTED("""COMPUTED_VALUE"""),44987.6666666666)</f>
        <v>44987.666666666599</v>
      </c>
      <c r="B1050" s="1">
        <f ca="1">IFERROR(__xludf.UNSUPPORTED("""COMPUTED_VALUE"""),23.31)</f>
        <v>23.31</v>
      </c>
      <c r="C1050" s="2">
        <f t="shared" ca="1" si="4"/>
        <v>2.6872246696035218E-2</v>
      </c>
    </row>
    <row r="1051" spans="1:3">
      <c r="A1051" s="3">
        <f ca="1">IFERROR(__xludf.UNSUPPORTED("""COMPUTED_VALUE"""),44988.6666666666)</f>
        <v>44988.666666666599</v>
      </c>
      <c r="B1051" s="1">
        <f ca="1">IFERROR(__xludf.UNSUPPORTED("""COMPUTED_VALUE"""),23.89)</f>
        <v>23.89</v>
      </c>
      <c r="C1051" s="2">
        <f t="shared" ca="1" si="4"/>
        <v>2.4882024882024963E-2</v>
      </c>
    </row>
    <row r="1052" spans="1:3">
      <c r="A1052" s="3">
        <f ca="1">IFERROR(__xludf.UNSUPPORTED("""COMPUTED_VALUE"""),44991.6666666666)</f>
        <v>44991.666666666599</v>
      </c>
      <c r="B1052" s="1">
        <f ca="1">IFERROR(__xludf.UNSUPPORTED("""COMPUTED_VALUE"""),23.55)</f>
        <v>23.55</v>
      </c>
      <c r="C1052" s="2">
        <f t="shared" ca="1" si="4"/>
        <v>-1.4231896190874838E-2</v>
      </c>
    </row>
    <row r="1053" spans="1:3">
      <c r="A1053" s="3">
        <f ca="1">IFERROR(__xludf.UNSUPPORTED("""COMPUTED_VALUE"""),44992.6666666666)</f>
        <v>44992.666666666599</v>
      </c>
      <c r="B1053" s="1">
        <f ca="1">IFERROR(__xludf.UNSUPPORTED("""COMPUTED_VALUE"""),23.29)</f>
        <v>23.29</v>
      </c>
      <c r="C1053" s="2">
        <f t="shared" ca="1" si="4"/>
        <v>-1.104033970276015E-2</v>
      </c>
    </row>
    <row r="1054" spans="1:3">
      <c r="A1054" s="3">
        <f ca="1">IFERROR(__xludf.UNSUPPORTED("""COMPUTED_VALUE"""),44993.6666666666)</f>
        <v>44993.666666666599</v>
      </c>
      <c r="B1054" s="1">
        <f ca="1">IFERROR(__xludf.UNSUPPORTED("""COMPUTED_VALUE"""),24.18)</f>
        <v>24.18</v>
      </c>
      <c r="C1054" s="2">
        <f t="shared" ca="1" si="4"/>
        <v>3.8213825676255933E-2</v>
      </c>
    </row>
    <row r="1055" spans="1:3">
      <c r="A1055" s="3">
        <f ca="1">IFERROR(__xludf.UNSUPPORTED("""COMPUTED_VALUE"""),44994.6666666666)</f>
        <v>44994.666666666599</v>
      </c>
      <c r="B1055" s="1">
        <f ca="1">IFERROR(__xludf.UNSUPPORTED("""COMPUTED_VALUE"""),23.44)</f>
        <v>23.44</v>
      </c>
      <c r="C1055" s="2">
        <f t="shared" ca="1" si="4"/>
        <v>-3.0603804797353119E-2</v>
      </c>
    </row>
    <row r="1056" spans="1:3">
      <c r="A1056" s="3">
        <f ca="1">IFERROR(__xludf.UNSUPPORTED("""COMPUTED_VALUE"""),44995.6666666666)</f>
        <v>44995.666666666599</v>
      </c>
      <c r="B1056" s="1">
        <f ca="1">IFERROR(__xludf.UNSUPPORTED("""COMPUTED_VALUE"""),22.97)</f>
        <v>22.97</v>
      </c>
      <c r="C1056" s="2">
        <f t="shared" ca="1" si="4"/>
        <v>-2.0051194539249247E-2</v>
      </c>
    </row>
    <row r="1057" spans="1:3">
      <c r="A1057" s="3">
        <f ca="1">IFERROR(__xludf.UNSUPPORTED("""COMPUTED_VALUE"""),44998.6666666666)</f>
        <v>44998.666666666599</v>
      </c>
      <c r="B1057" s="1">
        <f ca="1">IFERROR(__xludf.UNSUPPORTED("""COMPUTED_VALUE"""),22.97)</f>
        <v>22.97</v>
      </c>
      <c r="C1057" s="2">
        <f t="shared" ca="1" si="4"/>
        <v>0</v>
      </c>
    </row>
    <row r="1058" spans="1:3">
      <c r="A1058" s="3">
        <f ca="1">IFERROR(__xludf.UNSUPPORTED("""COMPUTED_VALUE"""),44999.6666666666)</f>
        <v>44999.666666666599</v>
      </c>
      <c r="B1058" s="1">
        <f ca="1">IFERROR(__xludf.UNSUPPORTED("""COMPUTED_VALUE"""),24.06)</f>
        <v>24.06</v>
      </c>
      <c r="C1058" s="2">
        <f t="shared" ca="1" si="4"/>
        <v>4.7453199825859813E-2</v>
      </c>
    </row>
    <row r="1059" spans="1:3">
      <c r="A1059" s="3">
        <f ca="1">IFERROR(__xludf.UNSUPPORTED("""COMPUTED_VALUE"""),45000.6666666666)</f>
        <v>45000.666666666599</v>
      </c>
      <c r="B1059" s="1">
        <f ca="1">IFERROR(__xludf.UNSUPPORTED("""COMPUTED_VALUE"""),24.23)</f>
        <v>24.23</v>
      </c>
      <c r="C1059" s="2">
        <f t="shared" ca="1" si="4"/>
        <v>7.0656691604323238E-3</v>
      </c>
    </row>
    <row r="1060" spans="1:3">
      <c r="A1060" s="3">
        <f ca="1">IFERROR(__xludf.UNSUPPORTED("""COMPUTED_VALUE"""),45001.6666666666)</f>
        <v>45001.666666666599</v>
      </c>
      <c r="B1060" s="1">
        <f ca="1">IFERROR(__xludf.UNSUPPORTED("""COMPUTED_VALUE"""),25.54)</f>
        <v>25.54</v>
      </c>
      <c r="C1060" s="2">
        <f t="shared" ca="1" si="4"/>
        <v>5.4065208419314843E-2</v>
      </c>
    </row>
    <row r="1061" spans="1:3">
      <c r="A1061" s="3">
        <f ca="1">IFERROR(__xludf.UNSUPPORTED("""COMPUTED_VALUE"""),45002.6666666666)</f>
        <v>45002.666666666599</v>
      </c>
      <c r="B1061" s="1">
        <f ca="1">IFERROR(__xludf.UNSUPPORTED("""COMPUTED_VALUE"""),25.73)</f>
        <v>25.73</v>
      </c>
      <c r="C1061" s="2">
        <f t="shared" ca="1" si="4"/>
        <v>7.4393108848865028E-3</v>
      </c>
    </row>
    <row r="1062" spans="1:3">
      <c r="A1062" s="3">
        <f ca="1">IFERROR(__xludf.UNSUPPORTED("""COMPUTED_VALUE"""),45005.6666666666)</f>
        <v>45005.666666666599</v>
      </c>
      <c r="B1062" s="1">
        <f ca="1">IFERROR(__xludf.UNSUPPORTED("""COMPUTED_VALUE"""),25.9)</f>
        <v>25.9</v>
      </c>
      <c r="C1062" s="2">
        <f t="shared" ca="1" si="4"/>
        <v>6.6070734551106937E-3</v>
      </c>
    </row>
    <row r="1063" spans="1:3">
      <c r="A1063" s="3">
        <f ca="1">IFERROR(__xludf.UNSUPPORTED("""COMPUTED_VALUE"""),45006.6666666666)</f>
        <v>45006.666666666599</v>
      </c>
      <c r="B1063" s="1">
        <f ca="1">IFERROR(__xludf.UNSUPPORTED("""COMPUTED_VALUE"""),26.2)</f>
        <v>26.2</v>
      </c>
      <c r="C1063" s="2">
        <f t="shared" ca="1" si="4"/>
        <v>1.1583011583011612E-2</v>
      </c>
    </row>
    <row r="1064" spans="1:3">
      <c r="A1064" s="3">
        <f ca="1">IFERROR(__xludf.UNSUPPORTED("""COMPUTED_VALUE"""),45007.6666666666)</f>
        <v>45007.666666666599</v>
      </c>
      <c r="B1064" s="1">
        <f ca="1">IFERROR(__xludf.UNSUPPORTED("""COMPUTED_VALUE"""),26.47)</f>
        <v>26.47</v>
      </c>
      <c r="C1064" s="2">
        <f t="shared" ca="1" si="4"/>
        <v>1.0305343511450366E-2</v>
      </c>
    </row>
    <row r="1065" spans="1:3">
      <c r="A1065" s="3">
        <f ca="1">IFERROR(__xludf.UNSUPPORTED("""COMPUTED_VALUE"""),45008.6666666666)</f>
        <v>45008.666666666599</v>
      </c>
      <c r="B1065" s="1">
        <f ca="1">IFERROR(__xludf.UNSUPPORTED("""COMPUTED_VALUE"""),27.19)</f>
        <v>27.19</v>
      </c>
      <c r="C1065" s="2">
        <f t="shared" ca="1" si="4"/>
        <v>2.7200604457876934E-2</v>
      </c>
    </row>
    <row r="1066" spans="1:3">
      <c r="A1066" s="3">
        <f ca="1">IFERROR(__xludf.UNSUPPORTED("""COMPUTED_VALUE"""),45009.6666666666)</f>
        <v>45009.666666666599</v>
      </c>
      <c r="B1066" s="1">
        <f ca="1">IFERROR(__xludf.UNSUPPORTED("""COMPUTED_VALUE"""),26.78)</f>
        <v>26.78</v>
      </c>
      <c r="C1066" s="2">
        <f t="shared" ca="1" si="4"/>
        <v>-1.5079073188672311E-2</v>
      </c>
    </row>
    <row r="1067" spans="1:3">
      <c r="A1067" s="3">
        <f ca="1">IFERROR(__xludf.UNSUPPORTED("""COMPUTED_VALUE"""),45012.6666666666)</f>
        <v>45012.666666666599</v>
      </c>
      <c r="B1067" s="1">
        <f ca="1">IFERROR(__xludf.UNSUPPORTED("""COMPUTED_VALUE"""),26.53)</f>
        <v>26.53</v>
      </c>
      <c r="C1067" s="2">
        <f t="shared" ca="1" si="4"/>
        <v>-9.3353248693054513E-3</v>
      </c>
    </row>
    <row r="1068" spans="1:3">
      <c r="A1068" s="3">
        <f ca="1">IFERROR(__xludf.UNSUPPORTED("""COMPUTED_VALUE"""),45013.6666666666)</f>
        <v>45013.666666666599</v>
      </c>
      <c r="B1068" s="1">
        <f ca="1">IFERROR(__xludf.UNSUPPORTED("""COMPUTED_VALUE"""),26.41)</f>
        <v>26.41</v>
      </c>
      <c r="C1068" s="2">
        <f t="shared" ca="1" si="4"/>
        <v>-4.5231813041839803E-3</v>
      </c>
    </row>
    <row r="1069" spans="1:3">
      <c r="A1069" s="3">
        <f ca="1">IFERROR(__xludf.UNSUPPORTED("""COMPUTED_VALUE"""),45014.6666666666)</f>
        <v>45014.666666666599</v>
      </c>
      <c r="B1069" s="1">
        <f ca="1">IFERROR(__xludf.UNSUPPORTED("""COMPUTED_VALUE"""),26.98)</f>
        <v>26.98</v>
      </c>
      <c r="C1069" s="2">
        <f t="shared" ca="1" si="4"/>
        <v>2.1582733812949652E-2</v>
      </c>
    </row>
    <row r="1070" spans="1:3">
      <c r="A1070" s="3">
        <f ca="1">IFERROR(__xludf.UNSUPPORTED("""COMPUTED_VALUE"""),45015.6666666666)</f>
        <v>45015.666666666599</v>
      </c>
      <c r="B1070" s="1">
        <f ca="1">IFERROR(__xludf.UNSUPPORTED("""COMPUTED_VALUE"""),27.38)</f>
        <v>27.38</v>
      </c>
      <c r="C1070" s="2">
        <f t="shared" ca="1" si="4"/>
        <v>1.4825796886582601E-2</v>
      </c>
    </row>
    <row r="1071" spans="1:3">
      <c r="A1071" s="3">
        <f ca="1">IFERROR(__xludf.UNSUPPORTED("""COMPUTED_VALUE"""),45016.6666666666)</f>
        <v>45016.666666666599</v>
      </c>
      <c r="B1071" s="1">
        <f ca="1">IFERROR(__xludf.UNSUPPORTED("""COMPUTED_VALUE"""),27.78)</f>
        <v>27.78</v>
      </c>
      <c r="C1071" s="2">
        <f t="shared" ca="1" si="4"/>
        <v>1.4609203798393066E-2</v>
      </c>
    </row>
    <row r="1072" spans="1:3">
      <c r="A1072" s="3">
        <f ca="1">IFERROR(__xludf.UNSUPPORTED("""COMPUTED_VALUE"""),45019.6666666666)</f>
        <v>45019.666666666599</v>
      </c>
      <c r="B1072" s="1">
        <f ca="1">IFERROR(__xludf.UNSUPPORTED("""COMPUTED_VALUE"""),27.97)</f>
        <v>27.97</v>
      </c>
      <c r="C1072" s="2">
        <f t="shared" ca="1" si="4"/>
        <v>6.8394528437724159E-3</v>
      </c>
    </row>
    <row r="1073" spans="1:3">
      <c r="A1073" s="3">
        <f ca="1">IFERROR(__xludf.UNSUPPORTED("""COMPUTED_VALUE"""),45020.6666666666)</f>
        <v>45020.666666666599</v>
      </c>
      <c r="B1073" s="1">
        <f ca="1">IFERROR(__xludf.UNSUPPORTED("""COMPUTED_VALUE"""),27.45)</f>
        <v>27.45</v>
      </c>
      <c r="C1073" s="2">
        <f t="shared" ca="1" si="4"/>
        <v>-1.8591347872720758E-2</v>
      </c>
    </row>
    <row r="1074" spans="1:3">
      <c r="A1074" s="3">
        <f ca="1">IFERROR(__xludf.UNSUPPORTED("""COMPUTED_VALUE"""),45021.6666666666)</f>
        <v>45021.666666666599</v>
      </c>
      <c r="B1074" s="1">
        <f ca="1">IFERROR(__xludf.UNSUPPORTED("""COMPUTED_VALUE"""),26.88)</f>
        <v>26.88</v>
      </c>
      <c r="C1074" s="2">
        <f t="shared" ca="1" si="4"/>
        <v>-2.0765027322404383E-2</v>
      </c>
    </row>
    <row r="1075" spans="1:3">
      <c r="A1075" s="3">
        <f ca="1">IFERROR(__xludf.UNSUPPORTED("""COMPUTED_VALUE"""),45022.6666666666)</f>
        <v>45022.666666666599</v>
      </c>
      <c r="B1075" s="1">
        <f ca="1">IFERROR(__xludf.UNSUPPORTED("""COMPUTED_VALUE"""),27.04)</f>
        <v>27.04</v>
      </c>
      <c r="C1075" s="2">
        <f t="shared" ca="1" si="4"/>
        <v>5.9523809523809581E-3</v>
      </c>
    </row>
    <row r="1076" spans="1:3">
      <c r="A1076" s="3">
        <f ca="1">IFERROR(__xludf.UNSUPPORTED("""COMPUTED_VALUE"""),45026.6666666666)</f>
        <v>45026.666666666599</v>
      </c>
      <c r="B1076" s="1">
        <f ca="1">IFERROR(__xludf.UNSUPPORTED("""COMPUTED_VALUE"""),27.58)</f>
        <v>27.58</v>
      </c>
      <c r="C1076" s="2">
        <f t="shared" ca="1" si="4"/>
        <v>1.9970414201183402E-2</v>
      </c>
    </row>
    <row r="1077" spans="1:3">
      <c r="A1077" s="3">
        <f ca="1">IFERROR(__xludf.UNSUPPORTED("""COMPUTED_VALUE"""),45027.6666666666)</f>
        <v>45027.666666666599</v>
      </c>
      <c r="B1077" s="1">
        <f ca="1">IFERROR(__xludf.UNSUPPORTED("""COMPUTED_VALUE"""),27.17)</f>
        <v>27.17</v>
      </c>
      <c r="C1077" s="2">
        <f t="shared" ca="1" si="4"/>
        <v>-1.4865844815083271E-2</v>
      </c>
    </row>
    <row r="1078" spans="1:3">
      <c r="A1078" s="3">
        <f ca="1">IFERROR(__xludf.UNSUPPORTED("""COMPUTED_VALUE"""),45028.6666666666)</f>
        <v>45028.666666666599</v>
      </c>
      <c r="B1078" s="1">
        <f ca="1">IFERROR(__xludf.UNSUPPORTED("""COMPUTED_VALUE"""),26.5)</f>
        <v>26.5</v>
      </c>
      <c r="C1078" s="2">
        <f t="shared" ca="1" si="4"/>
        <v>-2.4659550975340509E-2</v>
      </c>
    </row>
    <row r="1079" spans="1:3">
      <c r="A1079" s="3">
        <f ca="1">IFERROR(__xludf.UNSUPPORTED("""COMPUTED_VALUE"""),45029.6666666666)</f>
        <v>45029.666666666599</v>
      </c>
      <c r="B1079" s="1">
        <f ca="1">IFERROR(__xludf.UNSUPPORTED("""COMPUTED_VALUE"""),26.46)</f>
        <v>26.46</v>
      </c>
      <c r="C1079" s="2">
        <f t="shared" ca="1" si="4"/>
        <v>-1.5094339622641188E-3</v>
      </c>
    </row>
    <row r="1080" spans="1:3">
      <c r="A1080" s="3">
        <f ca="1">IFERROR(__xludf.UNSUPPORTED("""COMPUTED_VALUE"""),45030.6666666666)</f>
        <v>45030.666666666599</v>
      </c>
      <c r="B1080" s="1">
        <f ca="1">IFERROR(__xludf.UNSUPPORTED("""COMPUTED_VALUE"""),26.76)</f>
        <v>26.76</v>
      </c>
      <c r="C1080" s="2">
        <f t="shared" ca="1" si="4"/>
        <v>1.1337868480725649E-2</v>
      </c>
    </row>
    <row r="1081" spans="1:3">
      <c r="A1081" s="3">
        <f ca="1">IFERROR(__xludf.UNSUPPORTED("""COMPUTED_VALUE"""),45033.6666666666)</f>
        <v>45033.666666666599</v>
      </c>
      <c r="B1081" s="1">
        <f ca="1">IFERROR(__xludf.UNSUPPORTED("""COMPUTED_VALUE"""),27)</f>
        <v>27</v>
      </c>
      <c r="C1081" s="2">
        <f t="shared" ca="1" si="4"/>
        <v>8.9686098654707929E-3</v>
      </c>
    </row>
    <row r="1082" spans="1:3">
      <c r="A1082" s="3">
        <f ca="1">IFERROR(__xludf.UNSUPPORTED("""COMPUTED_VALUE"""),45034.6666666666)</f>
        <v>45034.666666666599</v>
      </c>
      <c r="B1082" s="1">
        <f ca="1">IFERROR(__xludf.UNSUPPORTED("""COMPUTED_VALUE"""),27.67)</f>
        <v>27.67</v>
      </c>
      <c r="C1082" s="2">
        <f t="shared" ca="1" si="4"/>
        <v>2.4814814814814876E-2</v>
      </c>
    </row>
    <row r="1083" spans="1:3">
      <c r="A1083" s="3">
        <f ca="1">IFERROR(__xludf.UNSUPPORTED("""COMPUTED_VALUE"""),45035.6666666666)</f>
        <v>45035.666666666599</v>
      </c>
      <c r="B1083" s="1">
        <f ca="1">IFERROR(__xludf.UNSUPPORTED("""COMPUTED_VALUE"""),27.93)</f>
        <v>27.93</v>
      </c>
      <c r="C1083" s="2">
        <f t="shared" ca="1" si="4"/>
        <v>9.3964582580411266E-3</v>
      </c>
    </row>
    <row r="1084" spans="1:3">
      <c r="A1084" s="3">
        <f ca="1">IFERROR(__xludf.UNSUPPORTED("""COMPUTED_VALUE"""),45036.6666666666)</f>
        <v>45036.666666666599</v>
      </c>
      <c r="B1084" s="1">
        <f ca="1">IFERROR(__xludf.UNSUPPORTED("""COMPUTED_VALUE"""),27.1)</f>
        <v>27.1</v>
      </c>
      <c r="C1084" s="2">
        <f t="shared" ca="1" si="4"/>
        <v>-2.9717150017901837E-2</v>
      </c>
    </row>
    <row r="1085" spans="1:3">
      <c r="A1085" s="3">
        <f ca="1">IFERROR(__xludf.UNSUPPORTED("""COMPUTED_VALUE"""),45037.6666666666)</f>
        <v>45037.666666666599</v>
      </c>
      <c r="B1085" s="1">
        <f ca="1">IFERROR(__xludf.UNSUPPORTED("""COMPUTED_VALUE"""),27.12)</f>
        <v>27.12</v>
      </c>
      <c r="C1085" s="2">
        <f t="shared" ca="1" si="4"/>
        <v>7.38007380073785E-4</v>
      </c>
    </row>
    <row r="1086" spans="1:3">
      <c r="A1086" s="3">
        <f ca="1">IFERROR(__xludf.UNSUPPORTED("""COMPUTED_VALUE"""),45040.6666666666)</f>
        <v>45040.666666666599</v>
      </c>
      <c r="B1086" s="1">
        <f ca="1">IFERROR(__xludf.UNSUPPORTED("""COMPUTED_VALUE"""),27.04)</f>
        <v>27.04</v>
      </c>
      <c r="C1086" s="2">
        <f t="shared" ca="1" si="4"/>
        <v>-2.9498525073746993E-3</v>
      </c>
    </row>
    <row r="1087" spans="1:3">
      <c r="A1087" s="3">
        <f ca="1">IFERROR(__xludf.UNSUPPORTED("""COMPUTED_VALUE"""),45041.6666666666)</f>
        <v>45041.666666666599</v>
      </c>
      <c r="B1087" s="1">
        <f ca="1">IFERROR(__xludf.UNSUPPORTED("""COMPUTED_VALUE"""),26.24)</f>
        <v>26.24</v>
      </c>
      <c r="C1087" s="2">
        <f t="shared" ca="1" si="4"/>
        <v>-2.9585798816568074E-2</v>
      </c>
    </row>
    <row r="1088" spans="1:3">
      <c r="A1088" s="3">
        <f ca="1">IFERROR(__xludf.UNSUPPORTED("""COMPUTED_VALUE"""),45042.6666666666)</f>
        <v>45042.666666666599</v>
      </c>
      <c r="B1088" s="1">
        <f ca="1">IFERROR(__xludf.UNSUPPORTED("""COMPUTED_VALUE"""),26.96)</f>
        <v>26.96</v>
      </c>
      <c r="C1088" s="2">
        <f t="shared" ca="1" si="4"/>
        <v>2.7439024390243996E-2</v>
      </c>
    </row>
    <row r="1089" spans="1:3">
      <c r="A1089" s="3">
        <f ca="1">IFERROR(__xludf.UNSUPPORTED("""COMPUTED_VALUE"""),45043.6666666666)</f>
        <v>45043.666666666599</v>
      </c>
      <c r="B1089" s="1">
        <f ca="1">IFERROR(__xludf.UNSUPPORTED("""COMPUTED_VALUE"""),27.23)</f>
        <v>27.23</v>
      </c>
      <c r="C1089" s="2">
        <f t="shared" ca="1" si="4"/>
        <v>1.0014836795252209E-2</v>
      </c>
    </row>
    <row r="1090" spans="1:3">
      <c r="A1090" s="3">
        <f ca="1">IFERROR(__xludf.UNSUPPORTED("""COMPUTED_VALUE"""),45044.6666666666)</f>
        <v>45044.666666666599</v>
      </c>
      <c r="B1090" s="1">
        <f ca="1">IFERROR(__xludf.UNSUPPORTED("""COMPUTED_VALUE"""),27.75)</f>
        <v>27.75</v>
      </c>
      <c r="C1090" s="2">
        <f t="shared" ca="1" si="4"/>
        <v>1.9096584649283863E-2</v>
      </c>
    </row>
    <row r="1091" spans="1:3">
      <c r="A1091" s="3">
        <f ca="1">IFERROR(__xludf.UNSUPPORTED("""COMPUTED_VALUE"""),45047.6666666666)</f>
        <v>45047.666666666599</v>
      </c>
      <c r="B1091" s="1">
        <f ca="1">IFERROR(__xludf.UNSUPPORTED("""COMPUTED_VALUE"""),28.91)</f>
        <v>28.91</v>
      </c>
      <c r="C1091" s="2">
        <f t="shared" ca="1" si="4"/>
        <v>4.1801801801801805E-2</v>
      </c>
    </row>
    <row r="1092" spans="1:3">
      <c r="A1092" s="3">
        <f ca="1">IFERROR(__xludf.UNSUPPORTED("""COMPUTED_VALUE"""),45048.6666666666)</f>
        <v>45048.666666666599</v>
      </c>
      <c r="B1092" s="1">
        <f ca="1">IFERROR(__xludf.UNSUPPORTED("""COMPUTED_VALUE"""),28.21)</f>
        <v>28.21</v>
      </c>
      <c r="C1092" s="2">
        <f t="shared" ca="1" si="4"/>
        <v>-2.4213075060532663E-2</v>
      </c>
    </row>
    <row r="1093" spans="1:3">
      <c r="A1093" s="3">
        <f ca="1">IFERROR(__xludf.UNSUPPORTED("""COMPUTED_VALUE"""),45049.6666666666)</f>
        <v>45049.666666666599</v>
      </c>
      <c r="B1093" s="1">
        <f ca="1">IFERROR(__xludf.UNSUPPORTED("""COMPUTED_VALUE"""),27.8)</f>
        <v>27.8</v>
      </c>
      <c r="C1093" s="2">
        <f t="shared" ca="1" si="4"/>
        <v>-1.4533853243530667E-2</v>
      </c>
    </row>
    <row r="1094" spans="1:3">
      <c r="A1094" s="3">
        <f ca="1">IFERROR(__xludf.UNSUPPORTED("""COMPUTED_VALUE"""),45050.6666666666)</f>
        <v>45050.666666666599</v>
      </c>
      <c r="B1094" s="1">
        <f ca="1">IFERROR(__xludf.UNSUPPORTED("""COMPUTED_VALUE"""),27.56)</f>
        <v>27.56</v>
      </c>
      <c r="C1094" s="2">
        <f t="shared" ca="1" si="4"/>
        <v>-8.633093525179927E-3</v>
      </c>
    </row>
    <row r="1095" spans="1:3">
      <c r="A1095" s="3">
        <f ca="1">IFERROR(__xludf.UNSUPPORTED("""COMPUTED_VALUE"""),45051.6666666666)</f>
        <v>45051.666666666599</v>
      </c>
      <c r="B1095" s="1">
        <f ca="1">IFERROR(__xludf.UNSUPPORTED("""COMPUTED_VALUE"""),28.68)</f>
        <v>28.68</v>
      </c>
      <c r="C1095" s="2">
        <f t="shared" ca="1" si="4"/>
        <v>4.0638606676342566E-2</v>
      </c>
    </row>
    <row r="1096" spans="1:3">
      <c r="A1096" s="3">
        <f ca="1">IFERROR(__xludf.UNSUPPORTED("""COMPUTED_VALUE"""),45054.6666666666)</f>
        <v>45054.666666666599</v>
      </c>
      <c r="B1096" s="1">
        <f ca="1">IFERROR(__xludf.UNSUPPORTED("""COMPUTED_VALUE"""),29.15)</f>
        <v>29.15</v>
      </c>
      <c r="C1096" s="2">
        <f t="shared" ca="1" si="4"/>
        <v>1.6387726638772623E-2</v>
      </c>
    </row>
    <row r="1097" spans="1:3">
      <c r="A1097" s="3">
        <f ca="1">IFERROR(__xludf.UNSUPPORTED("""COMPUTED_VALUE"""),45055.6666666666)</f>
        <v>45055.666666666599</v>
      </c>
      <c r="B1097" s="1">
        <f ca="1">IFERROR(__xludf.UNSUPPORTED("""COMPUTED_VALUE"""),28.57)</f>
        <v>28.57</v>
      </c>
      <c r="C1097" s="2">
        <f t="shared" ca="1" si="4"/>
        <v>-1.9897084048027387E-2</v>
      </c>
    </row>
    <row r="1098" spans="1:3">
      <c r="A1098" s="3">
        <f ca="1">IFERROR(__xludf.UNSUPPORTED("""COMPUTED_VALUE"""),45056.6666666666)</f>
        <v>45056.666666666599</v>
      </c>
      <c r="B1098" s="1">
        <f ca="1">IFERROR(__xludf.UNSUPPORTED("""COMPUTED_VALUE"""),28.89)</f>
        <v>28.89</v>
      </c>
      <c r="C1098" s="2">
        <f t="shared" ca="1" si="4"/>
        <v>1.120056002800141E-2</v>
      </c>
    </row>
    <row r="1099" spans="1:3">
      <c r="A1099" s="3">
        <f ca="1">IFERROR(__xludf.UNSUPPORTED("""COMPUTED_VALUE"""),45057.6666666666)</f>
        <v>45057.666666666599</v>
      </c>
      <c r="B1099" s="1">
        <f ca="1">IFERROR(__xludf.UNSUPPORTED("""COMPUTED_VALUE"""),28.58)</f>
        <v>28.58</v>
      </c>
      <c r="C1099" s="2">
        <f t="shared" ca="1" si="4"/>
        <v>-1.0730356524749126E-2</v>
      </c>
    </row>
    <row r="1100" spans="1:3">
      <c r="A1100" s="3">
        <f ca="1">IFERROR(__xludf.UNSUPPORTED("""COMPUTED_VALUE"""),45058.6666666666)</f>
        <v>45058.666666666599</v>
      </c>
      <c r="B1100" s="1">
        <f ca="1">IFERROR(__xludf.UNSUPPORTED("""COMPUTED_VALUE"""),28.34)</f>
        <v>28.34</v>
      </c>
      <c r="C1100" s="2">
        <f t="shared" ca="1" si="4"/>
        <v>-8.3974807557732137E-3</v>
      </c>
    </row>
    <row r="1101" spans="1:3">
      <c r="A1101" s="3">
        <f ca="1">IFERROR(__xludf.UNSUPPORTED("""COMPUTED_VALUE"""),45061.6666666666)</f>
        <v>45061.666666666599</v>
      </c>
      <c r="B1101" s="1">
        <f ca="1">IFERROR(__xludf.UNSUPPORTED("""COMPUTED_VALUE"""),28.95)</f>
        <v>28.95</v>
      </c>
      <c r="C1101" s="2">
        <f t="shared" ca="1" si="4"/>
        <v>2.1524347212420587E-2</v>
      </c>
    </row>
    <row r="1102" spans="1:3">
      <c r="A1102" s="3">
        <f ca="1">IFERROR(__xludf.UNSUPPORTED("""COMPUTED_VALUE"""),45062.6666666666)</f>
        <v>45062.666666666599</v>
      </c>
      <c r="B1102" s="1">
        <f ca="1">IFERROR(__xludf.UNSUPPORTED("""COMPUTED_VALUE"""),29.21)</f>
        <v>29.21</v>
      </c>
      <c r="C1102" s="2">
        <f t="shared" ca="1" si="4"/>
        <v>8.981001727115771E-3</v>
      </c>
    </row>
    <row r="1103" spans="1:3">
      <c r="A1103" s="3">
        <f ca="1">IFERROR(__xludf.UNSUPPORTED("""COMPUTED_VALUE"""),45063.6666666666)</f>
        <v>45063.666666666599</v>
      </c>
      <c r="B1103" s="1">
        <f ca="1">IFERROR(__xludf.UNSUPPORTED("""COMPUTED_VALUE"""),30.18)</f>
        <v>30.18</v>
      </c>
      <c r="C1103" s="2">
        <f t="shared" ca="1" si="4"/>
        <v>3.3207805546045834E-2</v>
      </c>
    </row>
    <row r="1104" spans="1:3">
      <c r="A1104" s="3">
        <f ca="1">IFERROR(__xludf.UNSUPPORTED("""COMPUTED_VALUE"""),45064.6666666666)</f>
        <v>45064.666666666599</v>
      </c>
      <c r="B1104" s="1">
        <f ca="1">IFERROR(__xludf.UNSUPPORTED("""COMPUTED_VALUE"""),31.68)</f>
        <v>31.68</v>
      </c>
      <c r="C1104" s="2">
        <f t="shared" ca="1" si="4"/>
        <v>4.9701789264413522E-2</v>
      </c>
    </row>
    <row r="1105" spans="1:3">
      <c r="A1105" s="3">
        <f ca="1">IFERROR(__xludf.UNSUPPORTED("""COMPUTED_VALUE"""),45065.6666666666)</f>
        <v>45065.666666666599</v>
      </c>
      <c r="B1105" s="1">
        <f ca="1">IFERROR(__xludf.UNSUPPORTED("""COMPUTED_VALUE"""),31.26)</f>
        <v>31.26</v>
      </c>
      <c r="C1105" s="2">
        <f t="shared" ca="1" si="4"/>
        <v>-1.3257575757575699E-2</v>
      </c>
    </row>
    <row r="1106" spans="1:3">
      <c r="A1106" s="3">
        <f ca="1">IFERROR(__xludf.UNSUPPORTED("""COMPUTED_VALUE"""),45068.6666666666)</f>
        <v>45068.666666666599</v>
      </c>
      <c r="B1106" s="1">
        <f ca="1">IFERROR(__xludf.UNSUPPORTED("""COMPUTED_VALUE"""),31.18)</f>
        <v>31.18</v>
      </c>
      <c r="C1106" s="2">
        <f t="shared" ca="1" si="4"/>
        <v>-2.5591810620601996E-3</v>
      </c>
    </row>
    <row r="1107" spans="1:3">
      <c r="A1107" s="3">
        <f ca="1">IFERROR(__xludf.UNSUPPORTED("""COMPUTED_VALUE"""),45069.6666666666)</f>
        <v>45069.666666666599</v>
      </c>
      <c r="B1107" s="1">
        <f ca="1">IFERROR(__xludf.UNSUPPORTED("""COMPUTED_VALUE"""),30.69)</f>
        <v>30.69</v>
      </c>
      <c r="C1107" s="2">
        <f t="shared" ca="1" si="4"/>
        <v>-1.5715202052597767E-2</v>
      </c>
    </row>
    <row r="1108" spans="1:3">
      <c r="A1108" s="3">
        <f ca="1">IFERROR(__xludf.UNSUPPORTED("""COMPUTED_VALUE"""),45070.6666666666)</f>
        <v>45070.666666666599</v>
      </c>
      <c r="B1108" s="1">
        <f ca="1">IFERROR(__xludf.UNSUPPORTED("""COMPUTED_VALUE"""),30.54)</f>
        <v>30.54</v>
      </c>
      <c r="C1108" s="2">
        <f t="shared" ca="1" si="4"/>
        <v>-4.8875855327468925E-3</v>
      </c>
    </row>
    <row r="1109" spans="1:3">
      <c r="A1109" s="3">
        <f ca="1">IFERROR(__xludf.UNSUPPORTED("""COMPUTED_VALUE"""),45071.6666666666)</f>
        <v>45071.666666666599</v>
      </c>
      <c r="B1109" s="1">
        <f ca="1">IFERROR(__xludf.UNSUPPORTED("""COMPUTED_VALUE"""),37.98)</f>
        <v>37.979999999999997</v>
      </c>
      <c r="C1109" s="2">
        <f t="shared" ca="1" si="4"/>
        <v>0.24361493123772096</v>
      </c>
    </row>
    <row r="1110" spans="1:3">
      <c r="A1110" s="3">
        <f ca="1">IFERROR(__xludf.UNSUPPORTED("""COMPUTED_VALUE"""),45072.6666666666)</f>
        <v>45072.666666666599</v>
      </c>
      <c r="B1110" s="1">
        <f ca="1">IFERROR(__xludf.UNSUPPORTED("""COMPUTED_VALUE"""),38.95)</f>
        <v>38.950000000000003</v>
      </c>
      <c r="C1110" s="2">
        <f t="shared" ca="1" si="4"/>
        <v>2.5539757767246079E-2</v>
      </c>
    </row>
    <row r="1111" spans="1:3">
      <c r="A1111" s="3">
        <f ca="1">IFERROR(__xludf.UNSUPPORTED("""COMPUTED_VALUE"""),45076.6666666666)</f>
        <v>45076.666666666599</v>
      </c>
      <c r="B1111" s="1">
        <f ca="1">IFERROR(__xludf.UNSUPPORTED("""COMPUTED_VALUE"""),40.11)</f>
        <v>40.11</v>
      </c>
      <c r="C1111" s="2">
        <f t="shared" ca="1" si="4"/>
        <v>2.9781771501925455E-2</v>
      </c>
    </row>
    <row r="1112" spans="1:3">
      <c r="A1112" s="3">
        <f ca="1">IFERROR(__xludf.UNSUPPORTED("""COMPUTED_VALUE"""),45077.6666666666)</f>
        <v>45077.666666666599</v>
      </c>
      <c r="B1112" s="1">
        <f ca="1">IFERROR(__xludf.UNSUPPORTED("""COMPUTED_VALUE"""),37.83)</f>
        <v>37.83</v>
      </c>
      <c r="C1112" s="2">
        <f t="shared" ca="1" si="4"/>
        <v>-5.6843679880329123E-2</v>
      </c>
    </row>
    <row r="1113" spans="1:3">
      <c r="A1113" s="3">
        <f ca="1">IFERROR(__xludf.UNSUPPORTED("""COMPUTED_VALUE"""),45078.6666666666)</f>
        <v>45078.666666666599</v>
      </c>
      <c r="B1113" s="1">
        <f ca="1">IFERROR(__xludf.UNSUPPORTED("""COMPUTED_VALUE"""),39.77)</f>
        <v>39.770000000000003</v>
      </c>
      <c r="C1113" s="2">
        <f t="shared" ca="1" si="4"/>
        <v>5.1282051282051412E-2</v>
      </c>
    </row>
    <row r="1114" spans="1:3">
      <c r="A1114" s="3">
        <f ca="1">IFERROR(__xludf.UNSUPPORTED("""COMPUTED_VALUE"""),45079.6666666666)</f>
        <v>45079.666666666599</v>
      </c>
      <c r="B1114" s="1">
        <f ca="1">IFERROR(__xludf.UNSUPPORTED("""COMPUTED_VALUE"""),39.33)</f>
        <v>39.33</v>
      </c>
      <c r="C1114" s="2">
        <f t="shared" ca="1" si="4"/>
        <v>-1.1063615790797204E-2</v>
      </c>
    </row>
    <row r="1115" spans="1:3">
      <c r="A1115" s="3">
        <f ca="1">IFERROR(__xludf.UNSUPPORTED("""COMPUTED_VALUE"""),45082.6666666666)</f>
        <v>45082.666666666599</v>
      </c>
      <c r="B1115" s="1">
        <f ca="1">IFERROR(__xludf.UNSUPPORTED("""COMPUTED_VALUE"""),39.17)</f>
        <v>39.17</v>
      </c>
      <c r="C1115" s="2">
        <f t="shared" ca="1" si="4"/>
        <v>-4.0681413679124487E-3</v>
      </c>
    </row>
    <row r="1116" spans="1:3">
      <c r="A1116" s="3">
        <f ca="1">IFERROR(__xludf.UNSUPPORTED("""COMPUTED_VALUE"""),45083.6666666666)</f>
        <v>45083.666666666599</v>
      </c>
      <c r="B1116" s="1">
        <f ca="1">IFERROR(__xludf.UNSUPPORTED("""COMPUTED_VALUE"""),38.65)</f>
        <v>38.65</v>
      </c>
      <c r="C1116" s="2">
        <f t="shared" ca="1" si="4"/>
        <v>-1.3275465917794309E-2</v>
      </c>
    </row>
    <row r="1117" spans="1:3">
      <c r="A1117" s="3">
        <f ca="1">IFERROR(__xludf.UNSUPPORTED("""COMPUTED_VALUE"""),45084.6666666666)</f>
        <v>45084.666666666599</v>
      </c>
      <c r="B1117" s="1">
        <f ca="1">IFERROR(__xludf.UNSUPPORTED("""COMPUTED_VALUE"""),37.48)</f>
        <v>37.479999999999997</v>
      </c>
      <c r="C1117" s="2">
        <f t="shared" ca="1" si="4"/>
        <v>-3.027166882276848E-2</v>
      </c>
    </row>
    <row r="1118" spans="1:3">
      <c r="A1118" s="3">
        <f ca="1">IFERROR(__xludf.UNSUPPORTED("""COMPUTED_VALUE"""),45085.6666666666)</f>
        <v>45085.666666666599</v>
      </c>
      <c r="B1118" s="1">
        <f ca="1">IFERROR(__xludf.UNSUPPORTED("""COMPUTED_VALUE"""),38.51)</f>
        <v>38.51</v>
      </c>
      <c r="C1118" s="2">
        <f t="shared" ca="1" si="4"/>
        <v>2.7481323372465349E-2</v>
      </c>
    </row>
    <row r="1119" spans="1:3">
      <c r="A1119" s="3">
        <f ca="1">IFERROR(__xludf.UNSUPPORTED("""COMPUTED_VALUE"""),45086.6666666666)</f>
        <v>45086.666666666599</v>
      </c>
      <c r="B1119" s="1">
        <f ca="1">IFERROR(__xludf.UNSUPPORTED("""COMPUTED_VALUE"""),38.77)</f>
        <v>38.770000000000003</v>
      </c>
      <c r="C1119" s="2">
        <f t="shared" ca="1" si="4"/>
        <v>6.751493118670608E-3</v>
      </c>
    </row>
    <row r="1120" spans="1:3">
      <c r="A1120" s="3">
        <f ca="1">IFERROR(__xludf.UNSUPPORTED("""COMPUTED_VALUE"""),45089.6666666666)</f>
        <v>45089.666666666599</v>
      </c>
      <c r="B1120" s="1">
        <f ca="1">IFERROR(__xludf.UNSUPPORTED("""COMPUTED_VALUE"""),39.48)</f>
        <v>39.479999999999997</v>
      </c>
      <c r="C1120" s="2">
        <f t="shared" ca="1" si="4"/>
        <v>1.8313128707763571E-2</v>
      </c>
    </row>
    <row r="1121" spans="1:3">
      <c r="A1121" s="3">
        <f ca="1">IFERROR(__xludf.UNSUPPORTED("""COMPUTED_VALUE"""),45090.6666666666)</f>
        <v>45090.666666666599</v>
      </c>
      <c r="B1121" s="1">
        <f ca="1">IFERROR(__xludf.UNSUPPORTED("""COMPUTED_VALUE"""),41.02)</f>
        <v>41.02</v>
      </c>
      <c r="C1121" s="2">
        <f t="shared" ca="1" si="4"/>
        <v>3.9007092198581721E-2</v>
      </c>
    </row>
    <row r="1122" spans="1:3">
      <c r="A1122" s="3">
        <f ca="1">IFERROR(__xludf.UNSUPPORTED("""COMPUTED_VALUE"""),45091.6666666666)</f>
        <v>45091.666666666599</v>
      </c>
      <c r="B1122" s="1">
        <f ca="1">IFERROR(__xludf.UNSUPPORTED("""COMPUTED_VALUE"""),43)</f>
        <v>43</v>
      </c>
      <c r="C1122" s="2">
        <f t="shared" ca="1" si="4"/>
        <v>4.8269137006338295E-2</v>
      </c>
    </row>
    <row r="1123" spans="1:3">
      <c r="A1123" s="3">
        <f ca="1">IFERROR(__xludf.UNSUPPORTED("""COMPUTED_VALUE"""),45092.6666666666)</f>
        <v>45092.666666666599</v>
      </c>
      <c r="B1123" s="1">
        <f ca="1">IFERROR(__xludf.UNSUPPORTED("""COMPUTED_VALUE"""),42.65)</f>
        <v>42.65</v>
      </c>
      <c r="C1123" s="2">
        <f t="shared" ca="1" si="4"/>
        <v>-8.1395348837209631E-3</v>
      </c>
    </row>
    <row r="1124" spans="1:3">
      <c r="A1124" s="3">
        <f ca="1">IFERROR(__xludf.UNSUPPORTED("""COMPUTED_VALUE"""),45093.6666666666)</f>
        <v>45093.666666666599</v>
      </c>
      <c r="B1124" s="1">
        <f ca="1">IFERROR(__xludf.UNSUPPORTED("""COMPUTED_VALUE"""),42.69)</f>
        <v>42.69</v>
      </c>
      <c r="C1124" s="2">
        <f t="shared" ca="1" si="4"/>
        <v>9.378663540445287E-4</v>
      </c>
    </row>
    <row r="1125" spans="1:3">
      <c r="A1125" s="3">
        <f ca="1">IFERROR(__xludf.UNSUPPORTED("""COMPUTED_VALUE"""),45097.6666666666)</f>
        <v>45097.666666666599</v>
      </c>
      <c r="B1125" s="1">
        <f ca="1">IFERROR(__xludf.UNSUPPORTED("""COMPUTED_VALUE"""),43.81)</f>
        <v>43.81</v>
      </c>
      <c r="C1125" s="2">
        <f t="shared" ca="1" si="4"/>
        <v>2.6235652377606104E-2</v>
      </c>
    </row>
    <row r="1126" spans="1:3">
      <c r="A1126" s="3">
        <f ca="1">IFERROR(__xludf.UNSUPPORTED("""COMPUTED_VALUE"""),45098.6666666666)</f>
        <v>45098.666666666599</v>
      </c>
      <c r="B1126" s="1">
        <f ca="1">IFERROR(__xludf.UNSUPPORTED("""COMPUTED_VALUE"""),43.05)</f>
        <v>43.05</v>
      </c>
      <c r="C1126" s="2">
        <f t="shared" ca="1" si="4"/>
        <v>-1.7347637525679183E-2</v>
      </c>
    </row>
    <row r="1127" spans="1:3">
      <c r="A1127" s="3">
        <f ca="1">IFERROR(__xludf.UNSUPPORTED("""COMPUTED_VALUE"""),45099.6666666666)</f>
        <v>45099.666666666599</v>
      </c>
      <c r="B1127" s="1">
        <f ca="1">IFERROR(__xludf.UNSUPPORTED("""COMPUTED_VALUE"""),43.03)</f>
        <v>43.03</v>
      </c>
      <c r="C1127" s="2">
        <f t="shared" ca="1" si="4"/>
        <v>-4.6457607433207952E-4</v>
      </c>
    </row>
    <row r="1128" spans="1:3">
      <c r="A1128" s="3">
        <f ca="1">IFERROR(__xludf.UNSUPPORTED("""COMPUTED_VALUE"""),45100.6666666666)</f>
        <v>45100.666666666599</v>
      </c>
      <c r="B1128" s="1">
        <f ca="1">IFERROR(__xludf.UNSUPPORTED("""COMPUTED_VALUE"""),42.21)</f>
        <v>42.21</v>
      </c>
      <c r="C1128" s="2">
        <f t="shared" ca="1" si="4"/>
        <v>-1.9056472228677672E-2</v>
      </c>
    </row>
    <row r="1129" spans="1:3">
      <c r="A1129" s="3">
        <f ca="1">IFERROR(__xludf.UNSUPPORTED("""COMPUTED_VALUE"""),45103.6666666666)</f>
        <v>45103.666666666599</v>
      </c>
      <c r="B1129" s="1">
        <f ca="1">IFERROR(__xludf.UNSUPPORTED("""COMPUTED_VALUE"""),40.63)</f>
        <v>40.630000000000003</v>
      </c>
      <c r="C1129" s="2">
        <f t="shared" ca="1" si="4"/>
        <v>-3.7431888178156791E-2</v>
      </c>
    </row>
    <row r="1130" spans="1:3">
      <c r="A1130" s="3">
        <f ca="1">IFERROR(__xludf.UNSUPPORTED("""COMPUTED_VALUE"""),45104.6666666666)</f>
        <v>45104.666666666599</v>
      </c>
      <c r="B1130" s="1">
        <f ca="1">IFERROR(__xludf.UNSUPPORTED("""COMPUTED_VALUE"""),41.88)</f>
        <v>41.88</v>
      </c>
      <c r="C1130" s="2">
        <f t="shared" ca="1" si="4"/>
        <v>3.0765444253015011E-2</v>
      </c>
    </row>
    <row r="1131" spans="1:3">
      <c r="A1131" s="3">
        <f ca="1">IFERROR(__xludf.UNSUPPORTED("""COMPUTED_VALUE"""),45105.6666666666)</f>
        <v>45105.666666666599</v>
      </c>
      <c r="B1131" s="1">
        <f ca="1">IFERROR(__xludf.UNSUPPORTED("""COMPUTED_VALUE"""),41.12)</f>
        <v>41.12</v>
      </c>
      <c r="C1131" s="2">
        <f t="shared" ca="1" si="4"/>
        <v>-1.8147086914995347E-2</v>
      </c>
    </row>
    <row r="1132" spans="1:3">
      <c r="A1132" s="3">
        <f ca="1">IFERROR(__xludf.UNSUPPORTED("""COMPUTED_VALUE"""),45106.6666666666)</f>
        <v>45106.666666666599</v>
      </c>
      <c r="B1132" s="1">
        <f ca="1">IFERROR(__xludf.UNSUPPORTED("""COMPUTED_VALUE"""),40.82)</f>
        <v>40.82</v>
      </c>
      <c r="C1132" s="2">
        <f t="shared" ca="1" si="4"/>
        <v>-7.2957198443579082E-3</v>
      </c>
    </row>
    <row r="1133" spans="1:3">
      <c r="A1133" s="3">
        <f ca="1">IFERROR(__xludf.UNSUPPORTED("""COMPUTED_VALUE"""),45107.6666666666)</f>
        <v>45107.666666666599</v>
      </c>
      <c r="B1133" s="1">
        <f ca="1">IFERROR(__xludf.UNSUPPORTED("""COMPUTED_VALUE"""),42.3)</f>
        <v>42.3</v>
      </c>
      <c r="C1133" s="2">
        <f t="shared" ca="1" si="4"/>
        <v>3.6256736893679489E-2</v>
      </c>
    </row>
    <row r="1134" spans="1:3">
      <c r="A1134" s="3">
        <f ca="1">IFERROR(__xludf.UNSUPPORTED("""COMPUTED_VALUE"""),45110.5451388888)</f>
        <v>45110.545138888803</v>
      </c>
      <c r="B1134" s="1">
        <f ca="1">IFERROR(__xludf.UNSUPPORTED("""COMPUTED_VALUE"""),42.41)</f>
        <v>42.41</v>
      </c>
      <c r="C1134" s="2">
        <f t="shared" ca="1" si="4"/>
        <v>2.6004728132387575E-3</v>
      </c>
    </row>
    <row r="1135" spans="1:3">
      <c r="A1135" s="3">
        <f ca="1">IFERROR(__xludf.UNSUPPORTED("""COMPUTED_VALUE"""),45112.6666666666)</f>
        <v>45112.666666666599</v>
      </c>
      <c r="B1135" s="1">
        <f ca="1">IFERROR(__xludf.UNSUPPORTED("""COMPUTED_VALUE"""),42.32)</f>
        <v>42.32</v>
      </c>
      <c r="C1135" s="2">
        <f t="shared" ca="1" si="4"/>
        <v>-2.1221410044799886E-3</v>
      </c>
    </row>
    <row r="1136" spans="1:3">
      <c r="A1136" s="3">
        <f ca="1">IFERROR(__xludf.UNSUPPORTED("""COMPUTED_VALUE"""),45113.6666666666)</f>
        <v>45113.666666666599</v>
      </c>
      <c r="B1136" s="1">
        <f ca="1">IFERROR(__xludf.UNSUPPORTED("""COMPUTED_VALUE"""),42.1)</f>
        <v>42.1</v>
      </c>
      <c r="C1136" s="2">
        <f t="shared" ca="1" si="4"/>
        <v>-5.1984877126653797E-3</v>
      </c>
    </row>
    <row r="1137" spans="1:3">
      <c r="A1137" s="3">
        <f ca="1">IFERROR(__xludf.UNSUPPORTED("""COMPUTED_VALUE"""),45114.6666666666)</f>
        <v>45114.666666666599</v>
      </c>
      <c r="B1137" s="1">
        <f ca="1">IFERROR(__xludf.UNSUPPORTED("""COMPUTED_VALUE"""),42.5)</f>
        <v>42.5</v>
      </c>
      <c r="C1137" s="2">
        <f t="shared" ca="1" si="4"/>
        <v>9.5011876484560227E-3</v>
      </c>
    </row>
    <row r="1138" spans="1:3">
      <c r="A1138" s="3">
        <f ca="1">IFERROR(__xludf.UNSUPPORTED("""COMPUTED_VALUE"""),45117.6666666666)</f>
        <v>45117.666666666599</v>
      </c>
      <c r="B1138" s="1">
        <f ca="1">IFERROR(__xludf.UNSUPPORTED("""COMPUTED_VALUE"""),42.18)</f>
        <v>42.18</v>
      </c>
      <c r="C1138" s="2">
        <f t="shared" ca="1" si="4"/>
        <v>-7.5294117647058886E-3</v>
      </c>
    </row>
    <row r="1139" spans="1:3">
      <c r="A1139" s="3">
        <f ca="1">IFERROR(__xludf.UNSUPPORTED("""COMPUTED_VALUE"""),45118.6666666666)</f>
        <v>45118.666666666599</v>
      </c>
      <c r="B1139" s="1">
        <f ca="1">IFERROR(__xludf.UNSUPPORTED("""COMPUTED_VALUE"""),42.41)</f>
        <v>42.41</v>
      </c>
      <c r="C1139" s="2">
        <f t="shared" ca="1" si="4"/>
        <v>5.4528212422948526E-3</v>
      </c>
    </row>
    <row r="1140" spans="1:3">
      <c r="A1140" s="3">
        <f ca="1">IFERROR(__xludf.UNSUPPORTED("""COMPUTED_VALUE"""),45119.6666666666)</f>
        <v>45119.666666666599</v>
      </c>
      <c r="B1140" s="1">
        <f ca="1">IFERROR(__xludf.UNSUPPORTED("""COMPUTED_VALUE"""),43.9)</f>
        <v>43.9</v>
      </c>
      <c r="C1140" s="2">
        <f t="shared" ca="1" si="4"/>
        <v>3.5133223296392409E-2</v>
      </c>
    </row>
    <row r="1141" spans="1:3">
      <c r="A1141" s="3">
        <f ca="1">IFERROR(__xludf.UNSUPPORTED("""COMPUTED_VALUE"""),45120.6666666666)</f>
        <v>45120.666666666599</v>
      </c>
      <c r="B1141" s="1">
        <f ca="1">IFERROR(__xludf.UNSUPPORTED("""COMPUTED_VALUE"""),45.98)</f>
        <v>45.98</v>
      </c>
      <c r="C1141" s="2">
        <f t="shared" ca="1" si="4"/>
        <v>4.7380410022779006E-2</v>
      </c>
    </row>
    <row r="1142" spans="1:3">
      <c r="A1142" s="3">
        <f ca="1">IFERROR(__xludf.UNSUPPORTED("""COMPUTED_VALUE"""),45121.6666666666)</f>
        <v>45121.666666666599</v>
      </c>
      <c r="B1142" s="1">
        <f ca="1">IFERROR(__xludf.UNSUPPORTED("""COMPUTED_VALUE"""),45.47)</f>
        <v>45.47</v>
      </c>
      <c r="C1142" s="2">
        <f t="shared" ca="1" si="4"/>
        <v>-1.1091779034362724E-2</v>
      </c>
    </row>
    <row r="1143" spans="1:3">
      <c r="A1143" s="3">
        <f ca="1">IFERROR(__xludf.UNSUPPORTED("""COMPUTED_VALUE"""),45124.6666666666)</f>
        <v>45124.666666666599</v>
      </c>
      <c r="B1143" s="1">
        <f ca="1">IFERROR(__xludf.UNSUPPORTED("""COMPUTED_VALUE"""),46.46)</f>
        <v>46.46</v>
      </c>
      <c r="C1143" s="2">
        <f t="shared" ca="1" si="4"/>
        <v>2.1772597316912293E-2</v>
      </c>
    </row>
    <row r="1144" spans="1:3">
      <c r="A1144" s="3">
        <f ca="1">IFERROR(__xludf.UNSUPPORTED("""COMPUTED_VALUE"""),45125.6666666666)</f>
        <v>45125.666666666599</v>
      </c>
      <c r="B1144" s="1">
        <f ca="1">IFERROR(__xludf.UNSUPPORTED("""COMPUTED_VALUE"""),47.49)</f>
        <v>47.49</v>
      </c>
      <c r="C1144" s="2">
        <f t="shared" ca="1" si="4"/>
        <v>2.2169608265174369E-2</v>
      </c>
    </row>
    <row r="1145" spans="1:3">
      <c r="A1145" s="3">
        <f ca="1">IFERROR(__xludf.UNSUPPORTED("""COMPUTED_VALUE"""),45126.6666666666)</f>
        <v>45126.666666666599</v>
      </c>
      <c r="B1145" s="1">
        <f ca="1">IFERROR(__xludf.UNSUPPORTED("""COMPUTED_VALUE"""),47.08)</f>
        <v>47.08</v>
      </c>
      <c r="C1145" s="2">
        <f t="shared" ca="1" si="4"/>
        <v>-8.6333965045273468E-3</v>
      </c>
    </row>
    <row r="1146" spans="1:3">
      <c r="A1146" s="3">
        <f ca="1">IFERROR(__xludf.UNSUPPORTED("""COMPUTED_VALUE"""),45127.6666666666)</f>
        <v>45127.666666666599</v>
      </c>
      <c r="B1146" s="1">
        <f ca="1">IFERROR(__xludf.UNSUPPORTED("""COMPUTED_VALUE"""),45.52)</f>
        <v>45.52</v>
      </c>
      <c r="C1146" s="2">
        <f t="shared" ca="1" si="4"/>
        <v>-3.3135089209855466E-2</v>
      </c>
    </row>
    <row r="1147" spans="1:3">
      <c r="A1147" s="3">
        <f ca="1">IFERROR(__xludf.UNSUPPORTED("""COMPUTED_VALUE"""),45128.6666666666)</f>
        <v>45128.666666666599</v>
      </c>
      <c r="B1147" s="1">
        <f ca="1">IFERROR(__xludf.UNSUPPORTED("""COMPUTED_VALUE"""),44.31)</f>
        <v>44.31</v>
      </c>
      <c r="C1147" s="2">
        <f t="shared" ca="1" si="4"/>
        <v>-2.6581722319859419E-2</v>
      </c>
    </row>
    <row r="1148" spans="1:3">
      <c r="A1148" s="3">
        <f ca="1">IFERROR(__xludf.UNSUPPORTED("""COMPUTED_VALUE"""),45131.6666666666)</f>
        <v>45131.666666666599</v>
      </c>
      <c r="B1148" s="1">
        <f ca="1">IFERROR(__xludf.UNSUPPORTED("""COMPUTED_VALUE"""),44.61)</f>
        <v>44.61</v>
      </c>
      <c r="C1148" s="2">
        <f t="shared" ca="1" si="4"/>
        <v>6.7704807041299286E-3</v>
      </c>
    </row>
    <row r="1149" spans="1:3">
      <c r="A1149" s="3">
        <f ca="1">IFERROR(__xludf.UNSUPPORTED("""COMPUTED_VALUE"""),45132.6666666666)</f>
        <v>45132.666666666599</v>
      </c>
      <c r="B1149" s="1">
        <f ca="1">IFERROR(__xludf.UNSUPPORTED("""COMPUTED_VALUE"""),45.68)</f>
        <v>45.68</v>
      </c>
      <c r="C1149" s="2">
        <f t="shared" ca="1" si="4"/>
        <v>2.3985653440932533E-2</v>
      </c>
    </row>
    <row r="1150" spans="1:3">
      <c r="A1150" s="3">
        <f ca="1">IFERROR(__xludf.UNSUPPORTED("""COMPUTED_VALUE"""),45133.6666666666)</f>
        <v>45133.666666666599</v>
      </c>
      <c r="B1150" s="1">
        <f ca="1">IFERROR(__xludf.UNSUPPORTED("""COMPUTED_VALUE"""),45.45)</f>
        <v>45.45</v>
      </c>
      <c r="C1150" s="2">
        <f t="shared" ca="1" si="4"/>
        <v>-5.0350262697022082E-3</v>
      </c>
    </row>
    <row r="1151" spans="1:3">
      <c r="A1151" s="3">
        <f ca="1">IFERROR(__xludf.UNSUPPORTED("""COMPUTED_VALUE"""),45134.6666666666)</f>
        <v>45134.666666666599</v>
      </c>
      <c r="B1151" s="1">
        <f ca="1">IFERROR(__xludf.UNSUPPORTED("""COMPUTED_VALUE"""),45.9)</f>
        <v>45.9</v>
      </c>
      <c r="C1151" s="2">
        <f t="shared" ca="1" si="4"/>
        <v>9.9009900990098074E-3</v>
      </c>
    </row>
    <row r="1152" spans="1:3">
      <c r="A1152" s="3">
        <f ca="1">IFERROR(__xludf.UNSUPPORTED("""COMPUTED_VALUE"""),45135.6666666666)</f>
        <v>45135.666666666599</v>
      </c>
      <c r="B1152" s="1">
        <f ca="1">IFERROR(__xludf.UNSUPPORTED("""COMPUTED_VALUE"""),46.75)</f>
        <v>46.75</v>
      </c>
      <c r="C1152" s="2">
        <f t="shared" ca="1" si="4"/>
        <v>1.8518518518518549E-2</v>
      </c>
    </row>
    <row r="1153" spans="1:3">
      <c r="A1153" s="3">
        <f ca="1">IFERROR(__xludf.UNSUPPORTED("""COMPUTED_VALUE"""),45138.6666666666)</f>
        <v>45138.666666666599</v>
      </c>
      <c r="B1153" s="1">
        <f ca="1">IFERROR(__xludf.UNSUPPORTED("""COMPUTED_VALUE"""),46.73)</f>
        <v>46.73</v>
      </c>
      <c r="C1153" s="2">
        <f t="shared" ca="1" si="4"/>
        <v>-4.2780748663108292E-4</v>
      </c>
    </row>
    <row r="1154" spans="1:3">
      <c r="A1154" s="3">
        <f ca="1">IFERROR(__xludf.UNSUPPORTED("""COMPUTED_VALUE"""),45139.6666666666)</f>
        <v>45139.666666666599</v>
      </c>
      <c r="B1154" s="1">
        <f ca="1">IFERROR(__xludf.UNSUPPORTED("""COMPUTED_VALUE"""),46.51)</f>
        <v>46.51</v>
      </c>
      <c r="C1154" s="2">
        <f t="shared" ca="1" si="4"/>
        <v>-4.707896426278598E-3</v>
      </c>
    </row>
    <row r="1155" spans="1:3">
      <c r="A1155" s="3">
        <f ca="1">IFERROR(__xludf.UNSUPPORTED("""COMPUTED_VALUE"""),45140.6666666666)</f>
        <v>45140.666666666599</v>
      </c>
      <c r="B1155" s="1">
        <f ca="1">IFERROR(__xludf.UNSUPPORTED("""COMPUTED_VALUE"""),44.27)</f>
        <v>44.27</v>
      </c>
      <c r="C1155" s="2">
        <f t="shared" ca="1" si="4"/>
        <v>-4.8161685658997956E-2</v>
      </c>
    </row>
    <row r="1156" spans="1:3">
      <c r="A1156" s="3">
        <f ca="1">IFERROR(__xludf.UNSUPPORTED("""COMPUTED_VALUE"""),45141.6666666666)</f>
        <v>45141.666666666599</v>
      </c>
      <c r="B1156" s="1">
        <f ca="1">IFERROR(__xludf.UNSUPPORTED("""COMPUTED_VALUE"""),44.52)</f>
        <v>44.52</v>
      </c>
      <c r="C1156" s="2">
        <f t="shared" ca="1" si="4"/>
        <v>5.647165123108199E-3</v>
      </c>
    </row>
    <row r="1157" spans="1:3">
      <c r="A1157" s="3">
        <f ca="1">IFERROR(__xludf.UNSUPPORTED("""COMPUTED_VALUE"""),45142.6666666666)</f>
        <v>45142.666666666599</v>
      </c>
      <c r="B1157" s="1">
        <f ca="1">IFERROR(__xludf.UNSUPPORTED("""COMPUTED_VALUE"""),44.68)</f>
        <v>44.68</v>
      </c>
      <c r="C1157" s="2">
        <f t="shared" ca="1" si="4"/>
        <v>3.5938903863431395E-3</v>
      </c>
    </row>
    <row r="1158" spans="1:3">
      <c r="A1158" s="3">
        <f ca="1">IFERROR(__xludf.UNSUPPORTED("""COMPUTED_VALUE"""),45145.6666666666)</f>
        <v>45145.666666666599</v>
      </c>
      <c r="B1158" s="1">
        <f ca="1">IFERROR(__xludf.UNSUPPORTED("""COMPUTED_VALUE"""),45.42)</f>
        <v>45.42</v>
      </c>
      <c r="C1158" s="2">
        <f t="shared" ca="1" si="4"/>
        <v>1.6562220232766382E-2</v>
      </c>
    </row>
    <row r="1159" spans="1:3">
      <c r="A1159" s="3">
        <f ca="1">IFERROR(__xludf.UNSUPPORTED("""COMPUTED_VALUE"""),45146.6666666666)</f>
        <v>45146.666666666599</v>
      </c>
      <c r="B1159" s="1">
        <f ca="1">IFERROR(__xludf.UNSUPPORTED("""COMPUTED_VALUE"""),44.66)</f>
        <v>44.66</v>
      </c>
      <c r="C1159" s="2">
        <f t="shared" ca="1" si="4"/>
        <v>-1.6732716864817372E-2</v>
      </c>
    </row>
    <row r="1160" spans="1:3">
      <c r="A1160" s="3">
        <f ca="1">IFERROR(__xludf.UNSUPPORTED("""COMPUTED_VALUE"""),45147.6666666666)</f>
        <v>45147.666666666599</v>
      </c>
      <c r="B1160" s="1">
        <f ca="1">IFERROR(__xludf.UNSUPPORTED("""COMPUTED_VALUE"""),42.55)</f>
        <v>42.55</v>
      </c>
      <c r="C1160" s="2">
        <f t="shared" ca="1" si="4"/>
        <v>-4.724585759068517E-2</v>
      </c>
    </row>
    <row r="1161" spans="1:3">
      <c r="A1161" s="3">
        <f ca="1">IFERROR(__xludf.UNSUPPORTED("""COMPUTED_VALUE"""),45148.6666666666)</f>
        <v>45148.666666666599</v>
      </c>
      <c r="B1161" s="1">
        <f ca="1">IFERROR(__xludf.UNSUPPORTED("""COMPUTED_VALUE"""),42.39)</f>
        <v>42.39</v>
      </c>
      <c r="C1161" s="2">
        <f t="shared" ca="1" si="4"/>
        <v>-3.7602820211515065E-3</v>
      </c>
    </row>
    <row r="1162" spans="1:3">
      <c r="A1162" s="3">
        <f ca="1">IFERROR(__xludf.UNSUPPORTED("""COMPUTED_VALUE"""),45149.6666666666)</f>
        <v>45149.666666666599</v>
      </c>
      <c r="B1162" s="1">
        <f ca="1">IFERROR(__xludf.UNSUPPORTED("""COMPUTED_VALUE"""),40.85)</f>
        <v>40.85</v>
      </c>
      <c r="C1162" s="2">
        <f t="shared" ca="1" si="4"/>
        <v>-3.6329322953526755E-2</v>
      </c>
    </row>
    <row r="1163" spans="1:3">
      <c r="A1163" s="3">
        <f ca="1">IFERROR(__xludf.UNSUPPORTED("""COMPUTED_VALUE"""),45152.6666666666)</f>
        <v>45152.666666666599</v>
      </c>
      <c r="B1163" s="1">
        <f ca="1">IFERROR(__xludf.UNSUPPORTED("""COMPUTED_VALUE"""),43.75)</f>
        <v>43.75</v>
      </c>
      <c r="C1163" s="2">
        <f t="shared" ca="1" si="4"/>
        <v>7.0991432068543414E-2</v>
      </c>
    </row>
    <row r="1164" spans="1:3">
      <c r="A1164" s="3">
        <f ca="1">IFERROR(__xludf.UNSUPPORTED("""COMPUTED_VALUE"""),45153.6666666666)</f>
        <v>45153.666666666599</v>
      </c>
      <c r="B1164" s="1">
        <f ca="1">IFERROR(__xludf.UNSUPPORTED("""COMPUTED_VALUE"""),43.94)</f>
        <v>43.94</v>
      </c>
      <c r="C1164" s="2">
        <f t="shared" ca="1" si="4"/>
        <v>4.3428571428570911E-3</v>
      </c>
    </row>
    <row r="1165" spans="1:3">
      <c r="A1165" s="3">
        <f ca="1">IFERROR(__xludf.UNSUPPORTED("""COMPUTED_VALUE"""),45154.6666666666)</f>
        <v>45154.666666666599</v>
      </c>
      <c r="B1165" s="1">
        <f ca="1">IFERROR(__xludf.UNSUPPORTED("""COMPUTED_VALUE"""),43.49)</f>
        <v>43.49</v>
      </c>
      <c r="C1165" s="2">
        <f t="shared" ca="1" si="4"/>
        <v>-1.0241238051888844E-2</v>
      </c>
    </row>
    <row r="1166" spans="1:3">
      <c r="A1166" s="3">
        <f ca="1">IFERROR(__xludf.UNSUPPORTED("""COMPUTED_VALUE"""),45155.6666666666)</f>
        <v>45155.666666666599</v>
      </c>
      <c r="B1166" s="1">
        <f ca="1">IFERROR(__xludf.UNSUPPORTED("""COMPUTED_VALUE"""),43.34)</f>
        <v>43.34</v>
      </c>
      <c r="C1166" s="2">
        <f t="shared" ca="1" si="4"/>
        <v>-3.4490687514370792E-3</v>
      </c>
    </row>
    <row r="1167" spans="1:3">
      <c r="A1167" s="3">
        <f ca="1">IFERROR(__xludf.UNSUPPORTED("""COMPUTED_VALUE"""),45156.6666666666)</f>
        <v>45156.666666666599</v>
      </c>
      <c r="B1167" s="1">
        <f ca="1">IFERROR(__xludf.UNSUPPORTED("""COMPUTED_VALUE"""),43.3)</f>
        <v>43.3</v>
      </c>
      <c r="C1167" s="2">
        <f t="shared" ca="1" si="4"/>
        <v>-9.2293493308736154E-4</v>
      </c>
    </row>
    <row r="1168" spans="1:3">
      <c r="A1168" s="3">
        <f ca="1">IFERROR(__xludf.UNSUPPORTED("""COMPUTED_VALUE"""),45159.6666666666)</f>
        <v>45159.666666666599</v>
      </c>
      <c r="B1168" s="1">
        <f ca="1">IFERROR(__xludf.UNSUPPORTED("""COMPUTED_VALUE"""),46.97)</f>
        <v>46.97</v>
      </c>
      <c r="C1168" s="2">
        <f t="shared" ca="1" si="4"/>
        <v>8.4757505773672095E-2</v>
      </c>
    </row>
    <row r="1169" spans="1:3">
      <c r="A1169" s="3">
        <f ca="1">IFERROR(__xludf.UNSUPPORTED("""COMPUTED_VALUE"""),45160.6666666666)</f>
        <v>45160.666666666599</v>
      </c>
      <c r="B1169" s="1">
        <f ca="1">IFERROR(__xludf.UNSUPPORTED("""COMPUTED_VALUE"""),45.67)</f>
        <v>45.67</v>
      </c>
      <c r="C1169" s="2">
        <f t="shared" ca="1" si="4"/>
        <v>-2.767724079199483E-2</v>
      </c>
    </row>
    <row r="1170" spans="1:3">
      <c r="A1170" s="3">
        <f ca="1">IFERROR(__xludf.UNSUPPORTED("""COMPUTED_VALUE"""),45161.6666666666)</f>
        <v>45161.666666666599</v>
      </c>
      <c r="B1170" s="1">
        <f ca="1">IFERROR(__xludf.UNSUPPORTED("""COMPUTED_VALUE"""),47.12)</f>
        <v>47.12</v>
      </c>
      <c r="C1170" s="2">
        <f t="shared" ca="1" si="4"/>
        <v>3.1749507335230909E-2</v>
      </c>
    </row>
    <row r="1171" spans="1:3">
      <c r="A1171" s="3">
        <f ca="1">IFERROR(__xludf.UNSUPPORTED("""COMPUTED_VALUE"""),45162.6666666666)</f>
        <v>45162.666666666599</v>
      </c>
      <c r="B1171" s="1">
        <f ca="1">IFERROR(__xludf.UNSUPPORTED("""COMPUTED_VALUE"""),47.16)</f>
        <v>47.16</v>
      </c>
      <c r="C1171" s="2">
        <f t="shared" ca="1" si="4"/>
        <v>8.4889643463495652E-4</v>
      </c>
    </row>
    <row r="1172" spans="1:3">
      <c r="A1172" s="3">
        <f ca="1">IFERROR(__xludf.UNSUPPORTED("""COMPUTED_VALUE"""),45163.6666666666)</f>
        <v>45163.666666666599</v>
      </c>
      <c r="B1172" s="1">
        <f ca="1">IFERROR(__xludf.UNSUPPORTED("""COMPUTED_VALUE"""),46.02)</f>
        <v>46.02</v>
      </c>
      <c r="C1172" s="2">
        <f t="shared" ca="1" si="4"/>
        <v>-2.4173027989821745E-2</v>
      </c>
    </row>
    <row r="1173" spans="1:3">
      <c r="A1173" s="3">
        <f ca="1">IFERROR(__xludf.UNSUPPORTED("""COMPUTED_VALUE"""),45166.6666666666)</f>
        <v>45166.666666666599</v>
      </c>
      <c r="B1173" s="1">
        <f ca="1">IFERROR(__xludf.UNSUPPORTED("""COMPUTED_VALUE"""),46.84)</f>
        <v>46.84</v>
      </c>
      <c r="C1173" s="2">
        <f t="shared" ca="1" si="4"/>
        <v>1.7818339852238161E-2</v>
      </c>
    </row>
    <row r="1174" spans="1:3">
      <c r="A1174" s="3">
        <f ca="1">IFERROR(__xludf.UNSUPPORTED("""COMPUTED_VALUE"""),45167.6666666666)</f>
        <v>45167.666666666599</v>
      </c>
      <c r="B1174" s="1">
        <f ca="1">IFERROR(__xludf.UNSUPPORTED("""COMPUTED_VALUE"""),48.78)</f>
        <v>48.78</v>
      </c>
      <c r="C1174" s="2">
        <f t="shared" ca="1" si="4"/>
        <v>4.1417591801878685E-2</v>
      </c>
    </row>
    <row r="1175" spans="1:3">
      <c r="A1175" s="3">
        <f ca="1">IFERROR(__xludf.UNSUPPORTED("""COMPUTED_VALUE"""),45168.6666666666)</f>
        <v>45168.666666666599</v>
      </c>
      <c r="B1175" s="1">
        <f ca="1">IFERROR(__xludf.UNSUPPORTED("""COMPUTED_VALUE"""),49.26)</f>
        <v>49.26</v>
      </c>
      <c r="C1175" s="2">
        <f t="shared" ca="1" si="4"/>
        <v>9.8400984009839459E-3</v>
      </c>
    </row>
    <row r="1176" spans="1:3">
      <c r="A1176" s="3">
        <f ca="1">IFERROR(__xludf.UNSUPPORTED("""COMPUTED_VALUE"""),45169.6666666666)</f>
        <v>45169.666666666599</v>
      </c>
      <c r="B1176" s="1">
        <f ca="1">IFERROR(__xludf.UNSUPPORTED("""COMPUTED_VALUE"""),49.36)</f>
        <v>49.36</v>
      </c>
      <c r="C1176" s="2">
        <f t="shared" ca="1" si="4"/>
        <v>2.0300446609825707E-3</v>
      </c>
    </row>
    <row r="1177" spans="1:3">
      <c r="A1177" s="3">
        <f ca="1">IFERROR(__xludf.UNSUPPORTED("""COMPUTED_VALUE"""),45170.6666666666)</f>
        <v>45170.666666666599</v>
      </c>
      <c r="B1177" s="1">
        <f ca="1">IFERROR(__xludf.UNSUPPORTED("""COMPUTED_VALUE"""),48.51)</f>
        <v>48.51</v>
      </c>
      <c r="C1177" s="2">
        <f t="shared" ca="1" si="4"/>
        <v>-1.7220421393841195E-2</v>
      </c>
    </row>
    <row r="1178" spans="1:3">
      <c r="A1178" s="3">
        <f ca="1">IFERROR(__xludf.UNSUPPORTED("""COMPUTED_VALUE"""),45174.6666666666)</f>
        <v>45174.666666666599</v>
      </c>
      <c r="B1178" s="1">
        <f ca="1">IFERROR(__xludf.UNSUPPORTED("""COMPUTED_VALUE"""),48.55)</f>
        <v>48.55</v>
      </c>
      <c r="C1178" s="2">
        <f t="shared" ca="1" si="4"/>
        <v>8.2457225314366421E-4</v>
      </c>
    </row>
    <row r="1179" spans="1:3">
      <c r="A1179" s="3">
        <f ca="1">IFERROR(__xludf.UNSUPPORTED("""COMPUTED_VALUE"""),45175.6666666666)</f>
        <v>45175.666666666599</v>
      </c>
      <c r="B1179" s="1">
        <f ca="1">IFERROR(__xludf.UNSUPPORTED("""COMPUTED_VALUE"""),47.06)</f>
        <v>47.06</v>
      </c>
      <c r="C1179" s="2">
        <f t="shared" ca="1" si="4"/>
        <v>-3.0690010298661072E-2</v>
      </c>
    </row>
    <row r="1180" spans="1:3">
      <c r="A1180" s="3">
        <f ca="1">IFERROR(__xludf.UNSUPPORTED("""COMPUTED_VALUE"""),45176.6666666666)</f>
        <v>45176.666666666599</v>
      </c>
      <c r="B1180" s="1">
        <f ca="1">IFERROR(__xludf.UNSUPPORTED("""COMPUTED_VALUE"""),46.24)</f>
        <v>46.24</v>
      </c>
      <c r="C1180" s="2">
        <f t="shared" ca="1" si="4"/>
        <v>-1.7424564385890358E-2</v>
      </c>
    </row>
    <row r="1181" spans="1:3">
      <c r="A1181" s="3">
        <f ca="1">IFERROR(__xludf.UNSUPPORTED("""COMPUTED_VALUE"""),45177.6666666666)</f>
        <v>45177.666666666599</v>
      </c>
      <c r="B1181" s="1">
        <f ca="1">IFERROR(__xludf.UNSUPPORTED("""COMPUTED_VALUE"""),45.57)</f>
        <v>45.57</v>
      </c>
      <c r="C1181" s="2">
        <f t="shared" ca="1" si="4"/>
        <v>-1.4489619377162666E-2</v>
      </c>
    </row>
    <row r="1182" spans="1:3">
      <c r="A1182" s="3">
        <f ca="1">IFERROR(__xludf.UNSUPPORTED("""COMPUTED_VALUE"""),45180.6666666666)</f>
        <v>45180.666666666599</v>
      </c>
      <c r="B1182" s="1">
        <f ca="1">IFERROR(__xludf.UNSUPPORTED("""COMPUTED_VALUE"""),45.18)</f>
        <v>45.18</v>
      </c>
      <c r="C1182" s="2">
        <f t="shared" ca="1" si="4"/>
        <v>-8.5582620144832259E-3</v>
      </c>
    </row>
    <row r="1183" spans="1:3">
      <c r="A1183" s="3">
        <f ca="1">IFERROR(__xludf.UNSUPPORTED("""COMPUTED_VALUE"""),45181.6666666666)</f>
        <v>45181.666666666599</v>
      </c>
      <c r="B1183" s="1">
        <f ca="1">IFERROR(__xludf.UNSUPPORTED("""COMPUTED_VALUE"""),44.87)</f>
        <v>44.87</v>
      </c>
      <c r="C1183" s="2">
        <f t="shared" ca="1" si="4"/>
        <v>-6.8614431164232461E-3</v>
      </c>
    </row>
    <row r="1184" spans="1:3">
      <c r="A1184" s="3">
        <f ca="1">IFERROR(__xludf.UNSUPPORTED("""COMPUTED_VALUE"""),45182.6666666666)</f>
        <v>45182.666666666599</v>
      </c>
      <c r="B1184" s="1">
        <f ca="1">IFERROR(__xludf.UNSUPPORTED("""COMPUTED_VALUE"""),45.49)</f>
        <v>45.49</v>
      </c>
      <c r="C1184" s="2">
        <f t="shared" ca="1" si="4"/>
        <v>1.3817695564965558E-2</v>
      </c>
    </row>
    <row r="1185" spans="1:3">
      <c r="A1185" s="3">
        <f ca="1">IFERROR(__xludf.UNSUPPORTED("""COMPUTED_VALUE"""),45183.6666666666)</f>
        <v>45183.666666666599</v>
      </c>
      <c r="B1185" s="1">
        <f ca="1">IFERROR(__xludf.UNSUPPORTED("""COMPUTED_VALUE"""),45.58)</f>
        <v>45.58</v>
      </c>
      <c r="C1185" s="2">
        <f t="shared" ca="1" si="4"/>
        <v>1.9784568036930379E-3</v>
      </c>
    </row>
    <row r="1186" spans="1:3">
      <c r="A1186" s="3">
        <f ca="1">IFERROR(__xludf.UNSUPPORTED("""COMPUTED_VALUE"""),45184.6666666666)</f>
        <v>45184.666666666599</v>
      </c>
      <c r="B1186" s="1">
        <f ca="1">IFERROR(__xludf.UNSUPPORTED("""COMPUTED_VALUE"""),43.9)</f>
        <v>43.9</v>
      </c>
      <c r="C1186" s="2">
        <f t="shared" ca="1" si="4"/>
        <v>-3.6858271171566474E-2</v>
      </c>
    </row>
    <row r="1187" spans="1:3">
      <c r="A1187" s="3">
        <f ca="1">IFERROR(__xludf.UNSUPPORTED("""COMPUTED_VALUE"""),45187.6666666666)</f>
        <v>45187.666666666599</v>
      </c>
      <c r="B1187" s="1">
        <f ca="1">IFERROR(__xludf.UNSUPPORTED("""COMPUTED_VALUE"""),43.97)</f>
        <v>43.97</v>
      </c>
      <c r="C1187" s="2">
        <f t="shared" ca="1" si="4"/>
        <v>1.5945330296127627E-3</v>
      </c>
    </row>
    <row r="1188" spans="1:3">
      <c r="A1188" s="3">
        <f ca="1">IFERROR(__xludf.UNSUPPORTED("""COMPUTED_VALUE"""),45188.6666666666)</f>
        <v>45188.666666666599</v>
      </c>
      <c r="B1188" s="1">
        <f ca="1">IFERROR(__xludf.UNSUPPORTED("""COMPUTED_VALUE"""),43.52)</f>
        <v>43.52</v>
      </c>
      <c r="C1188" s="2">
        <f t="shared" ca="1" si="4"/>
        <v>-1.0234250625426331E-2</v>
      </c>
    </row>
    <row r="1189" spans="1:3">
      <c r="A1189" s="3">
        <f ca="1">IFERROR(__xludf.UNSUPPORTED("""COMPUTED_VALUE"""),45189.6666666666)</f>
        <v>45189.666666666599</v>
      </c>
      <c r="B1189" s="1">
        <f ca="1">IFERROR(__xludf.UNSUPPORTED("""COMPUTED_VALUE"""),42.24)</f>
        <v>42.24</v>
      </c>
      <c r="C1189" s="2">
        <f t="shared" ca="1" si="4"/>
        <v>-2.9411764705882377E-2</v>
      </c>
    </row>
    <row r="1190" spans="1:3">
      <c r="A1190" s="3">
        <f ca="1">IFERROR(__xludf.UNSUPPORTED("""COMPUTED_VALUE"""),45190.6666666666)</f>
        <v>45190.666666666599</v>
      </c>
      <c r="B1190" s="1">
        <f ca="1">IFERROR(__xludf.UNSUPPORTED("""COMPUTED_VALUE"""),41.02)</f>
        <v>41.02</v>
      </c>
      <c r="C1190" s="2">
        <f t="shared" ca="1" si="4"/>
        <v>-2.8882575757575728E-2</v>
      </c>
    </row>
    <row r="1191" spans="1:3">
      <c r="A1191" s="3">
        <f ca="1">IFERROR(__xludf.UNSUPPORTED("""COMPUTED_VALUE"""),45191.6666666666)</f>
        <v>45191.666666666599</v>
      </c>
      <c r="B1191" s="1">
        <f ca="1">IFERROR(__xludf.UNSUPPORTED("""COMPUTED_VALUE"""),41.61)</f>
        <v>41.61</v>
      </c>
      <c r="C1191" s="2">
        <f t="shared" ca="1" si="4"/>
        <v>1.4383227693807808E-2</v>
      </c>
    </row>
    <row r="1192" spans="1:3">
      <c r="A1192" s="3">
        <f ca="1">IFERROR(__xludf.UNSUPPORTED("""COMPUTED_VALUE"""),45194.6666666666)</f>
        <v>45194.666666666599</v>
      </c>
      <c r="B1192" s="1">
        <f ca="1">IFERROR(__xludf.UNSUPPORTED("""COMPUTED_VALUE"""),42.22)</f>
        <v>42.22</v>
      </c>
      <c r="C1192" s="2">
        <f t="shared" ca="1" si="4"/>
        <v>1.4659937515020415E-2</v>
      </c>
    </row>
    <row r="1193" spans="1:3">
      <c r="A1193" s="3">
        <f ca="1">IFERROR(__xludf.UNSUPPORTED("""COMPUTED_VALUE"""),45195.6666666666)</f>
        <v>45195.666666666599</v>
      </c>
      <c r="B1193" s="1">
        <f ca="1">IFERROR(__xludf.UNSUPPORTED("""COMPUTED_VALUE"""),41.91)</f>
        <v>41.91</v>
      </c>
      <c r="C1193" s="2">
        <f t="shared" ca="1" si="4"/>
        <v>-7.3424917100900584E-3</v>
      </c>
    </row>
    <row r="1194" spans="1:3">
      <c r="A1194" s="3">
        <f ca="1">IFERROR(__xludf.UNSUPPORTED("""COMPUTED_VALUE"""),45196.6666666666)</f>
        <v>45196.666666666599</v>
      </c>
      <c r="B1194" s="1">
        <f ca="1">IFERROR(__xludf.UNSUPPORTED("""COMPUTED_VALUE"""),42.47)</f>
        <v>42.47</v>
      </c>
      <c r="C1194" s="2">
        <f t="shared" ca="1" si="4"/>
        <v>1.3361966117871686E-2</v>
      </c>
    </row>
    <row r="1195" spans="1:3">
      <c r="A1195" s="3">
        <f ca="1">IFERROR(__xludf.UNSUPPORTED("""COMPUTED_VALUE"""),45197.6666666666)</f>
        <v>45197.666666666599</v>
      </c>
      <c r="B1195" s="1">
        <f ca="1">IFERROR(__xludf.UNSUPPORTED("""COMPUTED_VALUE"""),43.09)</f>
        <v>43.09</v>
      </c>
      <c r="C1195" s="2">
        <f t="shared" ca="1" si="4"/>
        <v>1.4598540145985509E-2</v>
      </c>
    </row>
    <row r="1196" spans="1:3">
      <c r="A1196" s="3">
        <f ca="1">IFERROR(__xludf.UNSUPPORTED("""COMPUTED_VALUE"""),45198.6666666666)</f>
        <v>45198.666666666599</v>
      </c>
      <c r="B1196" s="1">
        <f ca="1">IFERROR(__xludf.UNSUPPORTED("""COMPUTED_VALUE"""),43.5)</f>
        <v>43.5</v>
      </c>
      <c r="C1196" s="2">
        <f t="shared" ca="1" si="4"/>
        <v>9.5149686702250304E-3</v>
      </c>
    </row>
    <row r="1197" spans="1:3">
      <c r="A1197" s="3">
        <f ca="1">IFERROR(__xludf.UNSUPPORTED("""COMPUTED_VALUE"""),45201.6666666666)</f>
        <v>45201.666666666599</v>
      </c>
      <c r="B1197" s="1">
        <f ca="1">IFERROR(__xludf.UNSUPPORTED("""COMPUTED_VALUE"""),44.78)</f>
        <v>44.78</v>
      </c>
      <c r="C1197" s="2">
        <f t="shared" ca="1" si="4"/>
        <v>2.9425287356321866E-2</v>
      </c>
    </row>
    <row r="1198" spans="1:3">
      <c r="A1198" s="3">
        <f ca="1">IFERROR(__xludf.UNSUPPORTED("""COMPUTED_VALUE"""),45202.6666666666)</f>
        <v>45202.666666666599</v>
      </c>
      <c r="B1198" s="1">
        <f ca="1">IFERROR(__xludf.UNSUPPORTED("""COMPUTED_VALUE"""),43.52)</f>
        <v>43.52</v>
      </c>
      <c r="C1198" s="2">
        <f t="shared" ca="1" si="4"/>
        <v>-2.8137561411344304E-2</v>
      </c>
    </row>
    <row r="1199" spans="1:3">
      <c r="A1199" s="3">
        <f ca="1">IFERROR(__xludf.UNSUPPORTED("""COMPUTED_VALUE"""),45203.6666666666)</f>
        <v>45203.666666666599</v>
      </c>
      <c r="B1199" s="1">
        <f ca="1">IFERROR(__xludf.UNSUPPORTED("""COMPUTED_VALUE"""),44.04)</f>
        <v>44.04</v>
      </c>
      <c r="C1199" s="2">
        <f t="shared" ca="1" si="4"/>
        <v>1.1948529411764613E-2</v>
      </c>
    </row>
    <row r="1200" spans="1:3">
      <c r="A1200" s="3">
        <f ca="1">IFERROR(__xludf.UNSUPPORTED("""COMPUTED_VALUE"""),45204.6666666666)</f>
        <v>45204.666666666599</v>
      </c>
      <c r="B1200" s="1">
        <f ca="1">IFERROR(__xludf.UNSUPPORTED("""COMPUTED_VALUE"""),44.69)</f>
        <v>44.69</v>
      </c>
      <c r="C1200" s="2">
        <f t="shared" ca="1" si="4"/>
        <v>1.4759309718437752E-2</v>
      </c>
    </row>
    <row r="1201" spans="1:3">
      <c r="A1201" s="3">
        <f ca="1">IFERROR(__xludf.UNSUPPORTED("""COMPUTED_VALUE"""),45205.6666666666)</f>
        <v>45205.666666666599</v>
      </c>
      <c r="B1201" s="1">
        <f ca="1">IFERROR(__xludf.UNSUPPORTED("""COMPUTED_VALUE"""),45.76)</f>
        <v>45.76</v>
      </c>
      <c r="C1201" s="2">
        <f t="shared" ca="1" si="4"/>
        <v>2.3942716491385106E-2</v>
      </c>
    </row>
    <row r="1202" spans="1:3">
      <c r="A1202" s="3">
        <f ca="1">IFERROR(__xludf.UNSUPPORTED("""COMPUTED_VALUE"""),45208.6666666666)</f>
        <v>45208.666666666599</v>
      </c>
      <c r="B1202" s="1">
        <f ca="1">IFERROR(__xludf.UNSUPPORTED("""COMPUTED_VALUE"""),45.27)</f>
        <v>45.27</v>
      </c>
      <c r="C1202" s="2">
        <f t="shared" ca="1" si="4"/>
        <v>-1.0708041958041847E-2</v>
      </c>
    </row>
    <row r="1203" spans="1:3">
      <c r="A1203" s="3">
        <f ca="1">IFERROR(__xludf.UNSUPPORTED("""COMPUTED_VALUE"""),45209.6666666666)</f>
        <v>45209.666666666599</v>
      </c>
      <c r="B1203" s="1">
        <f ca="1">IFERROR(__xludf.UNSUPPORTED("""COMPUTED_VALUE"""),45.8)</f>
        <v>45.8</v>
      </c>
      <c r="C1203" s="2">
        <f t="shared" ca="1" si="4"/>
        <v>1.1707532582283941E-2</v>
      </c>
    </row>
    <row r="1204" spans="1:3">
      <c r="A1204" s="3">
        <f ca="1">IFERROR(__xludf.UNSUPPORTED("""COMPUTED_VALUE"""),45210.6666666666)</f>
        <v>45210.666666666599</v>
      </c>
      <c r="B1204" s="1">
        <f ca="1">IFERROR(__xludf.UNSUPPORTED("""COMPUTED_VALUE"""),46.81)</f>
        <v>46.81</v>
      </c>
      <c r="C1204" s="2">
        <f t="shared" ca="1" si="4"/>
        <v>2.2052401746725004E-2</v>
      </c>
    </row>
    <row r="1205" spans="1:3">
      <c r="A1205" s="3">
        <f ca="1">IFERROR(__xludf.UNSUPPORTED("""COMPUTED_VALUE"""),45211.6666666666)</f>
        <v>45211.666666666599</v>
      </c>
      <c r="B1205" s="1">
        <f ca="1">IFERROR(__xludf.UNSUPPORTED("""COMPUTED_VALUE"""),46.95)</f>
        <v>46.95</v>
      </c>
      <c r="C1205" s="2">
        <f t="shared" ca="1" si="4"/>
        <v>2.990813928647737E-3</v>
      </c>
    </row>
    <row r="1206" spans="1:3">
      <c r="A1206" s="3">
        <f ca="1">IFERROR(__xludf.UNSUPPORTED("""COMPUTED_VALUE"""),45212.6666666666)</f>
        <v>45212.666666666599</v>
      </c>
      <c r="B1206" s="1">
        <f ca="1">IFERROR(__xludf.UNSUPPORTED("""COMPUTED_VALUE"""),45.46)</f>
        <v>45.46</v>
      </c>
      <c r="C1206" s="2">
        <f t="shared" ca="1" si="4"/>
        <v>-3.1735889243876506E-2</v>
      </c>
    </row>
    <row r="1207" spans="1:3">
      <c r="A1207" s="3">
        <f ca="1">IFERROR(__xludf.UNSUPPORTED("""COMPUTED_VALUE"""),45215.6666666666)</f>
        <v>45215.666666666599</v>
      </c>
      <c r="B1207" s="1">
        <f ca="1">IFERROR(__xludf.UNSUPPORTED("""COMPUTED_VALUE"""),46.1)</f>
        <v>46.1</v>
      </c>
      <c r="C1207" s="2">
        <f t="shared" ca="1" si="4"/>
        <v>1.4078310602727686E-2</v>
      </c>
    </row>
    <row r="1208" spans="1:3">
      <c r="A1208" s="3">
        <f ca="1">IFERROR(__xludf.UNSUPPORTED("""COMPUTED_VALUE"""),45216.6666666666)</f>
        <v>45216.666666666599</v>
      </c>
      <c r="B1208" s="1">
        <f ca="1">IFERROR(__xludf.UNSUPPORTED("""COMPUTED_VALUE"""),43.94)</f>
        <v>43.94</v>
      </c>
      <c r="C1208" s="2">
        <f t="shared" ca="1" si="4"/>
        <v>-4.6854663774403546E-2</v>
      </c>
    </row>
    <row r="1209" spans="1:3">
      <c r="A1209" s="3">
        <f ca="1">IFERROR(__xludf.UNSUPPORTED("""COMPUTED_VALUE"""),45217.6666666666)</f>
        <v>45217.666666666599</v>
      </c>
      <c r="B1209" s="1">
        <f ca="1">IFERROR(__xludf.UNSUPPORTED("""COMPUTED_VALUE"""),42.2)</f>
        <v>42.2</v>
      </c>
      <c r="C1209" s="2">
        <f t="shared" ca="1" si="4"/>
        <v>-3.9599453800637119E-2</v>
      </c>
    </row>
    <row r="1210" spans="1:3">
      <c r="A1210" s="3">
        <f ca="1">IFERROR(__xludf.UNSUPPORTED("""COMPUTED_VALUE"""),45218.6666666666)</f>
        <v>45218.666666666599</v>
      </c>
      <c r="B1210" s="1">
        <f ca="1">IFERROR(__xludf.UNSUPPORTED("""COMPUTED_VALUE"""),42.1)</f>
        <v>42.1</v>
      </c>
      <c r="C1210" s="2">
        <f t="shared" ca="1" si="4"/>
        <v>-2.3696682464455312E-3</v>
      </c>
    </row>
    <row r="1211" spans="1:3">
      <c r="A1211" s="3">
        <f ca="1">IFERROR(__xludf.UNSUPPORTED("""COMPUTED_VALUE"""),45219.6666666666)</f>
        <v>45219.666666666599</v>
      </c>
      <c r="B1211" s="1">
        <f ca="1">IFERROR(__xludf.UNSUPPORTED("""COMPUTED_VALUE"""),41.39)</f>
        <v>41.39</v>
      </c>
      <c r="C1211" s="2">
        <f t="shared" ca="1" si="4"/>
        <v>-1.6864608076009521E-2</v>
      </c>
    </row>
    <row r="1212" spans="1:3">
      <c r="A1212" s="3">
        <f ca="1">IFERROR(__xludf.UNSUPPORTED("""COMPUTED_VALUE"""),45222.6666666666)</f>
        <v>45222.666666666599</v>
      </c>
      <c r="B1212" s="1">
        <f ca="1">IFERROR(__xludf.UNSUPPORTED("""COMPUTED_VALUE"""),42.98)</f>
        <v>42.98</v>
      </c>
      <c r="C1212" s="2">
        <f t="shared" ca="1" si="4"/>
        <v>3.8415076105339362E-2</v>
      </c>
    </row>
    <row r="1213" spans="1:3">
      <c r="A1213" s="3">
        <f ca="1">IFERROR(__xludf.UNSUPPORTED("""COMPUTED_VALUE"""),45223.6666666666)</f>
        <v>45223.666666666599</v>
      </c>
      <c r="B1213" s="1">
        <f ca="1">IFERROR(__xludf.UNSUPPORTED("""COMPUTED_VALUE"""),43.66)</f>
        <v>43.66</v>
      </c>
      <c r="C1213" s="2">
        <f t="shared" ca="1" si="4"/>
        <v>1.5821312238250344E-2</v>
      </c>
    </row>
    <row r="1214" spans="1:3">
      <c r="A1214" s="3">
        <f ca="1">IFERROR(__xludf.UNSUPPORTED("""COMPUTED_VALUE"""),45224.6666666666)</f>
        <v>45224.666666666599</v>
      </c>
      <c r="B1214" s="1">
        <f ca="1">IFERROR(__xludf.UNSUPPORTED("""COMPUTED_VALUE"""),41.78)</f>
        <v>41.78</v>
      </c>
      <c r="C1214" s="2">
        <f t="shared" ca="1" si="4"/>
        <v>-4.3060009161703973E-2</v>
      </c>
    </row>
    <row r="1215" spans="1:3">
      <c r="A1215" s="3">
        <f ca="1">IFERROR(__xludf.UNSUPPORTED("""COMPUTED_VALUE"""),45225.6666666666)</f>
        <v>45225.666666666599</v>
      </c>
      <c r="B1215" s="1">
        <f ca="1">IFERROR(__xludf.UNSUPPORTED("""COMPUTED_VALUE"""),40.33)</f>
        <v>40.33</v>
      </c>
      <c r="C1215" s="2">
        <f t="shared" ca="1" si="4"/>
        <v>-3.4705600765916771E-2</v>
      </c>
    </row>
    <row r="1216" spans="1:3">
      <c r="A1216" s="3">
        <f ca="1">IFERROR(__xludf.UNSUPPORTED("""COMPUTED_VALUE"""),45226.6666666666)</f>
        <v>45226.666666666599</v>
      </c>
      <c r="B1216" s="1">
        <f ca="1">IFERROR(__xludf.UNSUPPORTED("""COMPUTED_VALUE"""),40.5)</f>
        <v>40.5</v>
      </c>
      <c r="C1216" s="2">
        <f t="shared" ca="1" si="4"/>
        <v>4.21522439871068E-3</v>
      </c>
    </row>
    <row r="1217" spans="1:3">
      <c r="A1217" s="3">
        <f ca="1">IFERROR(__xludf.UNSUPPORTED("""COMPUTED_VALUE"""),45229.6666666666)</f>
        <v>45229.666666666599</v>
      </c>
      <c r="B1217" s="1">
        <f ca="1">IFERROR(__xludf.UNSUPPORTED("""COMPUTED_VALUE"""),41.16)</f>
        <v>41.16</v>
      </c>
      <c r="C1217" s="2">
        <f t="shared" ca="1" si="4"/>
        <v>1.6296296296296212E-2</v>
      </c>
    </row>
    <row r="1218" spans="1:3">
      <c r="A1218" s="3">
        <f ca="1">IFERROR(__xludf.UNSUPPORTED("""COMPUTED_VALUE"""),45230.6666666666)</f>
        <v>45230.666666666599</v>
      </c>
      <c r="B1218" s="1">
        <f ca="1">IFERROR(__xludf.UNSUPPORTED("""COMPUTED_VALUE"""),40.78)</f>
        <v>40.78</v>
      </c>
      <c r="C1218" s="2">
        <f t="shared" ca="1" si="4"/>
        <v>-9.2322643343050407E-3</v>
      </c>
    </row>
    <row r="1219" spans="1:3">
      <c r="A1219" s="3">
        <f ca="1">IFERROR(__xludf.UNSUPPORTED("""COMPUTED_VALUE"""),45231.6666666666)</f>
        <v>45231.666666666599</v>
      </c>
      <c r="B1219" s="1">
        <f ca="1">IFERROR(__xludf.UNSUPPORTED("""COMPUTED_VALUE"""),42.33)</f>
        <v>42.33</v>
      </c>
      <c r="C1219" s="2">
        <f t="shared" ca="1" si="4"/>
        <v>3.8008827856792472E-2</v>
      </c>
    </row>
    <row r="1220" spans="1:3">
      <c r="A1220" s="3">
        <f ca="1">IFERROR(__xludf.UNSUPPORTED("""COMPUTED_VALUE"""),45232.6666666666)</f>
        <v>45232.666666666599</v>
      </c>
      <c r="B1220" s="1">
        <f ca="1">IFERROR(__xludf.UNSUPPORTED("""COMPUTED_VALUE"""),43.51)</f>
        <v>43.51</v>
      </c>
      <c r="C1220" s="2">
        <f t="shared" ca="1" si="4"/>
        <v>2.7876210725253953E-2</v>
      </c>
    </row>
    <row r="1221" spans="1:3">
      <c r="A1221" s="3">
        <f ca="1">IFERROR(__xludf.UNSUPPORTED("""COMPUTED_VALUE"""),45233.6666666666)</f>
        <v>45233.666666666599</v>
      </c>
      <c r="B1221" s="1">
        <f ca="1">IFERROR(__xludf.UNSUPPORTED("""COMPUTED_VALUE"""),45.01)</f>
        <v>45.01</v>
      </c>
      <c r="C1221" s="2">
        <f t="shared" ca="1" si="4"/>
        <v>3.4474833371638702E-2</v>
      </c>
    </row>
    <row r="1222" spans="1:3">
      <c r="A1222" s="3">
        <f ca="1">IFERROR(__xludf.UNSUPPORTED("""COMPUTED_VALUE"""),45236.6666666666)</f>
        <v>45236.666666666599</v>
      </c>
      <c r="B1222" s="1">
        <f ca="1">IFERROR(__xludf.UNSUPPORTED("""COMPUTED_VALUE"""),45.75)</f>
        <v>45.75</v>
      </c>
      <c r="C1222" s="2">
        <f t="shared" ca="1" si="4"/>
        <v>1.6440790935347744E-2</v>
      </c>
    </row>
    <row r="1223" spans="1:3">
      <c r="A1223" s="3">
        <f ca="1">IFERROR(__xludf.UNSUPPORTED("""COMPUTED_VALUE"""),45237.6666666666)</f>
        <v>45237.666666666599</v>
      </c>
      <c r="B1223" s="1">
        <f ca="1">IFERROR(__xludf.UNSUPPORTED("""COMPUTED_VALUE"""),45.96)</f>
        <v>45.96</v>
      </c>
      <c r="C1223" s="2">
        <f t="shared" ca="1" si="4"/>
        <v>4.5901639344262477E-3</v>
      </c>
    </row>
    <row r="1224" spans="1:3">
      <c r="A1224" s="3">
        <f ca="1">IFERROR(__xludf.UNSUPPORTED("""COMPUTED_VALUE"""),45238.6666666666)</f>
        <v>45238.666666666599</v>
      </c>
      <c r="B1224" s="1">
        <f ca="1">IFERROR(__xludf.UNSUPPORTED("""COMPUTED_VALUE"""),46.57)</f>
        <v>46.57</v>
      </c>
      <c r="C1224" s="2">
        <f t="shared" ca="1" si="4"/>
        <v>1.3272410791993025E-2</v>
      </c>
    </row>
    <row r="1225" spans="1:3">
      <c r="A1225" s="3">
        <f ca="1">IFERROR(__xludf.UNSUPPORTED("""COMPUTED_VALUE"""),45239.6666666666)</f>
        <v>45239.666666666599</v>
      </c>
      <c r="B1225" s="1">
        <f ca="1">IFERROR(__xludf.UNSUPPORTED("""COMPUTED_VALUE"""),46.95)</f>
        <v>46.95</v>
      </c>
      <c r="C1225" s="2">
        <f t="shared" ca="1" si="4"/>
        <v>8.1597595018252644E-3</v>
      </c>
    </row>
    <row r="1226" spans="1:3">
      <c r="A1226" s="3">
        <f ca="1">IFERROR(__xludf.UNSUPPORTED("""COMPUTED_VALUE"""),45240.6666666666)</f>
        <v>45240.666666666599</v>
      </c>
      <c r="B1226" s="1">
        <f ca="1">IFERROR(__xludf.UNSUPPORTED("""COMPUTED_VALUE"""),48.34)</f>
        <v>48.34</v>
      </c>
      <c r="C1226" s="2">
        <f t="shared" ca="1" si="4"/>
        <v>2.9605963791267315E-2</v>
      </c>
    </row>
    <row r="1227" spans="1:3">
      <c r="A1227" s="3">
        <f ca="1">IFERROR(__xludf.UNSUPPORTED("""COMPUTED_VALUE"""),45243.6666666666)</f>
        <v>45243.666666666599</v>
      </c>
      <c r="B1227" s="1">
        <f ca="1">IFERROR(__xludf.UNSUPPORTED("""COMPUTED_VALUE"""),48.62)</f>
        <v>48.62</v>
      </c>
      <c r="C1227" s="2">
        <f t="shared" ca="1" si="4"/>
        <v>5.7923045097226728E-3</v>
      </c>
    </row>
    <row r="1228" spans="1:3">
      <c r="A1228" s="3">
        <f ca="1">IFERROR(__xludf.UNSUPPORTED("""COMPUTED_VALUE"""),45244.6666666666)</f>
        <v>45244.666666666599</v>
      </c>
      <c r="B1228" s="1">
        <f ca="1">IFERROR(__xludf.UNSUPPORTED("""COMPUTED_VALUE"""),49.66)</f>
        <v>49.66</v>
      </c>
      <c r="C1228" s="2">
        <f t="shared" ca="1" si="4"/>
        <v>2.1390374331550787E-2</v>
      </c>
    </row>
    <row r="1229" spans="1:3">
      <c r="A1229" s="3">
        <f ca="1">IFERROR(__xludf.UNSUPPORTED("""COMPUTED_VALUE"""),45245.6666666666)</f>
        <v>45245.666666666599</v>
      </c>
      <c r="B1229" s="1">
        <f ca="1">IFERROR(__xludf.UNSUPPORTED("""COMPUTED_VALUE"""),48.89)</f>
        <v>48.89</v>
      </c>
      <c r="C1229" s="2">
        <f t="shared" ca="1" si="4"/>
        <v>-1.550543697140548E-2</v>
      </c>
    </row>
    <row r="1230" spans="1:3">
      <c r="A1230" s="3">
        <f ca="1">IFERROR(__xludf.UNSUPPORTED("""COMPUTED_VALUE"""),45246.6666666666)</f>
        <v>45246.666666666599</v>
      </c>
      <c r="B1230" s="1">
        <f ca="1">IFERROR(__xludf.UNSUPPORTED("""COMPUTED_VALUE"""),49.48)</f>
        <v>49.48</v>
      </c>
      <c r="C1230" s="2">
        <f t="shared" ca="1" si="4"/>
        <v>1.2067907547555662E-2</v>
      </c>
    </row>
    <row r="1231" spans="1:3">
      <c r="A1231" s="3">
        <f ca="1">IFERROR(__xludf.UNSUPPORTED("""COMPUTED_VALUE"""),45247.6666666666)</f>
        <v>45247.666666666599</v>
      </c>
      <c r="B1231" s="1">
        <f ca="1">IFERROR(__xludf.UNSUPPORTED("""COMPUTED_VALUE"""),49.3)</f>
        <v>49.3</v>
      </c>
      <c r="C1231" s="2">
        <f t="shared" ca="1" si="4"/>
        <v>-3.6378334680679009E-3</v>
      </c>
    </row>
    <row r="1232" spans="1:3">
      <c r="A1232" s="3">
        <f ca="1">IFERROR(__xludf.UNSUPPORTED("""COMPUTED_VALUE"""),45250.6666666666)</f>
        <v>45250.666666666599</v>
      </c>
      <c r="B1232" s="1">
        <f ca="1">IFERROR(__xludf.UNSUPPORTED("""COMPUTED_VALUE"""),50.41)</f>
        <v>50.41</v>
      </c>
      <c r="C1232" s="2">
        <f t="shared" ca="1" si="4"/>
        <v>2.2515212981744411E-2</v>
      </c>
    </row>
    <row r="1233" spans="1:3">
      <c r="A1233" s="3">
        <f ca="1">IFERROR(__xludf.UNSUPPORTED("""COMPUTED_VALUE"""),45251.6666666666)</f>
        <v>45251.666666666599</v>
      </c>
      <c r="B1233" s="1">
        <f ca="1">IFERROR(__xludf.UNSUPPORTED("""COMPUTED_VALUE"""),49.94)</f>
        <v>49.94</v>
      </c>
      <c r="C1233" s="2">
        <f t="shared" ca="1" si="4"/>
        <v>-9.3235469152945626E-3</v>
      </c>
    </row>
    <row r="1234" spans="1:3">
      <c r="A1234" s="3">
        <f ca="1">IFERROR(__xludf.UNSUPPORTED("""COMPUTED_VALUE"""),45252.6666666666)</f>
        <v>45252.666666666599</v>
      </c>
      <c r="B1234" s="1">
        <f ca="1">IFERROR(__xludf.UNSUPPORTED("""COMPUTED_VALUE"""),48.72)</f>
        <v>48.72</v>
      </c>
      <c r="C1234" s="2">
        <f t="shared" ca="1" si="4"/>
        <v>-2.4429315178213836E-2</v>
      </c>
    </row>
    <row r="1235" spans="1:3">
      <c r="A1235" s="3">
        <f ca="1">IFERROR(__xludf.UNSUPPORTED("""COMPUTED_VALUE"""),45254.5451388888)</f>
        <v>45254.545138888803</v>
      </c>
      <c r="B1235" s="1">
        <f ca="1">IFERROR(__xludf.UNSUPPORTED("""COMPUTED_VALUE"""),47.78)</f>
        <v>47.78</v>
      </c>
      <c r="C1235" s="2">
        <f t="shared" ca="1" si="4"/>
        <v>-1.9293924466338212E-2</v>
      </c>
    </row>
    <row r="1236" spans="1:3">
      <c r="A1236" s="3">
        <f ca="1">IFERROR(__xludf.UNSUPPORTED("""COMPUTED_VALUE"""),45257.6666666666)</f>
        <v>45257.666666666599</v>
      </c>
      <c r="B1236" s="1">
        <f ca="1">IFERROR(__xludf.UNSUPPORTED("""COMPUTED_VALUE"""),48.24)</f>
        <v>48.24</v>
      </c>
      <c r="C1236" s="2">
        <f t="shared" ca="1" si="4"/>
        <v>9.6274591879447636E-3</v>
      </c>
    </row>
    <row r="1237" spans="1:3">
      <c r="A1237" s="3">
        <f ca="1">IFERROR(__xludf.UNSUPPORTED("""COMPUTED_VALUE"""),45258.6666666666)</f>
        <v>45258.666666666599</v>
      </c>
      <c r="B1237" s="1">
        <f ca="1">IFERROR(__xludf.UNSUPPORTED("""COMPUTED_VALUE"""),47.82)</f>
        <v>47.82</v>
      </c>
      <c r="C1237" s="2">
        <f t="shared" ca="1" si="4"/>
        <v>-8.7064676616915773E-3</v>
      </c>
    </row>
    <row r="1238" spans="1:3">
      <c r="A1238" s="3">
        <f ca="1">IFERROR(__xludf.UNSUPPORTED("""COMPUTED_VALUE"""),45259.6666666666)</f>
        <v>45259.666666666599</v>
      </c>
      <c r="B1238" s="1">
        <f ca="1">IFERROR(__xludf.UNSUPPORTED("""COMPUTED_VALUE"""),48.14)</f>
        <v>48.14</v>
      </c>
      <c r="C1238" s="2">
        <f t="shared" ca="1" si="4"/>
        <v>6.6917607695524944E-3</v>
      </c>
    </row>
    <row r="1239" spans="1:3">
      <c r="A1239" s="3">
        <f ca="1">IFERROR(__xludf.UNSUPPORTED("""COMPUTED_VALUE"""),45260.6666666666)</f>
        <v>45260.666666666599</v>
      </c>
      <c r="B1239" s="1">
        <f ca="1">IFERROR(__xludf.UNSUPPORTED("""COMPUTED_VALUE"""),46.77)</f>
        <v>46.77</v>
      </c>
      <c r="C1239" s="2">
        <f t="shared" ca="1" si="4"/>
        <v>-2.8458662235147432E-2</v>
      </c>
    </row>
    <row r="1240" spans="1:3">
      <c r="A1240" s="3">
        <f ca="1">IFERROR(__xludf.UNSUPPORTED("""COMPUTED_VALUE"""),45261.6666666666)</f>
        <v>45261.666666666599</v>
      </c>
      <c r="B1240" s="1">
        <f ca="1">IFERROR(__xludf.UNSUPPORTED("""COMPUTED_VALUE"""),46.77)</f>
        <v>46.77</v>
      </c>
      <c r="C1240" s="2">
        <f t="shared" ca="1" si="4"/>
        <v>0</v>
      </c>
    </row>
    <row r="1241" spans="1:3">
      <c r="A1241" s="3">
        <f ca="1">IFERROR(__xludf.UNSUPPORTED("""COMPUTED_VALUE"""),45264.6666666666)</f>
        <v>45264.666666666599</v>
      </c>
      <c r="B1241" s="1">
        <f ca="1">IFERROR(__xludf.UNSUPPORTED("""COMPUTED_VALUE"""),45.51)</f>
        <v>45.51</v>
      </c>
      <c r="C1241" s="2">
        <f t="shared" ca="1" si="4"/>
        <v>-2.6940346375882083E-2</v>
      </c>
    </row>
    <row r="1242" spans="1:3">
      <c r="A1242" s="3">
        <f ca="1">IFERROR(__xludf.UNSUPPORTED("""COMPUTED_VALUE"""),45265.6666666666)</f>
        <v>45265.666666666599</v>
      </c>
      <c r="B1242" s="1">
        <f ca="1">IFERROR(__xludf.UNSUPPORTED("""COMPUTED_VALUE"""),46.57)</f>
        <v>46.57</v>
      </c>
      <c r="C1242" s="2">
        <f t="shared" ca="1" si="4"/>
        <v>2.3291584267194073E-2</v>
      </c>
    </row>
    <row r="1243" spans="1:3">
      <c r="A1243" s="3">
        <f ca="1">IFERROR(__xludf.UNSUPPORTED("""COMPUTED_VALUE"""),45266.6666666666)</f>
        <v>45266.666666666599</v>
      </c>
      <c r="B1243" s="1">
        <f ca="1">IFERROR(__xludf.UNSUPPORTED("""COMPUTED_VALUE"""),45.5)</f>
        <v>45.5</v>
      </c>
      <c r="C1243" s="2">
        <f t="shared" ca="1" si="4"/>
        <v>-2.2976164913034149E-2</v>
      </c>
    </row>
    <row r="1244" spans="1:3">
      <c r="A1244" s="3">
        <f ca="1">IFERROR(__xludf.UNSUPPORTED("""COMPUTED_VALUE"""),45267.6666666666)</f>
        <v>45267.666666666599</v>
      </c>
      <c r="B1244" s="1">
        <f ca="1">IFERROR(__xludf.UNSUPPORTED("""COMPUTED_VALUE"""),46.6)</f>
        <v>46.6</v>
      </c>
      <c r="C1244" s="2">
        <f t="shared" ca="1" si="4"/>
        <v>2.4175824175824208E-2</v>
      </c>
    </row>
    <row r="1245" spans="1:3">
      <c r="A1245" s="3">
        <f ca="1">IFERROR(__xludf.UNSUPPORTED("""COMPUTED_VALUE"""),45268.6666666666)</f>
        <v>45268.666666666599</v>
      </c>
      <c r="B1245" s="1">
        <f ca="1">IFERROR(__xludf.UNSUPPORTED("""COMPUTED_VALUE"""),47.51)</f>
        <v>47.51</v>
      </c>
      <c r="C1245" s="2">
        <f t="shared" ca="1" si="4"/>
        <v>1.9527896995708081E-2</v>
      </c>
    </row>
    <row r="1246" spans="1:3">
      <c r="A1246" s="3">
        <f ca="1">IFERROR(__xludf.UNSUPPORTED("""COMPUTED_VALUE"""),45271.6666666666)</f>
        <v>45271.666666666599</v>
      </c>
      <c r="B1246" s="1">
        <f ca="1">IFERROR(__xludf.UNSUPPORTED("""COMPUTED_VALUE"""),46.63)</f>
        <v>46.63</v>
      </c>
      <c r="C1246" s="2">
        <f t="shared" ca="1" si="4"/>
        <v>-1.8522416333403399E-2</v>
      </c>
    </row>
    <row r="1247" spans="1:3">
      <c r="A1247" s="3">
        <f ca="1">IFERROR(__xludf.UNSUPPORTED("""COMPUTED_VALUE"""),45272.6666666666)</f>
        <v>45272.666666666599</v>
      </c>
      <c r="B1247" s="1">
        <f ca="1">IFERROR(__xludf.UNSUPPORTED("""COMPUTED_VALUE"""),47.66)</f>
        <v>47.66</v>
      </c>
      <c r="C1247" s="2">
        <f t="shared" ca="1" si="4"/>
        <v>2.2088784044606347E-2</v>
      </c>
    </row>
    <row r="1248" spans="1:3">
      <c r="A1248" s="3">
        <f ca="1">IFERROR(__xludf.UNSUPPORTED("""COMPUTED_VALUE"""),45273.6666666666)</f>
        <v>45273.666666666599</v>
      </c>
      <c r="B1248" s="1">
        <f ca="1">IFERROR(__xludf.UNSUPPORTED("""COMPUTED_VALUE"""),48.09)</f>
        <v>48.09</v>
      </c>
      <c r="C1248" s="2">
        <f t="shared" ca="1" si="4"/>
        <v>9.0222408728494932E-3</v>
      </c>
    </row>
    <row r="1249" spans="1:3">
      <c r="A1249" s="3">
        <f ca="1">IFERROR(__xludf.UNSUPPORTED("""COMPUTED_VALUE"""),45274.6666666666)</f>
        <v>45274.666666666599</v>
      </c>
      <c r="B1249" s="1">
        <f ca="1">IFERROR(__xludf.UNSUPPORTED("""COMPUTED_VALUE"""),48.35)</f>
        <v>48.35</v>
      </c>
      <c r="C1249" s="2">
        <f t="shared" ca="1" si="4"/>
        <v>5.4065294239966314E-3</v>
      </c>
    </row>
    <row r="1250" spans="1:3">
      <c r="A1250" s="3">
        <f ca="1">IFERROR(__xludf.UNSUPPORTED("""COMPUTED_VALUE"""),45275.6666666666)</f>
        <v>45275.666666666599</v>
      </c>
      <c r="B1250" s="1">
        <f ca="1">IFERROR(__xludf.UNSUPPORTED("""COMPUTED_VALUE"""),48.89)</f>
        <v>48.89</v>
      </c>
      <c r="C1250" s="2">
        <f t="shared" ca="1" si="4"/>
        <v>1.1168562564632866E-2</v>
      </c>
    </row>
    <row r="1251" spans="1:3">
      <c r="A1251" s="3">
        <f ca="1">IFERROR(__xludf.UNSUPPORTED("""COMPUTED_VALUE"""),45278.6666666666)</f>
        <v>45278.666666666599</v>
      </c>
      <c r="B1251" s="1">
        <f ca="1">IFERROR(__xludf.UNSUPPORTED("""COMPUTED_VALUE"""),50.08)</f>
        <v>50.08</v>
      </c>
      <c r="C1251" s="2">
        <f t="shared" ca="1" si="4"/>
        <v>2.4340355901002204E-2</v>
      </c>
    </row>
    <row r="1252" spans="1:3">
      <c r="A1252" s="3">
        <f ca="1">IFERROR(__xludf.UNSUPPORTED("""COMPUTED_VALUE"""),45279.6666666666)</f>
        <v>45279.666666666599</v>
      </c>
      <c r="B1252" s="1">
        <f ca="1">IFERROR(__xludf.UNSUPPORTED("""COMPUTED_VALUE"""),49.6)</f>
        <v>49.6</v>
      </c>
      <c r="C1252" s="2">
        <f t="shared" ca="1" si="4"/>
        <v>-9.5846645367411512E-3</v>
      </c>
    </row>
    <row r="1253" spans="1:3">
      <c r="A1253" s="3">
        <f ca="1">IFERROR(__xludf.UNSUPPORTED("""COMPUTED_VALUE"""),45280.6666666666)</f>
        <v>45280.666666666599</v>
      </c>
      <c r="B1253" s="1">
        <f ca="1">IFERROR(__xludf.UNSUPPORTED("""COMPUTED_VALUE"""),48.11)</f>
        <v>48.11</v>
      </c>
      <c r="C1253" s="2">
        <f t="shared" ca="1" si="4"/>
        <v>-3.00403225806452E-2</v>
      </c>
    </row>
    <row r="1254" spans="1:3">
      <c r="A1254" s="3">
        <f ca="1">IFERROR(__xludf.UNSUPPORTED("""COMPUTED_VALUE"""),45281.6666666666)</f>
        <v>45281.666666666599</v>
      </c>
      <c r="B1254" s="1">
        <f ca="1">IFERROR(__xludf.UNSUPPORTED("""COMPUTED_VALUE"""),48.99)</f>
        <v>48.99</v>
      </c>
      <c r="C1254" s="2">
        <f t="shared" ca="1" si="4"/>
        <v>1.8291415506131836E-2</v>
      </c>
    </row>
    <row r="1255" spans="1:3">
      <c r="A1255" s="3">
        <f ca="1">IFERROR(__xludf.UNSUPPORTED("""COMPUTED_VALUE"""),45282.6666666666)</f>
        <v>45282.666666666599</v>
      </c>
      <c r="B1255" s="1">
        <f ca="1">IFERROR(__xludf.UNSUPPORTED("""COMPUTED_VALUE"""),48.83)</f>
        <v>48.83</v>
      </c>
      <c r="C1255" s="2">
        <f t="shared" ca="1" si="4"/>
        <v>-3.2659726474791526E-3</v>
      </c>
    </row>
    <row r="1256" spans="1:3">
      <c r="A1256" s="3">
        <f ca="1">IFERROR(__xludf.UNSUPPORTED("""COMPUTED_VALUE"""),45286.6666666666)</f>
        <v>45286.666666666599</v>
      </c>
      <c r="B1256" s="1">
        <f ca="1">IFERROR(__xludf.UNSUPPORTED("""COMPUTED_VALUE"""),49.28)</f>
        <v>49.28</v>
      </c>
      <c r="C1256" s="2">
        <f t="shared" ca="1" si="4"/>
        <v>9.2156461191890814E-3</v>
      </c>
    </row>
    <row r="1257" spans="1:3">
      <c r="A1257" s="3">
        <f ca="1">IFERROR(__xludf.UNSUPPORTED("""COMPUTED_VALUE"""),45287.6666666666)</f>
        <v>45287.666666666599</v>
      </c>
      <c r="B1257" s="1">
        <f ca="1">IFERROR(__xludf.UNSUPPORTED("""COMPUTED_VALUE"""),49.42)</f>
        <v>49.42</v>
      </c>
      <c r="C1257" s="2">
        <f t="shared" ca="1" si="4"/>
        <v>2.8409090909091023E-3</v>
      </c>
    </row>
    <row r="1258" spans="1:3">
      <c r="A1258" s="3">
        <f ca="1">IFERROR(__xludf.UNSUPPORTED("""COMPUTED_VALUE"""),45288.6666666666)</f>
        <v>45288.666666666599</v>
      </c>
      <c r="B1258" s="1">
        <f ca="1">IFERROR(__xludf.UNSUPPORTED("""COMPUTED_VALUE"""),49.52)</f>
        <v>49.52</v>
      </c>
      <c r="C1258" s="2">
        <f t="shared" ca="1" si="4"/>
        <v>2.023472278429814E-3</v>
      </c>
    </row>
    <row r="1259" spans="1:3">
      <c r="A1259" s="3">
        <f ca="1">IFERROR(__xludf.UNSUPPORTED("""COMPUTED_VALUE"""),45289.6666666666)</f>
        <v>45289.666666666599</v>
      </c>
      <c r="B1259" s="1">
        <f ca="1">IFERROR(__xludf.UNSUPPORTED("""COMPUTED_VALUE"""),49.52)</f>
        <v>49.52</v>
      </c>
      <c r="C1259" s="2">
        <f t="shared" ca="1" si="4"/>
        <v>0</v>
      </c>
    </row>
    <row r="1260" spans="1:3">
      <c r="A1260" s="3">
        <f ca="1">IFERROR(__xludf.UNSUPPORTED("""COMPUTED_VALUE"""),45293.6666666666)</f>
        <v>45293.666666666599</v>
      </c>
      <c r="B1260" s="1">
        <f ca="1">IFERROR(__xludf.UNSUPPORTED("""COMPUTED_VALUE"""),48.17)</f>
        <v>48.17</v>
      </c>
      <c r="C1260" s="2">
        <f t="shared" ca="1" si="4"/>
        <v>-2.7261712439418443E-2</v>
      </c>
    </row>
    <row r="1261" spans="1:3">
      <c r="A1261" s="3">
        <f ca="1">IFERROR(__xludf.UNSUPPORTED("""COMPUTED_VALUE"""),45294.6666666666)</f>
        <v>45294.666666666599</v>
      </c>
      <c r="B1261" s="1">
        <f ca="1">IFERROR(__xludf.UNSUPPORTED("""COMPUTED_VALUE"""),47.57)</f>
        <v>47.57</v>
      </c>
      <c r="C1261" s="2">
        <f t="shared" ca="1" si="4"/>
        <v>-1.2455885405854294E-2</v>
      </c>
    </row>
    <row r="1262" spans="1:3">
      <c r="A1262" s="3">
        <f ca="1">IFERROR(__xludf.UNSUPPORTED("""COMPUTED_VALUE"""),45295.6666666666)</f>
        <v>45295.666666666599</v>
      </c>
      <c r="B1262" s="1">
        <f ca="1">IFERROR(__xludf.UNSUPPORTED("""COMPUTED_VALUE"""),48)</f>
        <v>48</v>
      </c>
      <c r="C1262" s="2">
        <f t="shared" ca="1" si="4"/>
        <v>9.0393104898044922E-3</v>
      </c>
    </row>
    <row r="1263" spans="1:3">
      <c r="A1263" s="3">
        <f ca="1">IFERROR(__xludf.UNSUPPORTED("""COMPUTED_VALUE"""),45296.6666666666)</f>
        <v>45296.666666666599</v>
      </c>
      <c r="B1263" s="1">
        <f ca="1">IFERROR(__xludf.UNSUPPORTED("""COMPUTED_VALUE"""),49.1)</f>
        <v>49.1</v>
      </c>
      <c r="C1263" s="2">
        <f t="shared" ca="1" si="4"/>
        <v>2.2916666666666696E-2</v>
      </c>
    </row>
    <row r="1264" spans="1:3">
      <c r="A1264" s="3">
        <f ca="1">IFERROR(__xludf.UNSUPPORTED("""COMPUTED_VALUE"""),45299.6666666666)</f>
        <v>45299.666666666599</v>
      </c>
      <c r="B1264" s="1">
        <f ca="1">IFERROR(__xludf.UNSUPPORTED("""COMPUTED_VALUE"""),52.25)</f>
        <v>52.25</v>
      </c>
      <c r="C1264" s="2">
        <f t="shared" ca="1" si="4"/>
        <v>6.4154786150712795E-2</v>
      </c>
    </row>
    <row r="1265" spans="1:3">
      <c r="A1265" s="3">
        <f ca="1">IFERROR(__xludf.UNSUPPORTED("""COMPUTED_VALUE"""),45300.6666666666)</f>
        <v>45300.666666666599</v>
      </c>
      <c r="B1265" s="1">
        <f ca="1">IFERROR(__xludf.UNSUPPORTED("""COMPUTED_VALUE"""),53.14)</f>
        <v>53.14</v>
      </c>
      <c r="C1265" s="2">
        <f t="shared" ca="1" si="4"/>
        <v>1.7033492822966519E-2</v>
      </c>
    </row>
    <row r="1266" spans="1:3">
      <c r="A1266" s="3">
        <f ca="1">IFERROR(__xludf.UNSUPPORTED("""COMPUTED_VALUE"""),45301.6666666666)</f>
        <v>45301.666666666599</v>
      </c>
      <c r="B1266" s="1">
        <f ca="1">IFERROR(__xludf.UNSUPPORTED("""COMPUTED_VALUE"""),54.35)</f>
        <v>54.35</v>
      </c>
      <c r="C1266" s="2">
        <f t="shared" ca="1" si="4"/>
        <v>2.277004140007529E-2</v>
      </c>
    </row>
    <row r="1267" spans="1:3">
      <c r="A1267" s="3">
        <f ca="1">IFERROR(__xludf.UNSUPPORTED("""COMPUTED_VALUE"""),45302.6666666666)</f>
        <v>45302.666666666599</v>
      </c>
      <c r="B1267" s="1">
        <f ca="1">IFERROR(__xludf.UNSUPPORTED("""COMPUTED_VALUE"""),54.82)</f>
        <v>54.82</v>
      </c>
      <c r="C1267" s="2">
        <f t="shared" ca="1" si="4"/>
        <v>8.6476540938362247E-3</v>
      </c>
    </row>
    <row r="1268" spans="1:3">
      <c r="A1268" s="3">
        <f ca="1">IFERROR(__xludf.UNSUPPORTED("""COMPUTED_VALUE"""),45303.6666666666)</f>
        <v>45303.666666666599</v>
      </c>
      <c r="B1268" s="1">
        <f ca="1">IFERROR(__xludf.UNSUPPORTED("""COMPUTED_VALUE"""),54.71)</f>
        <v>54.71</v>
      </c>
      <c r="C1268" s="2">
        <f t="shared" ca="1" si="4"/>
        <v>-2.0065669463699277E-3</v>
      </c>
    </row>
    <row r="1269" spans="1:3">
      <c r="A1269" s="3">
        <f ca="1">IFERROR(__xludf.UNSUPPORTED("""COMPUTED_VALUE"""),45307.6666666666)</f>
        <v>45307.666666666599</v>
      </c>
      <c r="B1269" s="1">
        <f ca="1">IFERROR(__xludf.UNSUPPORTED("""COMPUTED_VALUE"""),56.38)</f>
        <v>56.38</v>
      </c>
      <c r="C1269" s="2">
        <f t="shared" ca="1" si="4"/>
        <v>3.0524584171083929E-2</v>
      </c>
    </row>
    <row r="1270" spans="1:3">
      <c r="A1270" s="3">
        <f ca="1">IFERROR(__xludf.UNSUPPORTED("""COMPUTED_VALUE"""),45308.6666666666)</f>
        <v>45308.666666666599</v>
      </c>
      <c r="B1270" s="1">
        <f ca="1">IFERROR(__xludf.UNSUPPORTED("""COMPUTED_VALUE"""),56.05)</f>
        <v>56.05</v>
      </c>
      <c r="C1270" s="2">
        <f t="shared" ca="1" si="4"/>
        <v>-5.8531394111387969E-3</v>
      </c>
    </row>
    <row r="1271" spans="1:3">
      <c r="A1271" s="3">
        <f ca="1">IFERROR(__xludf.UNSUPPORTED("""COMPUTED_VALUE"""),45309.6666666666)</f>
        <v>45309.666666666599</v>
      </c>
      <c r="B1271" s="1">
        <f ca="1">IFERROR(__xludf.UNSUPPORTED("""COMPUTED_VALUE"""),57.11)</f>
        <v>57.11</v>
      </c>
      <c r="C1271" s="2">
        <f t="shared" ca="1" si="4"/>
        <v>1.8911685994647678E-2</v>
      </c>
    </row>
    <row r="1272" spans="1:3">
      <c r="A1272" s="3">
        <f ca="1">IFERROR(__xludf.UNSUPPORTED("""COMPUTED_VALUE"""),45310.6666666666)</f>
        <v>45310.666666666599</v>
      </c>
      <c r="B1272" s="1">
        <f ca="1">IFERROR(__xludf.UNSUPPORTED("""COMPUTED_VALUE"""),59.49)</f>
        <v>59.49</v>
      </c>
      <c r="C1272" s="2">
        <f t="shared" ca="1" si="4"/>
        <v>4.1673962528453908E-2</v>
      </c>
    </row>
    <row r="1273" spans="1:3">
      <c r="A1273" s="3">
        <f ca="1">IFERROR(__xludf.UNSUPPORTED("""COMPUTED_VALUE"""),45313.6666666666)</f>
        <v>45313.666666666599</v>
      </c>
      <c r="B1273" s="1">
        <f ca="1">IFERROR(__xludf.UNSUPPORTED("""COMPUTED_VALUE"""),59.65)</f>
        <v>59.65</v>
      </c>
      <c r="C1273" s="2">
        <f t="shared" ca="1" si="4"/>
        <v>2.6895276517061115E-3</v>
      </c>
    </row>
    <row r="1274" spans="1:3">
      <c r="A1274" s="3">
        <f ca="1">IFERROR(__xludf.UNSUPPORTED("""COMPUTED_VALUE"""),45314.6666666666)</f>
        <v>45314.666666666599</v>
      </c>
      <c r="B1274" s="1">
        <f ca="1">IFERROR(__xludf.UNSUPPORTED("""COMPUTED_VALUE"""),59.87)</f>
        <v>59.87</v>
      </c>
      <c r="C1274" s="2">
        <f t="shared" ca="1" si="4"/>
        <v>3.6881810561609197E-3</v>
      </c>
    </row>
    <row r="1275" spans="1:3">
      <c r="A1275" s="3">
        <f ca="1">IFERROR(__xludf.UNSUPPORTED("""COMPUTED_VALUE"""),45315.6666666666)</f>
        <v>45315.666666666599</v>
      </c>
      <c r="B1275" s="1">
        <f ca="1">IFERROR(__xludf.UNSUPPORTED("""COMPUTED_VALUE"""),61.36)</f>
        <v>61.36</v>
      </c>
      <c r="C1275" s="2">
        <f t="shared" ca="1" si="4"/>
        <v>2.488725572072828E-2</v>
      </c>
    </row>
    <row r="1276" spans="1:3">
      <c r="A1276" s="3">
        <f ca="1">IFERROR(__xludf.UNSUPPORTED("""COMPUTED_VALUE"""),45316.6666666666)</f>
        <v>45316.666666666599</v>
      </c>
      <c r="B1276" s="1">
        <f ca="1">IFERROR(__xludf.UNSUPPORTED("""COMPUTED_VALUE"""),61.62)</f>
        <v>61.62</v>
      </c>
      <c r="C1276" s="2">
        <f t="shared" ca="1" si="4"/>
        <v>4.2372881355931882E-3</v>
      </c>
    </row>
    <row r="1277" spans="1:3">
      <c r="A1277" s="3">
        <f ca="1">IFERROR(__xludf.UNSUPPORTED("""COMPUTED_VALUE"""),45317.6666666666)</f>
        <v>45317.666666666599</v>
      </c>
      <c r="B1277" s="1">
        <f ca="1">IFERROR(__xludf.UNSUPPORTED("""COMPUTED_VALUE"""),61.03)</f>
        <v>61.03</v>
      </c>
      <c r="C1277" s="2">
        <f t="shared" ca="1" si="4"/>
        <v>-9.574813372281667E-3</v>
      </c>
    </row>
    <row r="1278" spans="1:3">
      <c r="A1278" s="3">
        <f ca="1">IFERROR(__xludf.UNSUPPORTED("""COMPUTED_VALUE"""),45320.6666666666)</f>
        <v>45320.666666666599</v>
      </c>
      <c r="B1278" s="1">
        <f ca="1">IFERROR(__xludf.UNSUPPORTED("""COMPUTED_VALUE"""),62.47)</f>
        <v>62.47</v>
      </c>
      <c r="C1278" s="2">
        <f t="shared" ref="C1278:C1532" ca="1" si="5">(B1278-B1277)/B1277</f>
        <v>2.3594953301654887E-2</v>
      </c>
    </row>
    <row r="1279" spans="1:3">
      <c r="A1279" s="3">
        <f ca="1">IFERROR(__xludf.UNSUPPORTED("""COMPUTED_VALUE"""),45321.6666666666)</f>
        <v>45321.666666666599</v>
      </c>
      <c r="B1279" s="1">
        <f ca="1">IFERROR(__xludf.UNSUPPORTED("""COMPUTED_VALUE"""),62.77)</f>
        <v>62.77</v>
      </c>
      <c r="C1279" s="2">
        <f t="shared" ca="1" si="5"/>
        <v>4.8023051064511645E-3</v>
      </c>
    </row>
    <row r="1280" spans="1:3">
      <c r="A1280" s="3">
        <f ca="1">IFERROR(__xludf.UNSUPPORTED("""COMPUTED_VALUE"""),45322.6666666666)</f>
        <v>45322.666666666599</v>
      </c>
      <c r="B1280" s="1">
        <f ca="1">IFERROR(__xludf.UNSUPPORTED("""COMPUTED_VALUE"""),61.53)</f>
        <v>61.53</v>
      </c>
      <c r="C1280" s="2">
        <f t="shared" ca="1" si="5"/>
        <v>-1.9754659869364376E-2</v>
      </c>
    </row>
    <row r="1281" spans="1:3">
      <c r="A1281" s="3">
        <f ca="1">IFERROR(__xludf.UNSUPPORTED("""COMPUTED_VALUE"""),45323.6666666666)</f>
        <v>45323.666666666599</v>
      </c>
      <c r="B1281" s="1">
        <f ca="1">IFERROR(__xludf.UNSUPPORTED("""COMPUTED_VALUE"""),63.03)</f>
        <v>63.03</v>
      </c>
      <c r="C1281" s="2">
        <f t="shared" ca="1" si="5"/>
        <v>2.4378352023403216E-2</v>
      </c>
    </row>
    <row r="1282" spans="1:3">
      <c r="A1282" s="3">
        <f ca="1">IFERROR(__xludf.UNSUPPORTED("""COMPUTED_VALUE"""),45324.6666666666)</f>
        <v>45324.666666666599</v>
      </c>
      <c r="B1282" s="1">
        <f ca="1">IFERROR(__xludf.UNSUPPORTED("""COMPUTED_VALUE"""),66.16)</f>
        <v>66.16</v>
      </c>
      <c r="C1282" s="2">
        <f t="shared" ca="1" si="5"/>
        <v>4.9658892590829694E-2</v>
      </c>
    </row>
    <row r="1283" spans="1:3">
      <c r="A1283" s="3">
        <f ca="1">IFERROR(__xludf.UNSUPPORTED("""COMPUTED_VALUE"""),45327.6666666666)</f>
        <v>45327.666666666599</v>
      </c>
      <c r="B1283" s="1">
        <f ca="1">IFERROR(__xludf.UNSUPPORTED("""COMPUTED_VALUE"""),69.33)</f>
        <v>69.33</v>
      </c>
      <c r="C1283" s="2">
        <f t="shared" ca="1" si="5"/>
        <v>4.7914147521160848E-2</v>
      </c>
    </row>
    <row r="1284" spans="1:3">
      <c r="A1284" s="3">
        <f ca="1">IFERROR(__xludf.UNSUPPORTED("""COMPUTED_VALUE"""),45328.6666666666)</f>
        <v>45328.666666666599</v>
      </c>
      <c r="B1284" s="1">
        <f ca="1">IFERROR(__xludf.UNSUPPORTED("""COMPUTED_VALUE"""),68.22)</f>
        <v>68.22</v>
      </c>
      <c r="C1284" s="2">
        <f t="shared" ca="1" si="5"/>
        <v>-1.6010385114668967E-2</v>
      </c>
    </row>
    <row r="1285" spans="1:3">
      <c r="A1285" s="3">
        <f ca="1">IFERROR(__xludf.UNSUPPORTED("""COMPUTED_VALUE"""),45329.6666666666)</f>
        <v>45329.666666666599</v>
      </c>
      <c r="B1285" s="1">
        <f ca="1">IFERROR(__xludf.UNSUPPORTED("""COMPUTED_VALUE"""),70.1)</f>
        <v>70.099999999999994</v>
      </c>
      <c r="C1285" s="2">
        <f t="shared" ca="1" si="5"/>
        <v>2.7557900908824325E-2</v>
      </c>
    </row>
    <row r="1286" spans="1:3">
      <c r="A1286" s="3">
        <f ca="1">IFERROR(__xludf.UNSUPPORTED("""COMPUTED_VALUE"""),45330.6666666666)</f>
        <v>45330.666666666599</v>
      </c>
      <c r="B1286" s="1">
        <f ca="1">IFERROR(__xludf.UNSUPPORTED("""COMPUTED_VALUE"""),69.64)</f>
        <v>69.64</v>
      </c>
      <c r="C1286" s="2">
        <f t="shared" ca="1" si="5"/>
        <v>-6.5620542082738056E-3</v>
      </c>
    </row>
    <row r="1287" spans="1:3">
      <c r="A1287" s="3">
        <f ca="1">IFERROR(__xludf.UNSUPPORTED("""COMPUTED_VALUE"""),45331.6666666666)</f>
        <v>45331.666666666599</v>
      </c>
      <c r="B1287" s="1">
        <f ca="1">IFERROR(__xludf.UNSUPPORTED("""COMPUTED_VALUE"""),72.13)</f>
        <v>72.13</v>
      </c>
      <c r="C1287" s="2">
        <f t="shared" ca="1" si="5"/>
        <v>3.5755313038483554E-2</v>
      </c>
    </row>
    <row r="1288" spans="1:3">
      <c r="A1288" s="3">
        <f ca="1">IFERROR(__xludf.UNSUPPORTED("""COMPUTED_VALUE"""),45334.6666666666)</f>
        <v>45334.666666666599</v>
      </c>
      <c r="B1288" s="1">
        <f ca="1">IFERROR(__xludf.UNSUPPORTED("""COMPUTED_VALUE"""),72.25)</f>
        <v>72.25</v>
      </c>
      <c r="C1288" s="2">
        <f t="shared" ca="1" si="5"/>
        <v>1.6636628309996471E-3</v>
      </c>
    </row>
    <row r="1289" spans="1:3">
      <c r="A1289" s="3">
        <f ca="1">IFERROR(__xludf.UNSUPPORTED("""COMPUTED_VALUE"""),45335.6666666666)</f>
        <v>45335.666666666599</v>
      </c>
      <c r="B1289" s="1">
        <f ca="1">IFERROR(__xludf.UNSUPPORTED("""COMPUTED_VALUE"""),72.13)</f>
        <v>72.13</v>
      </c>
      <c r="C1289" s="2">
        <f t="shared" ca="1" si="5"/>
        <v>-1.6608996539793017E-3</v>
      </c>
    </row>
    <row r="1290" spans="1:3">
      <c r="A1290" s="3">
        <f ca="1">IFERROR(__xludf.UNSUPPORTED("""COMPUTED_VALUE"""),45336.6666666666)</f>
        <v>45336.666666666599</v>
      </c>
      <c r="B1290" s="1">
        <f ca="1">IFERROR(__xludf.UNSUPPORTED("""COMPUTED_VALUE"""),73.9)</f>
        <v>73.900000000000006</v>
      </c>
      <c r="C1290" s="2">
        <f t="shared" ca="1" si="5"/>
        <v>2.4539026757244009E-2</v>
      </c>
    </row>
    <row r="1291" spans="1:3">
      <c r="A1291" s="3">
        <f ca="1">IFERROR(__xludf.UNSUPPORTED("""COMPUTED_VALUE"""),45337.6666666666)</f>
        <v>45337.666666666599</v>
      </c>
      <c r="B1291" s="1">
        <f ca="1">IFERROR(__xludf.UNSUPPORTED("""COMPUTED_VALUE"""),72.66)</f>
        <v>72.66</v>
      </c>
      <c r="C1291" s="2">
        <f t="shared" ca="1" si="5"/>
        <v>-1.6779431664411489E-2</v>
      </c>
    </row>
    <row r="1292" spans="1:3">
      <c r="A1292" s="3">
        <f ca="1">IFERROR(__xludf.UNSUPPORTED("""COMPUTED_VALUE"""),45338.6666666666)</f>
        <v>45338.666666666599</v>
      </c>
      <c r="B1292" s="1">
        <f ca="1">IFERROR(__xludf.UNSUPPORTED("""COMPUTED_VALUE"""),72.61)</f>
        <v>72.61</v>
      </c>
      <c r="C1292" s="2">
        <f t="shared" ca="1" si="5"/>
        <v>-6.881365262867762E-4</v>
      </c>
    </row>
    <row r="1293" spans="1:3">
      <c r="A1293" s="3">
        <f ca="1">IFERROR(__xludf.UNSUPPORTED("""COMPUTED_VALUE"""),45342.6666666666)</f>
        <v>45342.666666666599</v>
      </c>
      <c r="B1293" s="1">
        <f ca="1">IFERROR(__xludf.UNSUPPORTED("""COMPUTED_VALUE"""),69.45)</f>
        <v>69.45</v>
      </c>
      <c r="C1293" s="2">
        <f t="shared" ca="1" si="5"/>
        <v>-4.3520176284258319E-2</v>
      </c>
    </row>
    <row r="1294" spans="1:3">
      <c r="A1294" s="3">
        <f ca="1">IFERROR(__xludf.UNSUPPORTED("""COMPUTED_VALUE"""),45343.6666666666)</f>
        <v>45343.666666666599</v>
      </c>
      <c r="B1294" s="1">
        <f ca="1">IFERROR(__xludf.UNSUPPORTED("""COMPUTED_VALUE"""),67.47)</f>
        <v>67.47</v>
      </c>
      <c r="C1294" s="2">
        <f t="shared" ca="1" si="5"/>
        <v>-2.850971922246226E-2</v>
      </c>
    </row>
    <row r="1295" spans="1:3">
      <c r="A1295" s="3">
        <f ca="1">IFERROR(__xludf.UNSUPPORTED("""COMPUTED_VALUE"""),45344.6666666666)</f>
        <v>45344.666666666599</v>
      </c>
      <c r="B1295" s="1">
        <f ca="1">IFERROR(__xludf.UNSUPPORTED("""COMPUTED_VALUE"""),78.54)</f>
        <v>78.540000000000006</v>
      </c>
      <c r="C1295" s="2">
        <f t="shared" ca="1" si="5"/>
        <v>0.16407292129835493</v>
      </c>
    </row>
    <row r="1296" spans="1:3">
      <c r="A1296" s="3">
        <f ca="1">IFERROR(__xludf.UNSUPPORTED("""COMPUTED_VALUE"""),45345.6666666666)</f>
        <v>45345.666666666599</v>
      </c>
      <c r="B1296" s="1">
        <f ca="1">IFERROR(__xludf.UNSUPPORTED("""COMPUTED_VALUE"""),78.82)</f>
        <v>78.819999999999993</v>
      </c>
      <c r="C1296" s="2">
        <f t="shared" ca="1" si="5"/>
        <v>3.5650623885916336E-3</v>
      </c>
    </row>
    <row r="1297" spans="1:3">
      <c r="A1297" s="3">
        <f ca="1">IFERROR(__xludf.UNSUPPORTED("""COMPUTED_VALUE"""),45348.6666666666)</f>
        <v>45348.666666666599</v>
      </c>
      <c r="B1297" s="1">
        <f ca="1">IFERROR(__xludf.UNSUPPORTED("""COMPUTED_VALUE"""),79.09)</f>
        <v>79.09</v>
      </c>
      <c r="C1297" s="2">
        <f t="shared" ca="1" si="5"/>
        <v>3.4255265161127917E-3</v>
      </c>
    </row>
    <row r="1298" spans="1:3">
      <c r="A1298" s="3">
        <f ca="1">IFERROR(__xludf.UNSUPPORTED("""COMPUTED_VALUE"""),45349.6666666666)</f>
        <v>45349.666666666599</v>
      </c>
      <c r="B1298" s="1">
        <f ca="1">IFERROR(__xludf.UNSUPPORTED("""COMPUTED_VALUE"""),78.7)</f>
        <v>78.7</v>
      </c>
      <c r="C1298" s="2">
        <f t="shared" ca="1" si="5"/>
        <v>-4.931091161967386E-3</v>
      </c>
    </row>
    <row r="1299" spans="1:3">
      <c r="A1299" s="3">
        <f ca="1">IFERROR(__xludf.UNSUPPORTED("""COMPUTED_VALUE"""),45350.6666666666)</f>
        <v>45350.666666666599</v>
      </c>
      <c r="B1299" s="1">
        <f ca="1">IFERROR(__xludf.UNSUPPORTED("""COMPUTED_VALUE"""),77.66)</f>
        <v>77.66</v>
      </c>
      <c r="C1299" s="2">
        <f t="shared" ca="1" si="5"/>
        <v>-1.3214739517153828E-2</v>
      </c>
    </row>
    <row r="1300" spans="1:3">
      <c r="A1300" s="3">
        <f ca="1">IFERROR(__xludf.UNSUPPORTED("""COMPUTED_VALUE"""),45351.6666666666)</f>
        <v>45351.666666666599</v>
      </c>
      <c r="B1300" s="1">
        <f ca="1">IFERROR(__xludf.UNSUPPORTED("""COMPUTED_VALUE"""),79.11)</f>
        <v>79.11</v>
      </c>
      <c r="C1300" s="2">
        <f t="shared" ca="1" si="5"/>
        <v>1.8671130569147605E-2</v>
      </c>
    </row>
    <row r="1301" spans="1:3">
      <c r="A1301" s="3">
        <f ca="1">IFERROR(__xludf.UNSUPPORTED("""COMPUTED_VALUE"""),45352.6666666666)</f>
        <v>45352.666666666599</v>
      </c>
      <c r="B1301" s="1">
        <f ca="1">IFERROR(__xludf.UNSUPPORTED("""COMPUTED_VALUE"""),82.28)</f>
        <v>82.28</v>
      </c>
      <c r="C1301" s="2">
        <f t="shared" ca="1" si="5"/>
        <v>4.0070787511060572E-2</v>
      </c>
    </row>
    <row r="1302" spans="1:3">
      <c r="A1302" s="3">
        <f ca="1">IFERROR(__xludf.UNSUPPORTED("""COMPUTED_VALUE"""),45355.6666666666)</f>
        <v>45355.666666666599</v>
      </c>
      <c r="B1302" s="1">
        <f ca="1">IFERROR(__xludf.UNSUPPORTED("""COMPUTED_VALUE"""),85.24)</f>
        <v>85.24</v>
      </c>
      <c r="C1302" s="2">
        <f t="shared" ca="1" si="5"/>
        <v>3.5974720466699001E-2</v>
      </c>
    </row>
    <row r="1303" spans="1:3">
      <c r="A1303" s="3">
        <f ca="1">IFERROR(__xludf.UNSUPPORTED("""COMPUTED_VALUE"""),45356.6666666666)</f>
        <v>45356.666666666599</v>
      </c>
      <c r="B1303" s="1">
        <f ca="1">IFERROR(__xludf.UNSUPPORTED("""COMPUTED_VALUE"""),85.96)</f>
        <v>85.96</v>
      </c>
      <c r="C1303" s="2">
        <f t="shared" ca="1" si="5"/>
        <v>8.4467386203660125E-3</v>
      </c>
    </row>
    <row r="1304" spans="1:3">
      <c r="A1304" s="3">
        <f ca="1">IFERROR(__xludf.UNSUPPORTED("""COMPUTED_VALUE"""),45357.6666666666)</f>
        <v>45357.666666666599</v>
      </c>
      <c r="B1304" s="1">
        <f ca="1">IFERROR(__xludf.UNSUPPORTED("""COMPUTED_VALUE"""),88.7)</f>
        <v>88.7</v>
      </c>
      <c r="C1304" s="2">
        <f t="shared" ca="1" si="5"/>
        <v>3.1875290832945664E-2</v>
      </c>
    </row>
    <row r="1305" spans="1:3">
      <c r="A1305" s="3">
        <f ca="1">IFERROR(__xludf.UNSUPPORTED("""COMPUTED_VALUE"""),45358.6666666666)</f>
        <v>45358.666666666599</v>
      </c>
      <c r="B1305" s="1">
        <f ca="1">IFERROR(__xludf.UNSUPPORTED("""COMPUTED_VALUE"""),92.67)</f>
        <v>92.67</v>
      </c>
      <c r="C1305" s="2">
        <f t="shared" ca="1" si="5"/>
        <v>4.4757609921082284E-2</v>
      </c>
    </row>
    <row r="1306" spans="1:3">
      <c r="A1306" s="3">
        <f ca="1">IFERROR(__xludf.UNSUPPORTED("""COMPUTED_VALUE"""),45359.6666666666)</f>
        <v>45359.666666666599</v>
      </c>
      <c r="B1306" s="1">
        <f ca="1">IFERROR(__xludf.UNSUPPORTED("""COMPUTED_VALUE"""),87.53)</f>
        <v>87.53</v>
      </c>
      <c r="C1306" s="2">
        <f t="shared" ca="1" si="5"/>
        <v>-5.5465630732707459E-2</v>
      </c>
    </row>
    <row r="1307" spans="1:3">
      <c r="A1307" s="3">
        <f ca="1">IFERROR(__xludf.UNSUPPORTED("""COMPUTED_VALUE"""),45362.6666666666)</f>
        <v>45362.666666666599</v>
      </c>
      <c r="B1307" s="1">
        <f ca="1">IFERROR(__xludf.UNSUPPORTED("""COMPUTED_VALUE"""),85.77)</f>
        <v>85.77</v>
      </c>
      <c r="C1307" s="2">
        <f t="shared" ca="1" si="5"/>
        <v>-2.0107391751399577E-2</v>
      </c>
    </row>
    <row r="1308" spans="1:3">
      <c r="A1308" s="3">
        <f ca="1">IFERROR(__xludf.UNSUPPORTED("""COMPUTED_VALUE"""),45363.6666666666)</f>
        <v>45363.666666666599</v>
      </c>
      <c r="B1308" s="1">
        <f ca="1">IFERROR(__xludf.UNSUPPORTED("""COMPUTED_VALUE"""),91.91)</f>
        <v>91.91</v>
      </c>
      <c r="C1308" s="2">
        <f t="shared" ca="1" si="5"/>
        <v>7.1586801912090478E-2</v>
      </c>
    </row>
    <row r="1309" spans="1:3">
      <c r="A1309" s="3">
        <f ca="1">IFERROR(__xludf.UNSUPPORTED("""COMPUTED_VALUE"""),45364.6666666666)</f>
        <v>45364.666666666599</v>
      </c>
      <c r="B1309" s="1">
        <f ca="1">IFERROR(__xludf.UNSUPPORTED("""COMPUTED_VALUE"""),90.89)</f>
        <v>90.89</v>
      </c>
      <c r="C1309" s="2">
        <f t="shared" ca="1" si="5"/>
        <v>-1.1097813078011056E-2</v>
      </c>
    </row>
    <row r="1310" spans="1:3">
      <c r="A1310" s="3">
        <f ca="1">IFERROR(__xludf.UNSUPPORTED("""COMPUTED_VALUE"""),45365.6666666666)</f>
        <v>45365.666666666599</v>
      </c>
      <c r="B1310" s="1">
        <f ca="1">IFERROR(__xludf.UNSUPPORTED("""COMPUTED_VALUE"""),87.94)</f>
        <v>87.94</v>
      </c>
      <c r="C1310" s="2">
        <f t="shared" ca="1" si="5"/>
        <v>-3.2456815931345612E-2</v>
      </c>
    </row>
    <row r="1311" spans="1:3">
      <c r="A1311" s="3">
        <f ca="1">IFERROR(__xludf.UNSUPPORTED("""COMPUTED_VALUE"""),45366.6666666666)</f>
        <v>45366.666666666599</v>
      </c>
      <c r="B1311" s="1">
        <f ca="1">IFERROR(__xludf.UNSUPPORTED("""COMPUTED_VALUE"""),87.84)</f>
        <v>87.84</v>
      </c>
      <c r="C1311" s="2">
        <f t="shared" ca="1" si="5"/>
        <v>-1.1371389583806496E-3</v>
      </c>
    </row>
    <row r="1312" spans="1:3">
      <c r="A1312" s="3">
        <f ca="1">IFERROR(__xludf.UNSUPPORTED("""COMPUTED_VALUE"""),45369.6666666666)</f>
        <v>45369.666666666599</v>
      </c>
      <c r="B1312" s="1">
        <f ca="1">IFERROR(__xludf.UNSUPPORTED("""COMPUTED_VALUE"""),88.46)</f>
        <v>88.46</v>
      </c>
      <c r="C1312" s="2">
        <f t="shared" ca="1" si="5"/>
        <v>7.0582877959926033E-3</v>
      </c>
    </row>
    <row r="1313" spans="1:3">
      <c r="A1313" s="3">
        <f ca="1">IFERROR(__xludf.UNSUPPORTED("""COMPUTED_VALUE"""),45370.6666666666)</f>
        <v>45370.666666666599</v>
      </c>
      <c r="B1313" s="1">
        <f ca="1">IFERROR(__xludf.UNSUPPORTED("""COMPUTED_VALUE"""),89.4)</f>
        <v>89.4</v>
      </c>
      <c r="C1313" s="2">
        <f t="shared" ca="1" si="5"/>
        <v>1.0626271761248158E-2</v>
      </c>
    </row>
    <row r="1314" spans="1:3">
      <c r="A1314" s="3">
        <f ca="1">IFERROR(__xludf.UNSUPPORTED("""COMPUTED_VALUE"""),45371.6666666666)</f>
        <v>45371.666666666599</v>
      </c>
      <c r="B1314" s="1">
        <f ca="1">IFERROR(__xludf.UNSUPPORTED("""COMPUTED_VALUE"""),90.37)</f>
        <v>90.37</v>
      </c>
      <c r="C1314" s="2">
        <f t="shared" ca="1" si="5"/>
        <v>1.0850111856823252E-2</v>
      </c>
    </row>
    <row r="1315" spans="1:3">
      <c r="A1315" s="3">
        <f ca="1">IFERROR(__xludf.UNSUPPORTED("""COMPUTED_VALUE"""),45372.6666666666)</f>
        <v>45372.666666666599</v>
      </c>
      <c r="B1315" s="1">
        <f ca="1">IFERROR(__xludf.UNSUPPORTED("""COMPUTED_VALUE"""),91.44)</f>
        <v>91.44</v>
      </c>
      <c r="C1315" s="2">
        <f t="shared" ca="1" si="5"/>
        <v>1.1840212459887055E-2</v>
      </c>
    </row>
    <row r="1316" spans="1:3">
      <c r="A1316" s="3">
        <f ca="1">IFERROR(__xludf.UNSUPPORTED("""COMPUTED_VALUE"""),45373.6666666666)</f>
        <v>45373.666666666599</v>
      </c>
      <c r="B1316" s="1">
        <f ca="1">IFERROR(__xludf.UNSUPPORTED("""COMPUTED_VALUE"""),94.29)</f>
        <v>94.29</v>
      </c>
      <c r="C1316" s="2">
        <f t="shared" ca="1" si="5"/>
        <v>3.1167979002624767E-2</v>
      </c>
    </row>
    <row r="1317" spans="1:3">
      <c r="A1317" s="3">
        <f ca="1">IFERROR(__xludf.UNSUPPORTED("""COMPUTED_VALUE"""),45376.6666666666)</f>
        <v>45376.666666666599</v>
      </c>
      <c r="B1317" s="1">
        <f ca="1">IFERROR(__xludf.UNSUPPORTED("""COMPUTED_VALUE"""),95)</f>
        <v>95</v>
      </c>
      <c r="C1317" s="2">
        <f t="shared" ca="1" si="5"/>
        <v>7.5299607593593562E-3</v>
      </c>
    </row>
    <row r="1318" spans="1:3">
      <c r="A1318" s="3">
        <f ca="1">IFERROR(__xludf.UNSUPPORTED("""COMPUTED_VALUE"""),45377.6666666666)</f>
        <v>45377.666666666599</v>
      </c>
      <c r="B1318" s="1">
        <f ca="1">IFERROR(__xludf.UNSUPPORTED("""COMPUTED_VALUE"""),92.56)</f>
        <v>92.56</v>
      </c>
      <c r="C1318" s="2">
        <f t="shared" ca="1" si="5"/>
        <v>-2.5684210526315764E-2</v>
      </c>
    </row>
    <row r="1319" spans="1:3">
      <c r="A1319" s="3">
        <f ca="1">IFERROR(__xludf.UNSUPPORTED("""COMPUTED_VALUE"""),45378.6666666666)</f>
        <v>45378.666666666599</v>
      </c>
      <c r="B1319" s="1">
        <f ca="1">IFERROR(__xludf.UNSUPPORTED("""COMPUTED_VALUE"""),90.25)</f>
        <v>90.25</v>
      </c>
      <c r="C1319" s="2">
        <f t="shared" ca="1" si="5"/>
        <v>-2.4956784788245485E-2</v>
      </c>
    </row>
    <row r="1320" spans="1:3">
      <c r="A1320" s="3">
        <f ca="1">IFERROR(__xludf.UNSUPPORTED("""COMPUTED_VALUE"""),45379.6666666666)</f>
        <v>45379.666666666599</v>
      </c>
      <c r="B1320" s="1">
        <f ca="1">IFERROR(__xludf.UNSUPPORTED("""COMPUTED_VALUE"""),90.36)</f>
        <v>90.36</v>
      </c>
      <c r="C1320" s="2">
        <f t="shared" ca="1" si="5"/>
        <v>1.2188365650969467E-3</v>
      </c>
    </row>
    <row r="1321" spans="1:3">
      <c r="A1321" s="3">
        <f ca="1">IFERROR(__xludf.UNSUPPORTED("""COMPUTED_VALUE"""),45383.6666666666)</f>
        <v>45383.666666666599</v>
      </c>
      <c r="B1321" s="1">
        <f ca="1">IFERROR(__xludf.UNSUPPORTED("""COMPUTED_VALUE"""),90.36)</f>
        <v>90.36</v>
      </c>
      <c r="C1321" s="2">
        <f t="shared" ca="1" si="5"/>
        <v>0</v>
      </c>
    </row>
    <row r="1322" spans="1:3">
      <c r="A1322" s="3">
        <f ca="1">IFERROR(__xludf.UNSUPPORTED("""COMPUTED_VALUE"""),45384.6666666666)</f>
        <v>45384.666666666599</v>
      </c>
      <c r="B1322" s="1">
        <f ca="1">IFERROR(__xludf.UNSUPPORTED("""COMPUTED_VALUE"""),89.45)</f>
        <v>89.45</v>
      </c>
      <c r="C1322" s="2">
        <f t="shared" ca="1" si="5"/>
        <v>-1.0070827799911428E-2</v>
      </c>
    </row>
    <row r="1323" spans="1:3">
      <c r="A1323" s="3">
        <f ca="1">IFERROR(__xludf.UNSUPPORTED("""COMPUTED_VALUE"""),45385.6666666666)</f>
        <v>45385.666666666599</v>
      </c>
      <c r="B1323" s="1">
        <f ca="1">IFERROR(__xludf.UNSUPPORTED("""COMPUTED_VALUE"""),88.96)</f>
        <v>88.96</v>
      </c>
      <c r="C1323" s="2">
        <f t="shared" ca="1" si="5"/>
        <v>-5.4779206260481732E-3</v>
      </c>
    </row>
    <row r="1324" spans="1:3">
      <c r="A1324" s="3">
        <f ca="1">IFERROR(__xludf.UNSUPPORTED("""COMPUTED_VALUE"""),45386.6666666666)</f>
        <v>45386.666666666599</v>
      </c>
      <c r="B1324" s="1">
        <f ca="1">IFERROR(__xludf.UNSUPPORTED("""COMPUTED_VALUE"""),85.91)</f>
        <v>85.91</v>
      </c>
      <c r="C1324" s="2">
        <f t="shared" ca="1" si="5"/>
        <v>-3.428507194244601E-2</v>
      </c>
    </row>
    <row r="1325" spans="1:3">
      <c r="A1325" s="3">
        <f ca="1">IFERROR(__xludf.UNSUPPORTED("""COMPUTED_VALUE"""),45387.6666666666)</f>
        <v>45387.666666666599</v>
      </c>
      <c r="B1325" s="1">
        <f ca="1">IFERROR(__xludf.UNSUPPORTED("""COMPUTED_VALUE"""),88.01)</f>
        <v>88.01</v>
      </c>
      <c r="C1325" s="2">
        <f t="shared" ca="1" si="5"/>
        <v>2.4444185775811995E-2</v>
      </c>
    </row>
    <row r="1326" spans="1:3">
      <c r="A1326" s="3">
        <f ca="1">IFERROR(__xludf.UNSUPPORTED("""COMPUTED_VALUE"""),45390.6666666666)</f>
        <v>45390.666666666599</v>
      </c>
      <c r="B1326" s="1">
        <f ca="1">IFERROR(__xludf.UNSUPPORTED("""COMPUTED_VALUE"""),87.13)</f>
        <v>87.13</v>
      </c>
      <c r="C1326" s="2">
        <f t="shared" ca="1" si="5"/>
        <v>-9.9988637654813053E-3</v>
      </c>
    </row>
    <row r="1327" spans="1:3">
      <c r="A1327" s="3">
        <f ca="1">IFERROR(__xludf.UNSUPPORTED("""COMPUTED_VALUE"""),45391.6666666666)</f>
        <v>45391.666666666599</v>
      </c>
      <c r="B1327" s="1">
        <f ca="1">IFERROR(__xludf.UNSUPPORTED("""COMPUTED_VALUE"""),85.35)</f>
        <v>85.35</v>
      </c>
      <c r="C1327" s="2">
        <f t="shared" ca="1" si="5"/>
        <v>-2.0429243658900507E-2</v>
      </c>
    </row>
    <row r="1328" spans="1:3">
      <c r="A1328" s="3">
        <f ca="1">IFERROR(__xludf.UNSUPPORTED("""COMPUTED_VALUE"""),45392.6666666666)</f>
        <v>45392.666666666599</v>
      </c>
      <c r="B1328" s="1">
        <f ca="1">IFERROR(__xludf.UNSUPPORTED("""COMPUTED_VALUE"""),87.04)</f>
        <v>87.04</v>
      </c>
      <c r="C1328" s="2">
        <f t="shared" ca="1" si="5"/>
        <v>1.9800820152314141E-2</v>
      </c>
    </row>
    <row r="1329" spans="1:3">
      <c r="A1329" s="3">
        <f ca="1">IFERROR(__xludf.UNSUPPORTED("""COMPUTED_VALUE"""),45393.6666666666)</f>
        <v>45393.666666666599</v>
      </c>
      <c r="B1329" s="1">
        <f ca="1">IFERROR(__xludf.UNSUPPORTED("""COMPUTED_VALUE"""),90.62)</f>
        <v>90.62</v>
      </c>
      <c r="C1329" s="2">
        <f t="shared" ca="1" si="5"/>
        <v>4.1130514705882332E-2</v>
      </c>
    </row>
    <row r="1330" spans="1:3">
      <c r="A1330" s="3">
        <f ca="1">IFERROR(__xludf.UNSUPPORTED("""COMPUTED_VALUE"""),45394.6666666666)</f>
        <v>45394.666666666599</v>
      </c>
      <c r="B1330" s="1">
        <f ca="1">IFERROR(__xludf.UNSUPPORTED("""COMPUTED_VALUE"""),88.19)</f>
        <v>88.19</v>
      </c>
      <c r="C1330" s="2">
        <f t="shared" ca="1" si="5"/>
        <v>-2.6815272566762378E-2</v>
      </c>
    </row>
    <row r="1331" spans="1:3">
      <c r="A1331" s="3">
        <f ca="1">IFERROR(__xludf.UNSUPPORTED("""COMPUTED_VALUE"""),45397.6666666666)</f>
        <v>45397.666666666599</v>
      </c>
      <c r="B1331" s="1">
        <f ca="1">IFERROR(__xludf.UNSUPPORTED("""COMPUTED_VALUE"""),86)</f>
        <v>86</v>
      </c>
      <c r="C1331" s="2">
        <f t="shared" ca="1" si="5"/>
        <v>-2.4832747477038189E-2</v>
      </c>
    </row>
    <row r="1332" spans="1:3">
      <c r="A1332" s="3">
        <f ca="1">IFERROR(__xludf.UNSUPPORTED("""COMPUTED_VALUE"""),45398.6666666666)</f>
        <v>45398.666666666599</v>
      </c>
      <c r="B1332" s="1">
        <f ca="1">IFERROR(__xludf.UNSUPPORTED("""COMPUTED_VALUE"""),87.42)</f>
        <v>87.42</v>
      </c>
      <c r="C1332" s="2">
        <f t="shared" ca="1" si="5"/>
        <v>1.6511627906976765E-2</v>
      </c>
    </row>
    <row r="1333" spans="1:3">
      <c r="A1333" s="3">
        <f ca="1">IFERROR(__xludf.UNSUPPORTED("""COMPUTED_VALUE"""),45399.6666666666)</f>
        <v>45399.666666666599</v>
      </c>
      <c r="B1333" s="1">
        <f ca="1">IFERROR(__xludf.UNSUPPORTED("""COMPUTED_VALUE"""),84.04)</f>
        <v>84.04</v>
      </c>
      <c r="C1333" s="2">
        <f t="shared" ca="1" si="5"/>
        <v>-3.8663921299473755E-2</v>
      </c>
    </row>
    <row r="1334" spans="1:3">
      <c r="A1334" s="3">
        <f ca="1">IFERROR(__xludf.UNSUPPORTED("""COMPUTED_VALUE"""),45400.6666666666)</f>
        <v>45400.666666666599</v>
      </c>
      <c r="B1334" s="1">
        <f ca="1">IFERROR(__xludf.UNSUPPORTED("""COMPUTED_VALUE"""),84.67)</f>
        <v>84.67</v>
      </c>
      <c r="C1334" s="2">
        <f t="shared" ca="1" si="5"/>
        <v>7.4964302712993269E-3</v>
      </c>
    </row>
    <row r="1335" spans="1:3">
      <c r="A1335" s="3">
        <f ca="1">IFERROR(__xludf.UNSUPPORTED("""COMPUTED_VALUE"""),45401.6666666666)</f>
        <v>45401.666666666599</v>
      </c>
      <c r="B1335" s="1">
        <f ca="1">IFERROR(__xludf.UNSUPPORTED("""COMPUTED_VALUE"""),76.2)</f>
        <v>76.2</v>
      </c>
      <c r="C1335" s="2">
        <f t="shared" ca="1" si="5"/>
        <v>-0.10003543167591826</v>
      </c>
    </row>
    <row r="1336" spans="1:3">
      <c r="A1336" s="3">
        <f ca="1">IFERROR(__xludf.UNSUPPORTED("""COMPUTED_VALUE"""),45404.6666666666)</f>
        <v>45404.666666666599</v>
      </c>
      <c r="B1336" s="1">
        <f ca="1">IFERROR(__xludf.UNSUPPORTED("""COMPUTED_VALUE"""),79.52)</f>
        <v>79.52</v>
      </c>
      <c r="C1336" s="2">
        <f t="shared" ca="1" si="5"/>
        <v>4.3569553805774187E-2</v>
      </c>
    </row>
    <row r="1337" spans="1:3">
      <c r="A1337" s="3">
        <f ca="1">IFERROR(__xludf.UNSUPPORTED("""COMPUTED_VALUE"""),45405.6666666666)</f>
        <v>45405.666666666599</v>
      </c>
      <c r="B1337" s="1">
        <f ca="1">IFERROR(__xludf.UNSUPPORTED("""COMPUTED_VALUE"""),82.42)</f>
        <v>82.42</v>
      </c>
      <c r="C1337" s="2">
        <f t="shared" ca="1" si="5"/>
        <v>3.6468812877263654E-2</v>
      </c>
    </row>
    <row r="1338" spans="1:3">
      <c r="A1338" s="3">
        <f ca="1">IFERROR(__xludf.UNSUPPORTED("""COMPUTED_VALUE"""),45406.6666666666)</f>
        <v>45406.666666666599</v>
      </c>
      <c r="B1338" s="1">
        <f ca="1">IFERROR(__xludf.UNSUPPORTED("""COMPUTED_VALUE"""),79.68)</f>
        <v>79.680000000000007</v>
      </c>
      <c r="C1338" s="2">
        <f t="shared" ca="1" si="5"/>
        <v>-3.3244358165493752E-2</v>
      </c>
    </row>
    <row r="1339" spans="1:3">
      <c r="A1339" s="3">
        <f ca="1">IFERROR(__xludf.UNSUPPORTED("""COMPUTED_VALUE"""),45407.6666666666)</f>
        <v>45407.666666666599</v>
      </c>
      <c r="B1339" s="1">
        <f ca="1">IFERROR(__xludf.UNSUPPORTED("""COMPUTED_VALUE"""),82.63)</f>
        <v>82.63</v>
      </c>
      <c r="C1339" s="2">
        <f t="shared" ca="1" si="5"/>
        <v>3.7023092369477768E-2</v>
      </c>
    </row>
    <row r="1340" spans="1:3">
      <c r="A1340" s="3">
        <f ca="1">IFERROR(__xludf.UNSUPPORTED("""COMPUTED_VALUE"""),45408.6666666666)</f>
        <v>45408.666666666599</v>
      </c>
      <c r="B1340" s="1">
        <f ca="1">IFERROR(__xludf.UNSUPPORTED("""COMPUTED_VALUE"""),87.74)</f>
        <v>87.74</v>
      </c>
      <c r="C1340" s="2">
        <f t="shared" ca="1" si="5"/>
        <v>6.1841946024446322E-2</v>
      </c>
    </row>
    <row r="1341" spans="1:3">
      <c r="A1341" s="3">
        <f ca="1">IFERROR(__xludf.UNSUPPORTED("""COMPUTED_VALUE"""),45411.6666666666)</f>
        <v>45411.666666666599</v>
      </c>
      <c r="B1341" s="1">
        <f ca="1">IFERROR(__xludf.UNSUPPORTED("""COMPUTED_VALUE"""),87.76)</f>
        <v>87.76</v>
      </c>
      <c r="C1341" s="2">
        <f t="shared" ca="1" si="5"/>
        <v>2.2794620469580846E-4</v>
      </c>
    </row>
    <row r="1342" spans="1:3">
      <c r="A1342" s="3">
        <f ca="1">IFERROR(__xludf.UNSUPPORTED("""COMPUTED_VALUE"""),45412.6666666666)</f>
        <v>45412.666666666599</v>
      </c>
      <c r="B1342" s="1">
        <f ca="1">IFERROR(__xludf.UNSUPPORTED("""COMPUTED_VALUE"""),86.4)</f>
        <v>86.4</v>
      </c>
      <c r="C1342" s="2">
        <f t="shared" ca="1" si="5"/>
        <v>-1.5496809480401087E-2</v>
      </c>
    </row>
    <row r="1343" spans="1:3">
      <c r="A1343" s="3">
        <f ca="1">IFERROR(__xludf.UNSUPPORTED("""COMPUTED_VALUE"""),45413.6666666666)</f>
        <v>45413.666666666599</v>
      </c>
      <c r="B1343" s="1">
        <f ca="1">IFERROR(__xludf.UNSUPPORTED("""COMPUTED_VALUE"""),83.04)</f>
        <v>83.04</v>
      </c>
      <c r="C1343" s="2">
        <f t="shared" ca="1" si="5"/>
        <v>-3.8888888888888883E-2</v>
      </c>
    </row>
    <row r="1344" spans="1:3">
      <c r="A1344" s="3">
        <f ca="1">IFERROR(__xludf.UNSUPPORTED("""COMPUTED_VALUE"""),45414.6666666666)</f>
        <v>45414.666666666599</v>
      </c>
      <c r="B1344" s="1">
        <f ca="1">IFERROR(__xludf.UNSUPPORTED("""COMPUTED_VALUE"""),85.82)</f>
        <v>85.82</v>
      </c>
      <c r="C1344" s="2">
        <f t="shared" ca="1" si="5"/>
        <v>3.3477842003853404E-2</v>
      </c>
    </row>
    <row r="1345" spans="1:3">
      <c r="A1345" s="3">
        <f ca="1">IFERROR(__xludf.UNSUPPORTED("""COMPUTED_VALUE"""),45415.6666666666)</f>
        <v>45415.666666666599</v>
      </c>
      <c r="B1345" s="1">
        <f ca="1">IFERROR(__xludf.UNSUPPORTED("""COMPUTED_VALUE"""),88.79)</f>
        <v>88.79</v>
      </c>
      <c r="C1345" s="2">
        <f t="shared" ca="1" si="5"/>
        <v>3.4607317641575548E-2</v>
      </c>
    </row>
    <row r="1346" spans="1:3">
      <c r="A1346" s="3">
        <f ca="1">IFERROR(__xludf.UNSUPPORTED("""COMPUTED_VALUE"""),45418.6666666666)</f>
        <v>45418.666666666599</v>
      </c>
      <c r="B1346" s="1">
        <f ca="1">IFERROR(__xludf.UNSUPPORTED("""COMPUTED_VALUE"""),92.14)</f>
        <v>92.14</v>
      </c>
      <c r="C1346" s="2">
        <f t="shared" ca="1" si="5"/>
        <v>3.7729474039869287E-2</v>
      </c>
    </row>
    <row r="1347" spans="1:3">
      <c r="A1347" s="3">
        <f ca="1">IFERROR(__xludf.UNSUPPORTED("""COMPUTED_VALUE"""),45419.6666666666)</f>
        <v>45419.666666666599</v>
      </c>
      <c r="B1347" s="1">
        <f ca="1">IFERROR(__xludf.UNSUPPORTED("""COMPUTED_VALUE"""),90.55)</f>
        <v>90.55</v>
      </c>
      <c r="C1347" s="2">
        <f t="shared" ca="1" si="5"/>
        <v>-1.7256349034078612E-2</v>
      </c>
    </row>
    <row r="1348" spans="1:3">
      <c r="A1348" s="3">
        <f ca="1">IFERROR(__xludf.UNSUPPORTED("""COMPUTED_VALUE"""),45420.6666666666)</f>
        <v>45420.666666666599</v>
      </c>
      <c r="B1348" s="1">
        <f ca="1">IFERROR(__xludf.UNSUPPORTED("""COMPUTED_VALUE"""),90.41)</f>
        <v>90.41</v>
      </c>
      <c r="C1348" s="2">
        <f t="shared" ca="1" si="5"/>
        <v>-1.5461071231363951E-3</v>
      </c>
    </row>
    <row r="1349" spans="1:3">
      <c r="A1349" s="3">
        <f ca="1">IFERROR(__xludf.UNSUPPORTED("""COMPUTED_VALUE"""),45421.6666666666)</f>
        <v>45421.666666666599</v>
      </c>
      <c r="B1349" s="1">
        <f ca="1">IFERROR(__xludf.UNSUPPORTED("""COMPUTED_VALUE"""),88.75)</f>
        <v>88.75</v>
      </c>
      <c r="C1349" s="2">
        <f t="shared" ca="1" si="5"/>
        <v>-1.8360800796372045E-2</v>
      </c>
    </row>
    <row r="1350" spans="1:3">
      <c r="A1350" s="3">
        <f ca="1">IFERROR(__xludf.UNSUPPORTED("""COMPUTED_VALUE"""),45422.6666666666)</f>
        <v>45422.666666666599</v>
      </c>
      <c r="B1350" s="1">
        <f ca="1">IFERROR(__xludf.UNSUPPORTED("""COMPUTED_VALUE"""),89.88)</f>
        <v>89.88</v>
      </c>
      <c r="C1350" s="2">
        <f t="shared" ca="1" si="5"/>
        <v>1.2732394366197133E-2</v>
      </c>
    </row>
    <row r="1351" spans="1:3">
      <c r="A1351" s="3">
        <f ca="1">IFERROR(__xludf.UNSUPPORTED("""COMPUTED_VALUE"""),45425.6666666666)</f>
        <v>45425.666666666599</v>
      </c>
      <c r="B1351" s="1">
        <f ca="1">IFERROR(__xludf.UNSUPPORTED("""COMPUTED_VALUE"""),90.4)</f>
        <v>90.4</v>
      </c>
      <c r="C1351" s="2">
        <f t="shared" ca="1" si="5"/>
        <v>5.7854917668002919E-3</v>
      </c>
    </row>
    <row r="1352" spans="1:3">
      <c r="A1352" s="3">
        <f ca="1">IFERROR(__xludf.UNSUPPORTED("""COMPUTED_VALUE"""),45426.6666666666)</f>
        <v>45426.666666666599</v>
      </c>
      <c r="B1352" s="1">
        <f ca="1">IFERROR(__xludf.UNSUPPORTED("""COMPUTED_VALUE"""),91.36)</f>
        <v>91.36</v>
      </c>
      <c r="C1352" s="2">
        <f t="shared" ca="1" si="5"/>
        <v>1.0619469026548603E-2</v>
      </c>
    </row>
    <row r="1353" spans="1:3">
      <c r="A1353" s="3">
        <f ca="1">IFERROR(__xludf.UNSUPPORTED("""COMPUTED_VALUE"""),45427.6666666666)</f>
        <v>45427.666666666599</v>
      </c>
      <c r="B1353" s="1">
        <f ca="1">IFERROR(__xludf.UNSUPPORTED("""COMPUTED_VALUE"""),94.63)</f>
        <v>94.63</v>
      </c>
      <c r="C1353" s="2">
        <f t="shared" ca="1" si="5"/>
        <v>3.5792469352013967E-2</v>
      </c>
    </row>
    <row r="1354" spans="1:3">
      <c r="A1354" s="3">
        <f ca="1">IFERROR(__xludf.UNSUPPORTED("""COMPUTED_VALUE"""),45428.6666666666)</f>
        <v>45428.666666666599</v>
      </c>
      <c r="B1354" s="1">
        <f ca="1">IFERROR(__xludf.UNSUPPORTED("""COMPUTED_VALUE"""),94.36)</f>
        <v>94.36</v>
      </c>
      <c r="C1354" s="2">
        <f t="shared" ca="1" si="5"/>
        <v>-2.8532177956250241E-3</v>
      </c>
    </row>
    <row r="1355" spans="1:3">
      <c r="A1355" s="3">
        <f ca="1">IFERROR(__xludf.UNSUPPORTED("""COMPUTED_VALUE"""),45429.6666666666)</f>
        <v>45429.666666666599</v>
      </c>
      <c r="B1355" s="1">
        <f ca="1">IFERROR(__xludf.UNSUPPORTED("""COMPUTED_VALUE"""),92.48)</f>
        <v>92.48</v>
      </c>
      <c r="C1355" s="2">
        <f t="shared" ca="1" si="5"/>
        <v>-1.9923696481559935E-2</v>
      </c>
    </row>
    <row r="1356" spans="1:3">
      <c r="A1356" s="3">
        <f ca="1">IFERROR(__xludf.UNSUPPORTED("""COMPUTED_VALUE"""),45432.6666666666)</f>
        <v>45432.666666666599</v>
      </c>
      <c r="B1356" s="1">
        <f ca="1">IFERROR(__xludf.UNSUPPORTED("""COMPUTED_VALUE"""),94.78)</f>
        <v>94.78</v>
      </c>
      <c r="C1356" s="2">
        <f t="shared" ca="1" si="5"/>
        <v>2.487024221453284E-2</v>
      </c>
    </row>
    <row r="1357" spans="1:3">
      <c r="A1357" s="3">
        <f ca="1">IFERROR(__xludf.UNSUPPORTED("""COMPUTED_VALUE"""),45433.6666666666)</f>
        <v>45433.666666666599</v>
      </c>
      <c r="B1357" s="1">
        <f ca="1">IFERROR(__xludf.UNSUPPORTED("""COMPUTED_VALUE"""),95.39)</f>
        <v>95.39</v>
      </c>
      <c r="C1357" s="2">
        <f t="shared" ca="1" si="5"/>
        <v>6.4359569529436533E-3</v>
      </c>
    </row>
    <row r="1358" spans="1:3">
      <c r="A1358" s="3">
        <f ca="1">IFERROR(__xludf.UNSUPPORTED("""COMPUTED_VALUE"""),45434.6666666666)</f>
        <v>45434.666666666599</v>
      </c>
      <c r="B1358" s="1">
        <f ca="1">IFERROR(__xludf.UNSUPPORTED("""COMPUTED_VALUE"""),94.95)</f>
        <v>94.95</v>
      </c>
      <c r="C1358" s="2">
        <f t="shared" ca="1" si="5"/>
        <v>-4.612642834678664E-3</v>
      </c>
    </row>
    <row r="1359" spans="1:3">
      <c r="A1359" s="3">
        <f ca="1">IFERROR(__xludf.UNSUPPORTED("""COMPUTED_VALUE"""),45435.6666666666)</f>
        <v>45435.666666666599</v>
      </c>
      <c r="B1359" s="1">
        <f ca="1">IFERROR(__xludf.UNSUPPORTED("""COMPUTED_VALUE"""),103.8)</f>
        <v>103.8</v>
      </c>
      <c r="C1359" s="2">
        <f t="shared" ca="1" si="5"/>
        <v>9.320695102685618E-2</v>
      </c>
    </row>
    <row r="1360" spans="1:3">
      <c r="A1360" s="3">
        <f ca="1">IFERROR(__xludf.UNSUPPORTED("""COMPUTED_VALUE"""),45436.6666666666)</f>
        <v>45436.666666666599</v>
      </c>
      <c r="B1360" s="1">
        <f ca="1">IFERROR(__xludf.UNSUPPORTED("""COMPUTED_VALUE"""),106.47)</f>
        <v>106.47</v>
      </c>
      <c r="C1360" s="2">
        <f t="shared" ca="1" si="5"/>
        <v>2.5722543352601174E-2</v>
      </c>
    </row>
    <row r="1361" spans="1:3">
      <c r="A1361" s="3">
        <f ca="1">IFERROR(__xludf.UNSUPPORTED("""COMPUTED_VALUE"""),45440.6666666666)</f>
        <v>45440.666666666599</v>
      </c>
      <c r="B1361" s="1">
        <f ca="1">IFERROR(__xludf.UNSUPPORTED("""COMPUTED_VALUE"""),113.9)</f>
        <v>113.9</v>
      </c>
      <c r="C1361" s="2">
        <f t="shared" ca="1" si="5"/>
        <v>6.9784915938762154E-2</v>
      </c>
    </row>
    <row r="1362" spans="1:3">
      <c r="A1362" s="3">
        <f ca="1">IFERROR(__xludf.UNSUPPORTED("""COMPUTED_VALUE"""),45441.6666666666)</f>
        <v>45441.666666666599</v>
      </c>
      <c r="B1362" s="1">
        <f ca="1">IFERROR(__xludf.UNSUPPORTED("""COMPUTED_VALUE"""),114.83)</f>
        <v>114.83</v>
      </c>
      <c r="C1362" s="2">
        <f t="shared" ca="1" si="5"/>
        <v>8.1650570676030949E-3</v>
      </c>
    </row>
    <row r="1363" spans="1:3">
      <c r="A1363" s="3">
        <f ca="1">IFERROR(__xludf.UNSUPPORTED("""COMPUTED_VALUE"""),45442.6666666666)</f>
        <v>45442.666666666599</v>
      </c>
      <c r="B1363" s="1">
        <f ca="1">IFERROR(__xludf.UNSUPPORTED("""COMPUTED_VALUE"""),110.5)</f>
        <v>110.5</v>
      </c>
      <c r="C1363" s="2">
        <f t="shared" ca="1" si="5"/>
        <v>-3.7707916049812752E-2</v>
      </c>
    </row>
    <row r="1364" spans="1:3">
      <c r="A1364" s="3">
        <f ca="1">IFERROR(__xludf.UNSUPPORTED("""COMPUTED_VALUE"""),45443.6666666666)</f>
        <v>45443.666666666599</v>
      </c>
      <c r="B1364" s="1">
        <f ca="1">IFERROR(__xludf.UNSUPPORTED("""COMPUTED_VALUE"""),109.63)</f>
        <v>109.63</v>
      </c>
      <c r="C1364" s="2">
        <f t="shared" ca="1" si="5"/>
        <v>-7.8733031674208549E-3</v>
      </c>
    </row>
    <row r="1365" spans="1:3">
      <c r="A1365" s="3">
        <f ca="1">IFERROR(__xludf.UNSUPPORTED("""COMPUTED_VALUE"""),45446.6666666666)</f>
        <v>45446.666666666599</v>
      </c>
      <c r="B1365" s="1">
        <f ca="1">IFERROR(__xludf.UNSUPPORTED("""COMPUTED_VALUE"""),115)</f>
        <v>115</v>
      </c>
      <c r="C1365" s="2">
        <f t="shared" ca="1" si="5"/>
        <v>4.8982942625193877E-2</v>
      </c>
    </row>
    <row r="1366" spans="1:3">
      <c r="A1366" s="3">
        <f ca="1">IFERROR(__xludf.UNSUPPORTED("""COMPUTED_VALUE"""),45447.6666666666)</f>
        <v>45447.666666666599</v>
      </c>
      <c r="B1366" s="1">
        <f ca="1">IFERROR(__xludf.UNSUPPORTED("""COMPUTED_VALUE"""),116.44)</f>
        <v>116.44</v>
      </c>
      <c r="C1366" s="2">
        <f t="shared" ca="1" si="5"/>
        <v>1.2521739130434762E-2</v>
      </c>
    </row>
    <row r="1367" spans="1:3">
      <c r="A1367" s="3">
        <f ca="1">IFERROR(__xludf.UNSUPPORTED("""COMPUTED_VALUE"""),45448.6666666666)</f>
        <v>45448.666666666599</v>
      </c>
      <c r="B1367" s="1">
        <f ca="1">IFERROR(__xludf.UNSUPPORTED("""COMPUTED_VALUE"""),122.44)</f>
        <v>122.44</v>
      </c>
      <c r="C1367" s="2">
        <f t="shared" ca="1" si="5"/>
        <v>5.1528684300927517E-2</v>
      </c>
    </row>
    <row r="1368" spans="1:3">
      <c r="A1368" s="3">
        <f ca="1">IFERROR(__xludf.UNSUPPORTED("""COMPUTED_VALUE"""),45449.6666666666)</f>
        <v>45449.666666666599</v>
      </c>
      <c r="B1368" s="1">
        <f ca="1">IFERROR(__xludf.UNSUPPORTED("""COMPUTED_VALUE"""),121)</f>
        <v>121</v>
      </c>
      <c r="C1368" s="2">
        <f t="shared" ca="1" si="5"/>
        <v>-1.1760862463247286E-2</v>
      </c>
    </row>
    <row r="1369" spans="1:3">
      <c r="A1369" s="3">
        <f ca="1">IFERROR(__xludf.UNSUPPORTED("""COMPUTED_VALUE"""),45450.6666666666)</f>
        <v>45450.666666666599</v>
      </c>
      <c r="B1369" s="1">
        <f ca="1">IFERROR(__xludf.UNSUPPORTED("""COMPUTED_VALUE"""),120.89)</f>
        <v>120.89</v>
      </c>
      <c r="C1369" s="2">
        <f t="shared" ca="1" si="5"/>
        <v>-9.0909090909090443E-4</v>
      </c>
    </row>
    <row r="1370" spans="1:3">
      <c r="A1370" s="3">
        <f ca="1">IFERROR(__xludf.UNSUPPORTED("""COMPUTED_VALUE"""),45453.6666666666)</f>
        <v>45453.666666666599</v>
      </c>
      <c r="B1370" s="1">
        <f ca="1">IFERROR(__xludf.UNSUPPORTED("""COMPUTED_VALUE"""),121.79)</f>
        <v>121.79</v>
      </c>
      <c r="C1370" s="2">
        <f t="shared" ca="1" si="5"/>
        <v>7.4447845148482563E-3</v>
      </c>
    </row>
    <row r="1371" spans="1:3">
      <c r="A1371" s="3">
        <f ca="1">IFERROR(__xludf.UNSUPPORTED("""COMPUTED_VALUE"""),45454.6666666666)</f>
        <v>45454.666666666599</v>
      </c>
      <c r="B1371" s="1">
        <f ca="1">IFERROR(__xludf.UNSUPPORTED("""COMPUTED_VALUE"""),120.91)</f>
        <v>120.91</v>
      </c>
      <c r="C1371" s="2">
        <f t="shared" ca="1" si="5"/>
        <v>-7.2255521799820151E-3</v>
      </c>
    </row>
    <row r="1372" spans="1:3">
      <c r="A1372" s="3">
        <f ca="1">IFERROR(__xludf.UNSUPPORTED("""COMPUTED_VALUE"""),45455.6666666666)</f>
        <v>45455.666666666599</v>
      </c>
      <c r="B1372" s="1">
        <f ca="1">IFERROR(__xludf.UNSUPPORTED("""COMPUTED_VALUE"""),125.2)</f>
        <v>125.2</v>
      </c>
      <c r="C1372" s="2">
        <f t="shared" ca="1" si="5"/>
        <v>3.5480936233562209E-2</v>
      </c>
    </row>
    <row r="1373" spans="1:3">
      <c r="A1373" s="3">
        <f ca="1">IFERROR(__xludf.UNSUPPORTED("""COMPUTED_VALUE"""),45456.6666666666)</f>
        <v>45456.666666666599</v>
      </c>
      <c r="B1373" s="1">
        <f ca="1">IFERROR(__xludf.UNSUPPORTED("""COMPUTED_VALUE"""),129.61)</f>
        <v>129.61000000000001</v>
      </c>
      <c r="C1373" s="2">
        <f t="shared" ca="1" si="5"/>
        <v>3.522364217252405E-2</v>
      </c>
    </row>
    <row r="1374" spans="1:3">
      <c r="A1374" s="3">
        <f ca="1">IFERROR(__xludf.UNSUPPORTED("""COMPUTED_VALUE"""),45457.6666666666)</f>
        <v>45457.666666666599</v>
      </c>
      <c r="B1374" s="1">
        <f ca="1">IFERROR(__xludf.UNSUPPORTED("""COMPUTED_VALUE"""),131.88)</f>
        <v>131.88</v>
      </c>
      <c r="C1374" s="2">
        <f t="shared" ca="1" si="5"/>
        <v>1.7514080703649269E-2</v>
      </c>
    </row>
    <row r="1375" spans="1:3">
      <c r="A1375" s="3">
        <f ca="1">IFERROR(__xludf.UNSUPPORTED("""COMPUTED_VALUE"""),45460.6666666666)</f>
        <v>45460.666666666599</v>
      </c>
      <c r="B1375" s="1">
        <f ca="1">IFERROR(__xludf.UNSUPPORTED("""COMPUTED_VALUE"""),130.98)</f>
        <v>130.97999999999999</v>
      </c>
      <c r="C1375" s="2">
        <f t="shared" ca="1" si="5"/>
        <v>-6.8243858052775682E-3</v>
      </c>
    </row>
    <row r="1376" spans="1:3">
      <c r="A1376" s="3">
        <f ca="1">IFERROR(__xludf.UNSUPPORTED("""COMPUTED_VALUE"""),45461.6666666666)</f>
        <v>45461.666666666599</v>
      </c>
      <c r="B1376" s="1">
        <f ca="1">IFERROR(__xludf.UNSUPPORTED("""COMPUTED_VALUE"""),135.58)</f>
        <v>135.58000000000001</v>
      </c>
      <c r="C1376" s="2">
        <f t="shared" ca="1" si="5"/>
        <v>3.511986562834038E-2</v>
      </c>
    </row>
    <row r="1377" spans="1:3">
      <c r="A1377" s="3">
        <f ca="1">IFERROR(__xludf.UNSUPPORTED("""COMPUTED_VALUE"""),45463.6666666666)</f>
        <v>45463.666666666599</v>
      </c>
      <c r="B1377" s="1">
        <f ca="1">IFERROR(__xludf.UNSUPPORTED("""COMPUTED_VALUE"""),130.78)</f>
        <v>130.78</v>
      </c>
      <c r="C1377" s="2">
        <f t="shared" ca="1" si="5"/>
        <v>-3.5403451836554148E-2</v>
      </c>
    </row>
    <row r="1378" spans="1:3">
      <c r="A1378" s="3">
        <f ca="1">IFERROR(__xludf.UNSUPPORTED("""COMPUTED_VALUE"""),45464.6666666666)</f>
        <v>45464.666666666599</v>
      </c>
      <c r="B1378" s="1">
        <f ca="1">IFERROR(__xludf.UNSUPPORTED("""COMPUTED_VALUE"""),126.57)</f>
        <v>126.57</v>
      </c>
      <c r="C1378" s="2">
        <f t="shared" ca="1" si="5"/>
        <v>-3.2191466585104814E-2</v>
      </c>
    </row>
    <row r="1379" spans="1:3">
      <c r="A1379" s="3">
        <f ca="1">IFERROR(__xludf.UNSUPPORTED("""COMPUTED_VALUE"""),45467.6666666666)</f>
        <v>45467.666666666599</v>
      </c>
      <c r="B1379" s="1">
        <f ca="1">IFERROR(__xludf.UNSUPPORTED("""COMPUTED_VALUE"""),118.11)</f>
        <v>118.11</v>
      </c>
      <c r="C1379" s="2">
        <f t="shared" ca="1" si="5"/>
        <v>-6.684048352690207E-2</v>
      </c>
    </row>
    <row r="1380" spans="1:3">
      <c r="A1380" s="3">
        <f ca="1">IFERROR(__xludf.UNSUPPORTED("""COMPUTED_VALUE"""),45468.6666666666)</f>
        <v>45468.666666666599</v>
      </c>
      <c r="B1380" s="1">
        <f ca="1">IFERROR(__xludf.UNSUPPORTED("""COMPUTED_VALUE"""),126.09)</f>
        <v>126.09</v>
      </c>
      <c r="C1380" s="2">
        <f t="shared" ca="1" si="5"/>
        <v>6.7564135128270295E-2</v>
      </c>
    </row>
    <row r="1381" spans="1:3">
      <c r="A1381" s="3">
        <f ca="1">IFERROR(__xludf.UNSUPPORTED("""COMPUTED_VALUE"""),45469.6666666666)</f>
        <v>45469.666666666599</v>
      </c>
      <c r="B1381" s="1">
        <f ca="1">IFERROR(__xludf.UNSUPPORTED("""COMPUTED_VALUE"""),126.4)</f>
        <v>126.4</v>
      </c>
      <c r="C1381" s="2">
        <f t="shared" ca="1" si="5"/>
        <v>2.4585613450709989E-3</v>
      </c>
    </row>
    <row r="1382" spans="1:3">
      <c r="A1382" s="3">
        <f ca="1">IFERROR(__xludf.UNSUPPORTED("""COMPUTED_VALUE"""),45470.6666666666)</f>
        <v>45470.666666666599</v>
      </c>
      <c r="B1382" s="1">
        <f ca="1">IFERROR(__xludf.UNSUPPORTED("""COMPUTED_VALUE"""),123.99)</f>
        <v>123.99</v>
      </c>
      <c r="C1382" s="2">
        <f t="shared" ca="1" si="5"/>
        <v>-1.9066455696202616E-2</v>
      </c>
    </row>
    <row r="1383" spans="1:3">
      <c r="A1383" s="3">
        <f ca="1">IFERROR(__xludf.UNSUPPORTED("""COMPUTED_VALUE"""),45471.6666666666)</f>
        <v>45471.666666666599</v>
      </c>
      <c r="B1383" s="1">
        <f ca="1">IFERROR(__xludf.UNSUPPORTED("""COMPUTED_VALUE"""),123.54)</f>
        <v>123.54</v>
      </c>
      <c r="C1383" s="2">
        <f t="shared" ca="1" si="5"/>
        <v>-3.6293249455600341E-3</v>
      </c>
    </row>
    <row r="1384" spans="1:3">
      <c r="A1384" s="3">
        <f ca="1">IFERROR(__xludf.UNSUPPORTED("""COMPUTED_VALUE"""),45474.6666666666)</f>
        <v>45474.666666666599</v>
      </c>
      <c r="B1384" s="1">
        <f ca="1">IFERROR(__xludf.UNSUPPORTED("""COMPUTED_VALUE"""),124.3)</f>
        <v>124.3</v>
      </c>
      <c r="C1384" s="2">
        <f t="shared" ca="1" si="5"/>
        <v>6.1518536506393953E-3</v>
      </c>
    </row>
    <row r="1385" spans="1:3">
      <c r="A1385" s="3">
        <f ca="1">IFERROR(__xludf.UNSUPPORTED("""COMPUTED_VALUE"""),45475.6666666666)</f>
        <v>45475.666666666599</v>
      </c>
      <c r="B1385" s="1">
        <f ca="1">IFERROR(__xludf.UNSUPPORTED("""COMPUTED_VALUE"""),122.67)</f>
        <v>122.67</v>
      </c>
      <c r="C1385" s="2">
        <f t="shared" ca="1" si="5"/>
        <v>-1.3113435237329007E-2</v>
      </c>
    </row>
    <row r="1386" spans="1:3">
      <c r="A1386" s="3">
        <f ca="1">IFERROR(__xludf.UNSUPPORTED("""COMPUTED_VALUE"""),45476.5451388888)</f>
        <v>45476.545138888803</v>
      </c>
      <c r="B1386" s="1">
        <f ca="1">IFERROR(__xludf.UNSUPPORTED("""COMPUTED_VALUE"""),128.28)</f>
        <v>128.28</v>
      </c>
      <c r="C1386" s="2">
        <f t="shared" ca="1" si="5"/>
        <v>4.573245292247493E-2</v>
      </c>
    </row>
    <row r="1387" spans="1:3">
      <c r="A1387" s="3">
        <f ca="1">IFERROR(__xludf.UNSUPPORTED("""COMPUTED_VALUE"""),45478.6666666666)</f>
        <v>45478.666666666599</v>
      </c>
      <c r="B1387" s="1">
        <f ca="1">IFERROR(__xludf.UNSUPPORTED("""COMPUTED_VALUE"""),125.83)</f>
        <v>125.83</v>
      </c>
      <c r="C1387" s="2">
        <f t="shared" ca="1" si="5"/>
        <v>-1.9098846273776136E-2</v>
      </c>
    </row>
    <row r="1388" spans="1:3">
      <c r="A1388" s="3">
        <f ca="1">IFERROR(__xludf.UNSUPPORTED("""COMPUTED_VALUE"""),45481.6666666666)</f>
        <v>45481.666666666599</v>
      </c>
      <c r="B1388" s="1">
        <f ca="1">IFERROR(__xludf.UNSUPPORTED("""COMPUTED_VALUE"""),128.2)</f>
        <v>128.19999999999999</v>
      </c>
      <c r="C1388" s="2">
        <f t="shared" ca="1" si="5"/>
        <v>1.8834936024795284E-2</v>
      </c>
    </row>
    <row r="1389" spans="1:3">
      <c r="A1389" s="3">
        <f ca="1">IFERROR(__xludf.UNSUPPORTED("""COMPUTED_VALUE"""),45482.6666666666)</f>
        <v>45482.666666666599</v>
      </c>
      <c r="B1389" s="1">
        <f ca="1">IFERROR(__xludf.UNSUPPORTED("""COMPUTED_VALUE"""),131.38)</f>
        <v>131.38</v>
      </c>
      <c r="C1389" s="2">
        <f t="shared" ca="1" si="5"/>
        <v>2.4804992199688042E-2</v>
      </c>
    </row>
    <row r="1390" spans="1:3">
      <c r="A1390" s="3">
        <f ca="1">IFERROR(__xludf.UNSUPPORTED("""COMPUTED_VALUE"""),45483.6666666666)</f>
        <v>45483.666666666599</v>
      </c>
      <c r="B1390" s="1">
        <f ca="1">IFERROR(__xludf.UNSUPPORTED("""COMPUTED_VALUE"""),134.91)</f>
        <v>134.91</v>
      </c>
      <c r="C1390" s="2">
        <f t="shared" ca="1" si="5"/>
        <v>2.6868625361546668E-2</v>
      </c>
    </row>
    <row r="1391" spans="1:3">
      <c r="A1391" s="3">
        <f ca="1">IFERROR(__xludf.UNSUPPORTED("""COMPUTED_VALUE"""),45484.6666666666)</f>
        <v>45484.666666666599</v>
      </c>
      <c r="B1391" s="1">
        <f ca="1">IFERROR(__xludf.UNSUPPORTED("""COMPUTED_VALUE"""),127.4)</f>
        <v>127.4</v>
      </c>
      <c r="C1391" s="2">
        <f t="shared" ca="1" si="5"/>
        <v>-5.5666740790156335E-2</v>
      </c>
    </row>
    <row r="1392" spans="1:3">
      <c r="A1392" s="3">
        <f ca="1">IFERROR(__xludf.UNSUPPORTED("""COMPUTED_VALUE"""),45485.6666666666)</f>
        <v>45485.666666666599</v>
      </c>
      <c r="B1392" s="1">
        <f ca="1">IFERROR(__xludf.UNSUPPORTED("""COMPUTED_VALUE"""),129.24)</f>
        <v>129.24</v>
      </c>
      <c r="C1392" s="2">
        <f t="shared" ca="1" si="5"/>
        <v>1.4442700156985898E-2</v>
      </c>
    </row>
    <row r="1393" spans="1:3">
      <c r="A1393" s="3">
        <f ca="1">IFERROR(__xludf.UNSUPPORTED("""COMPUTED_VALUE"""),45488.6666666666)</f>
        <v>45488.666666666599</v>
      </c>
      <c r="B1393" s="1">
        <f ca="1">IFERROR(__xludf.UNSUPPORTED("""COMPUTED_VALUE"""),128.44)</f>
        <v>128.44</v>
      </c>
      <c r="C1393" s="2">
        <f t="shared" ca="1" si="5"/>
        <v>-6.1900340451873362E-3</v>
      </c>
    </row>
    <row r="1394" spans="1:3">
      <c r="A1394" s="3">
        <f ca="1">IFERROR(__xludf.UNSUPPORTED("""COMPUTED_VALUE"""),45489.6666666666)</f>
        <v>45489.666666666599</v>
      </c>
      <c r="B1394" s="1">
        <f ca="1">IFERROR(__xludf.UNSUPPORTED("""COMPUTED_VALUE"""),126.36)</f>
        <v>126.36</v>
      </c>
      <c r="C1394" s="2">
        <f t="shared" ca="1" si="5"/>
        <v>-1.6194331983805654E-2</v>
      </c>
    </row>
    <row r="1395" spans="1:3">
      <c r="A1395" s="3">
        <f ca="1">IFERROR(__xludf.UNSUPPORTED("""COMPUTED_VALUE"""),45490.6666666666)</f>
        <v>45490.666666666599</v>
      </c>
      <c r="B1395" s="1">
        <f ca="1">IFERROR(__xludf.UNSUPPORTED("""COMPUTED_VALUE"""),117.99)</f>
        <v>117.99</v>
      </c>
      <c r="C1395" s="2">
        <f t="shared" ca="1" si="5"/>
        <v>-6.6239316239316282E-2</v>
      </c>
    </row>
    <row r="1396" spans="1:3">
      <c r="A1396" s="3">
        <f ca="1">IFERROR(__xludf.UNSUPPORTED("""COMPUTED_VALUE"""),45491.6666666666)</f>
        <v>45491.666666666599</v>
      </c>
      <c r="B1396" s="1">
        <f ca="1">IFERROR(__xludf.UNSUPPORTED("""COMPUTED_VALUE"""),121.09)</f>
        <v>121.09</v>
      </c>
      <c r="C1396" s="2">
        <f t="shared" ca="1" si="5"/>
        <v>2.6273413001101861E-2</v>
      </c>
    </row>
    <row r="1397" spans="1:3">
      <c r="A1397" s="3">
        <f ca="1">IFERROR(__xludf.UNSUPPORTED("""COMPUTED_VALUE"""),45492.6666666666)</f>
        <v>45492.666666666599</v>
      </c>
      <c r="B1397" s="1">
        <f ca="1">IFERROR(__xludf.UNSUPPORTED("""COMPUTED_VALUE"""),117.93)</f>
        <v>117.93</v>
      </c>
      <c r="C1397" s="2">
        <f t="shared" ca="1" si="5"/>
        <v>-2.609629201420428E-2</v>
      </c>
    </row>
    <row r="1398" spans="1:3">
      <c r="A1398" s="3">
        <f ca="1">IFERROR(__xludf.UNSUPPORTED("""COMPUTED_VALUE"""),45495.6666666666)</f>
        <v>45495.666666666599</v>
      </c>
      <c r="B1398" s="1">
        <f ca="1">IFERROR(__xludf.UNSUPPORTED("""COMPUTED_VALUE"""),123.54)</f>
        <v>123.54</v>
      </c>
      <c r="C1398" s="2">
        <f t="shared" ca="1" si="5"/>
        <v>4.7570592724497575E-2</v>
      </c>
    </row>
    <row r="1399" spans="1:3">
      <c r="A1399" s="3">
        <f ca="1">IFERROR(__xludf.UNSUPPORTED("""COMPUTED_VALUE"""),45496.6666666666)</f>
        <v>45496.666666666599</v>
      </c>
      <c r="B1399" s="1">
        <f ca="1">IFERROR(__xludf.UNSUPPORTED("""COMPUTED_VALUE"""),122.59)</f>
        <v>122.59</v>
      </c>
      <c r="C1399" s="2">
        <f t="shared" ca="1" si="5"/>
        <v>-7.6898170632993586E-3</v>
      </c>
    </row>
    <row r="1400" spans="1:3">
      <c r="A1400" s="3">
        <f ca="1">IFERROR(__xludf.UNSUPPORTED("""COMPUTED_VALUE"""),45497.6666666666)</f>
        <v>45497.666666666599</v>
      </c>
      <c r="B1400" s="1">
        <f ca="1">IFERROR(__xludf.UNSUPPORTED("""COMPUTED_VALUE"""),114.25)</f>
        <v>114.25</v>
      </c>
      <c r="C1400" s="2">
        <f t="shared" ca="1" si="5"/>
        <v>-6.8031650216167736E-2</v>
      </c>
    </row>
    <row r="1401" spans="1:3">
      <c r="A1401" s="3">
        <f ca="1">IFERROR(__xludf.UNSUPPORTED("""COMPUTED_VALUE"""),45498.6666666666)</f>
        <v>45498.666666666599</v>
      </c>
      <c r="B1401" s="1">
        <f ca="1">IFERROR(__xludf.UNSUPPORTED("""COMPUTED_VALUE"""),112.28)</f>
        <v>112.28</v>
      </c>
      <c r="C1401" s="2">
        <f t="shared" ca="1" si="5"/>
        <v>-1.7242888402625809E-2</v>
      </c>
    </row>
    <row r="1402" spans="1:3">
      <c r="A1402" s="3">
        <f ca="1">IFERROR(__xludf.UNSUPPORTED("""COMPUTED_VALUE"""),45499.6666666666)</f>
        <v>45499.666666666599</v>
      </c>
      <c r="B1402" s="1">
        <f ca="1">IFERROR(__xludf.UNSUPPORTED("""COMPUTED_VALUE"""),113.06)</f>
        <v>113.06</v>
      </c>
      <c r="C1402" s="2">
        <f t="shared" ca="1" si="5"/>
        <v>6.9469184182401238E-3</v>
      </c>
    </row>
    <row r="1403" spans="1:3">
      <c r="A1403" s="3">
        <f ca="1">IFERROR(__xludf.UNSUPPORTED("""COMPUTED_VALUE"""),45502.6666666666)</f>
        <v>45502.666666666599</v>
      </c>
      <c r="B1403" s="1">
        <f ca="1">IFERROR(__xludf.UNSUPPORTED("""COMPUTED_VALUE"""),111.59)</f>
        <v>111.59</v>
      </c>
      <c r="C1403" s="2">
        <f t="shared" ca="1" si="5"/>
        <v>-1.3001945869449839E-2</v>
      </c>
    </row>
    <row r="1404" spans="1:3">
      <c r="A1404" s="3">
        <f ca="1">IFERROR(__xludf.UNSUPPORTED("""COMPUTED_VALUE"""),45503.6666666666)</f>
        <v>45503.666666666599</v>
      </c>
      <c r="B1404" s="1">
        <f ca="1">IFERROR(__xludf.UNSUPPORTED("""COMPUTED_VALUE"""),103.73)</f>
        <v>103.73</v>
      </c>
      <c r="C1404" s="2">
        <f t="shared" ca="1" si="5"/>
        <v>-7.043641903396361E-2</v>
      </c>
    </row>
    <row r="1405" spans="1:3">
      <c r="A1405" s="3">
        <f ca="1">IFERROR(__xludf.UNSUPPORTED("""COMPUTED_VALUE"""),45504.6666666666)</f>
        <v>45504.666666666599</v>
      </c>
      <c r="B1405" s="1">
        <f ca="1">IFERROR(__xludf.UNSUPPORTED("""COMPUTED_VALUE"""),117.02)</f>
        <v>117.02</v>
      </c>
      <c r="C1405" s="2">
        <f t="shared" ca="1" si="5"/>
        <v>0.12812108358237725</v>
      </c>
    </row>
    <row r="1406" spans="1:3">
      <c r="A1406" s="3">
        <f ca="1">IFERROR(__xludf.UNSUPPORTED("""COMPUTED_VALUE"""),45505.6666666666)</f>
        <v>45505.666666666599</v>
      </c>
      <c r="B1406" s="1">
        <f ca="1">IFERROR(__xludf.UNSUPPORTED("""COMPUTED_VALUE"""),109.21)</f>
        <v>109.21</v>
      </c>
      <c r="C1406" s="2">
        <f t="shared" ca="1" si="5"/>
        <v>-6.6740728080669998E-2</v>
      </c>
    </row>
    <row r="1407" spans="1:3">
      <c r="A1407" s="3">
        <f ca="1">IFERROR(__xludf.UNSUPPORTED("""COMPUTED_VALUE"""),45506.6666666666)</f>
        <v>45506.666666666599</v>
      </c>
      <c r="B1407" s="1">
        <f ca="1">IFERROR(__xludf.UNSUPPORTED("""COMPUTED_VALUE"""),107.27)</f>
        <v>107.27</v>
      </c>
      <c r="C1407" s="2">
        <f t="shared" ca="1" si="5"/>
        <v>-1.7763941031041095E-2</v>
      </c>
    </row>
    <row r="1408" spans="1:3">
      <c r="A1408" s="3">
        <f ca="1">IFERROR(__xludf.UNSUPPORTED("""COMPUTED_VALUE"""),45509.6666666666)</f>
        <v>45509.666666666599</v>
      </c>
      <c r="B1408" s="1">
        <f ca="1">IFERROR(__xludf.UNSUPPORTED("""COMPUTED_VALUE"""),100.45)</f>
        <v>100.45</v>
      </c>
      <c r="C1408" s="2">
        <f t="shared" ca="1" si="5"/>
        <v>-6.3577887573412817E-2</v>
      </c>
    </row>
    <row r="1409" spans="1:3">
      <c r="A1409" s="3">
        <f ca="1">IFERROR(__xludf.UNSUPPORTED("""COMPUTED_VALUE"""),45510.6666666666)</f>
        <v>45510.666666666599</v>
      </c>
      <c r="B1409" s="1">
        <f ca="1">IFERROR(__xludf.UNSUPPORTED("""COMPUTED_VALUE"""),104.25)</f>
        <v>104.25</v>
      </c>
      <c r="C1409" s="2">
        <f t="shared" ca="1" si="5"/>
        <v>3.7829766052762538E-2</v>
      </c>
    </row>
    <row r="1410" spans="1:3">
      <c r="A1410" s="3">
        <f ca="1">IFERROR(__xludf.UNSUPPORTED("""COMPUTED_VALUE"""),45511.6666666666)</f>
        <v>45511.666666666599</v>
      </c>
      <c r="B1410" s="1">
        <f ca="1">IFERROR(__xludf.UNSUPPORTED("""COMPUTED_VALUE"""),98.91)</f>
        <v>98.91</v>
      </c>
      <c r="C1410" s="2">
        <f t="shared" ca="1" si="5"/>
        <v>-5.1223021582733848E-2</v>
      </c>
    </row>
    <row r="1411" spans="1:3">
      <c r="A1411" s="3">
        <f ca="1">IFERROR(__xludf.UNSUPPORTED("""COMPUTED_VALUE"""),45512.6666666666)</f>
        <v>45512.666666666599</v>
      </c>
      <c r="B1411" s="1">
        <f ca="1">IFERROR(__xludf.UNSUPPORTED("""COMPUTED_VALUE"""),104.97)</f>
        <v>104.97</v>
      </c>
      <c r="C1411" s="2">
        <f t="shared" ca="1" si="5"/>
        <v>6.1267819229602692E-2</v>
      </c>
    </row>
    <row r="1412" spans="1:3">
      <c r="A1412" s="3">
        <f ca="1">IFERROR(__xludf.UNSUPPORTED("""COMPUTED_VALUE"""),45513.6666666666)</f>
        <v>45513.666666666599</v>
      </c>
      <c r="B1412" s="1">
        <f ca="1">IFERROR(__xludf.UNSUPPORTED("""COMPUTED_VALUE"""),104.75)</f>
        <v>104.75</v>
      </c>
      <c r="C1412" s="2">
        <f t="shared" ca="1" si="5"/>
        <v>-2.0958369057825937E-3</v>
      </c>
    </row>
    <row r="1413" spans="1:3">
      <c r="A1413" s="3">
        <f ca="1">IFERROR(__xludf.UNSUPPORTED("""COMPUTED_VALUE"""),45516.6666666666)</f>
        <v>45516.666666666599</v>
      </c>
      <c r="B1413" s="1">
        <f ca="1">IFERROR(__xludf.UNSUPPORTED("""COMPUTED_VALUE"""),109.02)</f>
        <v>109.02</v>
      </c>
      <c r="C1413" s="2">
        <f t="shared" ca="1" si="5"/>
        <v>4.0763723150357957E-2</v>
      </c>
    </row>
    <row r="1414" spans="1:3">
      <c r="A1414" s="3">
        <f ca="1">IFERROR(__xludf.UNSUPPORTED("""COMPUTED_VALUE"""),45517.6666666666)</f>
        <v>45517.666666666599</v>
      </c>
      <c r="B1414" s="1">
        <f ca="1">IFERROR(__xludf.UNSUPPORTED("""COMPUTED_VALUE"""),116.14)</f>
        <v>116.14</v>
      </c>
      <c r="C1414" s="2">
        <f t="shared" ca="1" si="5"/>
        <v>6.5309117593102234E-2</v>
      </c>
    </row>
    <row r="1415" spans="1:3">
      <c r="A1415" s="3">
        <f ca="1">IFERROR(__xludf.UNSUPPORTED("""COMPUTED_VALUE"""),45518.6666666666)</f>
        <v>45518.666666666599</v>
      </c>
      <c r="B1415" s="1">
        <f ca="1">IFERROR(__xludf.UNSUPPORTED("""COMPUTED_VALUE"""),118.08)</f>
        <v>118.08</v>
      </c>
      <c r="C1415" s="2">
        <f t="shared" ca="1" si="5"/>
        <v>1.6703977957637315E-2</v>
      </c>
    </row>
    <row r="1416" spans="1:3">
      <c r="A1416" s="3">
        <f ca="1">IFERROR(__xludf.UNSUPPORTED("""COMPUTED_VALUE"""),45519.6666666666)</f>
        <v>45519.666666666599</v>
      </c>
      <c r="B1416" s="1">
        <f ca="1">IFERROR(__xludf.UNSUPPORTED("""COMPUTED_VALUE"""),122.86)</f>
        <v>122.86</v>
      </c>
      <c r="C1416" s="2">
        <f t="shared" ca="1" si="5"/>
        <v>4.0481029810298115E-2</v>
      </c>
    </row>
    <row r="1417" spans="1:3">
      <c r="A1417" s="3">
        <f ca="1">IFERROR(__xludf.UNSUPPORTED("""COMPUTED_VALUE"""),45520.6666666666)</f>
        <v>45520.666666666599</v>
      </c>
      <c r="B1417" s="1">
        <f ca="1">IFERROR(__xludf.UNSUPPORTED("""COMPUTED_VALUE"""),124.58)</f>
        <v>124.58</v>
      </c>
      <c r="C1417" s="2">
        <f t="shared" ca="1" si="5"/>
        <v>1.3999674426176126E-2</v>
      </c>
    </row>
    <row r="1418" spans="1:3">
      <c r="A1418" s="3">
        <f ca="1">IFERROR(__xludf.UNSUPPORTED("""COMPUTED_VALUE"""),45523.6666666666)</f>
        <v>45523.666666666599</v>
      </c>
      <c r="B1418" s="1">
        <f ca="1">IFERROR(__xludf.UNSUPPORTED("""COMPUTED_VALUE"""),130)</f>
        <v>130</v>
      </c>
      <c r="C1418" s="2">
        <f t="shared" ca="1" si="5"/>
        <v>4.3506180767378402E-2</v>
      </c>
    </row>
    <row r="1419" spans="1:3">
      <c r="A1419" s="3">
        <f ca="1">IFERROR(__xludf.UNSUPPORTED("""COMPUTED_VALUE"""),45524.6666666666)</f>
        <v>45524.666666666599</v>
      </c>
      <c r="B1419" s="1">
        <f ca="1">IFERROR(__xludf.UNSUPPORTED("""COMPUTED_VALUE"""),127.25)</f>
        <v>127.25</v>
      </c>
      <c r="C1419" s="2">
        <f t="shared" ca="1" si="5"/>
        <v>-2.1153846153846155E-2</v>
      </c>
    </row>
    <row r="1420" spans="1:3">
      <c r="A1420" s="3">
        <f ca="1">IFERROR(__xludf.UNSUPPORTED("""COMPUTED_VALUE"""),45525.6666666666)</f>
        <v>45525.666666666599</v>
      </c>
      <c r="B1420" s="1">
        <f ca="1">IFERROR(__xludf.UNSUPPORTED("""COMPUTED_VALUE"""),128.5)</f>
        <v>128.5</v>
      </c>
      <c r="C1420" s="2">
        <f t="shared" ca="1" si="5"/>
        <v>9.823182711198428E-3</v>
      </c>
    </row>
    <row r="1421" spans="1:3">
      <c r="A1421" s="3">
        <f ca="1">IFERROR(__xludf.UNSUPPORTED("""COMPUTED_VALUE"""),45526.6666666666)</f>
        <v>45526.666666666599</v>
      </c>
      <c r="B1421" s="1">
        <f ca="1">IFERROR(__xludf.UNSUPPORTED("""COMPUTED_VALUE"""),123.74)</f>
        <v>123.74</v>
      </c>
      <c r="C1421" s="2">
        <f t="shared" ca="1" si="5"/>
        <v>-3.7042801556420271E-2</v>
      </c>
    </row>
    <row r="1422" spans="1:3">
      <c r="A1422" s="3">
        <f ca="1">IFERROR(__xludf.UNSUPPORTED("""COMPUTED_VALUE"""),45527.6666666666)</f>
        <v>45527.666666666599</v>
      </c>
      <c r="B1422" s="1">
        <f ca="1">IFERROR(__xludf.UNSUPPORTED("""COMPUTED_VALUE"""),129.37)</f>
        <v>129.37</v>
      </c>
      <c r="C1422" s="2">
        <f t="shared" ca="1" si="5"/>
        <v>4.5498626151608289E-2</v>
      </c>
    </row>
    <row r="1423" spans="1:3">
      <c r="A1423" s="3">
        <f ca="1">IFERROR(__xludf.UNSUPPORTED("""COMPUTED_VALUE"""),45530.6666666666)</f>
        <v>45530.666666666599</v>
      </c>
      <c r="B1423" s="1">
        <f ca="1">IFERROR(__xludf.UNSUPPORTED("""COMPUTED_VALUE"""),126.46)</f>
        <v>126.46</v>
      </c>
      <c r="C1423" s="2">
        <f t="shared" ca="1" si="5"/>
        <v>-2.249362294194953E-2</v>
      </c>
    </row>
    <row r="1424" spans="1:3">
      <c r="A1424" s="3">
        <f ca="1">IFERROR(__xludf.UNSUPPORTED("""COMPUTED_VALUE"""),45531.6666666666)</f>
        <v>45531.666666666599</v>
      </c>
      <c r="B1424" s="1">
        <f ca="1">IFERROR(__xludf.UNSUPPORTED("""COMPUTED_VALUE"""),128.3)</f>
        <v>128.30000000000001</v>
      </c>
      <c r="C1424" s="2">
        <f t="shared" ca="1" si="5"/>
        <v>1.4550055353471593E-2</v>
      </c>
    </row>
    <row r="1425" spans="1:3">
      <c r="A1425" s="3">
        <f ca="1">IFERROR(__xludf.UNSUPPORTED("""COMPUTED_VALUE"""),45532.6666666666)</f>
        <v>45532.666666666599</v>
      </c>
      <c r="B1425" s="1">
        <f ca="1">IFERROR(__xludf.UNSUPPORTED("""COMPUTED_VALUE"""),125.61)</f>
        <v>125.61</v>
      </c>
      <c r="C1425" s="2">
        <f t="shared" ca="1" si="5"/>
        <v>-2.096648480124717E-2</v>
      </c>
    </row>
    <row r="1426" spans="1:3">
      <c r="A1426" s="3">
        <f ca="1">IFERROR(__xludf.UNSUPPORTED("""COMPUTED_VALUE"""),45533.6666666666)</f>
        <v>45533.666666666599</v>
      </c>
      <c r="B1426" s="1">
        <f ca="1">IFERROR(__xludf.UNSUPPORTED("""COMPUTED_VALUE"""),117.59)</f>
        <v>117.59</v>
      </c>
      <c r="C1426" s="2">
        <f t="shared" ca="1" si="5"/>
        <v>-6.3848419711806353E-2</v>
      </c>
    </row>
    <row r="1427" spans="1:3">
      <c r="A1427" s="3">
        <f ca="1">IFERROR(__xludf.UNSUPPORTED("""COMPUTED_VALUE"""),45534.6666666666)</f>
        <v>45534.666666666599</v>
      </c>
      <c r="B1427" s="1">
        <f ca="1">IFERROR(__xludf.UNSUPPORTED("""COMPUTED_VALUE"""),119.37)</f>
        <v>119.37</v>
      </c>
      <c r="C1427" s="2">
        <f t="shared" ca="1" si="5"/>
        <v>1.513734161068119E-2</v>
      </c>
    </row>
    <row r="1428" spans="1:3">
      <c r="A1428" s="3">
        <f ca="1">IFERROR(__xludf.UNSUPPORTED("""COMPUTED_VALUE"""),45538.6666666666)</f>
        <v>45538.666666666599</v>
      </c>
      <c r="B1428" s="1">
        <f ca="1">IFERROR(__xludf.UNSUPPORTED("""COMPUTED_VALUE"""),108)</f>
        <v>108</v>
      </c>
      <c r="C1428" s="2">
        <f t="shared" ca="1" si="5"/>
        <v>-9.5250062829856777E-2</v>
      </c>
    </row>
    <row r="1429" spans="1:3">
      <c r="A1429" s="3">
        <f ca="1">IFERROR(__xludf.UNSUPPORTED("""COMPUTED_VALUE"""),45539.6666666666)</f>
        <v>45539.666666666599</v>
      </c>
      <c r="B1429" s="1">
        <f ca="1">IFERROR(__xludf.UNSUPPORTED("""COMPUTED_VALUE"""),106.21)</f>
        <v>106.21</v>
      </c>
      <c r="C1429" s="2">
        <f t="shared" ca="1" si="5"/>
        <v>-1.6574074074074133E-2</v>
      </c>
    </row>
    <row r="1430" spans="1:3">
      <c r="A1430" s="3">
        <f ca="1">IFERROR(__xludf.UNSUPPORTED("""COMPUTED_VALUE"""),45540.6666666666)</f>
        <v>45540.666666666599</v>
      </c>
      <c r="B1430" s="1">
        <f ca="1">IFERROR(__xludf.UNSUPPORTED("""COMPUTED_VALUE"""),107.21)</f>
        <v>107.21</v>
      </c>
      <c r="C1430" s="2">
        <f t="shared" ca="1" si="5"/>
        <v>9.4153092929102726E-3</v>
      </c>
    </row>
    <row r="1431" spans="1:3">
      <c r="A1431" s="3">
        <f ca="1">IFERROR(__xludf.UNSUPPORTED("""COMPUTED_VALUE"""),45541.6666666666)</f>
        <v>45541.666666666599</v>
      </c>
      <c r="B1431" s="1">
        <f ca="1">IFERROR(__xludf.UNSUPPORTED("""COMPUTED_VALUE"""),102.83)</f>
        <v>102.83</v>
      </c>
      <c r="C1431" s="2">
        <f t="shared" ca="1" si="5"/>
        <v>-4.0854397910642624E-2</v>
      </c>
    </row>
    <row r="1432" spans="1:3">
      <c r="A1432" s="3">
        <f ca="1">IFERROR(__xludf.UNSUPPORTED("""COMPUTED_VALUE"""),45544.6666666666)</f>
        <v>45544.666666666599</v>
      </c>
      <c r="B1432" s="1">
        <f ca="1">IFERROR(__xludf.UNSUPPORTED("""COMPUTED_VALUE"""),106.47)</f>
        <v>106.47</v>
      </c>
      <c r="C1432" s="2">
        <f t="shared" ca="1" si="5"/>
        <v>3.5398230088495582E-2</v>
      </c>
    </row>
    <row r="1433" spans="1:3">
      <c r="A1433" s="3">
        <f ca="1">IFERROR(__xludf.UNSUPPORTED("""COMPUTED_VALUE"""),45545.6666666666)</f>
        <v>45545.666666666599</v>
      </c>
      <c r="B1433" s="1">
        <f ca="1">IFERROR(__xludf.UNSUPPORTED("""COMPUTED_VALUE"""),108.1)</f>
        <v>108.1</v>
      </c>
      <c r="C1433" s="2">
        <f t="shared" ca="1" si="5"/>
        <v>1.5309476847938343E-2</v>
      </c>
    </row>
    <row r="1434" spans="1:3">
      <c r="A1434" s="3">
        <f ca="1">IFERROR(__xludf.UNSUPPORTED("""COMPUTED_VALUE"""),45546.6666666666)</f>
        <v>45546.666666666599</v>
      </c>
      <c r="B1434" s="1">
        <f ca="1">IFERROR(__xludf.UNSUPPORTED("""COMPUTED_VALUE"""),116.91)</f>
        <v>116.91</v>
      </c>
      <c r="C1434" s="2">
        <f t="shared" ca="1" si="5"/>
        <v>8.1498612395929718E-2</v>
      </c>
    </row>
    <row r="1435" spans="1:3">
      <c r="A1435" s="3">
        <f ca="1">IFERROR(__xludf.UNSUPPORTED("""COMPUTED_VALUE"""),45547.6666666666)</f>
        <v>45547.666666666599</v>
      </c>
      <c r="B1435" s="1">
        <f ca="1">IFERROR(__xludf.UNSUPPORTED("""COMPUTED_VALUE"""),119.14)</f>
        <v>119.14</v>
      </c>
      <c r="C1435" s="2">
        <f t="shared" ca="1" si="5"/>
        <v>1.9074501753485622E-2</v>
      </c>
    </row>
    <row r="1436" spans="1:3">
      <c r="A1436" s="3">
        <f ca="1">IFERROR(__xludf.UNSUPPORTED("""COMPUTED_VALUE"""),45548.6666666666)</f>
        <v>45548.666666666599</v>
      </c>
      <c r="B1436" s="1">
        <f ca="1">IFERROR(__xludf.UNSUPPORTED("""COMPUTED_VALUE"""),119.1)</f>
        <v>119.1</v>
      </c>
      <c r="C1436" s="2">
        <f t="shared" ca="1" si="5"/>
        <v>-3.3573946617430125E-4</v>
      </c>
    </row>
    <row r="1437" spans="1:3">
      <c r="A1437" s="3">
        <f ca="1">IFERROR(__xludf.UNSUPPORTED("""COMPUTED_VALUE"""),45551.6666666666)</f>
        <v>45551.666666666599</v>
      </c>
      <c r="B1437" s="1">
        <f ca="1">IFERROR(__xludf.UNSUPPORTED("""COMPUTED_VALUE"""),116.78)</f>
        <v>116.78</v>
      </c>
      <c r="C1437" s="2">
        <f t="shared" ca="1" si="5"/>
        <v>-1.9479429051217408E-2</v>
      </c>
    </row>
    <row r="1438" spans="1:3">
      <c r="A1438" s="3">
        <f ca="1">IFERROR(__xludf.UNSUPPORTED("""COMPUTED_VALUE"""),45552.6666666666)</f>
        <v>45552.666666666599</v>
      </c>
      <c r="B1438" s="1">
        <f ca="1">IFERROR(__xludf.UNSUPPORTED("""COMPUTED_VALUE"""),115.59)</f>
        <v>115.59</v>
      </c>
      <c r="C1438" s="2">
        <f t="shared" ca="1" si="5"/>
        <v>-1.0190101044699416E-2</v>
      </c>
    </row>
    <row r="1439" spans="1:3">
      <c r="A1439" s="3">
        <f ca="1">IFERROR(__xludf.UNSUPPORTED("""COMPUTED_VALUE"""),45553.6666666666)</f>
        <v>45553.666666666599</v>
      </c>
      <c r="B1439" s="1">
        <f ca="1">IFERROR(__xludf.UNSUPPORTED("""COMPUTED_VALUE"""),113.37)</f>
        <v>113.37</v>
      </c>
      <c r="C1439" s="2">
        <f t="shared" ca="1" si="5"/>
        <v>-1.9205813651699963E-2</v>
      </c>
    </row>
    <row r="1440" spans="1:3">
      <c r="A1440" s="3">
        <f ca="1">IFERROR(__xludf.UNSUPPORTED("""COMPUTED_VALUE"""),45554.6666666666)</f>
        <v>45554.666666666599</v>
      </c>
      <c r="B1440" s="1">
        <f ca="1">IFERROR(__xludf.UNSUPPORTED("""COMPUTED_VALUE"""),117.87)</f>
        <v>117.87</v>
      </c>
      <c r="C1440" s="2">
        <f t="shared" ca="1" si="5"/>
        <v>3.9693040486901296E-2</v>
      </c>
    </row>
    <row r="1441" spans="1:3">
      <c r="A1441" s="3">
        <f ca="1">IFERROR(__xludf.UNSUPPORTED("""COMPUTED_VALUE"""),45555.6666666666)</f>
        <v>45555.666666666599</v>
      </c>
      <c r="B1441" s="1">
        <f ca="1">IFERROR(__xludf.UNSUPPORTED("""COMPUTED_VALUE"""),116)</f>
        <v>116</v>
      </c>
      <c r="C1441" s="2">
        <f t="shared" ca="1" si="5"/>
        <v>-1.5864935946381643E-2</v>
      </c>
    </row>
    <row r="1442" spans="1:3">
      <c r="A1442" s="3">
        <f ca="1">IFERROR(__xludf.UNSUPPORTED("""COMPUTED_VALUE"""),45558.6666666666)</f>
        <v>45558.666666666599</v>
      </c>
      <c r="B1442" s="1">
        <f ca="1">IFERROR(__xludf.UNSUPPORTED("""COMPUTED_VALUE"""),116.26)</f>
        <v>116.26</v>
      </c>
      <c r="C1442" s="2">
        <f t="shared" ca="1" si="5"/>
        <v>2.2413793103448717E-3</v>
      </c>
    </row>
    <row r="1443" spans="1:3">
      <c r="A1443" s="3">
        <f ca="1">IFERROR(__xludf.UNSUPPORTED("""COMPUTED_VALUE"""),45559.6666666666)</f>
        <v>45559.666666666599</v>
      </c>
      <c r="B1443" s="1">
        <f ca="1">IFERROR(__xludf.UNSUPPORTED("""COMPUTED_VALUE"""),120.87)</f>
        <v>120.87</v>
      </c>
      <c r="C1443" s="2">
        <f t="shared" ca="1" si="5"/>
        <v>3.9652503010493716E-2</v>
      </c>
    </row>
    <row r="1444" spans="1:3">
      <c r="A1444" s="3">
        <f ca="1">IFERROR(__xludf.UNSUPPORTED("""COMPUTED_VALUE"""),45560.6666666666)</f>
        <v>45560.666666666599</v>
      </c>
      <c r="B1444" s="1">
        <f ca="1">IFERROR(__xludf.UNSUPPORTED("""COMPUTED_VALUE"""),123.51)</f>
        <v>123.51</v>
      </c>
      <c r="C1444" s="2">
        <f t="shared" ca="1" si="5"/>
        <v>2.1841648051625716E-2</v>
      </c>
    </row>
    <row r="1445" spans="1:3">
      <c r="A1445" s="3">
        <f ca="1">IFERROR(__xludf.UNSUPPORTED("""COMPUTED_VALUE"""),45561.6666666666)</f>
        <v>45561.666666666599</v>
      </c>
      <c r="B1445" s="1">
        <f ca="1">IFERROR(__xludf.UNSUPPORTED("""COMPUTED_VALUE"""),124.04)</f>
        <v>124.04</v>
      </c>
      <c r="C1445" s="2">
        <f t="shared" ca="1" si="5"/>
        <v>4.29115051412842E-3</v>
      </c>
    </row>
    <row r="1446" spans="1:3">
      <c r="A1446" s="3">
        <f ca="1">IFERROR(__xludf.UNSUPPORTED("""COMPUTED_VALUE"""),45562.6666666666)</f>
        <v>45562.666666666599</v>
      </c>
      <c r="B1446" s="1">
        <f ca="1">IFERROR(__xludf.UNSUPPORTED("""COMPUTED_VALUE"""),121.4)</f>
        <v>121.4</v>
      </c>
      <c r="C1446" s="2">
        <f t="shared" ca="1" si="5"/>
        <v>-2.1283456949371175E-2</v>
      </c>
    </row>
    <row r="1447" spans="1:3">
      <c r="A1447" s="3">
        <f ca="1">IFERROR(__xludf.UNSUPPORTED("""COMPUTED_VALUE"""),45565.6666666666)</f>
        <v>45565.666666666599</v>
      </c>
      <c r="B1447" s="1">
        <f ca="1">IFERROR(__xludf.UNSUPPORTED("""COMPUTED_VALUE"""),121.44)</f>
        <v>121.44</v>
      </c>
      <c r="C1447" s="2">
        <f t="shared" ca="1" si="5"/>
        <v>3.2948929159795751E-4</v>
      </c>
    </row>
    <row r="1448" spans="1:3">
      <c r="A1448" s="3">
        <f ca="1">IFERROR(__xludf.UNSUPPORTED("""COMPUTED_VALUE"""),45566.6666666666)</f>
        <v>45566.666666666599</v>
      </c>
      <c r="B1448" s="1">
        <f ca="1">IFERROR(__xludf.UNSUPPORTED("""COMPUTED_VALUE"""),117)</f>
        <v>117</v>
      </c>
      <c r="C1448" s="2">
        <f t="shared" ca="1" si="5"/>
        <v>-3.6561264822134371E-2</v>
      </c>
    </row>
    <row r="1449" spans="1:3">
      <c r="A1449" s="3">
        <f ca="1">IFERROR(__xludf.UNSUPPORTED("""COMPUTED_VALUE"""),45567.6666666666)</f>
        <v>45567.666666666599</v>
      </c>
      <c r="B1449" s="1">
        <f ca="1">IFERROR(__xludf.UNSUPPORTED("""COMPUTED_VALUE"""),118.85)</f>
        <v>118.85</v>
      </c>
      <c r="C1449" s="2">
        <f t="shared" ca="1" si="5"/>
        <v>1.5811965811965763E-2</v>
      </c>
    </row>
    <row r="1450" spans="1:3">
      <c r="A1450" s="3">
        <f ca="1">IFERROR(__xludf.UNSUPPORTED("""COMPUTED_VALUE"""),45568.6666666666)</f>
        <v>45568.666666666599</v>
      </c>
      <c r="B1450" s="1">
        <f ca="1">IFERROR(__xludf.UNSUPPORTED("""COMPUTED_VALUE"""),122.85)</f>
        <v>122.85</v>
      </c>
      <c r="C1450" s="2">
        <f t="shared" ca="1" si="5"/>
        <v>3.3655868742111905E-2</v>
      </c>
    </row>
    <row r="1451" spans="1:3">
      <c r="A1451" s="3">
        <f ca="1">IFERROR(__xludf.UNSUPPORTED("""COMPUTED_VALUE"""),45569.6666666666)</f>
        <v>45569.666666666599</v>
      </c>
      <c r="B1451" s="1">
        <f ca="1">IFERROR(__xludf.UNSUPPORTED("""COMPUTED_VALUE"""),124.92)</f>
        <v>124.92</v>
      </c>
      <c r="C1451" s="2">
        <f t="shared" ca="1" si="5"/>
        <v>1.6849816849816911E-2</v>
      </c>
    </row>
    <row r="1452" spans="1:3">
      <c r="A1452" s="3">
        <f ca="1">IFERROR(__xludf.UNSUPPORTED("""COMPUTED_VALUE"""),45572.6666666666)</f>
        <v>45572.666666666599</v>
      </c>
      <c r="B1452" s="1">
        <f ca="1">IFERROR(__xludf.UNSUPPORTED("""COMPUTED_VALUE"""),127.72)</f>
        <v>127.72</v>
      </c>
      <c r="C1452" s="2">
        <f t="shared" ca="1" si="5"/>
        <v>2.2414345180915764E-2</v>
      </c>
    </row>
    <row r="1453" spans="1:3">
      <c r="A1453" s="3">
        <f ca="1">IFERROR(__xludf.UNSUPPORTED("""COMPUTED_VALUE"""),45573.6666666666)</f>
        <v>45573.666666666599</v>
      </c>
      <c r="B1453" s="1">
        <f ca="1">IFERROR(__xludf.UNSUPPORTED("""COMPUTED_VALUE"""),132.89)</f>
        <v>132.88999999999999</v>
      </c>
      <c r="C1453" s="2">
        <f t="shared" ca="1" si="5"/>
        <v>4.0479173191355994E-2</v>
      </c>
    </row>
    <row r="1454" spans="1:3">
      <c r="A1454" s="3">
        <f ca="1">IFERROR(__xludf.UNSUPPORTED("""COMPUTED_VALUE"""),45574.6666666666)</f>
        <v>45574.666666666599</v>
      </c>
      <c r="B1454" s="1">
        <f ca="1">IFERROR(__xludf.UNSUPPORTED("""COMPUTED_VALUE"""),132.65)</f>
        <v>132.65</v>
      </c>
      <c r="C1454" s="2">
        <f t="shared" ca="1" si="5"/>
        <v>-1.8060049665135126E-3</v>
      </c>
    </row>
    <row r="1455" spans="1:3">
      <c r="A1455" s="3">
        <f ca="1">IFERROR(__xludf.UNSUPPORTED("""COMPUTED_VALUE"""),45575.6666666666)</f>
        <v>45575.666666666599</v>
      </c>
      <c r="B1455" s="1">
        <f ca="1">IFERROR(__xludf.UNSUPPORTED("""COMPUTED_VALUE"""),134.81)</f>
        <v>134.81</v>
      </c>
      <c r="C1455" s="2">
        <f t="shared" ca="1" si="5"/>
        <v>1.6283452695062168E-2</v>
      </c>
    </row>
    <row r="1456" spans="1:3">
      <c r="A1456" s="3">
        <f ca="1">IFERROR(__xludf.UNSUPPORTED("""COMPUTED_VALUE"""),45576.6666666666)</f>
        <v>45576.666666666599</v>
      </c>
      <c r="B1456" s="1">
        <f ca="1">IFERROR(__xludf.UNSUPPORTED("""COMPUTED_VALUE"""),134.8)</f>
        <v>134.80000000000001</v>
      </c>
      <c r="C1456" s="2">
        <f t="shared" ca="1" si="5"/>
        <v>-7.4178473406949811E-5</v>
      </c>
    </row>
    <row r="1457" spans="1:3">
      <c r="A1457" s="3">
        <f ca="1">IFERROR(__xludf.UNSUPPORTED("""COMPUTED_VALUE"""),45579.6666666666)</f>
        <v>45579.666666666599</v>
      </c>
      <c r="B1457" s="1">
        <f ca="1">IFERROR(__xludf.UNSUPPORTED("""COMPUTED_VALUE"""),138.07)</f>
        <v>138.07</v>
      </c>
      <c r="C1457" s="2">
        <f t="shared" ca="1" si="5"/>
        <v>2.4258160237388585E-2</v>
      </c>
    </row>
    <row r="1458" spans="1:3">
      <c r="A1458" s="3">
        <f ca="1">IFERROR(__xludf.UNSUPPORTED("""COMPUTED_VALUE"""),45580.6666666666)</f>
        <v>45580.666666666599</v>
      </c>
      <c r="B1458" s="1">
        <f ca="1">IFERROR(__xludf.UNSUPPORTED("""COMPUTED_VALUE"""),131.6)</f>
        <v>131.6</v>
      </c>
      <c r="C1458" s="2">
        <f t="shared" ca="1" si="5"/>
        <v>-4.686028825957847E-2</v>
      </c>
    </row>
    <row r="1459" spans="1:3">
      <c r="A1459" s="3">
        <f ca="1">IFERROR(__xludf.UNSUPPORTED("""COMPUTED_VALUE"""),45581.6666666666)</f>
        <v>45581.666666666599</v>
      </c>
      <c r="B1459" s="1">
        <f ca="1">IFERROR(__xludf.UNSUPPORTED("""COMPUTED_VALUE"""),135.72)</f>
        <v>135.72</v>
      </c>
      <c r="C1459" s="2">
        <f t="shared" ca="1" si="5"/>
        <v>3.1306990881459003E-2</v>
      </c>
    </row>
    <row r="1460" spans="1:3">
      <c r="A1460" s="3">
        <f ca="1">IFERROR(__xludf.UNSUPPORTED("""COMPUTED_VALUE"""),45582.6666666666)</f>
        <v>45582.666666666599</v>
      </c>
      <c r="B1460" s="1">
        <f ca="1">IFERROR(__xludf.UNSUPPORTED("""COMPUTED_VALUE"""),136.93)</f>
        <v>136.93</v>
      </c>
      <c r="C1460" s="2">
        <f t="shared" ca="1" si="5"/>
        <v>8.9154140878279393E-3</v>
      </c>
    </row>
    <row r="1461" spans="1:3">
      <c r="A1461" s="3">
        <f ca="1">IFERROR(__xludf.UNSUPPORTED("""COMPUTED_VALUE"""),45583.6666666666)</f>
        <v>45583.666666666599</v>
      </c>
      <c r="B1461" s="1">
        <f ca="1">IFERROR(__xludf.UNSUPPORTED("""COMPUTED_VALUE"""),138)</f>
        <v>138</v>
      </c>
      <c r="C1461" s="2">
        <f t="shared" ca="1" si="5"/>
        <v>7.8142116409843938E-3</v>
      </c>
    </row>
    <row r="1462" spans="1:3">
      <c r="A1462" s="3">
        <f ca="1">IFERROR(__xludf.UNSUPPORTED("""COMPUTED_VALUE"""),45586.6666666666)</f>
        <v>45586.666666666599</v>
      </c>
      <c r="B1462" s="1">
        <f ca="1">IFERROR(__xludf.UNSUPPORTED("""COMPUTED_VALUE"""),143.71)</f>
        <v>143.71</v>
      </c>
      <c r="C1462" s="2">
        <f t="shared" ca="1" si="5"/>
        <v>4.1376811594202957E-2</v>
      </c>
    </row>
    <row r="1463" spans="1:3">
      <c r="A1463" s="3">
        <f ca="1">IFERROR(__xludf.UNSUPPORTED("""COMPUTED_VALUE"""),45587.6666666666)</f>
        <v>45587.666666666599</v>
      </c>
      <c r="B1463" s="1">
        <f ca="1">IFERROR(__xludf.UNSUPPORTED("""COMPUTED_VALUE"""),143.59)</f>
        <v>143.59</v>
      </c>
      <c r="C1463" s="2">
        <f t="shared" ca="1" si="5"/>
        <v>-8.3501496068474391E-4</v>
      </c>
    </row>
    <row r="1464" spans="1:3">
      <c r="A1464" s="3">
        <f ca="1">IFERROR(__xludf.UNSUPPORTED("""COMPUTED_VALUE"""),45588.6666666666)</f>
        <v>45588.666666666599</v>
      </c>
      <c r="B1464" s="1">
        <f ca="1">IFERROR(__xludf.UNSUPPORTED("""COMPUTED_VALUE"""),139.56)</f>
        <v>139.56</v>
      </c>
      <c r="C1464" s="2">
        <f t="shared" ca="1" si="5"/>
        <v>-2.8066021310676238E-2</v>
      </c>
    </row>
    <row r="1465" spans="1:3">
      <c r="A1465" s="3">
        <f ca="1">IFERROR(__xludf.UNSUPPORTED("""COMPUTED_VALUE"""),45589.6666666666)</f>
        <v>45589.666666666599</v>
      </c>
      <c r="B1465" s="1">
        <f ca="1">IFERROR(__xludf.UNSUPPORTED("""COMPUTED_VALUE"""),140.41)</f>
        <v>140.41</v>
      </c>
      <c r="C1465" s="2">
        <f t="shared" ca="1" si="5"/>
        <v>6.0905703640011053E-3</v>
      </c>
    </row>
    <row r="1466" spans="1:3">
      <c r="A1466" s="3">
        <f ca="1">IFERROR(__xludf.UNSUPPORTED("""COMPUTED_VALUE"""),45590.6666666666)</f>
        <v>45590.666666666599</v>
      </c>
      <c r="B1466" s="1">
        <f ca="1">IFERROR(__xludf.UNSUPPORTED("""COMPUTED_VALUE"""),141.54)</f>
        <v>141.54</v>
      </c>
      <c r="C1466" s="2">
        <f t="shared" ca="1" si="5"/>
        <v>8.0478598390427702E-3</v>
      </c>
    </row>
    <row r="1467" spans="1:3">
      <c r="A1467" s="3">
        <f ca="1">IFERROR(__xludf.UNSUPPORTED("""COMPUTED_VALUE"""),45593.6666666666)</f>
        <v>45593.666666666599</v>
      </c>
      <c r="B1467" s="1">
        <f ca="1">IFERROR(__xludf.UNSUPPORTED("""COMPUTED_VALUE"""),140.52)</f>
        <v>140.52000000000001</v>
      </c>
      <c r="C1467" s="2">
        <f t="shared" ca="1" si="5"/>
        <v>-7.2064434082236952E-3</v>
      </c>
    </row>
    <row r="1468" spans="1:3">
      <c r="A1468" s="3">
        <f ca="1">IFERROR(__xludf.UNSUPPORTED("""COMPUTED_VALUE"""),45594.6666666666)</f>
        <v>45594.666666666599</v>
      </c>
      <c r="B1468" s="1">
        <f ca="1">IFERROR(__xludf.UNSUPPORTED("""COMPUTED_VALUE"""),141.25)</f>
        <v>141.25</v>
      </c>
      <c r="C1468" s="2">
        <f t="shared" ca="1" si="5"/>
        <v>5.1949900370053355E-3</v>
      </c>
    </row>
    <row r="1469" spans="1:3">
      <c r="A1469" s="3">
        <f ca="1">IFERROR(__xludf.UNSUPPORTED("""COMPUTED_VALUE"""),45595.6666666666)</f>
        <v>45595.666666666599</v>
      </c>
      <c r="B1469" s="1">
        <f ca="1">IFERROR(__xludf.UNSUPPORTED("""COMPUTED_VALUE"""),139.34)</f>
        <v>139.34</v>
      </c>
      <c r="C1469" s="2">
        <f t="shared" ca="1" si="5"/>
        <v>-1.3522123893805285E-2</v>
      </c>
    </row>
    <row r="1470" spans="1:3">
      <c r="A1470" s="3">
        <f ca="1">IFERROR(__xludf.UNSUPPORTED("""COMPUTED_VALUE"""),45596.6666666666)</f>
        <v>45596.666666666599</v>
      </c>
      <c r="B1470" s="1">
        <f ca="1">IFERROR(__xludf.UNSUPPORTED("""COMPUTED_VALUE"""),132.76)</f>
        <v>132.76</v>
      </c>
      <c r="C1470" s="2">
        <f t="shared" ca="1" si="5"/>
        <v>-4.7222620927228454E-2</v>
      </c>
    </row>
    <row r="1471" spans="1:3">
      <c r="A1471" s="3">
        <f ca="1">IFERROR(__xludf.UNSUPPORTED("""COMPUTED_VALUE"""),45597.6666666666)</f>
        <v>45597.666666666599</v>
      </c>
      <c r="B1471" s="1">
        <f ca="1">IFERROR(__xludf.UNSUPPORTED("""COMPUTED_VALUE"""),135.4)</f>
        <v>135.4</v>
      </c>
      <c r="C1471" s="2">
        <f t="shared" ca="1" si="5"/>
        <v>1.9885507683037172E-2</v>
      </c>
    </row>
    <row r="1472" spans="1:3">
      <c r="A1472" s="3">
        <f ca="1">IFERROR(__xludf.UNSUPPORTED("""COMPUTED_VALUE"""),45600.6666666666)</f>
        <v>45600.666666666599</v>
      </c>
      <c r="B1472" s="1">
        <f ca="1">IFERROR(__xludf.UNSUPPORTED("""COMPUTED_VALUE"""),136.05)</f>
        <v>136.05000000000001</v>
      </c>
      <c r="C1472" s="2">
        <f t="shared" ca="1" si="5"/>
        <v>4.8005908419498202E-3</v>
      </c>
    </row>
    <row r="1473" spans="1:3">
      <c r="A1473" s="3">
        <f ca="1">IFERROR(__xludf.UNSUPPORTED("""COMPUTED_VALUE"""),45601.6666666666)</f>
        <v>45601.666666666599</v>
      </c>
      <c r="B1473" s="1">
        <f ca="1">IFERROR(__xludf.UNSUPPORTED("""COMPUTED_VALUE"""),139.91)</f>
        <v>139.91</v>
      </c>
      <c r="C1473" s="2">
        <f t="shared" ca="1" si="5"/>
        <v>2.8371922087467732E-2</v>
      </c>
    </row>
    <row r="1474" spans="1:3">
      <c r="A1474" s="3">
        <f ca="1">IFERROR(__xludf.UNSUPPORTED("""COMPUTED_VALUE"""),45602.6666666666)</f>
        <v>45602.666666666599</v>
      </c>
      <c r="B1474" s="1">
        <f ca="1">IFERROR(__xludf.UNSUPPORTED("""COMPUTED_VALUE"""),145.61)</f>
        <v>145.61000000000001</v>
      </c>
      <c r="C1474" s="2">
        <f t="shared" ca="1" si="5"/>
        <v>4.0740476020298885E-2</v>
      </c>
    </row>
    <row r="1475" spans="1:3">
      <c r="A1475" s="3">
        <f ca="1">IFERROR(__xludf.UNSUPPORTED("""COMPUTED_VALUE"""),45603.6666666666)</f>
        <v>45603.666666666599</v>
      </c>
      <c r="B1475" s="1">
        <f ca="1">IFERROR(__xludf.UNSUPPORTED("""COMPUTED_VALUE"""),148.88)</f>
        <v>148.88</v>
      </c>
      <c r="C1475" s="2">
        <f t="shared" ca="1" si="5"/>
        <v>2.2457248815328491E-2</v>
      </c>
    </row>
    <row r="1476" spans="1:3">
      <c r="A1476" s="3">
        <f ca="1">IFERROR(__xludf.UNSUPPORTED("""COMPUTED_VALUE"""),45604.6666666666)</f>
        <v>45604.666666666599</v>
      </c>
      <c r="B1476" s="1">
        <f ca="1">IFERROR(__xludf.UNSUPPORTED("""COMPUTED_VALUE"""),147.63)</f>
        <v>147.63</v>
      </c>
      <c r="C1476" s="2">
        <f t="shared" ca="1" si="5"/>
        <v>-8.3960236432025787E-3</v>
      </c>
    </row>
    <row r="1477" spans="1:3">
      <c r="A1477" s="3">
        <f ca="1">IFERROR(__xludf.UNSUPPORTED("""COMPUTED_VALUE"""),45607.6666666666)</f>
        <v>45607.666666666599</v>
      </c>
      <c r="B1477" s="1">
        <f ca="1">IFERROR(__xludf.UNSUPPORTED("""COMPUTED_VALUE"""),145.26)</f>
        <v>145.26</v>
      </c>
      <c r="C1477" s="2">
        <f t="shared" ca="1" si="5"/>
        <v>-1.6053647632595033E-2</v>
      </c>
    </row>
    <row r="1478" spans="1:3">
      <c r="A1478" s="3">
        <f ca="1">IFERROR(__xludf.UNSUPPORTED("""COMPUTED_VALUE"""),45608.6666666666)</f>
        <v>45608.666666666599</v>
      </c>
      <c r="B1478" s="1">
        <f ca="1">IFERROR(__xludf.UNSUPPORTED("""COMPUTED_VALUE"""),148.29)</f>
        <v>148.29</v>
      </c>
      <c r="C1478" s="2">
        <f t="shared" ca="1" si="5"/>
        <v>2.0859149111937224E-2</v>
      </c>
    </row>
    <row r="1479" spans="1:3">
      <c r="A1479" s="3">
        <f ca="1">IFERROR(__xludf.UNSUPPORTED("""COMPUTED_VALUE"""),45609.6666666666)</f>
        <v>45609.666666666599</v>
      </c>
      <c r="B1479" s="1">
        <f ca="1">IFERROR(__xludf.UNSUPPORTED("""COMPUTED_VALUE"""),146.27)</f>
        <v>146.27000000000001</v>
      </c>
      <c r="C1479" s="2">
        <f t="shared" ca="1" si="5"/>
        <v>-1.3621956976195171E-2</v>
      </c>
    </row>
    <row r="1480" spans="1:3">
      <c r="A1480" s="3">
        <f ca="1">IFERROR(__xludf.UNSUPPORTED("""COMPUTED_VALUE"""),45610.6666666666)</f>
        <v>45610.666666666599</v>
      </c>
      <c r="B1480" s="1">
        <f ca="1">IFERROR(__xludf.UNSUPPORTED("""COMPUTED_VALUE"""),146.76)</f>
        <v>146.76</v>
      </c>
      <c r="C1480" s="2">
        <f t="shared" ca="1" si="5"/>
        <v>3.349969234976281E-3</v>
      </c>
    </row>
    <row r="1481" spans="1:3">
      <c r="A1481" s="3">
        <f ca="1">IFERROR(__xludf.UNSUPPORTED("""COMPUTED_VALUE"""),45611.6666666666)</f>
        <v>45611.666666666599</v>
      </c>
      <c r="B1481" s="1">
        <f ca="1">IFERROR(__xludf.UNSUPPORTED("""COMPUTED_VALUE"""),141.98)</f>
        <v>141.97999999999999</v>
      </c>
      <c r="C1481" s="2">
        <f t="shared" ca="1" si="5"/>
        <v>-3.2570182611065694E-2</v>
      </c>
    </row>
    <row r="1482" spans="1:3">
      <c r="A1482" s="3">
        <f ca="1">IFERROR(__xludf.UNSUPPORTED("""COMPUTED_VALUE"""),45614.6666666666)</f>
        <v>45614.666666666599</v>
      </c>
      <c r="B1482" s="1">
        <f ca="1">IFERROR(__xludf.UNSUPPORTED("""COMPUTED_VALUE"""),140.15)</f>
        <v>140.15</v>
      </c>
      <c r="C1482" s="2">
        <f t="shared" ca="1" si="5"/>
        <v>-1.2889139315396423E-2</v>
      </c>
    </row>
    <row r="1483" spans="1:3">
      <c r="A1483" s="3">
        <f ca="1">IFERROR(__xludf.UNSUPPORTED("""COMPUTED_VALUE"""),45615.6666666666)</f>
        <v>45615.666666666599</v>
      </c>
      <c r="B1483" s="1">
        <f ca="1">IFERROR(__xludf.UNSUPPORTED("""COMPUTED_VALUE"""),147.01)</f>
        <v>147.01</v>
      </c>
      <c r="C1483" s="2">
        <f t="shared" ca="1" si="5"/>
        <v>4.8947556189796536E-2</v>
      </c>
    </row>
    <row r="1484" spans="1:3">
      <c r="A1484" s="3">
        <f ca="1">IFERROR(__xludf.UNSUPPORTED("""COMPUTED_VALUE"""),45616.6666666666)</f>
        <v>45616.666666666599</v>
      </c>
      <c r="B1484" s="1">
        <f ca="1">IFERROR(__xludf.UNSUPPORTED("""COMPUTED_VALUE"""),145.89)</f>
        <v>145.88999999999999</v>
      </c>
      <c r="C1484" s="2">
        <f t="shared" ca="1" si="5"/>
        <v>-7.618529351744811E-3</v>
      </c>
    </row>
    <row r="1485" spans="1:3">
      <c r="A1485" s="3">
        <f ca="1">IFERROR(__xludf.UNSUPPORTED("""COMPUTED_VALUE"""),45617.6666666666)</f>
        <v>45617.666666666599</v>
      </c>
      <c r="B1485" s="1">
        <f ca="1">IFERROR(__xludf.UNSUPPORTED("""COMPUTED_VALUE"""),146.67)</f>
        <v>146.66999999999999</v>
      </c>
      <c r="C1485" s="2">
        <f t="shared" ca="1" si="5"/>
        <v>5.346493933785737E-3</v>
      </c>
    </row>
    <row r="1486" spans="1:3">
      <c r="A1486" s="3">
        <f ca="1">IFERROR(__xludf.UNSUPPORTED("""COMPUTED_VALUE"""),45618.6666666666)</f>
        <v>45618.666666666599</v>
      </c>
      <c r="B1486" s="1">
        <f ca="1">IFERROR(__xludf.UNSUPPORTED("""COMPUTED_VALUE"""),141.95)</f>
        <v>141.94999999999999</v>
      </c>
      <c r="C1486" s="2">
        <f t="shared" ca="1" si="5"/>
        <v>-3.2181086793481958E-2</v>
      </c>
    </row>
    <row r="1487" spans="1:3">
      <c r="A1487" s="3">
        <f ca="1">IFERROR(__xludf.UNSUPPORTED("""COMPUTED_VALUE"""),45621.6666666666)</f>
        <v>45621.666666666599</v>
      </c>
      <c r="B1487" s="1">
        <f ca="1">IFERROR(__xludf.UNSUPPORTED("""COMPUTED_VALUE"""),136.02)</f>
        <v>136.02000000000001</v>
      </c>
      <c r="C1487" s="2">
        <f t="shared" ca="1" si="5"/>
        <v>-4.1775272983444724E-2</v>
      </c>
    </row>
    <row r="1488" spans="1:3">
      <c r="A1488" s="3">
        <f ca="1">IFERROR(__xludf.UNSUPPORTED("""COMPUTED_VALUE"""),45622.6666666666)</f>
        <v>45622.666666666599</v>
      </c>
      <c r="B1488" s="1">
        <f ca="1">IFERROR(__xludf.UNSUPPORTED("""COMPUTED_VALUE"""),136.92)</f>
        <v>136.91999999999999</v>
      </c>
      <c r="C1488" s="2">
        <f t="shared" ca="1" si="5"/>
        <v>6.6166740185265192E-3</v>
      </c>
    </row>
    <row r="1489" spans="1:3">
      <c r="A1489" s="3">
        <f ca="1">IFERROR(__xludf.UNSUPPORTED("""COMPUTED_VALUE"""),45623.6666666666)</f>
        <v>45623.666666666599</v>
      </c>
      <c r="B1489" s="1">
        <f ca="1">IFERROR(__xludf.UNSUPPORTED("""COMPUTED_VALUE"""),135.34)</f>
        <v>135.34</v>
      </c>
      <c r="C1489" s="2">
        <f t="shared" ca="1" si="5"/>
        <v>-1.1539585159216947E-2</v>
      </c>
    </row>
    <row r="1490" spans="1:3">
      <c r="A1490" s="3">
        <f ca="1">IFERROR(__xludf.UNSUPPORTED("""COMPUTED_VALUE"""),45625.5451388888)</f>
        <v>45625.545138888803</v>
      </c>
      <c r="B1490" s="1">
        <f ca="1">IFERROR(__xludf.UNSUPPORTED("""COMPUTED_VALUE"""),138.25)</f>
        <v>138.25</v>
      </c>
      <c r="C1490" s="2">
        <f t="shared" ca="1" si="5"/>
        <v>2.150140387173043E-2</v>
      </c>
    </row>
    <row r="1491" spans="1:3">
      <c r="A1491" s="3">
        <f ca="1">IFERROR(__xludf.UNSUPPORTED("""COMPUTED_VALUE"""),45628.6666666666)</f>
        <v>45628.666666666599</v>
      </c>
      <c r="B1491" s="1">
        <f ca="1">IFERROR(__xludf.UNSUPPORTED("""COMPUTED_VALUE"""),138.63)</f>
        <v>138.63</v>
      </c>
      <c r="C1491" s="2">
        <f t="shared" ca="1" si="5"/>
        <v>2.7486437613019562E-3</v>
      </c>
    </row>
    <row r="1492" spans="1:3">
      <c r="A1492" s="3">
        <f ca="1">IFERROR(__xludf.UNSUPPORTED("""COMPUTED_VALUE"""),45629.6666666666)</f>
        <v>45629.666666666599</v>
      </c>
      <c r="B1492" s="1">
        <f ca="1">IFERROR(__xludf.UNSUPPORTED("""COMPUTED_VALUE"""),140.26)</f>
        <v>140.26</v>
      </c>
      <c r="C1492" s="2">
        <f t="shared" ca="1" si="5"/>
        <v>1.1757916756834708E-2</v>
      </c>
    </row>
    <row r="1493" spans="1:3">
      <c r="A1493" s="3">
        <f ca="1">IFERROR(__xludf.UNSUPPORTED("""COMPUTED_VALUE"""),45630.6666666666)</f>
        <v>45630.666666666599</v>
      </c>
      <c r="B1493" s="1">
        <f ca="1">IFERROR(__xludf.UNSUPPORTED("""COMPUTED_VALUE"""),145.14)</f>
        <v>145.13999999999999</v>
      </c>
      <c r="C1493" s="2">
        <f t="shared" ca="1" si="5"/>
        <v>3.4792528161984852E-2</v>
      </c>
    </row>
    <row r="1494" spans="1:3">
      <c r="A1494" s="3">
        <f ca="1">IFERROR(__xludf.UNSUPPORTED("""COMPUTED_VALUE"""),45631.6666666666)</f>
        <v>45631.666666666599</v>
      </c>
      <c r="B1494" s="1">
        <f ca="1">IFERROR(__xludf.UNSUPPORTED("""COMPUTED_VALUE"""),145.06)</f>
        <v>145.06</v>
      </c>
      <c r="C1494" s="2">
        <f t="shared" ca="1" si="5"/>
        <v>-5.5119195259738251E-4</v>
      </c>
    </row>
    <row r="1495" spans="1:3">
      <c r="A1495" s="3">
        <f ca="1">IFERROR(__xludf.UNSUPPORTED("""COMPUTED_VALUE"""),45632.6666666666)</f>
        <v>45632.666666666599</v>
      </c>
      <c r="B1495" s="1">
        <f ca="1">IFERROR(__xludf.UNSUPPORTED("""COMPUTED_VALUE"""),142.44)</f>
        <v>142.44</v>
      </c>
      <c r="C1495" s="2">
        <f t="shared" ca="1" si="5"/>
        <v>-1.8061491796498033E-2</v>
      </c>
    </row>
    <row r="1496" spans="1:3">
      <c r="A1496" s="3">
        <f ca="1">IFERROR(__xludf.UNSUPPORTED("""COMPUTED_VALUE"""),45635.6666666666)</f>
        <v>45635.666666666599</v>
      </c>
      <c r="B1496" s="1">
        <f ca="1">IFERROR(__xludf.UNSUPPORTED("""COMPUTED_VALUE"""),138.81)</f>
        <v>138.81</v>
      </c>
      <c r="C1496" s="2">
        <f t="shared" ca="1" si="5"/>
        <v>-2.5484414490311677E-2</v>
      </c>
    </row>
    <row r="1497" spans="1:3">
      <c r="A1497" s="3">
        <f ca="1">IFERROR(__xludf.UNSUPPORTED("""COMPUTED_VALUE"""),45636.6666666666)</f>
        <v>45636.666666666599</v>
      </c>
      <c r="B1497" s="1">
        <f ca="1">IFERROR(__xludf.UNSUPPORTED("""COMPUTED_VALUE"""),135.07)</f>
        <v>135.07</v>
      </c>
      <c r="C1497" s="2">
        <f t="shared" ca="1" si="5"/>
        <v>-2.694330379655651E-2</v>
      </c>
    </row>
    <row r="1498" spans="1:3">
      <c r="A1498" s="3">
        <f ca="1">IFERROR(__xludf.UNSUPPORTED("""COMPUTED_VALUE"""),45637.6666666666)</f>
        <v>45637.666666666599</v>
      </c>
      <c r="B1498" s="1">
        <f ca="1">IFERROR(__xludf.UNSUPPORTED("""COMPUTED_VALUE"""),139.31)</f>
        <v>139.31</v>
      </c>
      <c r="C1498" s="2">
        <f t="shared" ca="1" si="5"/>
        <v>3.1391130524913075E-2</v>
      </c>
    </row>
    <row r="1499" spans="1:3">
      <c r="A1499" s="3">
        <f ca="1">IFERROR(__xludf.UNSUPPORTED("""COMPUTED_VALUE"""),45638.6666666666)</f>
        <v>45638.666666666599</v>
      </c>
      <c r="B1499" s="1">
        <f ca="1">IFERROR(__xludf.UNSUPPORTED("""COMPUTED_VALUE"""),137.34)</f>
        <v>137.34</v>
      </c>
      <c r="C1499" s="2">
        <f t="shared" ca="1" si="5"/>
        <v>-1.4141124111693337E-2</v>
      </c>
    </row>
    <row r="1500" spans="1:3">
      <c r="A1500" s="3">
        <f ca="1">IFERROR(__xludf.UNSUPPORTED("""COMPUTED_VALUE"""),45639.6666666666)</f>
        <v>45639.666666666599</v>
      </c>
      <c r="B1500" s="1">
        <f ca="1">IFERROR(__xludf.UNSUPPORTED("""COMPUTED_VALUE"""),134.25)</f>
        <v>134.25</v>
      </c>
      <c r="C1500" s="2">
        <f t="shared" ca="1" si="5"/>
        <v>-2.2498907820008761E-2</v>
      </c>
    </row>
    <row r="1501" spans="1:3">
      <c r="A1501" s="3">
        <f ca="1">IFERROR(__xludf.UNSUPPORTED("""COMPUTED_VALUE"""),45642.6666666666)</f>
        <v>45642.666666666599</v>
      </c>
      <c r="B1501" s="1">
        <f ca="1">IFERROR(__xludf.UNSUPPORTED("""COMPUTED_VALUE"""),132)</f>
        <v>132</v>
      </c>
      <c r="C1501" s="2">
        <f t="shared" ca="1" si="5"/>
        <v>-1.6759776536312849E-2</v>
      </c>
    </row>
    <row r="1502" spans="1:3">
      <c r="A1502" s="3">
        <f ca="1">IFERROR(__xludf.UNSUPPORTED("""COMPUTED_VALUE"""),45643.6666666666)</f>
        <v>45643.666666666599</v>
      </c>
      <c r="B1502" s="1">
        <f ca="1">IFERROR(__xludf.UNSUPPORTED("""COMPUTED_VALUE"""),130.39)</f>
        <v>130.38999999999999</v>
      </c>
      <c r="C1502" s="2">
        <f t="shared" ca="1" si="5"/>
        <v>-1.21969696969698E-2</v>
      </c>
    </row>
    <row r="1503" spans="1:3">
      <c r="A1503" s="3">
        <f ca="1">IFERROR(__xludf.UNSUPPORTED("""COMPUTED_VALUE"""),45644.6666666666)</f>
        <v>45644.666666666599</v>
      </c>
      <c r="B1503" s="1">
        <f ca="1">IFERROR(__xludf.UNSUPPORTED("""COMPUTED_VALUE"""),128.91)</f>
        <v>128.91</v>
      </c>
      <c r="C1503" s="2">
        <f t="shared" ca="1" si="5"/>
        <v>-1.1350563693534703E-2</v>
      </c>
    </row>
    <row r="1504" spans="1:3">
      <c r="A1504" s="3">
        <f ca="1">IFERROR(__xludf.UNSUPPORTED("""COMPUTED_VALUE"""),45645.6666666666)</f>
        <v>45645.666666666599</v>
      </c>
      <c r="B1504" s="1">
        <f ca="1">IFERROR(__xludf.UNSUPPORTED("""COMPUTED_VALUE"""),130.68)</f>
        <v>130.68</v>
      </c>
      <c r="C1504" s="2">
        <f t="shared" ca="1" si="5"/>
        <v>1.373050965790094E-2</v>
      </c>
    </row>
    <row r="1505" spans="1:3">
      <c r="A1505" s="3">
        <f ca="1">IFERROR(__xludf.UNSUPPORTED("""COMPUTED_VALUE"""),45646.6666666666)</f>
        <v>45646.666666666599</v>
      </c>
      <c r="B1505" s="1">
        <f ca="1">IFERROR(__xludf.UNSUPPORTED("""COMPUTED_VALUE"""),134.7)</f>
        <v>134.69999999999999</v>
      </c>
      <c r="C1505" s="2">
        <f t="shared" ca="1" si="5"/>
        <v>3.076216712580335E-2</v>
      </c>
    </row>
    <row r="1506" spans="1:3">
      <c r="A1506" s="3">
        <f ca="1">IFERROR(__xludf.UNSUPPORTED("""COMPUTED_VALUE"""),45649.6666666666)</f>
        <v>45649.666666666599</v>
      </c>
      <c r="B1506" s="1">
        <f ca="1">IFERROR(__xludf.UNSUPPORTED("""COMPUTED_VALUE"""),139.67)</f>
        <v>139.66999999999999</v>
      </c>
      <c r="C1506" s="2">
        <f t="shared" ca="1" si="5"/>
        <v>3.6896807720861166E-2</v>
      </c>
    </row>
    <row r="1507" spans="1:3">
      <c r="A1507" s="3">
        <f ca="1">IFERROR(__xludf.UNSUPPORTED("""COMPUTED_VALUE"""),45650.5451388888)</f>
        <v>45650.545138888803</v>
      </c>
      <c r="B1507" s="1">
        <f ca="1">IFERROR(__xludf.UNSUPPORTED("""COMPUTED_VALUE"""),140.22)</f>
        <v>140.22</v>
      </c>
      <c r="C1507" s="2">
        <f t="shared" ca="1" si="5"/>
        <v>3.9378535118494411E-3</v>
      </c>
    </row>
    <row r="1508" spans="1:3">
      <c r="A1508" s="3">
        <f ca="1">IFERROR(__xludf.UNSUPPORTED("""COMPUTED_VALUE"""),45652.6666666666)</f>
        <v>45652.666666666599</v>
      </c>
      <c r="B1508" s="1">
        <f ca="1">IFERROR(__xludf.UNSUPPORTED("""COMPUTED_VALUE"""),139.93)</f>
        <v>139.93</v>
      </c>
      <c r="C1508" s="2">
        <f t="shared" ca="1" si="5"/>
        <v>-2.0681785765225506E-3</v>
      </c>
    </row>
    <row r="1509" spans="1:3">
      <c r="A1509" s="3">
        <f ca="1">IFERROR(__xludf.UNSUPPORTED("""COMPUTED_VALUE"""),45653.6666666666)</f>
        <v>45653.666666666599</v>
      </c>
      <c r="B1509" s="1">
        <f ca="1">IFERROR(__xludf.UNSUPPORTED("""COMPUTED_VALUE"""),137.01)</f>
        <v>137.01</v>
      </c>
      <c r="C1509" s="2">
        <f t="shared" ca="1" si="5"/>
        <v>-2.0867576645465704E-2</v>
      </c>
    </row>
    <row r="1510" spans="1:3">
      <c r="A1510" s="3">
        <f ca="1">IFERROR(__xludf.UNSUPPORTED("""COMPUTED_VALUE"""),45656.6666666666)</f>
        <v>45656.666666666599</v>
      </c>
      <c r="B1510" s="1">
        <f ca="1">IFERROR(__xludf.UNSUPPORTED("""COMPUTED_VALUE"""),137.49)</f>
        <v>137.49</v>
      </c>
      <c r="C1510" s="2">
        <f t="shared" ca="1" si="5"/>
        <v>3.5033939128532093E-3</v>
      </c>
    </row>
    <row r="1511" spans="1:3">
      <c r="A1511" s="3">
        <f ca="1">IFERROR(__xludf.UNSUPPORTED("""COMPUTED_VALUE"""),45657.6666666666)</f>
        <v>45657.666666666599</v>
      </c>
      <c r="B1511" s="1">
        <f ca="1">IFERROR(__xludf.UNSUPPORTED("""COMPUTED_VALUE"""),134.29)</f>
        <v>134.29</v>
      </c>
      <c r="C1511" s="2">
        <f t="shared" ca="1" si="5"/>
        <v>-2.3274419957815238E-2</v>
      </c>
    </row>
    <row r="1512" spans="1:3">
      <c r="A1512" s="3">
        <f ca="1">IFERROR(__xludf.UNSUPPORTED("""COMPUTED_VALUE"""),45659.6666666666)</f>
        <v>45659.666666666599</v>
      </c>
      <c r="B1512" s="1">
        <f ca="1">IFERROR(__xludf.UNSUPPORTED("""COMPUTED_VALUE"""),138.31)</f>
        <v>138.31</v>
      </c>
      <c r="C1512" s="2">
        <f t="shared" ca="1" si="5"/>
        <v>2.9935214833569219E-2</v>
      </c>
    </row>
    <row r="1513" spans="1:3">
      <c r="A1513" s="3">
        <f ca="1">IFERROR(__xludf.UNSUPPORTED("""COMPUTED_VALUE"""),45660.6666666666)</f>
        <v>45660.666666666599</v>
      </c>
      <c r="B1513" s="1">
        <f ca="1">IFERROR(__xludf.UNSUPPORTED("""COMPUTED_VALUE"""),144.47)</f>
        <v>144.47</v>
      </c>
      <c r="C1513" s="2">
        <f t="shared" ca="1" si="5"/>
        <v>4.4537632853734341E-2</v>
      </c>
    </row>
    <row r="1514" spans="1:3">
      <c r="A1514" s="3">
        <f ca="1">IFERROR(__xludf.UNSUPPORTED("""COMPUTED_VALUE"""),45663.6666666666)</f>
        <v>45663.666666666599</v>
      </c>
      <c r="B1514" s="1">
        <f ca="1">IFERROR(__xludf.UNSUPPORTED("""COMPUTED_VALUE"""),149.43)</f>
        <v>149.43</v>
      </c>
      <c r="C1514" s="2">
        <f t="shared" ca="1" si="5"/>
        <v>3.4332387346854072E-2</v>
      </c>
    </row>
    <row r="1515" spans="1:3">
      <c r="A1515" s="3">
        <f ca="1">IFERROR(__xludf.UNSUPPORTED("""COMPUTED_VALUE"""),45664.6666666666)</f>
        <v>45664.666666666599</v>
      </c>
      <c r="B1515" s="1">
        <f ca="1">IFERROR(__xludf.UNSUPPORTED("""COMPUTED_VALUE"""),140.14)</f>
        <v>140.13999999999999</v>
      </c>
      <c r="C1515" s="2">
        <f t="shared" ca="1" si="5"/>
        <v>-6.2169577728702539E-2</v>
      </c>
    </row>
    <row r="1516" spans="1:3">
      <c r="A1516" s="3">
        <f ca="1">IFERROR(__xludf.UNSUPPORTED("""COMPUTED_VALUE"""),45665.6666666666)</f>
        <v>45665.666666666599</v>
      </c>
      <c r="B1516" s="1">
        <f ca="1">IFERROR(__xludf.UNSUPPORTED("""COMPUTED_VALUE"""),140.11)</f>
        <v>140.11000000000001</v>
      </c>
      <c r="C1516" s="2">
        <f t="shared" ca="1" si="5"/>
        <v>-2.1407164264287653E-4</v>
      </c>
    </row>
    <row r="1517" spans="1:3">
      <c r="A1517" s="3">
        <f ca="1">IFERROR(__xludf.UNSUPPORTED("""COMPUTED_VALUE"""),45667.6666666666)</f>
        <v>45667.666666666599</v>
      </c>
      <c r="B1517" s="1">
        <f ca="1">IFERROR(__xludf.UNSUPPORTED("""COMPUTED_VALUE"""),135.91)</f>
        <v>135.91</v>
      </c>
      <c r="C1517" s="2">
        <f t="shared" ca="1" si="5"/>
        <v>-2.997644707729653E-2</v>
      </c>
    </row>
    <row r="1518" spans="1:3">
      <c r="A1518" s="3">
        <f ca="1">IFERROR(__xludf.UNSUPPORTED("""COMPUTED_VALUE"""),45670.6666666666)</f>
        <v>45670.666666666599</v>
      </c>
      <c r="B1518" s="1">
        <f ca="1">IFERROR(__xludf.UNSUPPORTED("""COMPUTED_VALUE"""),133.23)</f>
        <v>133.22999999999999</v>
      </c>
      <c r="C1518" s="2">
        <f t="shared" ca="1" si="5"/>
        <v>-1.9718931645942218E-2</v>
      </c>
    </row>
    <row r="1519" spans="1:3">
      <c r="A1519" s="3">
        <f ca="1">IFERROR(__xludf.UNSUPPORTED("""COMPUTED_VALUE"""),45671.6666666666)</f>
        <v>45671.666666666599</v>
      </c>
      <c r="B1519" s="1">
        <f ca="1">IFERROR(__xludf.UNSUPPORTED("""COMPUTED_VALUE"""),131.76)</f>
        <v>131.76</v>
      </c>
      <c r="C1519" s="2">
        <f t="shared" ca="1" si="5"/>
        <v>-1.1033551002026564E-2</v>
      </c>
    </row>
    <row r="1520" spans="1:3">
      <c r="A1520" s="3">
        <f ca="1">IFERROR(__xludf.UNSUPPORTED("""COMPUTED_VALUE"""),45672.6666666666)</f>
        <v>45672.666666666599</v>
      </c>
      <c r="B1520" s="1">
        <f ca="1">IFERROR(__xludf.UNSUPPORTED("""COMPUTED_VALUE"""),136.24)</f>
        <v>136.24</v>
      </c>
      <c r="C1520" s="2">
        <f t="shared" ca="1" si="5"/>
        <v>3.4001214329083325E-2</v>
      </c>
    </row>
    <row r="1521" spans="1:3">
      <c r="A1521" s="3">
        <f ca="1">IFERROR(__xludf.UNSUPPORTED("""COMPUTED_VALUE"""),45673.6666666666)</f>
        <v>45673.666666666599</v>
      </c>
      <c r="B1521" s="1">
        <f ca="1">IFERROR(__xludf.UNSUPPORTED("""COMPUTED_VALUE"""),133.57)</f>
        <v>133.57</v>
      </c>
      <c r="C1521" s="2">
        <f t="shared" ca="1" si="5"/>
        <v>-1.9597768643570285E-2</v>
      </c>
    </row>
    <row r="1522" spans="1:3">
      <c r="A1522" s="3">
        <f ca="1">IFERROR(__xludf.UNSUPPORTED("""COMPUTED_VALUE"""),45674.6666666666)</f>
        <v>45674.666666666599</v>
      </c>
      <c r="B1522" s="1">
        <f ca="1">IFERROR(__xludf.UNSUPPORTED("""COMPUTED_VALUE"""),137.71)</f>
        <v>137.71</v>
      </c>
      <c r="C1522" s="2">
        <f t="shared" ca="1" si="5"/>
        <v>3.0994983903571274E-2</v>
      </c>
    </row>
    <row r="1523" spans="1:3">
      <c r="A1523" s="3">
        <f ca="1">IFERROR(__xludf.UNSUPPORTED("""COMPUTED_VALUE"""),45678.6666666666)</f>
        <v>45678.666666666599</v>
      </c>
      <c r="B1523" s="1">
        <f ca="1">IFERROR(__xludf.UNSUPPORTED("""COMPUTED_VALUE"""),140.83)</f>
        <v>140.83000000000001</v>
      </c>
      <c r="C1523" s="2">
        <f t="shared" ca="1" si="5"/>
        <v>2.2656306731537321E-2</v>
      </c>
    </row>
    <row r="1524" spans="1:3">
      <c r="A1524" s="3">
        <f ca="1">IFERROR(__xludf.UNSUPPORTED("""COMPUTED_VALUE"""),45679.6666666666)</f>
        <v>45679.666666666599</v>
      </c>
      <c r="B1524" s="1">
        <f ca="1">IFERROR(__xludf.UNSUPPORTED("""COMPUTED_VALUE"""),147.07)</f>
        <v>147.07</v>
      </c>
      <c r="C1524" s="2">
        <f t="shared" ca="1" si="5"/>
        <v>4.4308741035290637E-2</v>
      </c>
    </row>
    <row r="1525" spans="1:3">
      <c r="A1525" s="3">
        <f ca="1">IFERROR(__xludf.UNSUPPORTED("""COMPUTED_VALUE"""),45680.6666666666)</f>
        <v>45680.666666666599</v>
      </c>
      <c r="B1525" s="1">
        <f ca="1">IFERROR(__xludf.UNSUPPORTED("""COMPUTED_VALUE"""),147.22)</f>
        <v>147.22</v>
      </c>
      <c r="C1525" s="2">
        <f t="shared" ca="1" si="5"/>
        <v>1.0199224858911109E-3</v>
      </c>
    </row>
    <row r="1526" spans="1:3">
      <c r="A1526" s="3">
        <f ca="1">IFERROR(__xludf.UNSUPPORTED("""COMPUTED_VALUE"""),45681.6666666666)</f>
        <v>45681.666666666599</v>
      </c>
      <c r="B1526" s="1">
        <f ca="1">IFERROR(__xludf.UNSUPPORTED("""COMPUTED_VALUE"""),142.62)</f>
        <v>142.62</v>
      </c>
      <c r="C1526" s="2">
        <f t="shared" ca="1" si="5"/>
        <v>-3.1245754652900384E-2</v>
      </c>
    </row>
    <row r="1527" spans="1:3">
      <c r="A1527" s="3">
        <f ca="1">IFERROR(__xludf.UNSUPPORTED("""COMPUTED_VALUE"""),45684.6666666666)</f>
        <v>45684.666666666599</v>
      </c>
      <c r="B1527" s="1">
        <f ca="1">IFERROR(__xludf.UNSUPPORTED("""COMPUTED_VALUE"""),118.42)</f>
        <v>118.42</v>
      </c>
      <c r="C1527" s="2">
        <f t="shared" ca="1" si="5"/>
        <v>-0.1696816715748142</v>
      </c>
    </row>
    <row r="1528" spans="1:3">
      <c r="A1528" s="3">
        <f ca="1">IFERROR(__xludf.UNSUPPORTED("""COMPUTED_VALUE"""),45685.6666666666)</f>
        <v>45685.666666666599</v>
      </c>
      <c r="B1528" s="1">
        <f ca="1">IFERROR(__xludf.UNSUPPORTED("""COMPUTED_VALUE"""),128.99)</f>
        <v>128.99</v>
      </c>
      <c r="C1528" s="2">
        <f t="shared" ca="1" si="5"/>
        <v>8.9258571187299504E-2</v>
      </c>
    </row>
    <row r="1529" spans="1:3">
      <c r="A1529" s="3">
        <f ca="1">IFERROR(__xludf.UNSUPPORTED("""COMPUTED_VALUE"""),45686.6666666666)</f>
        <v>45686.666666666599</v>
      </c>
      <c r="B1529" s="1">
        <f ca="1">IFERROR(__xludf.UNSUPPORTED("""COMPUTED_VALUE"""),123.7)</f>
        <v>123.7</v>
      </c>
      <c r="C1529" s="2">
        <f t="shared" ca="1" si="5"/>
        <v>-4.1010931079928724E-2</v>
      </c>
    </row>
    <row r="1530" spans="1:3">
      <c r="A1530" s="3">
        <f ca="1">IFERROR(__xludf.UNSUPPORTED("""COMPUTED_VALUE"""),45687.6666666666)</f>
        <v>45687.666666666599</v>
      </c>
      <c r="B1530" s="1">
        <f ca="1">IFERROR(__xludf.UNSUPPORTED("""COMPUTED_VALUE"""),124.65)</f>
        <v>124.65</v>
      </c>
      <c r="C1530" s="2">
        <f t="shared" ca="1" si="5"/>
        <v>7.6798706548100474E-3</v>
      </c>
    </row>
    <row r="1531" spans="1:3">
      <c r="A1531" s="3">
        <f ca="1">IFERROR(__xludf.UNSUPPORTED("""COMPUTED_VALUE"""),45688.6666666666)</f>
        <v>45688.666666666599</v>
      </c>
      <c r="B1531" s="1">
        <f ca="1">IFERROR(__xludf.UNSUPPORTED("""COMPUTED_VALUE"""),120.07)</f>
        <v>120.07</v>
      </c>
      <c r="C1531" s="2">
        <f t="shared" ca="1" si="5"/>
        <v>-3.6742880064179799E-2</v>
      </c>
    </row>
    <row r="1532" spans="1:3">
      <c r="A1532" s="3">
        <f ca="1">IFERROR(__xludf.UNSUPPORTED("""COMPUTED_VALUE"""),45691.6666666666)</f>
        <v>45691.666666666599</v>
      </c>
      <c r="B1532" s="1">
        <f ca="1">IFERROR(__xludf.UNSUPPORTED("""COMPUTED_VALUE"""),116.66)</f>
        <v>116.66</v>
      </c>
      <c r="C1532" s="2">
        <f t="shared" ca="1" si="5"/>
        <v>-2.8400099941700646E-2</v>
      </c>
    </row>
    <row r="1533" spans="1:3">
      <c r="A1533" s="3">
        <f ca="1">IFERROR(__xludf.UNSUPPORTED("""COMPUTED_VALUE"""),45692.6666666666)</f>
        <v>45692.666666666599</v>
      </c>
      <c r="B1533" s="1">
        <f ca="1">IFERROR(__xludf.UNSUPPORTED("""COMPUTED_VALUE"""),118.65)</f>
        <v>118.65</v>
      </c>
      <c r="C1533" s="2">
        <f t="shared" ref="C1533:C1772" ca="1" si="6">(B1533-B1532)/B1532</f>
        <v>1.7058117606720463E-2</v>
      </c>
    </row>
    <row r="1534" spans="1:3">
      <c r="A1534" s="3">
        <f ca="1">IFERROR(__xludf.UNSUPPORTED("""COMPUTED_VALUE"""),45693.6666666666)</f>
        <v>45693.666666666599</v>
      </c>
      <c r="B1534" s="1">
        <f ca="1">IFERROR(__xludf.UNSUPPORTED("""COMPUTED_VALUE"""),124.83)</f>
        <v>124.83</v>
      </c>
      <c r="C1534" s="2">
        <f t="shared" ca="1" si="6"/>
        <v>5.208596713021485E-2</v>
      </c>
    </row>
    <row r="1535" spans="1:3">
      <c r="A1535" s="3">
        <f ca="1">IFERROR(__xludf.UNSUPPORTED("""COMPUTED_VALUE"""),45694.6666666666)</f>
        <v>45694.666666666599</v>
      </c>
      <c r="B1535" s="1">
        <f ca="1">IFERROR(__xludf.UNSUPPORTED("""COMPUTED_VALUE"""),128.68)</f>
        <v>128.68</v>
      </c>
      <c r="C1535" s="2">
        <f t="shared" ca="1" si="6"/>
        <v>3.0841945045261623E-2</v>
      </c>
    </row>
    <row r="1536" spans="1:3">
      <c r="A1536" s="3">
        <f ca="1">IFERROR(__xludf.UNSUPPORTED("""COMPUTED_VALUE"""),45695.6666666666)</f>
        <v>45695.666666666599</v>
      </c>
      <c r="B1536" s="1">
        <f ca="1">IFERROR(__xludf.UNSUPPORTED("""COMPUTED_VALUE"""),129.84)</f>
        <v>129.84</v>
      </c>
      <c r="C1536" s="2">
        <f t="shared" ca="1" si="6"/>
        <v>9.0146098849859854E-3</v>
      </c>
    </row>
    <row r="1537" spans="1:3">
      <c r="A1537" s="3">
        <f ca="1">IFERROR(__xludf.UNSUPPORTED("""COMPUTED_VALUE"""),45698.6666666666)</f>
        <v>45698.666666666599</v>
      </c>
      <c r="B1537" s="1">
        <f ca="1">IFERROR(__xludf.UNSUPPORTED("""COMPUTED_VALUE"""),133.57)</f>
        <v>133.57</v>
      </c>
      <c r="C1537" s="2">
        <f t="shared" ca="1" si="6"/>
        <v>2.8727664818237752E-2</v>
      </c>
    </row>
    <row r="1538" spans="1:3">
      <c r="A1538" s="3">
        <f ca="1">IFERROR(__xludf.UNSUPPORTED("""COMPUTED_VALUE"""),45699.6666666666)</f>
        <v>45699.666666666599</v>
      </c>
      <c r="B1538" s="1">
        <f ca="1">IFERROR(__xludf.UNSUPPORTED("""COMPUTED_VALUE"""),132.8)</f>
        <v>132.80000000000001</v>
      </c>
      <c r="C1538" s="2">
        <f t="shared" ca="1" si="6"/>
        <v>-5.7647675376205874E-3</v>
      </c>
    </row>
    <row r="1539" spans="1:3">
      <c r="A1539" s="3">
        <f ca="1">IFERROR(__xludf.UNSUPPORTED("""COMPUTED_VALUE"""),45700.6666666666)</f>
        <v>45700.666666666599</v>
      </c>
      <c r="B1539" s="1">
        <f ca="1">IFERROR(__xludf.UNSUPPORTED("""COMPUTED_VALUE"""),131.14)</f>
        <v>131.13999999999999</v>
      </c>
      <c r="C1539" s="2">
        <f t="shared" ca="1" si="6"/>
        <v>-1.2500000000000188E-2</v>
      </c>
    </row>
    <row r="1540" spans="1:3">
      <c r="A1540" s="3">
        <f ca="1">IFERROR(__xludf.UNSUPPORTED("""COMPUTED_VALUE"""),45701.6666666666)</f>
        <v>45701.666666666599</v>
      </c>
      <c r="B1540" s="1">
        <f ca="1">IFERROR(__xludf.UNSUPPORTED("""COMPUTED_VALUE"""),135.29)</f>
        <v>135.29</v>
      </c>
      <c r="C1540" s="2">
        <f t="shared" ca="1" si="6"/>
        <v>3.1645569620253208E-2</v>
      </c>
    </row>
    <row r="1541" spans="1:3">
      <c r="A1541" s="3">
        <f ca="1">IFERROR(__xludf.UNSUPPORTED("""COMPUTED_VALUE"""),45702.6666666666)</f>
        <v>45702.666666666599</v>
      </c>
      <c r="B1541" s="1">
        <f ca="1">IFERROR(__xludf.UNSUPPORTED("""COMPUTED_VALUE"""),138.85)</f>
        <v>138.85</v>
      </c>
      <c r="C1541" s="2">
        <f t="shared" ca="1" si="6"/>
        <v>2.6313844334392805E-2</v>
      </c>
    </row>
    <row r="1542" spans="1:3">
      <c r="A1542" s="3">
        <f ca="1">IFERROR(__xludf.UNSUPPORTED("""COMPUTED_VALUE"""),45706.6666666666)</f>
        <v>45706.666666666599</v>
      </c>
      <c r="B1542" s="1">
        <f ca="1">IFERROR(__xludf.UNSUPPORTED("""COMPUTED_VALUE"""),139.4)</f>
        <v>139.4</v>
      </c>
      <c r="C1542" s="2">
        <f t="shared" ca="1" si="6"/>
        <v>3.9611091105510362E-3</v>
      </c>
    </row>
    <row r="1543" spans="1:3">
      <c r="A1543" s="3">
        <f ca="1">IFERROR(__xludf.UNSUPPORTED("""COMPUTED_VALUE"""),45707.6666666666)</f>
        <v>45707.666666666599</v>
      </c>
      <c r="B1543" s="1">
        <f ca="1">IFERROR(__xludf.UNSUPPORTED("""COMPUTED_VALUE"""),139.23)</f>
        <v>139.22999999999999</v>
      </c>
      <c r="C1543" s="2">
        <f t="shared" ca="1" si="6"/>
        <v>-1.2195121951220653E-3</v>
      </c>
    </row>
    <row r="1544" spans="1:3">
      <c r="A1544" s="3">
        <f ca="1">IFERROR(__xludf.UNSUPPORTED("""COMPUTED_VALUE"""),45708.6666666666)</f>
        <v>45708.666666666599</v>
      </c>
      <c r="B1544" s="1">
        <f ca="1">IFERROR(__xludf.UNSUPPORTED("""COMPUTED_VALUE"""),140.11)</f>
        <v>140.11000000000001</v>
      </c>
      <c r="C1544" s="2">
        <f t="shared" ca="1" si="6"/>
        <v>6.3204769087123747E-3</v>
      </c>
    </row>
    <row r="1545" spans="1:3">
      <c r="A1545" s="3">
        <f ca="1">IFERROR(__xludf.UNSUPPORTED("""COMPUTED_VALUE"""),45709.6666666666)</f>
        <v>45709.666666666599</v>
      </c>
      <c r="B1545" s="1">
        <f ca="1">IFERROR(__xludf.UNSUPPORTED("""COMPUTED_VALUE"""),134.43)</f>
        <v>134.43</v>
      </c>
      <c r="C1545" s="2">
        <f t="shared" ca="1" si="6"/>
        <v>-4.0539576047391383E-2</v>
      </c>
    </row>
    <row r="1546" spans="1:3">
      <c r="A1546" s="3">
        <f ca="1">IFERROR(__xludf.UNSUPPORTED("""COMPUTED_VALUE"""),45712.6666666666)</f>
        <v>45712.666666666599</v>
      </c>
      <c r="B1546" s="1">
        <f ca="1">IFERROR(__xludf.UNSUPPORTED("""COMPUTED_VALUE"""),130.28)</f>
        <v>130.28</v>
      </c>
      <c r="C1546" s="2">
        <f t="shared" ca="1" si="6"/>
        <v>-3.0871085323216585E-2</v>
      </c>
    </row>
    <row r="1547" spans="1:3">
      <c r="A1547" s="3">
        <f ca="1">IFERROR(__xludf.UNSUPPORTED("""COMPUTED_VALUE"""),45713.6666666666)</f>
        <v>45713.666666666599</v>
      </c>
      <c r="B1547" s="1">
        <f ca="1">IFERROR(__xludf.UNSUPPORTED("""COMPUTED_VALUE"""),126.63)</f>
        <v>126.63</v>
      </c>
      <c r="C1547" s="2">
        <f t="shared" ca="1" si="6"/>
        <v>-2.8016579674547171E-2</v>
      </c>
    </row>
    <row r="1548" spans="1:3">
      <c r="A1548" s="3">
        <f ca="1">IFERROR(__xludf.UNSUPPORTED("""COMPUTED_VALUE"""),45714.6666666666)</f>
        <v>45714.666666666599</v>
      </c>
      <c r="B1548" s="1">
        <f ca="1">IFERROR(__xludf.UNSUPPORTED("""COMPUTED_VALUE"""),131.28)</f>
        <v>131.28</v>
      </c>
      <c r="C1548" s="2">
        <f t="shared" ca="1" si="6"/>
        <v>3.6721156124141244E-2</v>
      </c>
    </row>
    <row r="1549" spans="1:3">
      <c r="A1549" s="3">
        <f ca="1">IFERROR(__xludf.UNSUPPORTED("""COMPUTED_VALUE"""),45715.6666666666)</f>
        <v>45715.666666666599</v>
      </c>
      <c r="B1549" s="1">
        <f ca="1">IFERROR(__xludf.UNSUPPORTED("""COMPUTED_VALUE"""),120.15)</f>
        <v>120.15</v>
      </c>
      <c r="C1549" s="2">
        <f t="shared" ca="1" si="6"/>
        <v>-8.4780621572212028E-2</v>
      </c>
    </row>
    <row r="1550" spans="1:3">
      <c r="A1550" s="3">
        <f ca="1">IFERROR(__xludf.UNSUPPORTED("""COMPUTED_VALUE"""),45716.6666666666)</f>
        <v>45716.666666666599</v>
      </c>
      <c r="B1550" s="1">
        <f ca="1">IFERROR(__xludf.UNSUPPORTED("""COMPUTED_VALUE"""),124.92)</f>
        <v>124.92</v>
      </c>
      <c r="C1550" s="2">
        <f t="shared" ca="1" si="6"/>
        <v>3.970037453183517E-2</v>
      </c>
    </row>
    <row r="1551" spans="1:3">
      <c r="A1551" s="3">
        <f ca="1">IFERROR(__xludf.UNSUPPORTED("""COMPUTED_VALUE"""),45719.6666666666)</f>
        <v>45719.666666666599</v>
      </c>
      <c r="B1551" s="1">
        <f ca="1">IFERROR(__xludf.UNSUPPORTED("""COMPUTED_VALUE"""),114.06)</f>
        <v>114.06</v>
      </c>
      <c r="C1551" s="2">
        <f t="shared" ca="1" si="6"/>
        <v>-8.6935638808837645E-2</v>
      </c>
    </row>
    <row r="1552" spans="1:3">
      <c r="A1552" s="3">
        <f ca="1">IFERROR(__xludf.UNSUPPORTED("""COMPUTED_VALUE"""),45720.6666666666)</f>
        <v>45720.666666666599</v>
      </c>
      <c r="B1552" s="1">
        <f ca="1">IFERROR(__xludf.UNSUPPORTED("""COMPUTED_VALUE"""),115.99)</f>
        <v>115.99</v>
      </c>
      <c r="C1552" s="2">
        <f t="shared" ca="1" si="6"/>
        <v>1.6920918814658886E-2</v>
      </c>
    </row>
    <row r="1553" spans="1:3">
      <c r="A1553" s="3">
        <f ca="1">IFERROR(__xludf.UNSUPPORTED("""COMPUTED_VALUE"""),45721.6666666666)</f>
        <v>45721.666666666599</v>
      </c>
      <c r="B1553" s="1">
        <f ca="1">IFERROR(__xludf.UNSUPPORTED("""COMPUTED_VALUE"""),117.3)</f>
        <v>117.3</v>
      </c>
      <c r="C1553" s="2">
        <f t="shared" ca="1" si="6"/>
        <v>1.1294077075609987E-2</v>
      </c>
    </row>
    <row r="1554" spans="1:3">
      <c r="A1554" s="3">
        <f ca="1">IFERROR(__xludf.UNSUPPORTED("""COMPUTED_VALUE"""),45722.6666666666)</f>
        <v>45722.666666666599</v>
      </c>
      <c r="B1554" s="1">
        <f ca="1">IFERROR(__xludf.UNSUPPORTED("""COMPUTED_VALUE"""),110.57)</f>
        <v>110.57</v>
      </c>
      <c r="C1554" s="2">
        <f t="shared" ca="1" si="6"/>
        <v>-5.7374254049445898E-2</v>
      </c>
    </row>
    <row r="1555" spans="1:3">
      <c r="A1555" s="3">
        <f ca="1">IFERROR(__xludf.UNSUPPORTED("""COMPUTED_VALUE"""),45723.6666666666)</f>
        <v>45723.666666666599</v>
      </c>
      <c r="B1555" s="1">
        <f ca="1">IFERROR(__xludf.UNSUPPORTED("""COMPUTED_VALUE"""),112.69)</f>
        <v>112.69</v>
      </c>
      <c r="C1555" s="2">
        <f t="shared" ca="1" si="6"/>
        <v>1.9173374333001762E-2</v>
      </c>
    </row>
    <row r="1556" spans="1:3">
      <c r="A1556" s="3">
        <f ca="1">IFERROR(__xludf.UNSUPPORTED("""COMPUTED_VALUE"""),45726.6666666666)</f>
        <v>45726.666666666599</v>
      </c>
      <c r="B1556" s="1">
        <f ca="1">IFERROR(__xludf.UNSUPPORTED("""COMPUTED_VALUE"""),106.98)</f>
        <v>106.98</v>
      </c>
      <c r="C1556" s="2">
        <f t="shared" ca="1" si="6"/>
        <v>-5.0669979590025678E-2</v>
      </c>
    </row>
    <row r="1557" spans="1:3">
      <c r="A1557" s="3">
        <f ca="1">IFERROR(__xludf.UNSUPPORTED("""COMPUTED_VALUE"""),45727.6666666666)</f>
        <v>45727.666666666599</v>
      </c>
      <c r="B1557" s="1">
        <f ca="1">IFERROR(__xludf.UNSUPPORTED("""COMPUTED_VALUE"""),108.76)</f>
        <v>108.76</v>
      </c>
      <c r="C1557" s="2">
        <f t="shared" ca="1" si="6"/>
        <v>1.6638624041876996E-2</v>
      </c>
    </row>
    <row r="1558" spans="1:3">
      <c r="A1558" s="3">
        <f ca="1">IFERROR(__xludf.UNSUPPORTED("""COMPUTED_VALUE"""),45728.6666666666)</f>
        <v>45728.666666666599</v>
      </c>
      <c r="B1558" s="1">
        <f ca="1">IFERROR(__xludf.UNSUPPORTED("""COMPUTED_VALUE"""),115.74)</f>
        <v>115.74</v>
      </c>
      <c r="C1558" s="2">
        <f t="shared" ca="1" si="6"/>
        <v>6.4178006620080816E-2</v>
      </c>
    </row>
    <row r="1559" spans="1:3">
      <c r="A1559" s="3">
        <f ca="1">IFERROR(__xludf.UNSUPPORTED("""COMPUTED_VALUE"""),45729.6666666666)</f>
        <v>45729.666666666599</v>
      </c>
      <c r="B1559" s="1">
        <f ca="1">IFERROR(__xludf.UNSUPPORTED("""COMPUTED_VALUE"""),115.58)</f>
        <v>115.58</v>
      </c>
      <c r="C1559" s="2">
        <f t="shared" ca="1" si="6"/>
        <v>-1.382408847416594E-3</v>
      </c>
    </row>
    <row r="1560" spans="1:3">
      <c r="A1560" s="3">
        <f ca="1">IFERROR(__xludf.UNSUPPORTED("""COMPUTED_VALUE"""),45730.6666666666)</f>
        <v>45730.666666666599</v>
      </c>
      <c r="B1560" s="1">
        <f ca="1">IFERROR(__xludf.UNSUPPORTED("""COMPUTED_VALUE"""),121.67)</f>
        <v>121.67</v>
      </c>
      <c r="C1560" s="2">
        <f t="shared" ca="1" si="6"/>
        <v>5.2690776951029618E-2</v>
      </c>
    </row>
    <row r="1561" spans="1:3">
      <c r="A1561" s="3">
        <f ca="1">IFERROR(__xludf.UNSUPPORTED("""COMPUTED_VALUE"""),45733.6666666666)</f>
        <v>45733.666666666599</v>
      </c>
      <c r="B1561" s="1">
        <f ca="1">IFERROR(__xludf.UNSUPPORTED("""COMPUTED_VALUE"""),119.53)</f>
        <v>119.53</v>
      </c>
      <c r="C1561" s="2">
        <f t="shared" ca="1" si="6"/>
        <v>-1.7588559217555689E-2</v>
      </c>
    </row>
    <row r="1562" spans="1:3">
      <c r="A1562" s="3">
        <f ca="1">IFERROR(__xludf.UNSUPPORTED("""COMPUTED_VALUE"""),45734.6666666666)</f>
        <v>45734.666666666599</v>
      </c>
      <c r="B1562" s="1">
        <f ca="1">IFERROR(__xludf.UNSUPPORTED("""COMPUTED_VALUE"""),115.43)</f>
        <v>115.43</v>
      </c>
      <c r="C1562" s="2">
        <f t="shared" ca="1" si="6"/>
        <v>-3.4301012298167774E-2</v>
      </c>
    </row>
    <row r="1563" spans="1:3">
      <c r="A1563" s="3">
        <f ca="1">IFERROR(__xludf.UNSUPPORTED("""COMPUTED_VALUE"""),45735.6666666666)</f>
        <v>45735.666666666599</v>
      </c>
      <c r="B1563" s="1">
        <f ca="1">IFERROR(__xludf.UNSUPPORTED("""COMPUTED_VALUE"""),117.52)</f>
        <v>117.52</v>
      </c>
      <c r="C1563" s="2">
        <f t="shared" ca="1" si="6"/>
        <v>1.8106211556787568E-2</v>
      </c>
    </row>
    <row r="1564" spans="1:3">
      <c r="A1564" s="3">
        <f ca="1">IFERROR(__xludf.UNSUPPORTED("""COMPUTED_VALUE"""),45736.6666666666)</f>
        <v>45736.666666666599</v>
      </c>
      <c r="B1564" s="1">
        <f ca="1">IFERROR(__xludf.UNSUPPORTED("""COMPUTED_VALUE"""),118.53)</f>
        <v>118.53</v>
      </c>
      <c r="C1564" s="2">
        <f t="shared" ca="1" si="6"/>
        <v>8.5942818243703641E-3</v>
      </c>
    </row>
    <row r="1565" spans="1:3">
      <c r="A1565" s="3">
        <f ca="1">IFERROR(__xludf.UNSUPPORTED("""COMPUTED_VALUE"""),45737.6666666666)</f>
        <v>45737.666666666599</v>
      </c>
      <c r="B1565" s="1">
        <f ca="1">IFERROR(__xludf.UNSUPPORTED("""COMPUTED_VALUE"""),117.7)</f>
        <v>117.7</v>
      </c>
      <c r="C1565" s="2">
        <f t="shared" ca="1" si="6"/>
        <v>-7.002446637981931E-3</v>
      </c>
    </row>
    <row r="1566" spans="1:3">
      <c r="A1566" s="3">
        <f ca="1">IFERROR(__xludf.UNSUPPORTED("""COMPUTED_VALUE"""),45740.6666666666)</f>
        <v>45740.666666666599</v>
      </c>
      <c r="B1566" s="1">
        <f ca="1">IFERROR(__xludf.UNSUPPORTED("""COMPUTED_VALUE"""),121.41)</f>
        <v>121.41</v>
      </c>
      <c r="C1566" s="2">
        <f t="shared" ca="1" si="6"/>
        <v>3.1520815632965112E-2</v>
      </c>
    </row>
    <row r="1567" spans="1:3">
      <c r="A1567" s="3">
        <f ca="1">IFERROR(__xludf.UNSUPPORTED("""COMPUTED_VALUE"""),45741.6666666666)</f>
        <v>45741.666666666599</v>
      </c>
      <c r="B1567" s="1">
        <f ca="1">IFERROR(__xludf.UNSUPPORTED("""COMPUTED_VALUE"""),120.69)</f>
        <v>120.69</v>
      </c>
      <c r="C1567" s="2">
        <f t="shared" ca="1" si="6"/>
        <v>-5.9303187546330526E-3</v>
      </c>
    </row>
    <row r="1568" spans="1:3">
      <c r="A1568" s="3">
        <f ca="1">IFERROR(__xludf.UNSUPPORTED("""COMPUTED_VALUE"""),45742.6666666666)</f>
        <v>45742.666666666599</v>
      </c>
      <c r="B1568" s="1">
        <f ca="1">IFERROR(__xludf.UNSUPPORTED("""COMPUTED_VALUE"""),113.76)</f>
        <v>113.76</v>
      </c>
      <c r="C1568" s="2">
        <f t="shared" ca="1" si="6"/>
        <v>-5.7419835943325816E-2</v>
      </c>
    </row>
    <row r="1569" spans="1:3">
      <c r="A1569" s="3">
        <f ca="1">IFERROR(__xludf.UNSUPPORTED("""COMPUTED_VALUE"""),45743.6666666666)</f>
        <v>45743.666666666599</v>
      </c>
      <c r="B1569" s="1">
        <f ca="1">IFERROR(__xludf.UNSUPPORTED("""COMPUTED_VALUE"""),111.43)</f>
        <v>111.43</v>
      </c>
      <c r="C1569" s="2">
        <f t="shared" ca="1" si="6"/>
        <v>-2.0481715893108283E-2</v>
      </c>
    </row>
    <row r="1570" spans="1:3">
      <c r="A1570" s="3">
        <f ca="1">IFERROR(__xludf.UNSUPPORTED("""COMPUTED_VALUE"""),45744.6666666666)</f>
        <v>45744.666666666599</v>
      </c>
      <c r="B1570" s="1">
        <f ca="1">IFERROR(__xludf.UNSUPPORTED("""COMPUTED_VALUE"""),109.67)</f>
        <v>109.67</v>
      </c>
      <c r="C1570" s="2">
        <f t="shared" ca="1" si="6"/>
        <v>-1.5794669299111594E-2</v>
      </c>
    </row>
    <row r="1571" spans="1:3">
      <c r="A1571" s="3">
        <f ca="1">IFERROR(__xludf.UNSUPPORTED("""COMPUTED_VALUE"""),45747.6666666666)</f>
        <v>45747.666666666599</v>
      </c>
      <c r="B1571" s="1">
        <f ca="1">IFERROR(__xludf.UNSUPPORTED("""COMPUTED_VALUE"""),108.38)</f>
        <v>108.38</v>
      </c>
      <c r="C1571" s="2">
        <f t="shared" ca="1" si="6"/>
        <v>-1.1762560408498279E-2</v>
      </c>
    </row>
    <row r="1572" spans="1:3">
      <c r="A1572" s="3">
        <f ca="1">IFERROR(__xludf.UNSUPPORTED("""COMPUTED_VALUE"""),45748.6666666666)</f>
        <v>45748.666666666599</v>
      </c>
      <c r="B1572" s="1">
        <f ca="1">IFERROR(__xludf.UNSUPPORTED("""COMPUTED_VALUE"""),110.15)</f>
        <v>110.15</v>
      </c>
      <c r="C1572" s="2">
        <f t="shared" ca="1" si="6"/>
        <v>1.6331426462447042E-2</v>
      </c>
    </row>
    <row r="1573" spans="1:3">
      <c r="A1573" s="3">
        <f ca="1">IFERROR(__xludf.UNSUPPORTED("""COMPUTED_VALUE"""),45749.6666666666)</f>
        <v>45749.666666666599</v>
      </c>
      <c r="B1573" s="1">
        <f ca="1">IFERROR(__xludf.UNSUPPORTED("""COMPUTED_VALUE"""),110.42)</f>
        <v>110.42</v>
      </c>
      <c r="C1573" s="2">
        <f t="shared" ca="1" si="6"/>
        <v>2.4512029051293326E-3</v>
      </c>
    </row>
    <row r="1574" spans="1:3">
      <c r="A1574" s="3">
        <f ca="1">IFERROR(__xludf.UNSUPPORTED("""COMPUTED_VALUE"""),45750.6666666666)</f>
        <v>45750.666666666599</v>
      </c>
      <c r="B1574" s="1">
        <f ca="1">IFERROR(__xludf.UNSUPPORTED("""COMPUTED_VALUE"""),101.8)</f>
        <v>101.8</v>
      </c>
      <c r="C1574" s="2">
        <f t="shared" ca="1" si="6"/>
        <v>-7.8065567831914554E-2</v>
      </c>
    </row>
    <row r="1575" spans="1:3">
      <c r="A1575" s="3">
        <f ca="1">IFERROR(__xludf.UNSUPPORTED("""COMPUTED_VALUE"""),45751.6666666666)</f>
        <v>45751.666666666599</v>
      </c>
      <c r="B1575" s="1">
        <f ca="1">IFERROR(__xludf.UNSUPPORTED("""COMPUTED_VALUE"""),94.31)</f>
        <v>94.31</v>
      </c>
      <c r="C1575" s="2">
        <f t="shared" ca="1" si="6"/>
        <v>-7.3575638506876179E-2</v>
      </c>
    </row>
    <row r="1576" spans="1:3">
      <c r="A1576" s="3">
        <f ca="1">IFERROR(__xludf.UNSUPPORTED("""COMPUTED_VALUE"""),45754.6666666666)</f>
        <v>45754.666666666599</v>
      </c>
      <c r="B1576" s="1">
        <f ca="1">IFERROR(__xludf.UNSUPPORTED("""COMPUTED_VALUE"""),97.64)</f>
        <v>97.64</v>
      </c>
      <c r="C1576" s="2">
        <f t="shared" ca="1" si="6"/>
        <v>3.5309087053334728E-2</v>
      </c>
    </row>
    <row r="1577" spans="1:3">
      <c r="A1577" s="3">
        <f ca="1">IFERROR(__xludf.UNSUPPORTED("""COMPUTED_VALUE"""),45755.6666666666)</f>
        <v>45755.666666666599</v>
      </c>
      <c r="B1577" s="1">
        <f ca="1">IFERROR(__xludf.UNSUPPORTED("""COMPUTED_VALUE"""),96.3)</f>
        <v>96.3</v>
      </c>
      <c r="C1577" s="2">
        <f t="shared" ca="1" si="6"/>
        <v>-1.3723883654240101E-2</v>
      </c>
    </row>
    <row r="1578" spans="1:3">
      <c r="A1578" s="3">
        <f ca="1">IFERROR(__xludf.UNSUPPORTED("""COMPUTED_VALUE"""),45756.6666666666)</f>
        <v>45756.666666666599</v>
      </c>
      <c r="B1578" s="1">
        <f ca="1">IFERROR(__xludf.UNSUPPORTED("""COMPUTED_VALUE"""),114.33)</f>
        <v>114.33</v>
      </c>
      <c r="C1578" s="2">
        <f t="shared" ca="1" si="6"/>
        <v>0.18722741433021808</v>
      </c>
    </row>
    <row r="1579" spans="1:3">
      <c r="A1579" s="3">
        <f ca="1">IFERROR(__xludf.UNSUPPORTED("""COMPUTED_VALUE"""),45757.6666666666)</f>
        <v>45757.666666666599</v>
      </c>
      <c r="B1579" s="1">
        <f ca="1">IFERROR(__xludf.UNSUPPORTED("""COMPUTED_VALUE"""),107.57)</f>
        <v>107.57</v>
      </c>
      <c r="C1579" s="2">
        <f t="shared" ca="1" si="6"/>
        <v>-5.9127088253301895E-2</v>
      </c>
    </row>
    <row r="1580" spans="1:3">
      <c r="A1580" s="3">
        <f ca="1">IFERROR(__xludf.UNSUPPORTED("""COMPUTED_VALUE"""),45758.6666666666)</f>
        <v>45758.666666666599</v>
      </c>
      <c r="B1580" s="1">
        <f ca="1">IFERROR(__xludf.UNSUPPORTED("""COMPUTED_VALUE"""),110.93)</f>
        <v>110.93</v>
      </c>
      <c r="C1580" s="2">
        <f t="shared" ca="1" si="6"/>
        <v>3.1235474574695676E-2</v>
      </c>
    </row>
    <row r="1581" spans="1:3">
      <c r="A1581" s="3">
        <f ca="1">IFERROR(__xludf.UNSUPPORTED("""COMPUTED_VALUE"""),45761.6666666666)</f>
        <v>45761.666666666599</v>
      </c>
      <c r="B1581" s="1">
        <f ca="1">IFERROR(__xludf.UNSUPPORTED("""COMPUTED_VALUE"""),110.71)</f>
        <v>110.71</v>
      </c>
      <c r="C1581" s="2">
        <f t="shared" ca="1" si="6"/>
        <v>-1.9832326692509968E-3</v>
      </c>
    </row>
    <row r="1582" spans="1:3">
      <c r="A1582" s="3">
        <f ca="1">IFERROR(__xludf.UNSUPPORTED("""COMPUTED_VALUE"""),45762.6666666666)</f>
        <v>45762.666666666599</v>
      </c>
      <c r="B1582" s="1">
        <f ca="1">IFERROR(__xludf.UNSUPPORTED("""COMPUTED_VALUE"""),112.2)</f>
        <v>112.2</v>
      </c>
      <c r="C1582" s="2">
        <f t="shared" ca="1" si="6"/>
        <v>1.3458585493632094E-2</v>
      </c>
    </row>
    <row r="1583" spans="1:3">
      <c r="A1583" s="3">
        <f ca="1">IFERROR(__xludf.UNSUPPORTED("""COMPUTED_VALUE"""),45763.6666666666)</f>
        <v>45763.666666666599</v>
      </c>
      <c r="B1583" s="1">
        <f ca="1">IFERROR(__xludf.UNSUPPORTED("""COMPUTED_VALUE"""),104.49)</f>
        <v>104.49</v>
      </c>
      <c r="C1583" s="2">
        <f t="shared" ca="1" si="6"/>
        <v>-6.8716577540107016E-2</v>
      </c>
    </row>
    <row r="1584" spans="1:3">
      <c r="A1584" s="3">
        <f ca="1">IFERROR(__xludf.UNSUPPORTED("""COMPUTED_VALUE"""),45764.6666666666)</f>
        <v>45764.666666666599</v>
      </c>
      <c r="B1584" s="1">
        <f ca="1">IFERROR(__xludf.UNSUPPORTED("""COMPUTED_VALUE"""),101.49)</f>
        <v>101.49</v>
      </c>
      <c r="C1584" s="2">
        <f t="shared" ca="1" si="6"/>
        <v>-2.8710881424059718E-2</v>
      </c>
    </row>
    <row r="1585" spans="1:3">
      <c r="A1585" s="3">
        <f ca="1">IFERROR(__xludf.UNSUPPORTED("""COMPUTED_VALUE"""),45768.6666666666)</f>
        <v>45768.666666666599</v>
      </c>
      <c r="B1585" s="1">
        <f ca="1">IFERROR(__xludf.UNSUPPORTED("""COMPUTED_VALUE"""),96.91)</f>
        <v>96.91</v>
      </c>
      <c r="C1585" s="2">
        <f t="shared" ca="1" si="6"/>
        <v>-4.5127598778204735E-2</v>
      </c>
    </row>
    <row r="1586" spans="1:3">
      <c r="A1586" s="3">
        <f ca="1">IFERROR(__xludf.UNSUPPORTED("""COMPUTED_VALUE"""),45769.6666666666)</f>
        <v>45769.666666666599</v>
      </c>
      <c r="B1586" s="1">
        <f ca="1">IFERROR(__xludf.UNSUPPORTED("""COMPUTED_VALUE"""),98.89)</f>
        <v>98.89</v>
      </c>
      <c r="C1586" s="2">
        <f t="shared" ca="1" si="6"/>
        <v>2.0431328036322402E-2</v>
      </c>
    </row>
    <row r="1587" spans="1:3">
      <c r="A1587" s="3">
        <f ca="1">IFERROR(__xludf.UNSUPPORTED("""COMPUTED_VALUE"""),45770.6666666666)</f>
        <v>45770.666666666599</v>
      </c>
      <c r="B1587" s="1">
        <f ca="1">IFERROR(__xludf.UNSUPPORTED("""COMPUTED_VALUE"""),102.71)</f>
        <v>102.71</v>
      </c>
      <c r="C1587" s="2">
        <f t="shared" ca="1" si="6"/>
        <v>3.8628779451916201E-2</v>
      </c>
    </row>
    <row r="1588" spans="1:3">
      <c r="A1588" s="3">
        <f ca="1">IFERROR(__xludf.UNSUPPORTED("""COMPUTED_VALUE"""),45771.6666666666)</f>
        <v>45771.666666666599</v>
      </c>
      <c r="B1588" s="1">
        <f ca="1">IFERROR(__xludf.UNSUPPORTED("""COMPUTED_VALUE"""),106.43)</f>
        <v>106.43</v>
      </c>
      <c r="C1588" s="2">
        <f t="shared" ca="1" si="6"/>
        <v>3.6218479213319187E-2</v>
      </c>
    </row>
    <row r="1589" spans="1:3">
      <c r="A1589" s="3">
        <f ca="1">IFERROR(__xludf.UNSUPPORTED("""COMPUTED_VALUE"""),45772.6666666666)</f>
        <v>45772.666666666599</v>
      </c>
      <c r="B1589" s="1">
        <f ca="1">IFERROR(__xludf.UNSUPPORTED("""COMPUTED_VALUE"""),111.01)</f>
        <v>111.01</v>
      </c>
      <c r="C1589" s="2">
        <f t="shared" ca="1" si="6"/>
        <v>4.3032979423094975E-2</v>
      </c>
    </row>
    <row r="1590" spans="1:3">
      <c r="A1590" s="3">
        <f ca="1">IFERROR(__xludf.UNSUPPORTED("""COMPUTED_VALUE"""),45775.6666666666)</f>
        <v>45775.666666666599</v>
      </c>
      <c r="B1590" s="1">
        <f ca="1">IFERROR(__xludf.UNSUPPORTED("""COMPUTED_VALUE"""),108.73)</f>
        <v>108.73</v>
      </c>
      <c r="C1590" s="2">
        <f t="shared" ca="1" si="6"/>
        <v>-2.053869020808937E-2</v>
      </c>
    </row>
    <row r="1591" spans="1:3">
      <c r="A1591" s="3">
        <f ca="1">IFERROR(__xludf.UNSUPPORTED("""COMPUTED_VALUE"""),45776.6666666666)</f>
        <v>45776.666666666599</v>
      </c>
      <c r="B1591" s="1">
        <f ca="1">IFERROR(__xludf.UNSUPPORTED("""COMPUTED_VALUE"""),109.02)</f>
        <v>109.02</v>
      </c>
      <c r="C1591" s="2">
        <f t="shared" ca="1" si="6"/>
        <v>2.6671571783315738E-3</v>
      </c>
    </row>
    <row r="1592" spans="1:3">
      <c r="A1592" s="3">
        <f ca="1">IFERROR(__xludf.UNSUPPORTED("""COMPUTED_VALUE"""),45777.6666666666)</f>
        <v>45777.666666666599</v>
      </c>
      <c r="B1592" s="1">
        <f ca="1">IFERROR(__xludf.UNSUPPORTED("""COMPUTED_VALUE"""),108.92)</f>
        <v>108.92</v>
      </c>
      <c r="C1592" s="2">
        <f t="shared" ca="1" si="6"/>
        <v>-9.1726288754351792E-4</v>
      </c>
    </row>
    <row r="1593" spans="1:3">
      <c r="A1593" s="3">
        <f ca="1">IFERROR(__xludf.UNSUPPORTED("""COMPUTED_VALUE"""),45778.6666666666)</f>
        <v>45778.666666666599</v>
      </c>
      <c r="B1593" s="1">
        <f ca="1">IFERROR(__xludf.UNSUPPORTED("""COMPUTED_VALUE"""),111.61)</f>
        <v>111.61</v>
      </c>
      <c r="C1593" s="2">
        <f t="shared" ca="1" si="6"/>
        <v>2.4697025339698839E-2</v>
      </c>
    </row>
    <row r="1594" spans="1:3">
      <c r="A1594" s="3">
        <f ca="1">IFERROR(__xludf.UNSUPPORTED("""COMPUTED_VALUE"""),45779.6666666666)</f>
        <v>45779.666666666599</v>
      </c>
      <c r="B1594" s="1">
        <f ca="1">IFERROR(__xludf.UNSUPPORTED("""COMPUTED_VALUE"""),114.5)</f>
        <v>114.5</v>
      </c>
      <c r="C1594" s="2">
        <f t="shared" ca="1" si="6"/>
        <v>2.5893737120329725E-2</v>
      </c>
    </row>
    <row r="1595" spans="1:3">
      <c r="A1595" s="3">
        <f ca="1">IFERROR(__xludf.UNSUPPORTED("""COMPUTED_VALUE"""),45782.6666666666)</f>
        <v>45782.666666666599</v>
      </c>
      <c r="B1595" s="1">
        <f ca="1">IFERROR(__xludf.UNSUPPORTED("""COMPUTED_VALUE"""),113.82)</f>
        <v>113.82</v>
      </c>
      <c r="C1595" s="2">
        <f t="shared" ca="1" si="6"/>
        <v>-5.9388646288210199E-3</v>
      </c>
    </row>
    <row r="1596" spans="1:3">
      <c r="A1596" s="3">
        <f ca="1">IFERROR(__xludf.UNSUPPORTED("""COMPUTED_VALUE"""),45783.6666666666)</f>
        <v>45783.666666666599</v>
      </c>
      <c r="B1596" s="1">
        <f ca="1">IFERROR(__xludf.UNSUPPORTED("""COMPUTED_VALUE"""),113.54)</f>
        <v>113.54</v>
      </c>
      <c r="C1596" s="2">
        <f t="shared" ca="1" si="6"/>
        <v>-2.4600246002458876E-3</v>
      </c>
    </row>
    <row r="1597" spans="1:3">
      <c r="A1597" s="3">
        <f ca="1">IFERROR(__xludf.UNSUPPORTED("""COMPUTED_VALUE"""),45784.6666666666)</f>
        <v>45784.666666666599</v>
      </c>
      <c r="B1597" s="1">
        <f ca="1">IFERROR(__xludf.UNSUPPORTED("""COMPUTED_VALUE"""),117.06)</f>
        <v>117.06</v>
      </c>
      <c r="C1597" s="2">
        <f t="shared" ca="1" si="6"/>
        <v>3.1002289941870671E-2</v>
      </c>
    </row>
    <row r="1598" spans="1:3">
      <c r="A1598" s="3">
        <f ca="1">IFERROR(__xludf.UNSUPPORTED("""COMPUTED_VALUE"""),45785.6666666666)</f>
        <v>45785.666666666599</v>
      </c>
      <c r="B1598" s="1">
        <f ca="1">IFERROR(__xludf.UNSUPPORTED("""COMPUTED_VALUE"""),117.37)</f>
        <v>117.37</v>
      </c>
      <c r="C1598" s="2">
        <f t="shared" ca="1" si="6"/>
        <v>2.6482145908081518E-3</v>
      </c>
    </row>
    <row r="1599" spans="1:3">
      <c r="A1599" s="3">
        <f ca="1">IFERROR(__xludf.UNSUPPORTED("""COMPUTED_VALUE"""),45786.6666666666)</f>
        <v>45786.666666666599</v>
      </c>
      <c r="B1599" s="1">
        <f ca="1">IFERROR(__xludf.UNSUPPORTED("""COMPUTED_VALUE"""),116.65)</f>
        <v>116.65</v>
      </c>
      <c r="C1599" s="2">
        <f t="shared" ca="1" si="6"/>
        <v>-6.1344466217943157E-3</v>
      </c>
    </row>
    <row r="1600" spans="1:3">
      <c r="A1600" s="3">
        <f ca="1">IFERROR(__xludf.UNSUPPORTED("""COMPUTED_VALUE"""),45789.6666666666)</f>
        <v>45789.666666666599</v>
      </c>
      <c r="B1600" s="1">
        <f ca="1">IFERROR(__xludf.UNSUPPORTED("""COMPUTED_VALUE"""),123)</f>
        <v>123</v>
      </c>
      <c r="C1600" s="2">
        <f t="shared" ca="1" si="6"/>
        <v>5.4436348049721341E-2</v>
      </c>
    </row>
    <row r="1601" spans="1:3">
      <c r="A1601" s="3">
        <f ca="1">IFERROR(__xludf.UNSUPPORTED("""COMPUTED_VALUE"""),45790.6666666666)</f>
        <v>45790.666666666599</v>
      </c>
      <c r="B1601" s="1">
        <f ca="1">IFERROR(__xludf.UNSUPPORTED("""COMPUTED_VALUE"""),129.93)</f>
        <v>129.93</v>
      </c>
      <c r="C1601" s="2">
        <f t="shared" ca="1" si="6"/>
        <v>5.6341463414634203E-2</v>
      </c>
    </row>
    <row r="1602" spans="1:3">
      <c r="A1602" s="3">
        <f ca="1">IFERROR(__xludf.UNSUPPORTED("""COMPUTED_VALUE"""),45791.6666666666)</f>
        <v>45791.666666666599</v>
      </c>
      <c r="B1602" s="1">
        <f ca="1">IFERROR(__xludf.UNSUPPORTED("""COMPUTED_VALUE"""),135.34)</f>
        <v>135.34</v>
      </c>
      <c r="C1602" s="2">
        <f t="shared" ca="1" si="6"/>
        <v>4.1637804971907923E-2</v>
      </c>
    </row>
    <row r="1603" spans="1:3">
      <c r="A1603" s="3">
        <f ca="1">IFERROR(__xludf.UNSUPPORTED("""COMPUTED_VALUE"""),45792.6666666666)</f>
        <v>45792.666666666599</v>
      </c>
      <c r="B1603" s="1">
        <f ca="1">IFERROR(__xludf.UNSUPPORTED("""COMPUTED_VALUE"""),134.83)</f>
        <v>134.83000000000001</v>
      </c>
      <c r="C1603" s="2">
        <f t="shared" ca="1" si="6"/>
        <v>-3.7682872764887758E-3</v>
      </c>
    </row>
    <row r="1604" spans="1:3">
      <c r="A1604" s="3">
        <f ca="1">IFERROR(__xludf.UNSUPPORTED("""COMPUTED_VALUE"""),45793.6666666666)</f>
        <v>45793.666666666599</v>
      </c>
      <c r="B1604" s="1">
        <f ca="1">IFERROR(__xludf.UNSUPPORTED("""COMPUTED_VALUE"""),135.4)</f>
        <v>135.4</v>
      </c>
      <c r="C1604" s="2">
        <f t="shared" ca="1" si="6"/>
        <v>4.2275457984127648E-3</v>
      </c>
    </row>
    <row r="1605" spans="1:3">
      <c r="A1605" s="3">
        <f ca="1">IFERROR(__xludf.UNSUPPORTED("""COMPUTED_VALUE"""),45796.6666666666)</f>
        <v>45796.666666666599</v>
      </c>
      <c r="B1605" s="1">
        <f ca="1">IFERROR(__xludf.UNSUPPORTED("""COMPUTED_VALUE"""),135.57)</f>
        <v>135.57</v>
      </c>
      <c r="C1605" s="2">
        <f t="shared" ca="1" si="6"/>
        <v>1.2555391432790804E-3</v>
      </c>
    </row>
    <row r="1606" spans="1:3">
      <c r="A1606" s="3">
        <f ca="1">IFERROR(__xludf.UNSUPPORTED("""COMPUTED_VALUE"""),45797.6666666666)</f>
        <v>45797.666666666599</v>
      </c>
      <c r="B1606" s="1">
        <f ca="1">IFERROR(__xludf.UNSUPPORTED("""COMPUTED_VALUE"""),134.38)</f>
        <v>134.38</v>
      </c>
      <c r="C1606" s="2">
        <f t="shared" ca="1" si="6"/>
        <v>-8.7777531902338106E-3</v>
      </c>
    </row>
    <row r="1607" spans="1:3">
      <c r="A1607" s="3">
        <f ca="1">IFERROR(__xludf.UNSUPPORTED("""COMPUTED_VALUE"""),45798.6666666666)</f>
        <v>45798.666666666599</v>
      </c>
      <c r="B1607" s="1">
        <f ca="1">IFERROR(__xludf.UNSUPPORTED("""COMPUTED_VALUE"""),131.8)</f>
        <v>131.80000000000001</v>
      </c>
      <c r="C1607" s="2">
        <f t="shared" ca="1" si="6"/>
        <v>-1.9199285607977259E-2</v>
      </c>
    </row>
    <row r="1608" spans="1:3">
      <c r="A1608" s="3">
        <f ca="1">IFERROR(__xludf.UNSUPPORTED("""COMPUTED_VALUE"""),45799.6666666666)</f>
        <v>45799.666666666599</v>
      </c>
      <c r="B1608" s="1">
        <f ca="1">IFERROR(__xludf.UNSUPPORTED("""COMPUTED_VALUE"""),131.8)</f>
        <v>131.80000000000001</v>
      </c>
      <c r="C1608" s="2">
        <f t="shared" ca="1" si="6"/>
        <v>0</v>
      </c>
    </row>
    <row r="1609" spans="1:3">
      <c r="A1609" s="3">
        <f ca="1">IFERROR(__xludf.UNSUPPORTED("""COMPUTED_VALUE"""),45800.6666666666)</f>
        <v>45800.666666666599</v>
      </c>
      <c r="B1609" s="1">
        <f ca="1">IFERROR(__xludf.UNSUPPORTED("""COMPUTED_VALUE"""),131.29)</f>
        <v>131.29</v>
      </c>
      <c r="C1609" s="2">
        <f t="shared" ca="1" si="6"/>
        <v>-3.869499241274805E-3</v>
      </c>
    </row>
    <row r="1610" spans="1:3">
      <c r="A1610" s="3">
        <f ca="1">IFERROR(__xludf.UNSUPPORTED("""COMPUTED_VALUE"""),45804.6666666666)</f>
        <v>45804.666666666599</v>
      </c>
      <c r="B1610" s="1">
        <f ca="1">IFERROR(__xludf.UNSUPPORTED("""COMPUTED_VALUE"""),135.5)</f>
        <v>135.5</v>
      </c>
      <c r="C1610" s="2">
        <f t="shared" ca="1" si="6"/>
        <v>3.2066417853606581E-2</v>
      </c>
    </row>
    <row r="1611" spans="1:3">
      <c r="A1611" s="3">
        <f ca="1">IFERROR(__xludf.UNSUPPORTED("""COMPUTED_VALUE"""),45805.6666666666)</f>
        <v>45805.666666666599</v>
      </c>
      <c r="B1611" s="1">
        <f ca="1">IFERROR(__xludf.UNSUPPORTED("""COMPUTED_VALUE"""),134.81)</f>
        <v>134.81</v>
      </c>
      <c r="C1611" s="2">
        <f t="shared" ca="1" si="6"/>
        <v>-5.0922509225092083E-3</v>
      </c>
    </row>
    <row r="1612" spans="1:3">
      <c r="A1612" s="3">
        <f ca="1">IFERROR(__xludf.UNSUPPORTED("""COMPUTED_VALUE"""),45806.6666666666)</f>
        <v>45806.666666666599</v>
      </c>
      <c r="B1612" s="1">
        <f ca="1">IFERROR(__xludf.UNSUPPORTED("""COMPUTED_VALUE"""),139.19)</f>
        <v>139.19</v>
      </c>
      <c r="C1612" s="2">
        <f t="shared" ca="1" si="6"/>
        <v>3.2490171352273535E-2</v>
      </c>
    </row>
    <row r="1613" spans="1:3">
      <c r="A1613" s="3">
        <f ca="1">IFERROR(__xludf.UNSUPPORTED("""COMPUTED_VALUE"""),45807.6666666666)</f>
        <v>45807.666666666599</v>
      </c>
      <c r="B1613" s="1">
        <f ca="1">IFERROR(__xludf.UNSUPPORTED("""COMPUTED_VALUE"""),135.13)</f>
        <v>135.13</v>
      </c>
      <c r="C1613" s="2">
        <f t="shared" ca="1" si="6"/>
        <v>-2.9168762123715802E-2</v>
      </c>
    </row>
    <row r="1614" spans="1:3">
      <c r="A1614" s="3">
        <f ca="1">IFERROR(__xludf.UNSUPPORTED("""COMPUTED_VALUE"""),45810.6666666666)</f>
        <v>45810.666666666599</v>
      </c>
      <c r="B1614" s="1">
        <f ca="1">IFERROR(__xludf.UNSUPPORTED("""COMPUTED_VALUE"""),137.38)</f>
        <v>137.38</v>
      </c>
      <c r="C1614" s="2">
        <f t="shared" ca="1" si="6"/>
        <v>1.6650632724043515E-2</v>
      </c>
    </row>
    <row r="1615" spans="1:3">
      <c r="A1615" s="3">
        <f ca="1">IFERROR(__xludf.UNSUPPORTED("""COMPUTED_VALUE"""),45811.6666666666)</f>
        <v>45811.666666666599</v>
      </c>
      <c r="B1615" s="1">
        <f ca="1">IFERROR(__xludf.UNSUPPORTED("""COMPUTED_VALUE"""),141.22)</f>
        <v>141.22</v>
      </c>
      <c r="C1615" s="2">
        <f t="shared" ca="1" si="6"/>
        <v>2.7951666909302689E-2</v>
      </c>
    </row>
    <row r="1616" spans="1:3">
      <c r="A1616" s="3">
        <f ca="1">IFERROR(__xludf.UNSUPPORTED("""COMPUTED_VALUE"""),45812.6666666666)</f>
        <v>45812.666666666599</v>
      </c>
      <c r="B1616" s="1">
        <f ca="1">IFERROR(__xludf.UNSUPPORTED("""COMPUTED_VALUE"""),141.92)</f>
        <v>141.91999999999999</v>
      </c>
      <c r="C1616" s="2">
        <f t="shared" ca="1" si="6"/>
        <v>4.9568049851295044E-3</v>
      </c>
    </row>
    <row r="1617" spans="1:3">
      <c r="A1617" s="3">
        <f ca="1">IFERROR(__xludf.UNSUPPORTED("""COMPUTED_VALUE"""),45813.6666666666)</f>
        <v>45813.666666666599</v>
      </c>
      <c r="B1617" s="1">
        <f ca="1">IFERROR(__xludf.UNSUPPORTED("""COMPUTED_VALUE"""),139.99)</f>
        <v>139.99</v>
      </c>
      <c r="C1617" s="2">
        <f t="shared" ca="1" si="6"/>
        <v>-1.3599210822998722E-2</v>
      </c>
    </row>
    <row r="1618" spans="1:3">
      <c r="A1618" s="3">
        <f ca="1">IFERROR(__xludf.UNSUPPORTED("""COMPUTED_VALUE"""),45814.6666666666)</f>
        <v>45814.666666666599</v>
      </c>
      <c r="B1618" s="1">
        <f ca="1">IFERROR(__xludf.UNSUPPORTED("""COMPUTED_VALUE"""),141.72)</f>
        <v>141.72</v>
      </c>
      <c r="C1618" s="2">
        <f t="shared" ca="1" si="6"/>
        <v>1.2358025573255159E-2</v>
      </c>
    </row>
    <row r="1619" spans="1:3">
      <c r="A1619" s="3">
        <f ca="1">IFERROR(__xludf.UNSUPPORTED("""COMPUTED_VALUE"""),45817.6666666666)</f>
        <v>45817.666666666599</v>
      </c>
      <c r="B1619" s="1">
        <f ca="1">IFERROR(__xludf.UNSUPPORTED("""COMPUTED_VALUE"""),142.63)</f>
        <v>142.63</v>
      </c>
      <c r="C1619" s="2">
        <f t="shared" ca="1" si="6"/>
        <v>6.4211120519333661E-3</v>
      </c>
    </row>
    <row r="1620" spans="1:3">
      <c r="A1620" s="3">
        <f ca="1">IFERROR(__xludf.UNSUPPORTED("""COMPUTED_VALUE"""),45818.6666666666)</f>
        <v>45818.666666666599</v>
      </c>
      <c r="B1620" s="1">
        <f ca="1">IFERROR(__xludf.UNSUPPORTED("""COMPUTED_VALUE"""),143.96)</f>
        <v>143.96</v>
      </c>
      <c r="C1620" s="2">
        <f t="shared" ca="1" si="6"/>
        <v>9.3248264740938974E-3</v>
      </c>
    </row>
    <row r="1621" spans="1:3">
      <c r="A1621" s="3">
        <f ca="1">IFERROR(__xludf.UNSUPPORTED("""COMPUTED_VALUE"""),45819.6666666666)</f>
        <v>45819.666666666599</v>
      </c>
      <c r="B1621" s="1">
        <f ca="1">IFERROR(__xludf.UNSUPPORTED("""COMPUTED_VALUE"""),142.83)</f>
        <v>142.83000000000001</v>
      </c>
      <c r="C1621" s="2">
        <f t="shared" ca="1" si="6"/>
        <v>-7.8494026118365885E-3</v>
      </c>
    </row>
    <row r="1622" spans="1:3">
      <c r="A1622" s="3">
        <f ca="1">IFERROR(__xludf.UNSUPPORTED("""COMPUTED_VALUE"""),45820.6666666666)</f>
        <v>45820.666666666599</v>
      </c>
      <c r="B1622" s="1">
        <f ca="1">IFERROR(__xludf.UNSUPPORTED("""COMPUTED_VALUE"""),145)</f>
        <v>145</v>
      </c>
      <c r="C1622" s="2">
        <f t="shared" ca="1" si="6"/>
        <v>1.5192886648463119E-2</v>
      </c>
    </row>
    <row r="1623" spans="1:3">
      <c r="A1623" s="3">
        <f ca="1">IFERROR(__xludf.UNSUPPORTED("""COMPUTED_VALUE"""),45821.6666666666)</f>
        <v>45821.666666666599</v>
      </c>
      <c r="B1623" s="1">
        <f ca="1">IFERROR(__xludf.UNSUPPORTED("""COMPUTED_VALUE"""),141.97)</f>
        <v>141.97</v>
      </c>
      <c r="C1623" s="2">
        <f t="shared" ca="1" si="6"/>
        <v>-2.089655172413794E-2</v>
      </c>
    </row>
    <row r="1624" spans="1:3">
      <c r="A1624" s="3">
        <f ca="1">IFERROR(__xludf.UNSUPPORTED("""COMPUTED_VALUE"""),45824.6666666666)</f>
        <v>45824.666666666599</v>
      </c>
      <c r="B1624" s="1">
        <f ca="1">IFERROR(__xludf.UNSUPPORTED("""COMPUTED_VALUE"""),144.69)</f>
        <v>144.69</v>
      </c>
      <c r="C1624" s="2">
        <f t="shared" ca="1" si="6"/>
        <v>1.9158977248714508E-2</v>
      </c>
    </row>
    <row r="1625" spans="1:3">
      <c r="A1625" s="3">
        <f ca="1">IFERROR(__xludf.UNSUPPORTED("""COMPUTED_VALUE"""),45825.6666666666)</f>
        <v>45825.666666666599</v>
      </c>
      <c r="B1625" s="1">
        <f ca="1">IFERROR(__xludf.UNSUPPORTED("""COMPUTED_VALUE"""),144.12)</f>
        <v>144.12</v>
      </c>
      <c r="C1625" s="2">
        <f t="shared" ca="1" si="6"/>
        <v>-3.9394567696454021E-3</v>
      </c>
    </row>
    <row r="1626" spans="1:3">
      <c r="A1626" s="3">
        <f ca="1">IFERROR(__xludf.UNSUPPORTED("""COMPUTED_VALUE"""),45826.6666666666)</f>
        <v>45826.666666666599</v>
      </c>
      <c r="B1626" s="1">
        <f ca="1">IFERROR(__xludf.UNSUPPORTED("""COMPUTED_VALUE"""),145.48)</f>
        <v>145.47999999999999</v>
      </c>
      <c r="C1626" s="2">
        <f t="shared" ca="1" si="6"/>
        <v>9.4365806272549632E-3</v>
      </c>
    </row>
    <row r="1627" spans="1:3">
      <c r="A1627" s="3">
        <f ca="1">IFERROR(__xludf.UNSUPPORTED("""COMPUTED_VALUE"""),45828.6666666666)</f>
        <v>45828.666666666599</v>
      </c>
      <c r="B1627" s="1">
        <f ca="1">IFERROR(__xludf.UNSUPPORTED("""COMPUTED_VALUE"""),143.85)</f>
        <v>143.85</v>
      </c>
      <c r="C1627" s="2">
        <f t="shared" ca="1" si="6"/>
        <v>-1.1204289249381327E-2</v>
      </c>
    </row>
    <row r="1628" spans="1:3">
      <c r="A1628" s="3">
        <f ca="1">IFERROR(__xludf.UNSUPPORTED("""COMPUTED_VALUE"""),45831.6666666666)</f>
        <v>45831.666666666599</v>
      </c>
      <c r="B1628" s="1">
        <f ca="1">IFERROR(__xludf.UNSUPPORTED("""COMPUTED_VALUE"""),144.17)</f>
        <v>144.16999999999999</v>
      </c>
      <c r="C1628" s="2">
        <f t="shared" ca="1" si="6"/>
        <v>2.2245394508167756E-3</v>
      </c>
    </row>
    <row r="1629" spans="1:3">
      <c r="A1629" s="3">
        <f ca="1">IFERROR(__xludf.UNSUPPORTED("""COMPUTED_VALUE"""),45832.6666666666)</f>
        <v>45832.666666666599</v>
      </c>
      <c r="B1629" s="1">
        <f ca="1">IFERROR(__xludf.UNSUPPORTED("""COMPUTED_VALUE"""),147.9)</f>
        <v>147.9</v>
      </c>
      <c r="C1629" s="2">
        <f t="shared" ca="1" si="6"/>
        <v>2.5872234167996243E-2</v>
      </c>
    </row>
    <row r="1630" spans="1:3">
      <c r="A1630" s="3">
        <f ca="1">IFERROR(__xludf.UNSUPPORTED("""COMPUTED_VALUE"""),45833.6666666666)</f>
        <v>45833.666666666599</v>
      </c>
      <c r="B1630" s="1">
        <f ca="1">IFERROR(__xludf.UNSUPPORTED("""COMPUTED_VALUE"""),154.31)</f>
        <v>154.31</v>
      </c>
      <c r="C1630" s="2">
        <f t="shared" ca="1" si="6"/>
        <v>4.3340094658553055E-2</v>
      </c>
    </row>
    <row r="1631" spans="1:3">
      <c r="A1631" s="3">
        <f ca="1">IFERROR(__xludf.UNSUPPORTED("""COMPUTED_VALUE"""),45834.6666666666)</f>
        <v>45834.666666666599</v>
      </c>
      <c r="B1631" s="1">
        <f ca="1">IFERROR(__xludf.UNSUPPORTED("""COMPUTED_VALUE"""),155.02)</f>
        <v>155.02000000000001</v>
      </c>
      <c r="C1631" s="2">
        <f t="shared" ca="1" si="6"/>
        <v>4.6011276002851922E-3</v>
      </c>
    </row>
    <row r="1632" spans="1:3">
      <c r="A1632" s="3">
        <f ca="1">IFERROR(__xludf.UNSUPPORTED("""COMPUTED_VALUE"""),45835.6666666666)</f>
        <v>45835.666666666599</v>
      </c>
      <c r="B1632" s="1">
        <f ca="1">IFERROR(__xludf.UNSUPPORTED("""COMPUTED_VALUE"""),157.75)</f>
        <v>157.75</v>
      </c>
      <c r="C1632" s="2">
        <f t="shared" ca="1" si="6"/>
        <v>1.7610630886337179E-2</v>
      </c>
    </row>
    <row r="1633" spans="1:3">
      <c r="A1633" s="3">
        <f ca="1">IFERROR(__xludf.UNSUPPORTED("""COMPUTED_VALUE"""),45838.6666666666)</f>
        <v>45838.666666666599</v>
      </c>
      <c r="B1633" s="1">
        <f ca="1">IFERROR(__xludf.UNSUPPORTED("""COMPUTED_VALUE"""),157.99)</f>
        <v>157.99</v>
      </c>
      <c r="C1633" s="2">
        <f t="shared" ca="1" si="6"/>
        <v>1.5213946117274744E-3</v>
      </c>
    </row>
    <row r="1634" spans="1:3">
      <c r="A1634" s="3">
        <f ca="1">IFERROR(__xludf.UNSUPPORTED("""COMPUTED_VALUE"""),45839.6666666666)</f>
        <v>45839.666666666599</v>
      </c>
      <c r="B1634" s="1">
        <f ca="1">IFERROR(__xludf.UNSUPPORTED("""COMPUTED_VALUE"""),153.3)</f>
        <v>153.30000000000001</v>
      </c>
      <c r="C1634" s="2">
        <f t="shared" ca="1" si="6"/>
        <v>-2.9685423128046062E-2</v>
      </c>
    </row>
    <row r="1635" spans="1:3">
      <c r="A1635" s="3">
        <f ca="1">IFERROR(__xludf.UNSUPPORTED("""COMPUTED_VALUE"""),45840.6666666666)</f>
        <v>45840.666666666599</v>
      </c>
      <c r="B1635" s="1">
        <f ca="1">IFERROR(__xludf.UNSUPPORTED("""COMPUTED_VALUE"""),157.25)</f>
        <v>157.25</v>
      </c>
      <c r="C1635" s="2">
        <f t="shared" ca="1" si="6"/>
        <v>2.5766470971950346E-2</v>
      </c>
    </row>
    <row r="1636" spans="1:3">
      <c r="A1636" s="3">
        <f ca="1">IFERROR(__xludf.UNSUPPORTED("""COMPUTED_VALUE"""),45841.5451388888)</f>
        <v>45841.545138888803</v>
      </c>
      <c r="B1636" s="1">
        <f ca="1">IFERROR(__xludf.UNSUPPORTED("""COMPUTED_VALUE"""),159.34)</f>
        <v>159.34</v>
      </c>
      <c r="C1636" s="2">
        <f t="shared" ca="1" si="6"/>
        <v>1.3290937996820372E-2</v>
      </c>
    </row>
    <row r="1637" spans="1:3">
      <c r="A1637" s="3">
        <f ca="1">IFERROR(__xludf.UNSUPPORTED("""COMPUTED_VALUE"""),45845.6666666666)</f>
        <v>45845.666666666599</v>
      </c>
      <c r="B1637" s="1">
        <f ca="1">IFERROR(__xludf.UNSUPPORTED("""COMPUTED_VALUE"""),158.24)</f>
        <v>158.24</v>
      </c>
      <c r="C1637" s="2">
        <f t="shared" ca="1" si="6"/>
        <v>-6.9034768419731036E-3</v>
      </c>
    </row>
    <row r="1638" spans="1:3">
      <c r="A1638" s="3">
        <f ca="1">IFERROR(__xludf.UNSUPPORTED("""COMPUTED_VALUE"""),45846.6666666666)</f>
        <v>45846.666666666599</v>
      </c>
      <c r="B1638" s="1">
        <f ca="1">IFERROR(__xludf.UNSUPPORTED("""COMPUTED_VALUE"""),160)</f>
        <v>160</v>
      </c>
      <c r="C1638" s="2">
        <f t="shared" ca="1" si="6"/>
        <v>1.1122345803842207E-2</v>
      </c>
    </row>
    <row r="1639" spans="1:3">
      <c r="A1639" s="3">
        <f ca="1">IFERROR(__xludf.UNSUPPORTED("""COMPUTED_VALUE"""),45847.6666666666)</f>
        <v>45847.666666666599</v>
      </c>
      <c r="B1639" s="1">
        <f ca="1">IFERROR(__xludf.UNSUPPORTED("""COMPUTED_VALUE"""),162.88)</f>
        <v>162.88</v>
      </c>
      <c r="C1639" s="2">
        <f t="shared" ca="1" si="6"/>
        <v>1.7999999999999971E-2</v>
      </c>
    </row>
    <row r="1640" spans="1:3">
      <c r="A1640" s="3">
        <f ca="1">IFERROR(__xludf.UNSUPPORTED("""COMPUTED_VALUE"""),45848.6666666666)</f>
        <v>45848.666666666599</v>
      </c>
      <c r="B1640" s="1">
        <f ca="1">IFERROR(__xludf.UNSUPPORTED("""COMPUTED_VALUE"""),164.1)</f>
        <v>164.1</v>
      </c>
      <c r="C1640" s="2">
        <f t="shared" ca="1" si="6"/>
        <v>7.4901768172887951E-3</v>
      </c>
    </row>
    <row r="1641" spans="1:3">
      <c r="A1641" s="3">
        <f ca="1">IFERROR(__xludf.UNSUPPORTED("""COMPUTED_VALUE"""),45849.6666666666)</f>
        <v>45849.666666666599</v>
      </c>
      <c r="B1641" s="1">
        <f ca="1">IFERROR(__xludf.UNSUPPORTED("""COMPUTED_VALUE"""),164.92)</f>
        <v>164.92</v>
      </c>
      <c r="C1641" s="2">
        <f t="shared" ca="1" si="6"/>
        <v>4.9969530773917928E-3</v>
      </c>
    </row>
    <row r="1642" spans="1:3">
      <c r="A1642" s="3">
        <f ca="1">IFERROR(__xludf.UNSUPPORTED("""COMPUTED_VALUE"""),45852.6666666666)</f>
        <v>45852.666666666599</v>
      </c>
      <c r="B1642" s="1">
        <f ca="1">IFERROR(__xludf.UNSUPPORTED("""COMPUTED_VALUE"""),164.07)</f>
        <v>164.07</v>
      </c>
      <c r="C1642" s="2">
        <f t="shared" ca="1" si="6"/>
        <v>-5.1540140674265966E-3</v>
      </c>
    </row>
    <row r="1643" spans="1:3">
      <c r="A1643" s="3">
        <f ca="1">IFERROR(__xludf.UNSUPPORTED("""COMPUTED_VALUE"""),45853.6666666666)</f>
        <v>45853.666666666599</v>
      </c>
      <c r="B1643" s="1">
        <f ca="1">IFERROR(__xludf.UNSUPPORTED("""COMPUTED_VALUE"""),170.7)</f>
        <v>170.7</v>
      </c>
      <c r="C1643" s="2">
        <f t="shared" ca="1" si="6"/>
        <v>4.0409581276284488E-2</v>
      </c>
    </row>
    <row r="1644" spans="1:3">
      <c r="A1644" s="3">
        <f ca="1">IFERROR(__xludf.UNSUPPORTED("""COMPUTED_VALUE"""),45854.6666666666)</f>
        <v>45854.666666666599</v>
      </c>
      <c r="B1644" s="1">
        <f ca="1">IFERROR(__xludf.UNSUPPORTED("""COMPUTED_VALUE"""),171.37)</f>
        <v>171.37</v>
      </c>
      <c r="C1644" s="2">
        <f t="shared" ca="1" si="6"/>
        <v>3.9250146455771292E-3</v>
      </c>
    </row>
    <row r="1645" spans="1:3">
      <c r="A1645" s="3">
        <f ca="1">IFERROR(__xludf.UNSUPPORTED("""COMPUTED_VALUE"""),45855.6666666666)</f>
        <v>45855.666666666599</v>
      </c>
      <c r="B1645" s="1">
        <f ca="1">IFERROR(__xludf.UNSUPPORTED("""COMPUTED_VALUE"""),173)</f>
        <v>173</v>
      </c>
      <c r="C1645" s="2">
        <f t="shared" ca="1" si="6"/>
        <v>9.5115831242340871E-3</v>
      </c>
    </row>
    <row r="1646" spans="1:3">
      <c r="A1646" s="3">
        <f ca="1">IFERROR(__xludf.UNSUPPORTED("""COMPUTED_VALUE"""),45856.6666666666)</f>
        <v>45856.666666666599</v>
      </c>
      <c r="B1646" s="1">
        <f ca="1">IFERROR(__xludf.UNSUPPORTED("""COMPUTED_VALUE"""),172.41)</f>
        <v>172.41</v>
      </c>
      <c r="C1646" s="2">
        <f t="shared" ca="1" si="6"/>
        <v>-3.4104046242774762E-3</v>
      </c>
    </row>
    <row r="1647" spans="1:3">
      <c r="A1647" s="3">
        <f ca="1">IFERROR(__xludf.UNSUPPORTED("""COMPUTED_VALUE"""),45859.6666666666)</f>
        <v>45859.666666666599</v>
      </c>
      <c r="B1647" s="1">
        <f ca="1">IFERROR(__xludf.UNSUPPORTED("""COMPUTED_VALUE"""),171.38)</f>
        <v>171.38</v>
      </c>
      <c r="C1647" s="2">
        <f t="shared" ca="1" si="6"/>
        <v>-5.9741314308914863E-3</v>
      </c>
    </row>
    <row r="1648" spans="1:3">
      <c r="A1648" s="3">
        <f ca="1">IFERROR(__xludf.UNSUPPORTED("""COMPUTED_VALUE"""),45860.6666666666)</f>
        <v>45860.666666666599</v>
      </c>
      <c r="B1648" s="1">
        <f ca="1">IFERROR(__xludf.UNSUPPORTED("""COMPUTED_VALUE"""),167.03)</f>
        <v>167.03</v>
      </c>
      <c r="C1648" s="2">
        <f t="shared" ca="1" si="6"/>
        <v>-2.5382191620959241E-2</v>
      </c>
    </row>
    <row r="1649" spans="1:3">
      <c r="A1649" s="3">
        <f ca="1">IFERROR(__xludf.UNSUPPORTED("""COMPUTED_VALUE"""),45861.6666666666)</f>
        <v>45861.666666666599</v>
      </c>
      <c r="B1649" s="1">
        <f ca="1">IFERROR(__xludf.UNSUPPORTED("""COMPUTED_VALUE"""),170.78)</f>
        <v>170.78</v>
      </c>
      <c r="C1649" s="2">
        <f t="shared" ca="1" si="6"/>
        <v>2.2451056696401843E-2</v>
      </c>
    </row>
    <row r="1650" spans="1:3">
      <c r="A1650" s="3">
        <f ca="1">IFERROR(__xludf.UNSUPPORTED("""COMPUTED_VALUE"""),45862.6666666666)</f>
        <v>45862.666666666599</v>
      </c>
      <c r="B1650" s="1">
        <f ca="1">IFERROR(__xludf.UNSUPPORTED("""COMPUTED_VALUE"""),173.74)</f>
        <v>173.74</v>
      </c>
      <c r="C1650" s="2">
        <f t="shared" ca="1" si="6"/>
        <v>1.7332240309169737E-2</v>
      </c>
    </row>
    <row r="1651" spans="1:3">
      <c r="A1651" s="3">
        <f ca="1">IFERROR(__xludf.UNSUPPORTED("""COMPUTED_VALUE"""),45863.6666666666)</f>
        <v>45863.666666666599</v>
      </c>
      <c r="B1651" s="1">
        <f ca="1">IFERROR(__xludf.UNSUPPORTED("""COMPUTED_VALUE"""),173.5)</f>
        <v>173.5</v>
      </c>
      <c r="C1651" s="2">
        <f t="shared" ca="1" si="6"/>
        <v>-1.3813744675953096E-3</v>
      </c>
    </row>
    <row r="1652" spans="1:3">
      <c r="A1652" s="3">
        <f ca="1">IFERROR(__xludf.UNSUPPORTED("""COMPUTED_VALUE"""),45866.6666666666)</f>
        <v>45866.666666666599</v>
      </c>
      <c r="B1652" s="1">
        <f ca="1">IFERROR(__xludf.UNSUPPORTED("""COMPUTED_VALUE"""),176.75)</f>
        <v>176.75</v>
      </c>
      <c r="C1652" s="2">
        <f t="shared" ca="1" si="6"/>
        <v>1.8731988472622477E-2</v>
      </c>
    </row>
    <row r="1653" spans="1:3">
      <c r="A1653" s="3">
        <f ca="1">IFERROR(__xludf.UNSUPPORTED("""COMPUTED_VALUE"""),45867.6666666666)</f>
        <v>45867.666666666599</v>
      </c>
      <c r="B1653" s="1">
        <f ca="1">IFERROR(__xludf.UNSUPPORTED("""COMPUTED_VALUE"""),175.51)</f>
        <v>175.51</v>
      </c>
      <c r="C1653" s="2">
        <f t="shared" ca="1" si="6"/>
        <v>-7.0155586987270674E-3</v>
      </c>
    </row>
    <row r="1654" spans="1:3">
      <c r="A1654" s="3">
        <f ca="1">IFERROR(__xludf.UNSUPPORTED("""COMPUTED_VALUE"""),45868.6666666666)</f>
        <v>45868.666666666599</v>
      </c>
      <c r="B1654" s="1">
        <f ca="1">IFERROR(__xludf.UNSUPPORTED("""COMPUTED_VALUE"""),179.27)</f>
        <v>179.27</v>
      </c>
      <c r="C1654" s="2">
        <f t="shared" ca="1" si="6"/>
        <v>2.1423280724745138E-2</v>
      </c>
    </row>
    <row r="1655" spans="1:3">
      <c r="A1655" s="3">
        <f ca="1">IFERROR(__xludf.UNSUPPORTED("""COMPUTED_VALUE"""),45869.6666666666)</f>
        <v>45869.666666666599</v>
      </c>
      <c r="B1655" s="1">
        <f ca="1">IFERROR(__xludf.UNSUPPORTED("""COMPUTED_VALUE"""),177.87)</f>
        <v>177.87</v>
      </c>
      <c r="C1655" s="2">
        <f t="shared" ca="1" si="6"/>
        <v>-7.8094494338149471E-3</v>
      </c>
    </row>
    <row r="1656" spans="1:3">
      <c r="A1656" s="3">
        <f ca="1">IFERROR(__xludf.UNSUPPORTED("""COMPUTED_VALUE"""),45870.6666666666)</f>
        <v>45870.666666666599</v>
      </c>
      <c r="B1656" s="1">
        <f ca="1">IFERROR(__xludf.UNSUPPORTED("""COMPUTED_VALUE"""),173.72)</f>
        <v>173.72</v>
      </c>
      <c r="C1656" s="2">
        <f t="shared" ca="1" si="6"/>
        <v>-2.3331646708270117E-2</v>
      </c>
    </row>
    <row r="1657" spans="1:3">
      <c r="A1657" s="3">
        <f ca="1">IFERROR(__xludf.UNSUPPORTED("""COMPUTED_VALUE"""),45873.6666666666)</f>
        <v>45873.666666666599</v>
      </c>
      <c r="B1657" s="1">
        <f ca="1">IFERROR(__xludf.UNSUPPORTED("""COMPUTED_VALUE"""),180)</f>
        <v>180</v>
      </c>
      <c r="C1657" s="2">
        <f t="shared" ca="1" si="6"/>
        <v>3.6150126640571038E-2</v>
      </c>
    </row>
    <row r="1658" spans="1:3">
      <c r="A1658" s="3">
        <f ca="1">IFERROR(__xludf.UNSUPPORTED("""COMPUTED_VALUE"""),45874.6666666666)</f>
        <v>45874.666666666599</v>
      </c>
      <c r="B1658" s="1">
        <f ca="1">IFERROR(__xludf.UNSUPPORTED("""COMPUTED_VALUE"""),178.26)</f>
        <v>178.26</v>
      </c>
      <c r="C1658" s="2">
        <f t="shared" ca="1" si="6"/>
        <v>-9.6666666666667175E-3</v>
      </c>
    </row>
    <row r="1659" spans="1:3">
      <c r="A1659" s="3">
        <f ca="1">IFERROR(__xludf.UNSUPPORTED("""COMPUTED_VALUE"""),45875.6666666666)</f>
        <v>45875.666666666599</v>
      </c>
      <c r="B1659" s="1">
        <f ca="1">IFERROR(__xludf.UNSUPPORTED("""COMPUTED_VALUE"""),179.42)</f>
        <v>179.42</v>
      </c>
      <c r="C1659" s="2">
        <f t="shared" ca="1" si="6"/>
        <v>6.5073488163356705E-3</v>
      </c>
    </row>
    <row r="1660" spans="1:3">
      <c r="A1660" s="3">
        <f ca="1">IFERROR(__xludf.UNSUPPORTED("""COMPUTED_VALUE"""),45876.6666666666)</f>
        <v>45876.666666666599</v>
      </c>
      <c r="B1660" s="1">
        <f ca="1">IFERROR(__xludf.UNSUPPORTED("""COMPUTED_VALUE"""),180.77)</f>
        <v>180.77</v>
      </c>
      <c r="C1660" s="2">
        <f t="shared" ca="1" si="6"/>
        <v>7.5242447887639216E-3</v>
      </c>
    </row>
    <row r="1661" spans="1:3">
      <c r="A1661" s="3">
        <f ca="1">IFERROR(__xludf.UNSUPPORTED("""COMPUTED_VALUE"""),45877.6666666666)</f>
        <v>45877.666666666599</v>
      </c>
      <c r="B1661" s="1">
        <f ca="1">IFERROR(__xludf.UNSUPPORTED("""COMPUTED_VALUE"""),182.7)</f>
        <v>182.7</v>
      </c>
      <c r="C1661" s="2">
        <f t="shared" ca="1" si="6"/>
        <v>1.0676550312551741E-2</v>
      </c>
    </row>
    <row r="1662" spans="1:3">
      <c r="A1662" s="3">
        <f ca="1">IFERROR(__xludf.UNSUPPORTED("""COMPUTED_VALUE"""),45880.6666666666)</f>
        <v>45880.666666666599</v>
      </c>
      <c r="B1662" s="1">
        <f ca="1">IFERROR(__xludf.UNSUPPORTED("""COMPUTED_VALUE"""),182.06)</f>
        <v>182.06</v>
      </c>
      <c r="C1662" s="2">
        <f t="shared" ca="1" si="6"/>
        <v>-3.5030103995620492E-3</v>
      </c>
    </row>
    <row r="1663" spans="1:3">
      <c r="A1663" s="3">
        <f ca="1">IFERROR(__xludf.UNSUPPORTED("""COMPUTED_VALUE"""),45881.6666666666)</f>
        <v>45881.666666666599</v>
      </c>
      <c r="B1663" s="1">
        <f ca="1">IFERROR(__xludf.UNSUPPORTED("""COMPUTED_VALUE"""),183.16)</f>
        <v>183.16</v>
      </c>
      <c r="C1663" s="2">
        <f t="shared" ca="1" si="6"/>
        <v>6.0419641876304202E-3</v>
      </c>
    </row>
    <row r="1664" spans="1:3">
      <c r="A1664" s="3">
        <f ca="1">IFERROR(__xludf.UNSUPPORTED("""COMPUTED_VALUE"""),45882.6666666666)</f>
        <v>45882.666666666599</v>
      </c>
      <c r="B1664" s="1">
        <f ca="1">IFERROR(__xludf.UNSUPPORTED("""COMPUTED_VALUE"""),181.59)</f>
        <v>181.59</v>
      </c>
      <c r="C1664" s="2">
        <f t="shared" ca="1" si="6"/>
        <v>-8.5717405547062302E-3</v>
      </c>
    </row>
    <row r="1665" spans="1:3">
      <c r="A1665" s="3">
        <f ca="1">IFERROR(__xludf.UNSUPPORTED("""COMPUTED_VALUE"""),45883.6666666666)</f>
        <v>45883.666666666599</v>
      </c>
      <c r="B1665" s="1">
        <f ca="1">IFERROR(__xludf.UNSUPPORTED("""COMPUTED_VALUE"""),182.02)</f>
        <v>182.02</v>
      </c>
      <c r="C1665" s="2">
        <f t="shared" ca="1" si="6"/>
        <v>2.3679718046148292E-3</v>
      </c>
    </row>
    <row r="1666" spans="1:3">
      <c r="A1666" s="3">
        <f ca="1">IFERROR(__xludf.UNSUPPORTED("""COMPUTED_VALUE"""),45884.6666666666)</f>
        <v>45884.666666666599</v>
      </c>
      <c r="B1666" s="1">
        <f ca="1">IFERROR(__xludf.UNSUPPORTED("""COMPUTED_VALUE"""),180.45)</f>
        <v>180.45</v>
      </c>
      <c r="C1666" s="2">
        <f t="shared" ca="1" si="6"/>
        <v>-8.6254257773872179E-3</v>
      </c>
    </row>
    <row r="1667" spans="1:3">
      <c r="A1667" s="3">
        <f ca="1">IFERROR(__xludf.UNSUPPORTED("""COMPUTED_VALUE"""),45887.6666666666)</f>
        <v>45887.666666666599</v>
      </c>
      <c r="B1667" s="1">
        <f ca="1">IFERROR(__xludf.UNSUPPORTED("""COMPUTED_VALUE"""),182.01)</f>
        <v>182.01</v>
      </c>
      <c r="C1667" s="2">
        <f t="shared" ca="1" si="6"/>
        <v>8.6450540315877109E-3</v>
      </c>
    </row>
    <row r="1668" spans="1:3">
      <c r="A1668" s="3">
        <f ca="1">IFERROR(__xludf.UNSUPPORTED("""COMPUTED_VALUE"""),45888.6666666666)</f>
        <v>45888.666666666599</v>
      </c>
      <c r="B1668" s="1">
        <f ca="1">IFERROR(__xludf.UNSUPPORTED("""COMPUTED_VALUE"""),175.64)</f>
        <v>175.64</v>
      </c>
      <c r="C1668" s="2">
        <f t="shared" ca="1" si="6"/>
        <v>-3.4998077028734711E-2</v>
      </c>
    </row>
    <row r="1669" spans="1:3">
      <c r="A1669" s="3">
        <f ca="1">IFERROR(__xludf.UNSUPPORTED("""COMPUTED_VALUE"""),45889.6666666666)</f>
        <v>45889.666666666599</v>
      </c>
      <c r="B1669" s="1">
        <f ca="1">IFERROR(__xludf.UNSUPPORTED("""COMPUTED_VALUE"""),175.4)</f>
        <v>175.4</v>
      </c>
      <c r="C1669" s="2">
        <f t="shared" ca="1" si="6"/>
        <v>-1.3664313368252146E-3</v>
      </c>
    </row>
    <row r="1670" spans="1:3">
      <c r="A1670" s="3">
        <f ca="1">IFERROR(__xludf.UNSUPPORTED("""COMPUTED_VALUE"""),45890.6666666666)</f>
        <v>45890.666666666599</v>
      </c>
      <c r="B1670" s="1">
        <f ca="1">IFERROR(__xludf.UNSUPPORTED("""COMPUTED_VALUE"""),174.98)</f>
        <v>174.98</v>
      </c>
      <c r="C1670" s="2">
        <f t="shared" ca="1" si="6"/>
        <v>-2.3945267958951875E-3</v>
      </c>
    </row>
    <row r="1671" spans="1:3">
      <c r="A1671" s="3">
        <f ca="1">IFERROR(__xludf.UNSUPPORTED("""COMPUTED_VALUE"""),45891.6666666666)</f>
        <v>45891.666666666599</v>
      </c>
      <c r="B1671" s="1">
        <f ca="1">IFERROR(__xludf.UNSUPPORTED("""COMPUTED_VALUE"""),177.99)</f>
        <v>177.99</v>
      </c>
      <c r="C1671" s="2">
        <f t="shared" ca="1" si="6"/>
        <v>1.7201965938964565E-2</v>
      </c>
    </row>
    <row r="1672" spans="1:3">
      <c r="A1672" s="3">
        <f ca="1">IFERROR(__xludf.UNSUPPORTED("""COMPUTED_VALUE"""),45897.6666666666)</f>
        <v>45897.666666666599</v>
      </c>
      <c r="B1672" s="1">
        <f ca="1">IFERROR(__xludf.UNSUPPORTED("""COMPUTED_VALUE"""),180.17)</f>
        <v>180.17</v>
      </c>
      <c r="C1672" s="2">
        <f t="shared" ca="1" si="6"/>
        <v>1.224787909433102E-2</v>
      </c>
    </row>
    <row r="1673" spans="1:3">
      <c r="A1673" s="3">
        <f ca="1">IFERROR(__xludf.UNSUPPORTED("""COMPUTED_VALUE"""),45898.6666666666)</f>
        <v>45898.666666666599</v>
      </c>
      <c r="B1673" s="1">
        <f ca="1">IFERROR(__xludf.UNSUPPORTED("""COMPUTED_VALUE"""),174.18)</f>
        <v>174.18</v>
      </c>
      <c r="C1673" s="2">
        <f t="shared" ca="1" si="6"/>
        <v>-3.3246378420380647E-2</v>
      </c>
    </row>
    <row r="1674" spans="1:3">
      <c r="A1674" s="3">
        <f ca="1">IFERROR(__xludf.UNSUPPORTED("""COMPUTED_VALUE"""),45902.6666666666)</f>
        <v>45902.666666666599</v>
      </c>
      <c r="B1674" s="1">
        <f ca="1">IFERROR(__xludf.UNSUPPORTED("""COMPUTED_VALUE"""),170.78)</f>
        <v>170.78</v>
      </c>
      <c r="C1674" s="2">
        <f t="shared" ca="1" si="6"/>
        <v>-1.9520036743598607E-2</v>
      </c>
    </row>
    <row r="1675" spans="1:3">
      <c r="A1675" s="3">
        <f ca="1">IFERROR(__xludf.UNSUPPORTED("""COMPUTED_VALUE"""),45903.6666666666)</f>
        <v>45903.666666666599</v>
      </c>
      <c r="B1675" s="1">
        <f ca="1">IFERROR(__xludf.UNSUPPORTED("""COMPUTED_VALUE"""),170.62)</f>
        <v>170.62</v>
      </c>
      <c r="C1675" s="2">
        <f t="shared" ca="1" si="6"/>
        <v>-9.3687785454969307E-4</v>
      </c>
    </row>
    <row r="1676" spans="1:3">
      <c r="A1676" s="3">
        <f ca="1">IFERROR(__xludf.UNSUPPORTED("""COMPUTED_VALUE"""),45904.6666666666)</f>
        <v>45904.666666666599</v>
      </c>
      <c r="B1676" s="1">
        <f ca="1">IFERROR(__xludf.UNSUPPORTED("""COMPUTED_VALUE"""),171.66)</f>
        <v>171.66</v>
      </c>
      <c r="C1676" s="2">
        <f t="shared" ca="1" si="6"/>
        <v>6.0954167155081E-3</v>
      </c>
    </row>
    <row r="1677" spans="1:3">
      <c r="A1677" s="3">
        <f ca="1">IFERROR(__xludf.UNSUPPORTED("""COMPUTED_VALUE"""),45905.6666666666)</f>
        <v>45905.666666666599</v>
      </c>
      <c r="B1677" s="1">
        <f ca="1">IFERROR(__xludf.UNSUPPORTED("""COMPUTED_VALUE"""),167.02)</f>
        <v>167.02</v>
      </c>
      <c r="C1677" s="2">
        <f t="shared" ca="1" si="6"/>
        <v>-2.7030175929162219E-2</v>
      </c>
    </row>
    <row r="1678" spans="1:3">
      <c r="A1678" s="3">
        <f ca="1">IFERROR(__xludf.UNSUPPORTED("""COMPUTED_VALUE"""),45908.6666666666)</f>
        <v>45908.666666666599</v>
      </c>
      <c r="B1678" s="1">
        <f ca="1">IFERROR(__xludf.UNSUPPORTED("""COMPUTED_VALUE"""),168.31)</f>
        <v>168.31</v>
      </c>
      <c r="C1678" s="2">
        <f t="shared" ca="1" si="6"/>
        <v>7.7236259130642557E-3</v>
      </c>
    </row>
    <row r="1679" spans="1:3">
      <c r="A1679" s="3">
        <f ca="1">IFERROR(__xludf.UNSUPPORTED("""COMPUTED_VALUE"""),45909.6666666666)</f>
        <v>45909.666666666599</v>
      </c>
      <c r="B1679" s="1">
        <f ca="1">IFERROR(__xludf.UNSUPPORTED("""COMPUTED_VALUE"""),170.76)</f>
        <v>170.76</v>
      </c>
      <c r="C1679" s="2">
        <f t="shared" ca="1" si="6"/>
        <v>1.4556473174499368E-2</v>
      </c>
    </row>
    <row r="1680" spans="1:3">
      <c r="A1680" s="3">
        <f ca="1">IFERROR(__xludf.UNSUPPORTED("""COMPUTED_VALUE"""),45910.6666666666)</f>
        <v>45910.666666666599</v>
      </c>
      <c r="B1680" s="1">
        <f ca="1">IFERROR(__xludf.UNSUPPORTED("""COMPUTED_VALUE"""),177.33)</f>
        <v>177.33</v>
      </c>
      <c r="C1680" s="2">
        <f t="shared" ca="1" si="6"/>
        <v>3.8475052705551779E-2</v>
      </c>
    </row>
    <row r="1681" spans="1:3">
      <c r="A1681" s="3">
        <f ca="1">IFERROR(__xludf.UNSUPPORTED("""COMPUTED_VALUE"""),45911.6666666666)</f>
        <v>45911.666666666599</v>
      </c>
      <c r="B1681" s="1">
        <f ca="1">IFERROR(__xludf.UNSUPPORTED("""COMPUTED_VALUE"""),177.17)</f>
        <v>177.17</v>
      </c>
      <c r="C1681" s="2">
        <f t="shared" ca="1" si="6"/>
        <v>-9.0227259910914681E-4</v>
      </c>
    </row>
    <row r="1682" spans="1:3">
      <c r="A1682" s="3">
        <f ca="1">IFERROR(__xludf.UNSUPPORTED("""COMPUTED_VALUE"""),45912.6666666666)</f>
        <v>45912.666666666599</v>
      </c>
      <c r="B1682" s="1">
        <f ca="1">IFERROR(__xludf.UNSUPPORTED("""COMPUTED_VALUE"""),177.82)</f>
        <v>177.82</v>
      </c>
      <c r="C1682" s="2">
        <f t="shared" ca="1" si="6"/>
        <v>3.6687926849918481E-3</v>
      </c>
    </row>
    <row r="1683" spans="1:3">
      <c r="A1683" s="3">
        <f ca="1">IFERROR(__xludf.UNSUPPORTED("""COMPUTED_VALUE"""),45915.6666666666)</f>
        <v>45915.666666666599</v>
      </c>
      <c r="B1683" s="1">
        <f ca="1">IFERROR(__xludf.UNSUPPORTED("""COMPUTED_VALUE"""),177.75)</f>
        <v>177.75</v>
      </c>
      <c r="C1683" s="2">
        <f t="shared" ca="1" si="6"/>
        <v>-3.9365650657964898E-4</v>
      </c>
    </row>
    <row r="1684" spans="1:3">
      <c r="A1684" s="3">
        <f ca="1">IFERROR(__xludf.UNSUPPORTED("""COMPUTED_VALUE"""),45916.6666666666)</f>
        <v>45916.666666666599</v>
      </c>
      <c r="B1684" s="1">
        <f ca="1">IFERROR(__xludf.UNSUPPORTED("""COMPUTED_VALUE"""),174.88)</f>
        <v>174.88</v>
      </c>
      <c r="C1684" s="2">
        <f t="shared" ca="1" si="6"/>
        <v>-1.6146272855133641E-2</v>
      </c>
    </row>
    <row r="1685" spans="1:3">
      <c r="A1685" s="3">
        <f ca="1">IFERROR(__xludf.UNSUPPORTED("""COMPUTED_VALUE"""),45917.6666666666)</f>
        <v>45917.666666666599</v>
      </c>
      <c r="B1685" s="1">
        <f ca="1">IFERROR(__xludf.UNSUPPORTED("""COMPUTED_VALUE"""),170.29)</f>
        <v>170.29</v>
      </c>
      <c r="C1685" s="2">
        <f t="shared" ca="1" si="6"/>
        <v>-2.6246569075937805E-2</v>
      </c>
    </row>
    <row r="1686" spans="1:3">
      <c r="A1686" s="3">
        <f ca="1">IFERROR(__xludf.UNSUPPORTED("""COMPUTED_VALUE"""),45918.6666666666)</f>
        <v>45918.666666666599</v>
      </c>
      <c r="B1686" s="1">
        <f ca="1">IFERROR(__xludf.UNSUPPORTED("""COMPUTED_VALUE"""),176.24)</f>
        <v>176.24</v>
      </c>
      <c r="C1686" s="2">
        <f t="shared" ca="1" si="6"/>
        <v>3.4940395795407933E-2</v>
      </c>
    </row>
    <row r="1687" spans="1:3">
      <c r="A1687" s="3">
        <f ca="1">IFERROR(__xludf.UNSUPPORTED("""COMPUTED_VALUE"""),45919.6666666666)</f>
        <v>45919.666666666599</v>
      </c>
      <c r="B1687" s="1">
        <f ca="1">IFERROR(__xludf.UNSUPPORTED("""COMPUTED_VALUE"""),176.67)</f>
        <v>176.67</v>
      </c>
      <c r="C1687" s="2">
        <f t="shared" ca="1" si="6"/>
        <v>2.4398547435314252E-3</v>
      </c>
    </row>
    <row r="1688" spans="1:3">
      <c r="A1688" s="3">
        <f ca="1">IFERROR(__xludf.UNSUPPORTED("""COMPUTED_VALUE"""),45922.6666666666)</f>
        <v>45922.666666666599</v>
      </c>
      <c r="B1688" s="1">
        <f ca="1">IFERROR(__xludf.UNSUPPORTED("""COMPUTED_VALUE"""),183.61)</f>
        <v>183.61</v>
      </c>
      <c r="C1688" s="2">
        <f t="shared" ca="1" si="6"/>
        <v>3.9282277692873867E-2</v>
      </c>
    </row>
    <row r="1689" spans="1:3">
      <c r="A1689" s="3">
        <f ca="1">IFERROR(__xludf.UNSUPPORTED("""COMPUTED_VALUE"""),45923.6666666666)</f>
        <v>45923.666666666599</v>
      </c>
      <c r="B1689" s="1">
        <f ca="1">IFERROR(__xludf.UNSUPPORTED("""COMPUTED_VALUE"""),178.43)</f>
        <v>178.43</v>
      </c>
      <c r="C1689" s="2">
        <f t="shared" ca="1" si="6"/>
        <v>-2.8211971025543306E-2</v>
      </c>
    </row>
    <row r="1690" spans="1:3">
      <c r="A1690" s="3">
        <f ca="1">IFERROR(__xludf.UNSUPPORTED("""COMPUTED_VALUE"""),45924.6666666666)</f>
        <v>45924.666666666599</v>
      </c>
      <c r="B1690" s="1">
        <f ca="1">IFERROR(__xludf.UNSUPPORTED("""COMPUTED_VALUE"""),176.97)</f>
        <v>176.97</v>
      </c>
      <c r="C1690" s="2">
        <f t="shared" ca="1" si="6"/>
        <v>-8.1824805245755087E-3</v>
      </c>
    </row>
    <row r="1691" spans="1:3">
      <c r="A1691" s="3">
        <f ca="1">IFERROR(__xludf.UNSUPPORTED("""COMPUTED_VALUE"""),45925.6666666666)</f>
        <v>45925.666666666599</v>
      </c>
      <c r="B1691" s="1">
        <f ca="1">IFERROR(__xludf.UNSUPPORTED("""COMPUTED_VALUE"""),177.69)</f>
        <v>177.69</v>
      </c>
      <c r="C1691" s="2">
        <f t="shared" ca="1" si="6"/>
        <v>4.0684861840989935E-3</v>
      </c>
    </row>
    <row r="1692" spans="1:3">
      <c r="A1692" s="3">
        <f ca="1">IFERROR(__xludf.UNSUPPORTED("""COMPUTED_VALUE"""),45926.6666666666)</f>
        <v>45926.666666666599</v>
      </c>
      <c r="B1692" s="1">
        <f ca="1">IFERROR(__xludf.UNSUPPORTED("""COMPUTED_VALUE"""),178.19)</f>
        <v>178.19</v>
      </c>
      <c r="C1692" s="2">
        <f t="shared" ca="1" si="6"/>
        <v>2.8138893578704485E-3</v>
      </c>
    </row>
    <row r="1693" spans="1:3">
      <c r="A1693" s="3">
        <f ca="1">IFERROR(__xludf.UNSUPPORTED("""COMPUTED_VALUE"""),45929.6666666666)</f>
        <v>45929.666666666599</v>
      </c>
      <c r="B1693" s="1">
        <f ca="1">IFERROR(__xludf.UNSUPPORTED("""COMPUTED_VALUE"""),181.85)</f>
        <v>181.85</v>
      </c>
      <c r="C1693" s="2">
        <f t="shared" ca="1" si="6"/>
        <v>2.0539873169089156E-2</v>
      </c>
    </row>
    <row r="1694" spans="1:3">
      <c r="A1694" s="3">
        <f ca="1">IFERROR(__xludf.UNSUPPORTED("""COMPUTED_VALUE"""),45930.6666666666)</f>
        <v>45930.666666666599</v>
      </c>
      <c r="B1694" s="1">
        <f ca="1">IFERROR(__xludf.UNSUPPORTED("""COMPUTED_VALUE"""),186.58)</f>
        <v>186.58</v>
      </c>
      <c r="C1694" s="2">
        <f t="shared" ca="1" si="6"/>
        <v>2.6010448171570076E-2</v>
      </c>
    </row>
    <row r="1695" spans="1:3">
      <c r="A1695" s="3">
        <f ca="1">IFERROR(__xludf.UNSUPPORTED("""COMPUTED_VALUE"""),45931.6666666666)</f>
        <v>45931.666666666599</v>
      </c>
      <c r="B1695" s="1">
        <f ca="1">IFERROR(__xludf.UNSUPPORTED("""COMPUTED_VALUE"""),187.24)</f>
        <v>187.24</v>
      </c>
      <c r="C1695" s="2">
        <f t="shared" ca="1" si="6"/>
        <v>3.537356629863847E-3</v>
      </c>
    </row>
    <row r="1696" spans="1:3">
      <c r="A1696" s="3">
        <f ca="1">IFERROR(__xludf.UNSUPPORTED("""COMPUTED_VALUE"""),45932.6666666666)</f>
        <v>45932.666666666599</v>
      </c>
      <c r="B1696" s="1">
        <f ca="1">IFERROR(__xludf.UNSUPPORTED("""COMPUTED_VALUE"""),188.89)</f>
        <v>188.89</v>
      </c>
      <c r="C1696" s="2">
        <f t="shared" ca="1" si="6"/>
        <v>8.8122196111940672E-3</v>
      </c>
    </row>
    <row r="1697" spans="1:3">
      <c r="A1697" s="3">
        <f ca="1">IFERROR(__xludf.UNSUPPORTED("""COMPUTED_VALUE"""),45933.6666666666)</f>
        <v>45933.666666666599</v>
      </c>
      <c r="B1697" s="1">
        <f ca="1">IFERROR(__xludf.UNSUPPORTED("""COMPUTED_VALUE"""),187.62)</f>
        <v>187.62</v>
      </c>
      <c r="C1697" s="2">
        <f t="shared" ca="1" si="6"/>
        <v>-6.7234898618242465E-3</v>
      </c>
    </row>
    <row r="1698" spans="1:3">
      <c r="A1698" s="3">
        <f ca="1">IFERROR(__xludf.UNSUPPORTED("""COMPUTED_VALUE"""),45936.6666666666)</f>
        <v>45936.666666666599</v>
      </c>
      <c r="B1698" s="1">
        <f ca="1">IFERROR(__xludf.UNSUPPORTED("""COMPUTED_VALUE"""),185.54)</f>
        <v>185.54</v>
      </c>
      <c r="C1698" s="2">
        <f t="shared" ca="1" si="6"/>
        <v>-1.1086238140923209E-2</v>
      </c>
    </row>
    <row r="1699" spans="1:3">
      <c r="A1699" s="3">
        <f ca="1">IFERROR(__xludf.UNSUPPORTED("""COMPUTED_VALUE"""),45937.6666666666)</f>
        <v>45937.666666666599</v>
      </c>
      <c r="B1699" s="1">
        <f ca="1">IFERROR(__xludf.UNSUPPORTED("""COMPUTED_VALUE"""),185.04)</f>
        <v>185.04</v>
      </c>
      <c r="C1699" s="2">
        <f t="shared" ca="1" si="6"/>
        <v>-2.6948366928964108E-3</v>
      </c>
    </row>
    <row r="1700" spans="1:3">
      <c r="A1700" s="3">
        <f ca="1">IFERROR(__xludf.UNSUPPORTED("""COMPUTED_VALUE"""),45938.6666666666)</f>
        <v>45938.666666666599</v>
      </c>
      <c r="B1700" s="1">
        <f ca="1">IFERROR(__xludf.UNSUPPORTED("""COMPUTED_VALUE"""),189.11)</f>
        <v>189.11</v>
      </c>
      <c r="C1700" s="2">
        <f t="shared" ca="1" si="6"/>
        <v>2.1995244271508979E-2</v>
      </c>
    </row>
    <row r="1701" spans="1:3">
      <c r="A1701" s="3">
        <f ca="1">IFERROR(__xludf.UNSUPPORTED("""COMPUTED_VALUE"""),45939.6666666666)</f>
        <v>45939.666666666599</v>
      </c>
      <c r="B1701" s="1">
        <f ca="1">IFERROR(__xludf.UNSUPPORTED("""COMPUTED_VALUE"""),192.57)</f>
        <v>192.57</v>
      </c>
      <c r="C1701" s="2">
        <f t="shared" ca="1" si="6"/>
        <v>1.829622970757749E-2</v>
      </c>
    </row>
    <row r="1702" spans="1:3">
      <c r="A1702" s="3">
        <f ca="1">IFERROR(__xludf.UNSUPPORTED("""COMPUTED_VALUE"""),45940.6666666666)</f>
        <v>45940.666666666599</v>
      </c>
      <c r="B1702" s="1">
        <f ca="1">IFERROR(__xludf.UNSUPPORTED("""COMPUTED_VALUE"""),183.16)</f>
        <v>183.16</v>
      </c>
      <c r="C1702" s="2">
        <f t="shared" ca="1" si="6"/>
        <v>-4.8865347665783855E-2</v>
      </c>
    </row>
    <row r="1703" spans="1:3">
      <c r="A1703" s="3">
        <f ca="1">IFERROR(__xludf.UNSUPPORTED("""COMPUTED_VALUE"""),45943.6666666666)</f>
        <v>45943.666666666599</v>
      </c>
      <c r="B1703" s="1">
        <f ca="1">IFERROR(__xludf.UNSUPPORTED("""COMPUTED_VALUE"""),188.32)</f>
        <v>188.32</v>
      </c>
      <c r="C1703" s="2">
        <f t="shared" ca="1" si="6"/>
        <v>2.8172089975977269E-2</v>
      </c>
    </row>
    <row r="1704" spans="1:3">
      <c r="A1704" s="3">
        <f ca="1">IFERROR(__xludf.UNSUPPORTED("""COMPUTED_VALUE"""),45944.6666666666)</f>
        <v>45944.666666666599</v>
      </c>
      <c r="B1704" s="1">
        <f ca="1">IFERROR(__xludf.UNSUPPORTED("""COMPUTED_VALUE"""),180.03)</f>
        <v>180.03</v>
      </c>
      <c r="C1704" s="2">
        <f t="shared" ca="1" si="6"/>
        <v>-4.4020815632965123E-2</v>
      </c>
    </row>
    <row r="1705" spans="1:3">
      <c r="A1705" s="3">
        <f ca="1">IFERROR(__xludf.UNSUPPORTED("""COMPUTED_VALUE"""),45945.6666666666)</f>
        <v>45945.666666666599</v>
      </c>
      <c r="B1705" s="1">
        <f ca="1">IFERROR(__xludf.UNSUPPORTED("""COMPUTED_VALUE"""),179.83)</f>
        <v>179.83</v>
      </c>
      <c r="C1705" s="2">
        <f t="shared" ca="1" si="6"/>
        <v>-1.1109259567849172E-3</v>
      </c>
    </row>
    <row r="1706" spans="1:3">
      <c r="A1706" s="3">
        <f ca="1">IFERROR(__xludf.UNSUPPORTED("""COMPUTED_VALUE"""),45946.6666666666)</f>
        <v>45946.666666666599</v>
      </c>
      <c r="B1706" s="1">
        <f ca="1">IFERROR(__xludf.UNSUPPORTED("""COMPUTED_VALUE"""),181.81)</f>
        <v>181.81</v>
      </c>
      <c r="C1706" s="2">
        <f t="shared" ca="1" si="6"/>
        <v>1.1010398709892618E-2</v>
      </c>
    </row>
    <row r="1707" spans="1:3">
      <c r="A1707" s="3">
        <f ca="1">IFERROR(__xludf.UNSUPPORTED("""COMPUTED_VALUE"""),45947.6666666666)</f>
        <v>45947.666666666599</v>
      </c>
      <c r="B1707" s="1">
        <f ca="1">IFERROR(__xludf.UNSUPPORTED("""COMPUTED_VALUE"""),183.22)</f>
        <v>183.22</v>
      </c>
      <c r="C1707" s="2">
        <f t="shared" ca="1" si="6"/>
        <v>7.7553489907045631E-3</v>
      </c>
    </row>
    <row r="1708" spans="1:3">
      <c r="A1708" s="3">
        <f ca="1">IFERROR(__xludf.UNSUPPORTED("""COMPUTED_VALUE"""),45950.6666666666)</f>
        <v>45950.666666666599</v>
      </c>
      <c r="B1708" s="1">
        <f ca="1">IFERROR(__xludf.UNSUPPORTED("""COMPUTED_VALUE"""),182.64)</f>
        <v>182.64</v>
      </c>
      <c r="C1708" s="2">
        <f t="shared" ca="1" si="6"/>
        <v>-3.1655932758433169E-3</v>
      </c>
    </row>
    <row r="1709" spans="1:3">
      <c r="A1709" s="3">
        <f ca="1">IFERROR(__xludf.UNSUPPORTED("""COMPUTED_VALUE"""),45951.6666666666)</f>
        <v>45951.666666666599</v>
      </c>
      <c r="B1709" s="1">
        <f ca="1">IFERROR(__xludf.UNSUPPORTED("""COMPUTED_VALUE"""),181.16)</f>
        <v>181.16</v>
      </c>
      <c r="C1709" s="2">
        <f t="shared" ca="1" si="6"/>
        <v>-8.1033727551466806E-3</v>
      </c>
    </row>
    <row r="1710" spans="1:3">
      <c r="A1710" s="3">
        <f ca="1">IFERROR(__xludf.UNSUPPORTED("""COMPUTED_VALUE"""),45952.6666666666)</f>
        <v>45952.666666666599</v>
      </c>
      <c r="B1710" s="1">
        <f ca="1">IFERROR(__xludf.UNSUPPORTED("""COMPUTED_VALUE"""),180.28)</f>
        <v>180.28</v>
      </c>
      <c r="C1710" s="2">
        <f t="shared" ca="1" si="6"/>
        <v>-4.8575844557297168E-3</v>
      </c>
    </row>
    <row r="1711" spans="1:3">
      <c r="A1711" s="3">
        <f ca="1">IFERROR(__xludf.UNSUPPORTED("""COMPUTED_VALUE"""),45953.6666666666)</f>
        <v>45953.666666666599</v>
      </c>
      <c r="B1711" s="1">
        <f ca="1">IFERROR(__xludf.UNSUPPORTED("""COMPUTED_VALUE"""),182.16)</f>
        <v>182.16</v>
      </c>
      <c r="C1711" s="2">
        <f t="shared" ca="1" si="6"/>
        <v>1.0428222764588393E-2</v>
      </c>
    </row>
    <row r="1712" spans="1:3">
      <c r="A1712" s="3">
        <f ca="1">IFERROR(__xludf.UNSUPPORTED("""COMPUTED_VALUE"""),45954.6666666666)</f>
        <v>45954.666666666599</v>
      </c>
      <c r="B1712" s="1">
        <f ca="1">IFERROR(__xludf.UNSUPPORTED("""COMPUTED_VALUE"""),186.26)</f>
        <v>186.26</v>
      </c>
      <c r="C1712" s="2">
        <f t="shared" ca="1" si="6"/>
        <v>2.2507685551163781E-2</v>
      </c>
    </row>
    <row r="1713" spans="1:3">
      <c r="A1713" s="3">
        <f ca="1">IFERROR(__xludf.UNSUPPORTED("""COMPUTED_VALUE"""),45957.6666666666)</f>
        <v>45957.666666666599</v>
      </c>
      <c r="B1713" s="1">
        <f ca="1">IFERROR(__xludf.UNSUPPORTED("""COMPUTED_VALUE"""),191.49)</f>
        <v>191.49</v>
      </c>
      <c r="C1713" s="2">
        <f t="shared" ca="1" si="6"/>
        <v>2.8079029313862441E-2</v>
      </c>
    </row>
    <row r="1714" spans="1:3">
      <c r="A1714" s="3">
        <f ca="1">IFERROR(__xludf.UNSUPPORTED("""COMPUTED_VALUE"""),45958.6666666666)</f>
        <v>45958.666666666599</v>
      </c>
      <c r="B1714" s="1">
        <f ca="1">IFERROR(__xludf.UNSUPPORTED("""COMPUTED_VALUE"""),201.03)</f>
        <v>201.03</v>
      </c>
      <c r="C1714" s="2">
        <f t="shared" ca="1" si="6"/>
        <v>4.9819833933886844E-2</v>
      </c>
    </row>
    <row r="1715" spans="1:3">
      <c r="A1715" s="3">
        <f ca="1">IFERROR(__xludf.UNSUPPORTED("""COMPUTED_VALUE"""),45959.6666666666)</f>
        <v>45959.666666666599</v>
      </c>
      <c r="B1715" s="1">
        <f ca="1">IFERROR(__xludf.UNSUPPORTED("""COMPUTED_VALUE"""),207.04)</f>
        <v>207.04</v>
      </c>
      <c r="C1715" s="2">
        <f t="shared" ca="1" si="6"/>
        <v>2.9896035417599318E-2</v>
      </c>
    </row>
    <row r="1716" spans="1:3">
      <c r="A1716" s="3">
        <f ca="1">IFERROR(__xludf.UNSUPPORTED("""COMPUTED_VALUE"""),45960.6666666666)</f>
        <v>45960.666666666599</v>
      </c>
      <c r="B1716" s="1">
        <f ca="1">IFERROR(__xludf.UNSUPPORTED("""COMPUTED_VALUE"""),202.89)</f>
        <v>202.89</v>
      </c>
      <c r="C1716" s="2">
        <f t="shared" ca="1" si="6"/>
        <v>-2.0044435857805284E-2</v>
      </c>
    </row>
    <row r="1717" spans="1:3">
      <c r="A1717" s="3">
        <f ca="1">IFERROR(__xludf.UNSUPPORTED("""COMPUTED_VALUE"""),45961.6666666666)</f>
        <v>45961.666666666599</v>
      </c>
      <c r="B1717" s="1">
        <f ca="1">IFERROR(__xludf.UNSUPPORTED("""COMPUTED_VALUE"""),202.49)</f>
        <v>202.49</v>
      </c>
      <c r="C1717" s="2">
        <f t="shared" ca="1" si="6"/>
        <v>-1.9715116565625574E-3</v>
      </c>
    </row>
    <row r="1718" spans="1:3">
      <c r="A1718" s="3">
        <f ca="1">IFERROR(__xludf.UNSUPPORTED("""COMPUTED_VALUE"""),45964.6666666666)</f>
        <v>45964.666666666599</v>
      </c>
      <c r="B1718" s="1">
        <f ca="1">IFERROR(__xludf.UNSUPPORTED("""COMPUTED_VALUE"""),206.88)</f>
        <v>206.88</v>
      </c>
      <c r="C1718" s="2">
        <f t="shared" ca="1" si="6"/>
        <v>2.1680082967060033E-2</v>
      </c>
    </row>
    <row r="1719" spans="1:3">
      <c r="A1719" s="3">
        <f ca="1">IFERROR(__xludf.UNSUPPORTED("""COMPUTED_VALUE"""),45965.6666666666)</f>
        <v>45965.666666666599</v>
      </c>
      <c r="B1719" s="1">
        <f ca="1">IFERROR(__xludf.UNSUPPORTED("""COMPUTED_VALUE"""),198.69)</f>
        <v>198.69</v>
      </c>
      <c r="C1719" s="2">
        <f t="shared" ca="1" si="6"/>
        <v>-3.9588167053364258E-2</v>
      </c>
    </row>
    <row r="1720" spans="1:3">
      <c r="A1720" s="3">
        <f ca="1">IFERROR(__xludf.UNSUPPORTED("""COMPUTED_VALUE"""),45966.6666666666)</f>
        <v>45966.666666666599</v>
      </c>
      <c r="B1720" s="1">
        <f ca="1">IFERROR(__xludf.UNSUPPORTED("""COMPUTED_VALUE"""),195.21)</f>
        <v>195.21</v>
      </c>
      <c r="C1720" s="2">
        <f t="shared" ca="1" si="6"/>
        <v>-1.7514721425335899E-2</v>
      </c>
    </row>
    <row r="1721" spans="1:3">
      <c r="A1721" s="3">
        <f ca="1">IFERROR(__xludf.UNSUPPORTED("""COMPUTED_VALUE"""),45967.6666666666)</f>
        <v>45967.666666666599</v>
      </c>
      <c r="B1721" s="1">
        <f ca="1">IFERROR(__xludf.UNSUPPORTED("""COMPUTED_VALUE"""),188.08)</f>
        <v>188.08</v>
      </c>
      <c r="C1721" s="2">
        <f t="shared" ca="1" si="6"/>
        <v>-3.6524768198350467E-2</v>
      </c>
    </row>
    <row r="1722" spans="1:3">
      <c r="A1722" s="3">
        <f ca="1">IFERROR(__xludf.UNSUPPORTED("""COMPUTED_VALUE"""),45968.6666666666)</f>
        <v>45968.666666666599</v>
      </c>
      <c r="B1722" s="1">
        <f ca="1">IFERROR(__xludf.UNSUPPORTED("""COMPUTED_VALUE"""),188.15)</f>
        <v>188.15</v>
      </c>
      <c r="C1722" s="2">
        <f t="shared" ca="1" si="6"/>
        <v>3.721820501913716E-4</v>
      </c>
    </row>
    <row r="1723" spans="1:3">
      <c r="A1723" s="3">
        <f ca="1">IFERROR(__xludf.UNSUPPORTED("""COMPUTED_VALUE"""),45971.6666666666)</f>
        <v>45971.666666666599</v>
      </c>
      <c r="B1723" s="1">
        <f ca="1">IFERROR(__xludf.UNSUPPORTED("""COMPUTED_VALUE"""),199.05)</f>
        <v>199.05</v>
      </c>
      <c r="C1723" s="2">
        <f t="shared" ca="1" si="6"/>
        <v>5.7932500664363569E-2</v>
      </c>
    </row>
    <row r="1724" spans="1:3">
      <c r="A1724" s="3">
        <f ca="1">IFERROR(__xludf.UNSUPPORTED("""COMPUTED_VALUE"""),45972.6666666666)</f>
        <v>45972.666666666599</v>
      </c>
      <c r="B1724" s="1">
        <f ca="1">IFERROR(__xludf.UNSUPPORTED("""COMPUTED_VALUE"""),193.16)</f>
        <v>193.16</v>
      </c>
      <c r="C1724" s="2">
        <f t="shared" ca="1" si="6"/>
        <v>-2.959055513690035E-2</v>
      </c>
    </row>
    <row r="1725" spans="1:3">
      <c r="A1725" s="3">
        <f ca="1">IFERROR(__xludf.UNSUPPORTED("""COMPUTED_VALUE"""),45973.6666666666)</f>
        <v>45973.666666666599</v>
      </c>
      <c r="B1725" s="1">
        <f ca="1">IFERROR(__xludf.UNSUPPORTED("""COMPUTED_VALUE"""),193.8)</f>
        <v>193.8</v>
      </c>
      <c r="C1725" s="2">
        <f t="shared" ca="1" si="6"/>
        <v>3.3133153862084015E-3</v>
      </c>
    </row>
    <row r="1726" spans="1:3">
      <c r="A1726" s="3">
        <f ca="1">IFERROR(__xludf.UNSUPPORTED("""COMPUTED_VALUE"""),45974.6666666666)</f>
        <v>45974.666666666599</v>
      </c>
      <c r="B1726" s="1">
        <f ca="1">IFERROR(__xludf.UNSUPPORTED("""COMPUTED_VALUE"""),186.86)</f>
        <v>186.86</v>
      </c>
      <c r="C1726" s="2">
        <f t="shared" ca="1" si="6"/>
        <v>-3.5810113519091837E-2</v>
      </c>
    </row>
    <row r="1727" spans="1:3">
      <c r="A1727" s="3">
        <f ca="1">IFERROR(__xludf.UNSUPPORTED("""COMPUTED_VALUE"""),45975.6666666666)</f>
        <v>45975.666666666599</v>
      </c>
      <c r="B1727" s="1">
        <f ca="1">IFERROR(__xludf.UNSUPPORTED("""COMPUTED_VALUE"""),190.17)</f>
        <v>190.17</v>
      </c>
      <c r="C1727" s="2">
        <f t="shared" ca="1" si="6"/>
        <v>1.7713796425130972E-2</v>
      </c>
    </row>
    <row r="1728" spans="1:3">
      <c r="A1728" s="3">
        <f ca="1">IFERROR(__xludf.UNSUPPORTED("""COMPUTED_VALUE"""),45978.6666666666)</f>
        <v>45978.666666666599</v>
      </c>
      <c r="B1728" s="1">
        <f ca="1">IFERROR(__xludf.UNSUPPORTED("""COMPUTED_VALUE"""),186.6)</f>
        <v>186.6</v>
      </c>
      <c r="C1728" s="2">
        <f t="shared" ca="1" si="6"/>
        <v>-1.87726770784035E-2</v>
      </c>
    </row>
    <row r="1729" spans="1:3">
      <c r="A1729" s="3">
        <f ca="1">IFERROR(__xludf.UNSUPPORTED("""COMPUTED_VALUE"""),45979.6666666666)</f>
        <v>45979.666666666599</v>
      </c>
      <c r="B1729" s="1">
        <f ca="1">IFERROR(__xludf.UNSUPPORTED("""COMPUTED_VALUE"""),181.36)</f>
        <v>181.36</v>
      </c>
      <c r="C1729" s="2">
        <f t="shared" ca="1" si="6"/>
        <v>-2.8081457663451131E-2</v>
      </c>
    </row>
    <row r="1730" spans="1:3">
      <c r="A1730" s="3">
        <f ca="1">IFERROR(__xludf.UNSUPPORTED("""COMPUTED_VALUE"""),45980.6666666666)</f>
        <v>45980.666666666599</v>
      </c>
      <c r="B1730" s="1">
        <f ca="1">IFERROR(__xludf.UNSUPPORTED("""COMPUTED_VALUE"""),186.52)</f>
        <v>186.52</v>
      </c>
      <c r="C1730" s="2">
        <f t="shared" ca="1" si="6"/>
        <v>2.8451698279664733E-2</v>
      </c>
    </row>
    <row r="1731" spans="1:3">
      <c r="A1731" s="3">
        <f ca="1">IFERROR(__xludf.UNSUPPORTED("""COMPUTED_VALUE"""),45981.6666666666)</f>
        <v>45981.666666666599</v>
      </c>
      <c r="B1731" s="1">
        <f ca="1">IFERROR(__xludf.UNSUPPORTED("""COMPUTED_VALUE"""),180.64)</f>
        <v>180.64</v>
      </c>
      <c r="C1731" s="2">
        <f t="shared" ca="1" si="6"/>
        <v>-3.1524769461720052E-2</v>
      </c>
    </row>
    <row r="1732" spans="1:3">
      <c r="A1732" s="3">
        <f ca="1">IFERROR(__xludf.UNSUPPORTED("""COMPUTED_VALUE"""),45982.6666666666)</f>
        <v>45982.666666666599</v>
      </c>
      <c r="B1732" s="1">
        <f ca="1">IFERROR(__xludf.UNSUPPORTED("""COMPUTED_VALUE"""),178.88)</f>
        <v>178.88</v>
      </c>
      <c r="C1732" s="2">
        <f t="shared" ca="1" si="6"/>
        <v>-9.7431355181576123E-3</v>
      </c>
    </row>
    <row r="1733" spans="1:3">
      <c r="A1733" s="3">
        <f ca="1">IFERROR(__xludf.UNSUPPORTED("""COMPUTED_VALUE"""),45985.6666666666)</f>
        <v>45985.666666666599</v>
      </c>
      <c r="B1733" s="1">
        <f ca="1">IFERROR(__xludf.UNSUPPORTED("""COMPUTED_VALUE"""),182.55)</f>
        <v>182.55</v>
      </c>
      <c r="C1733" s="2">
        <f t="shared" ca="1" si="6"/>
        <v>2.0516547406082379E-2</v>
      </c>
    </row>
    <row r="1734" spans="1:3">
      <c r="A1734" s="3">
        <f ca="1">IFERROR(__xludf.UNSUPPORTED("""COMPUTED_VALUE"""),45986.6666666666)</f>
        <v>45986.666666666599</v>
      </c>
      <c r="B1734" s="1">
        <f ca="1">IFERROR(__xludf.UNSUPPORTED("""COMPUTED_VALUE"""),177.82)</f>
        <v>177.82</v>
      </c>
      <c r="C1734" s="2">
        <f t="shared" ca="1" si="6"/>
        <v>-2.5910709394686485E-2</v>
      </c>
    </row>
    <row r="1735" spans="1:3">
      <c r="A1735" s="3">
        <f ca="1">IFERROR(__xludf.UNSUPPORTED("""COMPUTED_VALUE"""),45987.6666666666)</f>
        <v>45987.666666666599</v>
      </c>
      <c r="B1735" s="1">
        <f ca="1">IFERROR(__xludf.UNSUPPORTED("""COMPUTED_VALUE"""),180.26)</f>
        <v>180.26</v>
      </c>
      <c r="C1735" s="2">
        <f t="shared" ca="1" si="6"/>
        <v>1.3721741086491946E-2</v>
      </c>
    </row>
    <row r="1736" spans="1:3">
      <c r="A1736" s="3">
        <f ca="1">IFERROR(__xludf.UNSUPPORTED("""COMPUTED_VALUE"""),45989.5451388888)</f>
        <v>45989.545138888803</v>
      </c>
      <c r="B1736" s="1">
        <f ca="1">IFERROR(__xludf.UNSUPPORTED("""COMPUTED_VALUE"""),177)</f>
        <v>177</v>
      </c>
      <c r="C1736" s="2">
        <f t="shared" ca="1" si="6"/>
        <v>-1.8084988350160831E-2</v>
      </c>
    </row>
    <row r="1737" spans="1:3">
      <c r="A1737" s="3">
        <f ca="1">IFERROR(__xludf.UNSUPPORTED("""COMPUTED_VALUE"""),45992.6666666666)</f>
        <v>45992.666666666599</v>
      </c>
      <c r="B1737" s="1">
        <f ca="1">IFERROR(__xludf.UNSUPPORTED("""COMPUTED_VALUE"""),179.92)</f>
        <v>179.92</v>
      </c>
      <c r="C1737" s="2">
        <f t="shared" ca="1" si="6"/>
        <v>1.6497175141242867E-2</v>
      </c>
    </row>
    <row r="1738" spans="1:3">
      <c r="A1738" s="3">
        <f ca="1">IFERROR(__xludf.UNSUPPORTED("""COMPUTED_VALUE"""),45993.6666666666)</f>
        <v>45993.666666666599</v>
      </c>
      <c r="B1738" s="1">
        <f ca="1">IFERROR(__xludf.UNSUPPORTED("""COMPUTED_VALUE"""),181.46)</f>
        <v>181.46</v>
      </c>
      <c r="C1738" s="2">
        <f t="shared" ca="1" si="6"/>
        <v>8.5593597154291941E-3</v>
      </c>
    </row>
    <row r="1739" spans="1:3">
      <c r="A1739" s="3">
        <f ca="1">IFERROR(__xludf.UNSUPPORTED("""COMPUTED_VALUE"""),45994.6666666666)</f>
        <v>45994.666666666599</v>
      </c>
      <c r="B1739" s="1">
        <f ca="1">IFERROR(__xludf.UNSUPPORTED("""COMPUTED_VALUE"""),179.59)</f>
        <v>179.59</v>
      </c>
      <c r="C1739" s="2">
        <f t="shared" ca="1" si="6"/>
        <v>-1.0305301443844398E-2</v>
      </c>
    </row>
    <row r="1740" spans="1:3">
      <c r="A1740" s="3">
        <f ca="1">IFERROR(__xludf.UNSUPPORTED("""COMPUTED_VALUE"""),45995.6666666666)</f>
        <v>45995.666666666599</v>
      </c>
      <c r="B1740" s="1">
        <f ca="1">IFERROR(__xludf.UNSUPPORTED("""COMPUTED_VALUE"""),183.38)</f>
        <v>183.38</v>
      </c>
      <c r="C1740" s="2">
        <f t="shared" ca="1" si="6"/>
        <v>2.1103624923436672E-2</v>
      </c>
    </row>
    <row r="1741" spans="1:3">
      <c r="A1741" s="3">
        <f ca="1">IFERROR(__xludf.UNSUPPORTED("""COMPUTED_VALUE"""),45996.6666666666)</f>
        <v>45996.666666666599</v>
      </c>
      <c r="B1741" s="1">
        <f ca="1">IFERROR(__xludf.UNSUPPORTED("""COMPUTED_VALUE"""),182.41)</f>
        <v>182.41</v>
      </c>
      <c r="C1741" s="2">
        <f t="shared" ca="1" si="6"/>
        <v>-5.2895626567782683E-3</v>
      </c>
    </row>
    <row r="1742" spans="1:3">
      <c r="A1742" s="3">
        <f ca="1">IFERROR(__xludf.UNSUPPORTED("""COMPUTED_VALUE"""),45999.6666666666)</f>
        <v>45999.666666666599</v>
      </c>
      <c r="B1742" s="1">
        <f ca="1">IFERROR(__xludf.UNSUPPORTED("""COMPUTED_VALUE"""),185.55)</f>
        <v>185.55</v>
      </c>
      <c r="C1742" s="2">
        <f t="shared" ca="1" si="6"/>
        <v>1.7213968532427033E-2</v>
      </c>
    </row>
    <row r="1743" spans="1:3">
      <c r="A1743" s="3">
        <f ca="1">IFERROR(__xludf.UNSUPPORTED("""COMPUTED_VALUE"""),46000.6666666666)</f>
        <v>46000.666666666599</v>
      </c>
      <c r="B1743" s="1">
        <f ca="1">IFERROR(__xludf.UNSUPPORTED("""COMPUTED_VALUE"""),184.97)</f>
        <v>184.97</v>
      </c>
      <c r="C1743" s="2">
        <f t="shared" ca="1" si="6"/>
        <v>-3.1258420910806385E-3</v>
      </c>
    </row>
    <row r="1744" spans="1:3">
      <c r="A1744" s="3">
        <f ca="1">IFERROR(__xludf.UNSUPPORTED("""COMPUTED_VALUE"""),46001.6666666666)</f>
        <v>46001.666666666599</v>
      </c>
      <c r="B1744" s="1">
        <f ca="1">IFERROR(__xludf.UNSUPPORTED("""COMPUTED_VALUE"""),183.78)</f>
        <v>183.78</v>
      </c>
      <c r="C1744" s="2">
        <f t="shared" ca="1" si="6"/>
        <v>-6.4334756987619495E-3</v>
      </c>
    </row>
    <row r="1745" spans="1:3">
      <c r="A1745" s="3">
        <f ca="1">IFERROR(__xludf.UNSUPPORTED("""COMPUTED_VALUE"""),46002.6666666666)</f>
        <v>46002.666666666599</v>
      </c>
      <c r="B1745" s="1">
        <f ca="1">IFERROR(__xludf.UNSUPPORTED("""COMPUTED_VALUE"""),180.93)</f>
        <v>180.93</v>
      </c>
      <c r="C1745" s="2">
        <f t="shared" ca="1" si="6"/>
        <v>-1.5507672216780902E-2</v>
      </c>
    </row>
    <row r="1746" spans="1:3">
      <c r="A1746" s="3">
        <f ca="1">IFERROR(__xludf.UNSUPPORTED("""COMPUTED_VALUE"""),46003.6666666666)</f>
        <v>46003.666666666599</v>
      </c>
      <c r="B1746" s="1">
        <f ca="1">IFERROR(__xludf.UNSUPPORTED("""COMPUTED_VALUE"""),175.02)</f>
        <v>175.02</v>
      </c>
      <c r="C1746" s="2">
        <f t="shared" ca="1" si="6"/>
        <v>-3.2664566406897674E-2</v>
      </c>
    </row>
    <row r="1747" spans="1:3">
      <c r="A1747" s="3">
        <f ca="1">IFERROR(__xludf.UNSUPPORTED("""COMPUTED_VALUE"""),46006.6666666666)</f>
        <v>46006.666666666599</v>
      </c>
      <c r="B1747" s="1">
        <f ca="1">IFERROR(__xludf.UNSUPPORTED("""COMPUTED_VALUE"""),176.29)</f>
        <v>176.29</v>
      </c>
      <c r="C1747" s="2">
        <f t="shared" ca="1" si="6"/>
        <v>7.256313564163991E-3</v>
      </c>
    </row>
    <row r="1748" spans="1:3">
      <c r="A1748" s="3">
        <f ca="1">IFERROR(__xludf.UNSUPPORTED("""COMPUTED_VALUE"""),46007.6666666666)</f>
        <v>46007.666666666599</v>
      </c>
      <c r="B1748" s="1">
        <f ca="1">IFERROR(__xludf.UNSUPPORTED("""COMPUTED_VALUE"""),177.72)</f>
        <v>177.72</v>
      </c>
      <c r="C1748" s="2">
        <f t="shared" ca="1" si="6"/>
        <v>8.1116342390379886E-3</v>
      </c>
    </row>
    <row r="1749" spans="1:3">
      <c r="A1749" s="3">
        <f ca="1">IFERROR(__xludf.UNSUPPORTED("""COMPUTED_VALUE"""),46008.6666666666)</f>
        <v>46008.666666666599</v>
      </c>
      <c r="B1749" s="1">
        <f ca="1">IFERROR(__xludf.UNSUPPORTED("""COMPUTED_VALUE"""),170.94)</f>
        <v>170.94</v>
      </c>
      <c r="C1749" s="2">
        <f t="shared" ca="1" si="6"/>
        <v>-3.8149898717083061E-2</v>
      </c>
    </row>
    <row r="1750" spans="1:3">
      <c r="A1750" s="3">
        <f ca="1">IFERROR(__xludf.UNSUPPORTED("""COMPUTED_VALUE"""),46009.6666666666)</f>
        <v>46009.666666666599</v>
      </c>
      <c r="B1750" s="1">
        <f ca="1">IFERROR(__xludf.UNSUPPORTED("""COMPUTED_VALUE"""),174.14)</f>
        <v>174.14</v>
      </c>
      <c r="C1750" s="2">
        <f t="shared" ca="1" si="6"/>
        <v>1.8720018720018654E-2</v>
      </c>
    </row>
    <row r="1751" spans="1:3">
      <c r="A1751" s="3">
        <f ca="1">IFERROR(__xludf.UNSUPPORTED("""COMPUTED_VALUE"""),46010.6666666666)</f>
        <v>46010.666666666599</v>
      </c>
      <c r="B1751" s="1">
        <f ca="1">IFERROR(__xludf.UNSUPPORTED("""COMPUTED_VALUE"""),180.99)</f>
        <v>180.99</v>
      </c>
      <c r="C1751" s="2">
        <f t="shared" ca="1" si="6"/>
        <v>3.9336166302974755E-2</v>
      </c>
    </row>
    <row r="1752" spans="1:3">
      <c r="A1752" s="3">
        <f ca="1">IFERROR(__xludf.UNSUPPORTED("""COMPUTED_VALUE"""),46013.6666666666)</f>
        <v>46013.666666666599</v>
      </c>
      <c r="B1752" s="1">
        <f ca="1">IFERROR(__xludf.UNSUPPORTED("""COMPUTED_VALUE"""),183.69)</f>
        <v>183.69</v>
      </c>
      <c r="C1752" s="2">
        <f t="shared" ca="1" si="6"/>
        <v>1.4917951268025795E-2</v>
      </c>
    </row>
    <row r="1753" spans="1:3">
      <c r="A1753" s="3">
        <f ca="1">IFERROR(__xludf.UNSUPPORTED("""COMPUTED_VALUE"""),46014.6666666666)</f>
        <v>46014.666666666599</v>
      </c>
      <c r="B1753" s="1">
        <f ca="1">IFERROR(__xludf.UNSUPPORTED("""COMPUTED_VALUE"""),189.21)</f>
        <v>189.21</v>
      </c>
      <c r="C1753" s="2">
        <f t="shared" ca="1" si="6"/>
        <v>3.0050628776743481E-2</v>
      </c>
    </row>
    <row r="1754" spans="1:3">
      <c r="A1754" s="3">
        <f ca="1">IFERROR(__xludf.UNSUPPORTED("""COMPUTED_VALUE"""),46015.5451388888)</f>
        <v>46015.545138888803</v>
      </c>
      <c r="B1754" s="1">
        <f ca="1">IFERROR(__xludf.UNSUPPORTED("""COMPUTED_VALUE"""),188.61)</f>
        <v>188.61</v>
      </c>
      <c r="C1754" s="2">
        <f t="shared" ca="1" si="6"/>
        <v>-3.1710797526557492E-3</v>
      </c>
    </row>
    <row r="1755" spans="1:3">
      <c r="A1755" s="3">
        <f ca="1">IFERROR(__xludf.UNSUPPORTED("""COMPUTED_VALUE"""),46017.6666666666)</f>
        <v>46017.666666666599</v>
      </c>
      <c r="B1755" s="1">
        <f ca="1">IFERROR(__xludf.UNSUPPORTED("""COMPUTED_VALUE"""),190.53)</f>
        <v>190.53</v>
      </c>
      <c r="C1755" s="2">
        <f t="shared" ca="1" si="6"/>
        <v>1.017973596309839E-2</v>
      </c>
    </row>
    <row r="1756" spans="1:3">
      <c r="A1756" s="3">
        <f ca="1">IFERROR(__xludf.UNSUPPORTED("""COMPUTED_VALUE"""),46020.6666666666)</f>
        <v>46020.666666666599</v>
      </c>
      <c r="B1756" s="1">
        <f ca="1">IFERROR(__xludf.UNSUPPORTED("""COMPUTED_VALUE"""),188.22)</f>
        <v>188.22</v>
      </c>
      <c r="C1756" s="2">
        <f t="shared" ca="1" si="6"/>
        <v>-1.2124074948826969E-2</v>
      </c>
    </row>
    <row r="1757" spans="1:3">
      <c r="A1757" s="3">
        <f ca="1">IFERROR(__xludf.UNSUPPORTED("""COMPUTED_VALUE"""),46021.6666666666)</f>
        <v>46021.666666666599</v>
      </c>
      <c r="B1757" s="1">
        <f ca="1">IFERROR(__xludf.UNSUPPORTED("""COMPUTED_VALUE"""),187.54)</f>
        <v>187.54</v>
      </c>
      <c r="C1757" s="2">
        <f t="shared" ca="1" si="6"/>
        <v>-3.6127935394751187E-3</v>
      </c>
    </row>
    <row r="1758" spans="1:3">
      <c r="A1758" s="3">
        <f ca="1">IFERROR(__xludf.UNSUPPORTED("""COMPUTED_VALUE"""),46022.6666666666)</f>
        <v>46022.666666666599</v>
      </c>
      <c r="B1758" s="1">
        <f ca="1">IFERROR(__xludf.UNSUPPORTED("""COMPUTED_VALUE"""),186.5)</f>
        <v>186.5</v>
      </c>
      <c r="C1758" s="2">
        <f t="shared" ca="1" si="6"/>
        <v>-5.5454836301588569E-3</v>
      </c>
    </row>
    <row r="1759" spans="1:3">
      <c r="A1759" s="3">
        <f ca="1">IFERROR(__xludf.UNSUPPORTED("""COMPUTED_VALUE"""),46024.6666666666)</f>
        <v>46024.666666666599</v>
      </c>
      <c r="B1759" s="1">
        <f ca="1">IFERROR(__xludf.UNSUPPORTED("""COMPUTED_VALUE"""),188.85)</f>
        <v>188.85</v>
      </c>
      <c r="C1759" s="2">
        <f t="shared" ca="1" si="6"/>
        <v>1.2600536193029459E-2</v>
      </c>
    </row>
    <row r="1760" spans="1:3">
      <c r="A1760" s="3">
        <f ca="1">IFERROR(__xludf.UNSUPPORTED("""COMPUTED_VALUE"""),46027.6666666666)</f>
        <v>46027.666666666599</v>
      </c>
      <c r="B1760" s="1">
        <f ca="1">IFERROR(__xludf.UNSUPPORTED("""COMPUTED_VALUE"""),188.12)</f>
        <v>188.12</v>
      </c>
      <c r="C1760" s="2">
        <f t="shared" ca="1" si="6"/>
        <v>-3.8655017209424931E-3</v>
      </c>
    </row>
    <row r="1761" spans="1:3">
      <c r="A1761" s="3">
        <f ca="1">IFERROR(__xludf.UNSUPPORTED("""COMPUTED_VALUE"""),46028.6666666666)</f>
        <v>46028.666666666599</v>
      </c>
      <c r="B1761" s="1">
        <f ca="1">IFERROR(__xludf.UNSUPPORTED("""COMPUTED_VALUE"""),187.24)</f>
        <v>187.24</v>
      </c>
      <c r="C1761" s="2">
        <f t="shared" ca="1" si="6"/>
        <v>-4.6778651924303397E-3</v>
      </c>
    </row>
    <row r="1762" spans="1:3">
      <c r="A1762" s="3">
        <f ca="1">IFERROR(__xludf.UNSUPPORTED("""COMPUTED_VALUE"""),46029.6666666666)</f>
        <v>46029.666666666599</v>
      </c>
      <c r="B1762" s="1">
        <f ca="1">IFERROR(__xludf.UNSUPPORTED("""COMPUTED_VALUE"""),189.11)</f>
        <v>189.11</v>
      </c>
      <c r="C1762" s="2">
        <f t="shared" ca="1" si="6"/>
        <v>9.9871822260201044E-3</v>
      </c>
    </row>
    <row r="1763" spans="1:3">
      <c r="A1763" s="3">
        <f ca="1">IFERROR(__xludf.UNSUPPORTED("""COMPUTED_VALUE"""),46030.6666666666)</f>
        <v>46030.666666666599</v>
      </c>
      <c r="B1763" s="1">
        <f ca="1">IFERROR(__xludf.UNSUPPORTED("""COMPUTED_VALUE"""),185.04)</f>
        <v>185.04</v>
      </c>
      <c r="C1763" s="2">
        <f t="shared" ca="1" si="6"/>
        <v>-2.1521865580878968E-2</v>
      </c>
    </row>
    <row r="1764" spans="1:3">
      <c r="A1764" s="3">
        <f ca="1">IFERROR(__xludf.UNSUPPORTED("""COMPUTED_VALUE"""),46031.6666666666)</f>
        <v>46031.666666666599</v>
      </c>
      <c r="B1764" s="1">
        <f ca="1">IFERROR(__xludf.UNSUPPORTED("""COMPUTED_VALUE"""),184.86)</f>
        <v>184.86</v>
      </c>
      <c r="C1764" s="2">
        <f t="shared" ca="1" si="6"/>
        <v>-9.7276264591428024E-4</v>
      </c>
    </row>
    <row r="1765" spans="1:3">
      <c r="A1765" s="3">
        <f ca="1">IFERROR(__xludf.UNSUPPORTED("""COMPUTED_VALUE"""),46034.6666666666)</f>
        <v>46034.666666666599</v>
      </c>
      <c r="B1765" s="1">
        <f ca="1">IFERROR(__xludf.UNSUPPORTED("""COMPUTED_VALUE"""),184.94)</f>
        <v>184.94</v>
      </c>
      <c r="C1765" s="2">
        <f t="shared" ca="1" si="6"/>
        <v>4.3275992643072636E-4</v>
      </c>
    </row>
    <row r="1766" spans="1:3">
      <c r="A1766" s="3">
        <f ca="1">IFERROR(__xludf.UNSUPPORTED("""COMPUTED_VALUE"""),46035.6666666666)</f>
        <v>46035.666666666599</v>
      </c>
      <c r="B1766" s="1">
        <f ca="1">IFERROR(__xludf.UNSUPPORTED("""COMPUTED_VALUE"""),185.81)</f>
        <v>185.81</v>
      </c>
      <c r="C1766" s="2">
        <f t="shared" ca="1" si="6"/>
        <v>4.7042283983995056E-3</v>
      </c>
    </row>
    <row r="1767" spans="1:3">
      <c r="A1767" s="3">
        <f ca="1">IFERROR(__xludf.UNSUPPORTED("""COMPUTED_VALUE"""),46036.6666666666)</f>
        <v>46036.666666666599</v>
      </c>
      <c r="B1767" s="1">
        <f ca="1">IFERROR(__xludf.UNSUPPORTED("""COMPUTED_VALUE"""),183.14)</f>
        <v>183.14</v>
      </c>
      <c r="C1767" s="2">
        <f t="shared" ca="1" si="6"/>
        <v>-1.4369517248802626E-2</v>
      </c>
    </row>
    <row r="1768" spans="1:3">
      <c r="A1768" s="3">
        <f ca="1">IFERROR(__xludf.UNSUPPORTED("""COMPUTED_VALUE"""),46037.6666666666)</f>
        <v>46037.666666666599</v>
      </c>
      <c r="B1768" s="1">
        <f ca="1">IFERROR(__xludf.UNSUPPORTED("""COMPUTED_VALUE"""),187.05)</f>
        <v>187.05</v>
      </c>
      <c r="C1768" s="2">
        <f t="shared" ca="1" si="6"/>
        <v>2.1349787048160016E-2</v>
      </c>
    </row>
    <row r="1769" spans="1:3">
      <c r="A1769" s="3">
        <f ca="1">IFERROR(__xludf.UNSUPPORTED("""COMPUTED_VALUE"""),46038.6666666666)</f>
        <v>46038.666666666599</v>
      </c>
      <c r="B1769" s="1">
        <f ca="1">IFERROR(__xludf.UNSUPPORTED("""COMPUTED_VALUE"""),186.23)</f>
        <v>186.23</v>
      </c>
      <c r="C1769" s="2">
        <f t="shared" ca="1" si="6"/>
        <v>-4.3838545843358544E-3</v>
      </c>
    </row>
    <row r="1770" spans="1:3">
      <c r="A1770" s="3">
        <f ca="1">IFERROR(__xludf.UNSUPPORTED("""COMPUTED_VALUE"""),46042.6666666666)</f>
        <v>46042.666666666599</v>
      </c>
      <c r="B1770" s="1">
        <f ca="1">IFERROR(__xludf.UNSUPPORTED("""COMPUTED_VALUE"""),178.07)</f>
        <v>178.07</v>
      </c>
      <c r="C1770" s="2">
        <f t="shared" ca="1" si="6"/>
        <v>-4.3816785695108183E-2</v>
      </c>
    </row>
    <row r="1771" spans="1:3">
      <c r="A1771" s="3">
        <f ca="1">IFERROR(__xludf.UNSUPPORTED("""COMPUTED_VALUE"""),46043.6666666666)</f>
        <v>46043.666666666599</v>
      </c>
      <c r="B1771" s="1">
        <f ca="1">IFERROR(__xludf.UNSUPPORTED("""COMPUTED_VALUE"""),183.32)</f>
        <v>183.32</v>
      </c>
      <c r="C1771" s="2">
        <f t="shared" ca="1" si="6"/>
        <v>2.9482787667771102E-2</v>
      </c>
    </row>
    <row r="1772" spans="1:3">
      <c r="A1772" s="3">
        <f ca="1">IFERROR(__xludf.UNSUPPORTED("""COMPUTED_VALUE"""),46044.6666666666)</f>
        <v>46044.666666666599</v>
      </c>
      <c r="B1772" s="1">
        <f ca="1">IFERROR(__xludf.UNSUPPORTED("""COMPUTED_VALUE"""),184.84)</f>
        <v>184.84</v>
      </c>
      <c r="C1772" s="2">
        <f t="shared" ca="1" si="6"/>
        <v>8.2915121099716906E-3</v>
      </c>
    </row>
    <row r="1773" spans="1:3"/>
    <row r="1774" spans="1:3"/>
    <row r="1775" spans="1:3"/>
    <row r="1776" spans="1:3"/>
    <row r="1777"/>
    <row r="1778"/>
    <row r="1779"/>
    <row r="1780"/>
    <row r="1781"/>
    <row r="1782"/>
    <row r="1783"/>
    <row r="1784"/>
    <row r="1785"/>
    <row r="1786"/>
    <row r="1787"/>
    <row r="1788"/>
    <row r="1789"/>
    <row r="1790"/>
    <row r="1791"/>
    <row r="1792"/>
    <row r="1793"/>
    <row r="1794"/>
    <row r="1795"/>
    <row r="1796"/>
    <row r="1797"/>
    <row r="1798"/>
    <row r="1799"/>
    <row r="1800"/>
    <row r="1801"/>
    <row r="1802"/>
    <row r="1803"/>
    <row r="1804"/>
    <row r="1805"/>
    <row r="1806"/>
    <row r="1807"/>
    <row r="1808"/>
    <row r="1809"/>
    <row r="1810"/>
    <row r="1811"/>
    <row r="1812"/>
    <row r="1813"/>
    <row r="1814"/>
    <row r="1815"/>
    <row r="1816"/>
    <row r="1817"/>
    <row r="1818"/>
    <row r="1819"/>
    <row r="1820"/>
    <row r="1821"/>
    <row r="1822"/>
    <row r="1823"/>
    <row r="1824"/>
    <row r="1825"/>
    <row r="1826"/>
    <row r="1827"/>
    <row r="1828"/>
    <row r="1829"/>
    <row r="1830"/>
    <row r="1831"/>
    <row r="1832"/>
    <row r="1833"/>
    <row r="1834"/>
    <row r="1835"/>
    <row r="1836"/>
    <row r="1837"/>
    <row r="1838"/>
    <row r="1839"/>
    <row r="1840"/>
    <row r="1841"/>
    <row r="1842"/>
    <row r="1843"/>
    <row r="1844"/>
    <row r="1845"/>
    <row r="1846"/>
    <row r="1847"/>
    <row r="1848"/>
    <row r="1849"/>
    <row r="1850"/>
    <row r="1851"/>
    <row r="1852"/>
    <row r="1853"/>
    <row r="1854"/>
    <row r="1855"/>
    <row r="1856"/>
    <row r="1857"/>
    <row r="1858"/>
    <row r="1859"/>
    <row r="1860"/>
    <row r="1861"/>
    <row r="1862"/>
    <row r="1863"/>
    <row r="1864"/>
    <row r="1865"/>
    <row r="1866"/>
    <row r="1867"/>
    <row r="1868"/>
    <row r="1869"/>
    <row r="1870"/>
    <row r="1871"/>
    <row r="1872"/>
    <row r="1873"/>
    <row r="1874"/>
    <row r="1875"/>
    <row r="1876"/>
    <row r="1877"/>
    <row r="1878"/>
    <row r="1879"/>
    <row r="1880"/>
    <row r="1881"/>
    <row r="1882"/>
    <row r="1883"/>
    <row r="1884"/>
    <row r="1885"/>
    <row r="1886"/>
    <row r="1887"/>
    <row r="1888"/>
    <row r="1889"/>
    <row r="1890"/>
    <row r="1891"/>
    <row r="1892"/>
    <row r="1893"/>
    <row r="1894"/>
    <row r="1895"/>
    <row r="1896"/>
    <row r="1897"/>
    <row r="1898"/>
    <row r="1899"/>
    <row r="1900"/>
    <row r="1901"/>
    <row r="1902"/>
    <row r="1903"/>
    <row r="1904"/>
    <row r="1905"/>
    <row r="1906"/>
    <row r="1907"/>
    <row r="1908"/>
    <row r="1909"/>
    <row r="1910"/>
    <row r="1911"/>
    <row r="1912"/>
    <row r="1913"/>
    <row r="1914"/>
    <row r="1915"/>
    <row r="1916"/>
    <row r="1917"/>
    <row r="1918"/>
    <row r="1919"/>
    <row r="1920"/>
    <row r="1921"/>
    <row r="1922"/>
    <row r="1923"/>
    <row r="1924"/>
    <row r="1925"/>
    <row r="1926"/>
    <row r="1927"/>
    <row r="1928"/>
    <row r="1929"/>
    <row r="1930"/>
    <row r="1931"/>
    <row r="1932"/>
    <row r="1933"/>
    <row r="1934"/>
    <row r="1935"/>
    <row r="1936"/>
    <row r="1937"/>
    <row r="1938"/>
    <row r="1939"/>
    <row r="1940"/>
    <row r="1941"/>
    <row r="1942"/>
    <row r="1943"/>
    <row r="1944"/>
    <row r="1945"/>
    <row r="1946"/>
    <row r="1947"/>
    <row r="1948"/>
    <row r="1949"/>
    <row r="1950"/>
    <row r="1951"/>
    <row r="1952"/>
    <row r="1953"/>
    <row r="1954"/>
    <row r="1955"/>
    <row r="1956"/>
    <row r="1957"/>
    <row r="1958"/>
    <row r="1959"/>
    <row r="1960"/>
    <row r="1961"/>
    <row r="1962"/>
    <row r="1963"/>
    <row r="1964"/>
    <row r="1965"/>
    <row r="1966"/>
    <row r="1967"/>
    <row r="1968"/>
    <row r="1969"/>
    <row r="1970"/>
    <row r="1971"/>
    <row r="1972"/>
    <row r="1973"/>
    <row r="1974"/>
    <row r="1975"/>
    <row r="1976"/>
    <row r="1977"/>
    <row r="1978"/>
    <row r="1979"/>
    <row r="1980"/>
    <row r="1981"/>
    <row r="1982"/>
    <row r="1983"/>
    <row r="1984"/>
    <row r="1985"/>
    <row r="1986"/>
    <row r="1987"/>
    <row r="1988"/>
    <row r="1989"/>
    <row r="1990"/>
    <row r="1991"/>
    <row r="1992"/>
    <row r="1993"/>
    <row r="1994"/>
    <row r="1995"/>
    <row r="1996"/>
    <row r="1997"/>
    <row r="1998"/>
    <row r="1999"/>
    <row r="2000"/>
    <row r="2001"/>
    <row r="2002"/>
    <row r="2003"/>
    <row r="2004"/>
    <row r="2005"/>
    <row r="2006"/>
    <row r="2007"/>
    <row r="2008"/>
    <row r="2009"/>
    <row r="2010"/>
    <row r="2011"/>
    <row r="2012"/>
    <row r="2013"/>
    <row r="2014"/>
    <row r="2015"/>
    <row r="2016"/>
    <row r="2017"/>
    <row r="2018"/>
    <row r="2019"/>
    <row r="2020"/>
    <row r="2021"/>
    <row r="2022"/>
    <row r="2023"/>
    <row r="2024"/>
    <row r="2025"/>
    <row r="2026"/>
    <row r="2027"/>
    <row r="2028"/>
    <row r="2029"/>
    <row r="2030"/>
    <row r="2031"/>
    <row r="2032"/>
    <row r="2033"/>
    <row r="2034"/>
    <row r="2035"/>
    <row r="2036"/>
    <row r="2037"/>
    <row r="2038"/>
    <row r="2039"/>
    <row r="2040"/>
    <row r="2041"/>
    <row r="2042"/>
    <row r="2043"/>
    <row r="2044"/>
    <row r="2045"/>
    <row r="2046"/>
    <row r="2047"/>
    <row r="2048"/>
    <row r="2049"/>
    <row r="2050"/>
    <row r="2051"/>
    <row r="2052"/>
    <row r="2053"/>
    <row r="2054"/>
    <row r="2055"/>
    <row r="2056"/>
    <row r="2057"/>
    <row r="2058"/>
    <row r="2059"/>
    <row r="2060"/>
    <row r="2061"/>
    <row r="2062"/>
    <row r="2063"/>
    <row r="2064"/>
    <row r="2065"/>
    <row r="2066"/>
    <row r="2067"/>
    <row r="2068"/>
    <row r="2069"/>
    <row r="2070"/>
    <row r="2071"/>
    <row r="2072"/>
    <row r="2073"/>
    <row r="2074"/>
    <row r="2075"/>
    <row r="2076"/>
    <row r="2077"/>
    <row r="2078"/>
    <row r="2079"/>
    <row r="2080"/>
    <row r="2081"/>
    <row r="2082"/>
    <row r="2083"/>
    <row r="2084"/>
    <row r="2085"/>
    <row r="2086"/>
    <row r="2087"/>
    <row r="2088"/>
    <row r="2089"/>
    <row r="2090"/>
    <row r="2091"/>
    <row r="2092"/>
    <row r="2093"/>
    <row r="2094"/>
    <row r="2095"/>
    <row r="2096"/>
    <row r="2097"/>
    <row r="2098"/>
    <row r="2099"/>
    <row r="2100"/>
    <row r="2101"/>
    <row r="2102"/>
    <row r="2103"/>
    <row r="2104"/>
    <row r="2105"/>
    <row r="2106"/>
    <row r="2107"/>
    <row r="2108"/>
    <row r="2109"/>
    <row r="2110"/>
    <row r="2111"/>
    <row r="2112"/>
    <row r="2113"/>
    <row r="2114"/>
    <row r="2115"/>
    <row r="2116"/>
    <row r="2117"/>
    <row r="2118"/>
    <row r="2119"/>
    <row r="2120"/>
    <row r="2121"/>
    <row r="2122"/>
    <row r="2123"/>
    <row r="2124"/>
    <row r="2125"/>
    <row r="2126"/>
    <row r="2127"/>
    <row r="2128"/>
    <row r="2129"/>
    <row r="2130"/>
    <row r="2131"/>
    <row r="2132"/>
    <row r="2133"/>
    <row r="2134"/>
    <row r="2135"/>
    <row r="2136"/>
    <row r="2137"/>
    <row r="2138"/>
    <row r="2139"/>
    <row r="2140"/>
    <row r="2141"/>
    <row r="2142"/>
    <row r="2143"/>
    <row r="2144"/>
    <row r="2145"/>
    <row r="2146"/>
    <row r="2147"/>
    <row r="2148"/>
    <row r="2149"/>
    <row r="2150"/>
    <row r="2151"/>
    <row r="2152"/>
    <row r="2153"/>
    <row r="2154"/>
    <row r="2155"/>
    <row r="2156"/>
    <row r="2157"/>
    <row r="2158"/>
    <row r="2159"/>
    <row r="2160"/>
    <row r="2161"/>
    <row r="2162"/>
    <row r="2163"/>
    <row r="2164"/>
    <row r="2165"/>
    <row r="2166"/>
    <row r="2167"/>
    <row r="2168"/>
    <row r="2169"/>
    <row r="2170"/>
    <row r="2171"/>
    <row r="2172"/>
    <row r="2173"/>
    <row r="2174"/>
    <row r="2175"/>
    <row r="2176"/>
    <row r="2177"/>
    <row r="2178"/>
    <row r="2179"/>
    <row r="2180"/>
    <row r="2181"/>
    <row r="2182"/>
    <row r="2183"/>
    <row r="2184"/>
    <row r="2185"/>
    <row r="2186"/>
    <row r="2187"/>
    <row r="2188"/>
    <row r="2189"/>
    <row r="2190"/>
    <row r="2191"/>
    <row r="2192"/>
    <row r="2193"/>
    <row r="2194"/>
    <row r="2195"/>
    <row r="2196"/>
    <row r="2197"/>
    <row r="2198"/>
    <row r="2199"/>
    <row r="2200"/>
    <row r="2201"/>
    <row r="2202"/>
    <row r="2203"/>
    <row r="2204"/>
    <row r="2205"/>
    <row r="2206"/>
    <row r="2207"/>
    <row r="2208"/>
    <row r="2209"/>
    <row r="2210"/>
    <row r="2211"/>
    <row r="2212"/>
    <row r="2213"/>
    <row r="2214"/>
    <row r="2215"/>
    <row r="2216"/>
    <row r="2217"/>
    <row r="2218"/>
    <row r="2219"/>
    <row r="2220"/>
    <row r="2221"/>
    <row r="2222"/>
    <row r="2223"/>
    <row r="2224"/>
    <row r="2225"/>
    <row r="2226"/>
    <row r="2227"/>
    <row r="2228"/>
    <row r="2229"/>
    <row r="2230"/>
    <row r="2231"/>
    <row r="2232"/>
    <row r="2233"/>
    <row r="2234"/>
    <row r="2235"/>
    <row r="2236"/>
    <row r="2237"/>
    <row r="2238"/>
    <row r="2239"/>
    <row r="2240"/>
    <row r="2241"/>
    <row r="2242"/>
    <row r="2243"/>
    <row r="2244"/>
    <row r="2245"/>
    <row r="2246"/>
    <row r="2247"/>
    <row r="2248"/>
    <row r="2249"/>
    <row r="2250"/>
    <row r="2251"/>
    <row r="2252"/>
    <row r="2253"/>
    <row r="2254"/>
    <row r="2255"/>
    <row r="2256"/>
    <row r="2257"/>
    <row r="2258"/>
    <row r="2259"/>
    <row r="2260"/>
    <row r="2261"/>
    <row r="2262"/>
    <row r="2263"/>
    <row r="2264"/>
    <row r="2265"/>
    <row r="2266"/>
    <row r="2267"/>
    <row r="2268"/>
    <row r="2269"/>
    <row r="2270"/>
    <row r="2271"/>
    <row r="2272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H2273"/>
  <sheetViews>
    <sheetView workbookViewId="0"/>
  </sheetViews>
  <sheetFormatPr defaultColWidth="12.5703125" defaultRowHeight="15.75" customHeight="1"/>
  <sheetData>
    <row r="1" spans="1:8">
      <c r="A1" s="1" t="str">
        <f ca="1">IFERROR(__xludf.UNSUPPORTED(GOOGLEFINANCE("JPM", "price", "01/01/2019", "01/22/2026", "DAILY")),"Date")</f>
        <v>Date</v>
      </c>
      <c r="B1" s="1" t="str">
        <f ca="1">IFERROR(__xludf.UNSUPPORTED("""COMPUTED_VALUE"""),"Close")</f>
        <v>Close</v>
      </c>
      <c r="C1" s="2" t="s">
        <v>13</v>
      </c>
      <c r="E1" s="1" t="s">
        <v>14</v>
      </c>
      <c r="F1" s="2" t="s">
        <v>15</v>
      </c>
      <c r="G1" s="2" t="s">
        <v>16</v>
      </c>
      <c r="H1" s="2" t="s">
        <v>17</v>
      </c>
    </row>
    <row r="2" spans="1:8">
      <c r="A2" s="3">
        <f ca="1">IFERROR(__xludf.UNSUPPORTED("""COMPUTED_VALUE"""),43467.6666666666)</f>
        <v>43467.666666666599</v>
      </c>
      <c r="B2" s="1">
        <f ca="1">IFERROR(__xludf.UNSUPPORTED("""COMPUTED_VALUE"""),99.31)</f>
        <v>99.31</v>
      </c>
      <c r="C2" s="2"/>
      <c r="E2" s="2">
        <f ca="1">AVERAGE(C3:C1773)</f>
        <v>8.0893762917288027E-4</v>
      </c>
      <c r="F2" s="2">
        <f ca="1">_xlfn.STDEV.S(C3:C1773)</f>
        <v>1.8879394860614192E-2</v>
      </c>
      <c r="G2" s="2">
        <f ca="1">E2*252</f>
        <v>0.20385228255156582</v>
      </c>
      <c r="H2" s="2">
        <f ca="1">F2*SQRT(252)</f>
        <v>0.29970110222745655</v>
      </c>
    </row>
    <row r="3" spans="1:8">
      <c r="A3" s="3">
        <f ca="1">IFERROR(__xludf.UNSUPPORTED("""COMPUTED_VALUE"""),43468.6666666666)</f>
        <v>43468.666666666599</v>
      </c>
      <c r="B3" s="1">
        <f ca="1">IFERROR(__xludf.UNSUPPORTED("""COMPUTED_VALUE"""),97.11)</f>
        <v>97.11</v>
      </c>
      <c r="C3" s="2">
        <f t="shared" ref="C3:C257" ca="1" si="0">(B3-B2)/B2</f>
        <v>-2.2152854697412173E-2</v>
      </c>
      <c r="F3" s="2"/>
      <c r="G3" s="2"/>
      <c r="H3" s="2"/>
    </row>
    <row r="4" spans="1:8">
      <c r="A4" s="3">
        <f ca="1">IFERROR(__xludf.UNSUPPORTED("""COMPUTED_VALUE"""),43469.6666666666)</f>
        <v>43469.666666666599</v>
      </c>
      <c r="B4" s="1">
        <f ca="1">IFERROR(__xludf.UNSUPPORTED("""COMPUTED_VALUE"""),100.69)</f>
        <v>100.69</v>
      </c>
      <c r="C4" s="2">
        <f t="shared" ca="1" si="0"/>
        <v>3.6865410359386244E-2</v>
      </c>
      <c r="F4" s="2"/>
      <c r="G4" s="2"/>
      <c r="H4" s="2"/>
    </row>
    <row r="5" spans="1:8">
      <c r="A5" s="3">
        <f ca="1">IFERROR(__xludf.UNSUPPORTED("""COMPUTED_VALUE"""),43472.6666666666)</f>
        <v>43472.666666666599</v>
      </c>
      <c r="B5" s="1">
        <f ca="1">IFERROR(__xludf.UNSUPPORTED("""COMPUTED_VALUE"""),100.76)</f>
        <v>100.76</v>
      </c>
      <c r="C5" s="2">
        <f t="shared" ca="1" si="0"/>
        <v>6.9520309861959863E-4</v>
      </c>
      <c r="F5" s="2"/>
      <c r="G5" s="2"/>
      <c r="H5" s="2"/>
    </row>
    <row r="6" spans="1:8">
      <c r="A6" s="3">
        <f ca="1">IFERROR(__xludf.UNSUPPORTED("""COMPUTED_VALUE"""),43473.6666666666)</f>
        <v>43473.666666666599</v>
      </c>
      <c r="B6" s="1">
        <f ca="1">IFERROR(__xludf.UNSUPPORTED("""COMPUTED_VALUE"""),100.57)</f>
        <v>100.57</v>
      </c>
      <c r="C6" s="2">
        <f t="shared" ca="1" si="0"/>
        <v>-1.8856689162367202E-3</v>
      </c>
      <c r="F6" s="2"/>
      <c r="G6" s="2"/>
      <c r="H6" s="2"/>
    </row>
    <row r="7" spans="1:8">
      <c r="A7" s="3">
        <f ca="1">IFERROR(__xludf.UNSUPPORTED("""COMPUTED_VALUE"""),43474.6666666666)</f>
        <v>43474.666666666599</v>
      </c>
      <c r="B7" s="1">
        <f ca="1">IFERROR(__xludf.UNSUPPORTED("""COMPUTED_VALUE"""),100.4)</f>
        <v>100.4</v>
      </c>
      <c r="C7" s="2">
        <f t="shared" ca="1" si="0"/>
        <v>-1.6903649199561251E-3</v>
      </c>
      <c r="F7" s="2"/>
      <c r="G7" s="2"/>
      <c r="H7" s="2"/>
    </row>
    <row r="8" spans="1:8">
      <c r="A8" s="3">
        <f ca="1">IFERROR(__xludf.UNSUPPORTED("""COMPUTED_VALUE"""),43475.6666666666)</f>
        <v>43475.666666666599</v>
      </c>
      <c r="B8" s="1">
        <f ca="1">IFERROR(__xludf.UNSUPPORTED("""COMPUTED_VALUE"""),100.39)</f>
        <v>100.39</v>
      </c>
      <c r="C8" s="2">
        <f t="shared" ca="1" si="0"/>
        <v>-9.9601593625548956E-5</v>
      </c>
      <c r="F8" s="2"/>
      <c r="G8" s="2"/>
      <c r="H8" s="2"/>
    </row>
    <row r="9" spans="1:8">
      <c r="A9" s="3">
        <f ca="1">IFERROR(__xludf.UNSUPPORTED("""COMPUTED_VALUE"""),43476.6666666666)</f>
        <v>43476.666666666599</v>
      </c>
      <c r="B9" s="1">
        <f ca="1">IFERROR(__xludf.UNSUPPORTED("""COMPUTED_VALUE"""),99.91)</f>
        <v>99.91</v>
      </c>
      <c r="C9" s="2">
        <f t="shared" ca="1" si="0"/>
        <v>-4.7813527243749775E-3</v>
      </c>
      <c r="F9" s="2"/>
      <c r="G9" s="2"/>
      <c r="H9" s="2"/>
    </row>
    <row r="10" spans="1:8">
      <c r="A10" s="3">
        <f ca="1">IFERROR(__xludf.UNSUPPORTED("""COMPUTED_VALUE"""),43479.6666666666)</f>
        <v>43479.666666666599</v>
      </c>
      <c r="B10" s="1">
        <f ca="1">IFERROR(__xludf.UNSUPPORTED("""COMPUTED_VALUE"""),100.94)</f>
        <v>100.94</v>
      </c>
      <c r="C10" s="2">
        <f t="shared" ca="1" si="0"/>
        <v>1.0309278350515476E-2</v>
      </c>
      <c r="F10" s="2"/>
      <c r="G10" s="2"/>
      <c r="H10" s="2"/>
    </row>
    <row r="11" spans="1:8">
      <c r="A11" s="3">
        <f ca="1">IFERROR(__xludf.UNSUPPORTED("""COMPUTED_VALUE"""),43480.6666666666)</f>
        <v>43480.666666666599</v>
      </c>
      <c r="B11" s="1">
        <f ca="1">IFERROR(__xludf.UNSUPPORTED("""COMPUTED_VALUE"""),101.68)</f>
        <v>101.68</v>
      </c>
      <c r="C11" s="2">
        <f t="shared" ca="1" si="0"/>
        <v>7.3310877749158815E-3</v>
      </c>
      <c r="F11" s="2"/>
      <c r="G11" s="2"/>
      <c r="H11" s="2"/>
    </row>
    <row r="12" spans="1:8">
      <c r="A12" s="3">
        <f ca="1">IFERROR(__xludf.UNSUPPORTED("""COMPUTED_VALUE"""),43481.6666666666)</f>
        <v>43481.666666666599</v>
      </c>
      <c r="B12" s="1">
        <f ca="1">IFERROR(__xludf.UNSUPPORTED("""COMPUTED_VALUE"""),102.5)</f>
        <v>102.5</v>
      </c>
      <c r="C12" s="2">
        <f t="shared" ca="1" si="0"/>
        <v>8.0645161290321902E-3</v>
      </c>
      <c r="F12" s="2"/>
      <c r="G12" s="2"/>
      <c r="H12" s="2"/>
    </row>
    <row r="13" spans="1:8">
      <c r="A13" s="3">
        <f ca="1">IFERROR(__xludf.UNSUPPORTED("""COMPUTED_VALUE"""),43482.6666666666)</f>
        <v>43482.666666666599</v>
      </c>
      <c r="B13" s="1">
        <f ca="1">IFERROR(__xludf.UNSUPPORTED("""COMPUTED_VALUE"""),102.92)</f>
        <v>102.92</v>
      </c>
      <c r="C13" s="2">
        <f t="shared" ca="1" si="0"/>
        <v>4.0975609756097727E-3</v>
      </c>
      <c r="F13" s="2"/>
      <c r="G13" s="2"/>
      <c r="H13" s="2"/>
    </row>
    <row r="14" spans="1:8">
      <c r="A14" s="3">
        <f ca="1">IFERROR(__xludf.UNSUPPORTED("""COMPUTED_VALUE"""),43483.6666666666)</f>
        <v>43483.666666666599</v>
      </c>
      <c r="B14" s="1">
        <f ca="1">IFERROR(__xludf.UNSUPPORTED("""COMPUTED_VALUE"""),104.59)</f>
        <v>104.59</v>
      </c>
      <c r="C14" s="2">
        <f t="shared" ca="1" si="0"/>
        <v>1.6226195102992631E-2</v>
      </c>
      <c r="F14" s="2"/>
      <c r="G14" s="2"/>
      <c r="H14" s="2"/>
    </row>
    <row r="15" spans="1:8">
      <c r="A15" s="3">
        <f ca="1">IFERROR(__xludf.UNSUPPORTED("""COMPUTED_VALUE"""),43487.6666666666)</f>
        <v>43487.666666666599</v>
      </c>
      <c r="B15" s="1">
        <f ca="1">IFERROR(__xludf.UNSUPPORTED("""COMPUTED_VALUE"""),102.94)</f>
        <v>102.94</v>
      </c>
      <c r="C15" s="2">
        <f t="shared" ca="1" si="0"/>
        <v>-1.5775886796060862E-2</v>
      </c>
      <c r="F15" s="2"/>
      <c r="G15" s="2"/>
      <c r="H15" s="2"/>
    </row>
    <row r="16" spans="1:8">
      <c r="A16" s="3">
        <f ca="1">IFERROR(__xludf.UNSUPPORTED("""COMPUTED_VALUE"""),43488.6666666666)</f>
        <v>43488.666666666599</v>
      </c>
      <c r="B16" s="1">
        <f ca="1">IFERROR(__xludf.UNSUPPORTED("""COMPUTED_VALUE"""),102.68)</f>
        <v>102.68</v>
      </c>
      <c r="C16" s="2">
        <f t="shared" ca="1" si="0"/>
        <v>-2.5257431513502127E-3</v>
      </c>
      <c r="F16" s="2"/>
      <c r="G16" s="2"/>
      <c r="H16" s="2"/>
    </row>
    <row r="17" spans="1:3">
      <c r="A17" s="3">
        <f ca="1">IFERROR(__xludf.UNSUPPORTED("""COMPUTED_VALUE"""),43489.6666666666)</f>
        <v>43489.666666666599</v>
      </c>
      <c r="B17" s="1">
        <f ca="1">IFERROR(__xludf.UNSUPPORTED("""COMPUTED_VALUE"""),102.74)</f>
        <v>102.74</v>
      </c>
      <c r="C17" s="2">
        <f t="shared" ca="1" si="0"/>
        <v>5.843396961432417E-4</v>
      </c>
    </row>
    <row r="18" spans="1:3">
      <c r="A18" s="3">
        <f ca="1">IFERROR(__xludf.UNSUPPORTED("""COMPUTED_VALUE"""),43490.6666666666)</f>
        <v>43490.666666666599</v>
      </c>
      <c r="B18" s="1">
        <f ca="1">IFERROR(__xludf.UNSUPPORTED("""COMPUTED_VALUE"""),103.39)</f>
        <v>103.39</v>
      </c>
      <c r="C18" s="2">
        <f t="shared" ca="1" si="0"/>
        <v>6.3266497956006003E-3</v>
      </c>
    </row>
    <row r="19" spans="1:3">
      <c r="A19" s="3">
        <f ca="1">IFERROR(__xludf.UNSUPPORTED("""COMPUTED_VALUE"""),43493.6666666666)</f>
        <v>43493.666666666599</v>
      </c>
      <c r="B19" s="1">
        <f ca="1">IFERROR(__xludf.UNSUPPORTED("""COMPUTED_VALUE"""),103.88)</f>
        <v>103.88</v>
      </c>
      <c r="C19" s="2">
        <f t="shared" ca="1" si="0"/>
        <v>4.7393364928909462E-3</v>
      </c>
    </row>
    <row r="20" spans="1:3">
      <c r="A20" s="3">
        <f ca="1">IFERROR(__xludf.UNSUPPORTED("""COMPUTED_VALUE"""),43494.6666666666)</f>
        <v>43494.666666666599</v>
      </c>
      <c r="B20" s="1">
        <f ca="1">IFERROR(__xludf.UNSUPPORTED("""COMPUTED_VALUE"""),104.17)</f>
        <v>104.17</v>
      </c>
      <c r="C20" s="2">
        <f t="shared" ca="1" si="0"/>
        <v>2.7916827108202375E-3</v>
      </c>
    </row>
    <row r="21" spans="1:3">
      <c r="A21" s="3">
        <f ca="1">IFERROR(__xludf.UNSUPPORTED("""COMPUTED_VALUE"""),43495.6666666666)</f>
        <v>43495.666666666599</v>
      </c>
      <c r="B21" s="1">
        <f ca="1">IFERROR(__xludf.UNSUPPORTED("""COMPUTED_VALUE"""),104.41)</f>
        <v>104.41</v>
      </c>
      <c r="C21" s="2">
        <f t="shared" ca="1" si="0"/>
        <v>2.3039262743591712E-3</v>
      </c>
    </row>
    <row r="22" spans="1:3">
      <c r="A22" s="3">
        <f ca="1">IFERROR(__xludf.UNSUPPORTED("""COMPUTED_VALUE"""),43496.6666666666)</f>
        <v>43496.666666666599</v>
      </c>
      <c r="B22" s="1">
        <f ca="1">IFERROR(__xludf.UNSUPPORTED("""COMPUTED_VALUE"""),103.5)</f>
        <v>103.5</v>
      </c>
      <c r="C22" s="2">
        <f t="shared" ca="1" si="0"/>
        <v>-8.715640264342463E-3</v>
      </c>
    </row>
    <row r="23" spans="1:3">
      <c r="A23" s="3">
        <f ca="1">IFERROR(__xludf.UNSUPPORTED("""COMPUTED_VALUE"""),43497.6666666666)</f>
        <v>43497.666666666599</v>
      </c>
      <c r="B23" s="1">
        <f ca="1">IFERROR(__xludf.UNSUPPORTED("""COMPUTED_VALUE"""),103.88)</f>
        <v>103.88</v>
      </c>
      <c r="C23" s="2">
        <f t="shared" ca="1" si="0"/>
        <v>3.671497584541019E-3</v>
      </c>
    </row>
    <row r="24" spans="1:3">
      <c r="A24" s="3">
        <f ca="1">IFERROR(__xludf.UNSUPPORTED("""COMPUTED_VALUE"""),43500.6666666666)</f>
        <v>43500.666666666599</v>
      </c>
      <c r="B24" s="1">
        <f ca="1">IFERROR(__xludf.UNSUPPORTED("""COMPUTED_VALUE"""),104.25)</f>
        <v>104.25</v>
      </c>
      <c r="C24" s="2">
        <f t="shared" ca="1" si="0"/>
        <v>3.5618020793223388E-3</v>
      </c>
    </row>
    <row r="25" spans="1:3">
      <c r="A25" s="3">
        <f ca="1">IFERROR(__xludf.UNSUPPORTED("""COMPUTED_VALUE"""),43501.6666666666)</f>
        <v>43501.666666666599</v>
      </c>
      <c r="B25" s="1">
        <f ca="1">IFERROR(__xludf.UNSUPPORTED("""COMPUTED_VALUE"""),103.79)</f>
        <v>103.79</v>
      </c>
      <c r="C25" s="2">
        <f t="shared" ca="1" si="0"/>
        <v>-4.4124700239807557E-3</v>
      </c>
    </row>
    <row r="26" spans="1:3">
      <c r="A26" s="3">
        <f ca="1">IFERROR(__xludf.UNSUPPORTED("""COMPUTED_VALUE"""),43502.6666666666)</f>
        <v>43502.666666666599</v>
      </c>
      <c r="B26" s="1">
        <f ca="1">IFERROR(__xludf.UNSUPPORTED("""COMPUTED_VALUE"""),103.74)</f>
        <v>103.74</v>
      </c>
      <c r="C26" s="2">
        <f t="shared" ca="1" si="0"/>
        <v>-4.817419789961592E-4</v>
      </c>
    </row>
    <row r="27" spans="1:3">
      <c r="A27" s="3">
        <f ca="1">IFERROR(__xludf.UNSUPPORTED("""COMPUTED_VALUE"""),43503.6666666666)</f>
        <v>43503.666666666599</v>
      </c>
      <c r="B27" s="1">
        <f ca="1">IFERROR(__xludf.UNSUPPORTED("""COMPUTED_VALUE"""),102.38)</f>
        <v>102.38</v>
      </c>
      <c r="C27" s="2">
        <f t="shared" ca="1" si="0"/>
        <v>-1.3109697320223631E-2</v>
      </c>
    </row>
    <row r="28" spans="1:3">
      <c r="A28" s="3">
        <f ca="1">IFERROR(__xludf.UNSUPPORTED("""COMPUTED_VALUE"""),43504.6666666666)</f>
        <v>43504.666666666599</v>
      </c>
      <c r="B28" s="1">
        <f ca="1">IFERROR(__xludf.UNSUPPORTED("""COMPUTED_VALUE"""),101.36)</f>
        <v>101.36</v>
      </c>
      <c r="C28" s="2">
        <f t="shared" ca="1" si="0"/>
        <v>-9.9628833756592698E-3</v>
      </c>
    </row>
    <row r="29" spans="1:3">
      <c r="A29" s="3">
        <f ca="1">IFERROR(__xludf.UNSUPPORTED("""COMPUTED_VALUE"""),43507.6666666666)</f>
        <v>43507.666666666599</v>
      </c>
      <c r="B29" s="1">
        <f ca="1">IFERROR(__xludf.UNSUPPORTED("""COMPUTED_VALUE"""),100.88)</f>
        <v>100.88</v>
      </c>
      <c r="C29" s="2">
        <f t="shared" ca="1" si="0"/>
        <v>-4.7355958958169297E-3</v>
      </c>
    </row>
    <row r="30" spans="1:3">
      <c r="A30" s="3">
        <f ca="1">IFERROR(__xludf.UNSUPPORTED("""COMPUTED_VALUE"""),43508.6666666666)</f>
        <v>43508.666666666599</v>
      </c>
      <c r="B30" s="1">
        <f ca="1">IFERROR(__xludf.UNSUPPORTED("""COMPUTED_VALUE"""),102.6)</f>
        <v>102.6</v>
      </c>
      <c r="C30" s="2">
        <f t="shared" ca="1" si="0"/>
        <v>1.7049960348929409E-2</v>
      </c>
    </row>
    <row r="31" spans="1:3">
      <c r="A31" s="3">
        <f ca="1">IFERROR(__xludf.UNSUPPORTED("""COMPUTED_VALUE"""),43509.6666666666)</f>
        <v>43509.666666666599</v>
      </c>
      <c r="B31" s="1">
        <f ca="1">IFERROR(__xludf.UNSUPPORTED("""COMPUTED_VALUE"""),103.09)</f>
        <v>103.09</v>
      </c>
      <c r="C31" s="2">
        <f t="shared" ca="1" si="0"/>
        <v>4.7758284600390756E-3</v>
      </c>
    </row>
    <row r="32" spans="1:3">
      <c r="A32" s="3">
        <f ca="1">IFERROR(__xludf.UNSUPPORTED("""COMPUTED_VALUE"""),43510.6666666666)</f>
        <v>43510.666666666599</v>
      </c>
      <c r="B32" s="1">
        <f ca="1">IFERROR(__xludf.UNSUPPORTED("""COMPUTED_VALUE"""),102.42)</f>
        <v>102.42</v>
      </c>
      <c r="C32" s="2">
        <f t="shared" ca="1" si="0"/>
        <v>-6.4991754777379155E-3</v>
      </c>
    </row>
    <row r="33" spans="1:3">
      <c r="A33" s="3">
        <f ca="1">IFERROR(__xludf.UNSUPPORTED("""COMPUTED_VALUE"""),43511.6666666666)</f>
        <v>43511.666666666599</v>
      </c>
      <c r="B33" s="1">
        <f ca="1">IFERROR(__xludf.UNSUPPORTED("""COMPUTED_VALUE"""),105.55)</f>
        <v>105.55</v>
      </c>
      <c r="C33" s="2">
        <f t="shared" ca="1" si="0"/>
        <v>3.0560437414567421E-2</v>
      </c>
    </row>
    <row r="34" spans="1:3">
      <c r="A34" s="3">
        <f ca="1">IFERROR(__xludf.UNSUPPORTED("""COMPUTED_VALUE"""),43515.6666666666)</f>
        <v>43515.666666666599</v>
      </c>
      <c r="B34" s="1">
        <f ca="1">IFERROR(__xludf.UNSUPPORTED("""COMPUTED_VALUE"""),105.18)</f>
        <v>105.18</v>
      </c>
      <c r="C34" s="2">
        <f t="shared" ca="1" si="0"/>
        <v>-3.5054476551396527E-3</v>
      </c>
    </row>
    <row r="35" spans="1:3">
      <c r="A35" s="3">
        <f ca="1">IFERROR(__xludf.UNSUPPORTED("""COMPUTED_VALUE"""),43516.6666666666)</f>
        <v>43516.666666666599</v>
      </c>
      <c r="B35" s="1">
        <f ca="1">IFERROR(__xludf.UNSUPPORTED("""COMPUTED_VALUE"""),105.69)</f>
        <v>105.69</v>
      </c>
      <c r="C35" s="2">
        <f t="shared" ca="1" si="0"/>
        <v>4.8488305761550761E-3</v>
      </c>
    </row>
    <row r="36" spans="1:3">
      <c r="A36" s="3">
        <f ca="1">IFERROR(__xludf.UNSUPPORTED("""COMPUTED_VALUE"""),43517.6666666666)</f>
        <v>43517.666666666599</v>
      </c>
      <c r="B36" s="1">
        <f ca="1">IFERROR(__xludf.UNSUPPORTED("""COMPUTED_VALUE"""),105.47)</f>
        <v>105.47</v>
      </c>
      <c r="C36" s="2">
        <f t="shared" ca="1" si="0"/>
        <v>-2.0815592771312222E-3</v>
      </c>
    </row>
    <row r="37" spans="1:3">
      <c r="A37" s="3">
        <f ca="1">IFERROR(__xludf.UNSUPPORTED("""COMPUTED_VALUE"""),43518.6666666666)</f>
        <v>43518.666666666599</v>
      </c>
      <c r="B37" s="1">
        <f ca="1">IFERROR(__xludf.UNSUPPORTED("""COMPUTED_VALUE"""),105)</f>
        <v>105</v>
      </c>
      <c r="C37" s="2">
        <f t="shared" ca="1" si="0"/>
        <v>-4.4562434815587264E-3</v>
      </c>
    </row>
    <row r="38" spans="1:3">
      <c r="A38" s="3">
        <f ca="1">IFERROR(__xludf.UNSUPPORTED("""COMPUTED_VALUE"""),43521.6666666666)</f>
        <v>43521.666666666599</v>
      </c>
      <c r="B38" s="1">
        <f ca="1">IFERROR(__xludf.UNSUPPORTED("""COMPUTED_VALUE"""),106.1)</f>
        <v>106.1</v>
      </c>
      <c r="C38" s="2">
        <f t="shared" ca="1" si="0"/>
        <v>1.0476190476190422E-2</v>
      </c>
    </row>
    <row r="39" spans="1:3">
      <c r="A39" s="3">
        <f ca="1">IFERROR(__xludf.UNSUPPORTED("""COMPUTED_VALUE"""),43522.6666666666)</f>
        <v>43522.666666666599</v>
      </c>
      <c r="B39" s="1">
        <f ca="1">IFERROR(__xludf.UNSUPPORTED("""COMPUTED_VALUE"""),105.29)</f>
        <v>105.29</v>
      </c>
      <c r="C39" s="2">
        <f t="shared" ca="1" si="0"/>
        <v>-7.6343072573043175E-3</v>
      </c>
    </row>
    <row r="40" spans="1:3">
      <c r="A40" s="3">
        <f ca="1">IFERROR(__xludf.UNSUPPORTED("""COMPUTED_VALUE"""),43523.6666666666)</f>
        <v>43523.666666666599</v>
      </c>
      <c r="B40" s="1">
        <f ca="1">IFERROR(__xludf.UNSUPPORTED("""COMPUTED_VALUE"""),105.16)</f>
        <v>105.16</v>
      </c>
      <c r="C40" s="2">
        <f t="shared" ca="1" si="0"/>
        <v>-1.234685155285494E-3</v>
      </c>
    </row>
    <row r="41" spans="1:3">
      <c r="A41" s="3">
        <f ca="1">IFERROR(__xludf.UNSUPPORTED("""COMPUTED_VALUE"""),43524.6666666666)</f>
        <v>43524.666666666599</v>
      </c>
      <c r="B41" s="1">
        <f ca="1">IFERROR(__xludf.UNSUPPORTED("""COMPUTED_VALUE"""),104.36)</f>
        <v>104.36</v>
      </c>
      <c r="C41" s="2">
        <f t="shared" ca="1" si="0"/>
        <v>-7.6074553062000496E-3</v>
      </c>
    </row>
    <row r="42" spans="1:3">
      <c r="A42" s="3">
        <f ca="1">IFERROR(__xludf.UNSUPPORTED("""COMPUTED_VALUE"""),43525.6666666666)</f>
        <v>43525.666666666599</v>
      </c>
      <c r="B42" s="1">
        <f ca="1">IFERROR(__xludf.UNSUPPORTED("""COMPUTED_VALUE"""),104.43)</f>
        <v>104.43</v>
      </c>
      <c r="C42" s="2">
        <f t="shared" ca="1" si="0"/>
        <v>6.7075507857423716E-4</v>
      </c>
    </row>
    <row r="43" spans="1:3">
      <c r="A43" s="3">
        <f ca="1">IFERROR(__xludf.UNSUPPORTED("""COMPUTED_VALUE"""),43528.6666666666)</f>
        <v>43528.666666666599</v>
      </c>
      <c r="B43" s="1">
        <f ca="1">IFERROR(__xludf.UNSUPPORTED("""COMPUTED_VALUE"""),104.19)</f>
        <v>104.19</v>
      </c>
      <c r="C43" s="2">
        <f t="shared" ca="1" si="0"/>
        <v>-2.2981901752370877E-3</v>
      </c>
    </row>
    <row r="44" spans="1:3">
      <c r="A44" s="3">
        <f ca="1">IFERROR(__xludf.UNSUPPORTED("""COMPUTED_VALUE"""),43529.6666666666)</f>
        <v>43529.666666666599</v>
      </c>
      <c r="B44" s="1">
        <f ca="1">IFERROR(__xludf.UNSUPPORTED("""COMPUTED_VALUE"""),104.11)</f>
        <v>104.11</v>
      </c>
      <c r="C44" s="2">
        <f t="shared" ca="1" si="0"/>
        <v>-7.6782800652652175E-4</v>
      </c>
    </row>
    <row r="45" spans="1:3">
      <c r="A45" s="3">
        <f ca="1">IFERROR(__xludf.UNSUPPORTED("""COMPUTED_VALUE"""),43530.6666666666)</f>
        <v>43530.666666666599</v>
      </c>
      <c r="B45" s="1">
        <f ca="1">IFERROR(__xludf.UNSUPPORTED("""COMPUTED_VALUE"""),103.72)</f>
        <v>103.72</v>
      </c>
      <c r="C45" s="2">
        <f t="shared" ca="1" si="0"/>
        <v>-3.746037844587461E-3</v>
      </c>
    </row>
    <row r="46" spans="1:3">
      <c r="A46" s="3">
        <f ca="1">IFERROR(__xludf.UNSUPPORTED("""COMPUTED_VALUE"""),43531.6666666666)</f>
        <v>43531.666666666599</v>
      </c>
      <c r="B46" s="1">
        <f ca="1">IFERROR(__xludf.UNSUPPORTED("""COMPUTED_VALUE"""),102.97)</f>
        <v>102.97</v>
      </c>
      <c r="C46" s="2">
        <f t="shared" ca="1" si="0"/>
        <v>-7.2310065561126107E-3</v>
      </c>
    </row>
    <row r="47" spans="1:3">
      <c r="A47" s="3">
        <f ca="1">IFERROR(__xludf.UNSUPPORTED("""COMPUTED_VALUE"""),43532.6666666666)</f>
        <v>43532.666666666599</v>
      </c>
      <c r="B47" s="1">
        <f ca="1">IFERROR(__xludf.UNSUPPORTED("""COMPUTED_VALUE"""),103.01)</f>
        <v>103.01</v>
      </c>
      <c r="C47" s="2">
        <f t="shared" ca="1" si="0"/>
        <v>3.8846265902696175E-4</v>
      </c>
    </row>
    <row r="48" spans="1:3">
      <c r="A48" s="3">
        <f ca="1">IFERROR(__xludf.UNSUPPORTED("""COMPUTED_VALUE"""),43535.6666666666)</f>
        <v>43535.666666666599</v>
      </c>
      <c r="B48" s="1">
        <f ca="1">IFERROR(__xludf.UNSUPPORTED("""COMPUTED_VALUE"""),104.35)</f>
        <v>104.35</v>
      </c>
      <c r="C48" s="2">
        <f t="shared" ca="1" si="0"/>
        <v>1.3008445781962811E-2</v>
      </c>
    </row>
    <row r="49" spans="1:3">
      <c r="A49" s="3">
        <f ca="1">IFERROR(__xludf.UNSUPPORTED("""COMPUTED_VALUE"""),43536.6666666666)</f>
        <v>43536.666666666599</v>
      </c>
      <c r="B49" s="1">
        <f ca="1">IFERROR(__xludf.UNSUPPORTED("""COMPUTED_VALUE"""),104.04)</f>
        <v>104.04</v>
      </c>
      <c r="C49" s="2">
        <f t="shared" ca="1" si="0"/>
        <v>-2.9707714422615053E-3</v>
      </c>
    </row>
    <row r="50" spans="1:3">
      <c r="A50" s="3">
        <f ca="1">IFERROR(__xludf.UNSUPPORTED("""COMPUTED_VALUE"""),43537.6666666666)</f>
        <v>43537.666666666599</v>
      </c>
      <c r="B50" s="1">
        <f ca="1">IFERROR(__xludf.UNSUPPORTED("""COMPUTED_VALUE"""),104.39)</f>
        <v>104.39</v>
      </c>
      <c r="C50" s="2">
        <f t="shared" ca="1" si="0"/>
        <v>3.3640907343328941E-3</v>
      </c>
    </row>
    <row r="51" spans="1:3">
      <c r="A51" s="3">
        <f ca="1">IFERROR(__xludf.UNSUPPORTED("""COMPUTED_VALUE"""),43538.6666666666)</f>
        <v>43538.666666666599</v>
      </c>
      <c r="B51" s="1">
        <f ca="1">IFERROR(__xludf.UNSUPPORTED("""COMPUTED_VALUE"""),105.34)</f>
        <v>105.34</v>
      </c>
      <c r="C51" s="2">
        <f t="shared" ca="1" si="0"/>
        <v>9.1004885525433742E-3</v>
      </c>
    </row>
    <row r="52" spans="1:3">
      <c r="A52" s="3">
        <f ca="1">IFERROR(__xludf.UNSUPPORTED("""COMPUTED_VALUE"""),43539.6666666666)</f>
        <v>43539.666666666599</v>
      </c>
      <c r="B52" s="1">
        <f ca="1">IFERROR(__xludf.UNSUPPORTED("""COMPUTED_VALUE"""),106.55)</f>
        <v>106.55</v>
      </c>
      <c r="C52" s="2">
        <f t="shared" ca="1" si="0"/>
        <v>1.1486614771216952E-2</v>
      </c>
    </row>
    <row r="53" spans="1:3">
      <c r="A53" s="3">
        <f ca="1">IFERROR(__xludf.UNSUPPORTED("""COMPUTED_VALUE"""),43542.6666666666)</f>
        <v>43542.666666666599</v>
      </c>
      <c r="B53" s="1">
        <f ca="1">IFERROR(__xludf.UNSUPPORTED("""COMPUTED_VALUE"""),107.19)</f>
        <v>107.19</v>
      </c>
      <c r="C53" s="2">
        <f t="shared" ca="1" si="0"/>
        <v>6.0065696855936233E-3</v>
      </c>
    </row>
    <row r="54" spans="1:3">
      <c r="A54" s="3">
        <f ca="1">IFERROR(__xludf.UNSUPPORTED("""COMPUTED_VALUE"""),43543.6666666666)</f>
        <v>43543.666666666599</v>
      </c>
      <c r="B54" s="1">
        <f ca="1">IFERROR(__xludf.UNSUPPORTED("""COMPUTED_VALUE"""),106.8)</f>
        <v>106.8</v>
      </c>
      <c r="C54" s="2">
        <f t="shared" ca="1" si="0"/>
        <v>-3.638399104394072E-3</v>
      </c>
    </row>
    <row r="55" spans="1:3">
      <c r="A55" s="3">
        <f ca="1">IFERROR(__xludf.UNSUPPORTED("""COMPUTED_VALUE"""),43544.6666666666)</f>
        <v>43544.666666666599</v>
      </c>
      <c r="B55" s="1">
        <f ca="1">IFERROR(__xludf.UNSUPPORTED("""COMPUTED_VALUE"""),104.52)</f>
        <v>104.52</v>
      </c>
      <c r="C55" s="2">
        <f t="shared" ca="1" si="0"/>
        <v>-2.1348314606741584E-2</v>
      </c>
    </row>
    <row r="56" spans="1:3">
      <c r="A56" s="3">
        <f ca="1">IFERROR(__xludf.UNSUPPORTED("""COMPUTED_VALUE"""),43545.6666666666)</f>
        <v>43545.666666666599</v>
      </c>
      <c r="B56" s="1">
        <f ca="1">IFERROR(__xludf.UNSUPPORTED("""COMPUTED_VALUE"""),102.87)</f>
        <v>102.87</v>
      </c>
      <c r="C56" s="2">
        <f t="shared" ca="1" si="0"/>
        <v>-1.5786452353616452E-2</v>
      </c>
    </row>
    <row r="57" spans="1:3">
      <c r="A57" s="3">
        <f ca="1">IFERROR(__xludf.UNSUPPORTED("""COMPUTED_VALUE"""),43546.6666666666)</f>
        <v>43546.666666666599</v>
      </c>
      <c r="B57" s="1">
        <f ca="1">IFERROR(__xludf.UNSUPPORTED("""COMPUTED_VALUE"""),99.76)</f>
        <v>99.76</v>
      </c>
      <c r="C57" s="2">
        <f t="shared" ca="1" si="0"/>
        <v>-3.0232332069602404E-2</v>
      </c>
    </row>
    <row r="58" spans="1:3">
      <c r="A58" s="3">
        <f ca="1">IFERROR(__xludf.UNSUPPORTED("""COMPUTED_VALUE"""),43549.6666666666)</f>
        <v>43549.666666666599</v>
      </c>
      <c r="B58" s="1">
        <f ca="1">IFERROR(__xludf.UNSUPPORTED("""COMPUTED_VALUE"""),98.93)</f>
        <v>98.93</v>
      </c>
      <c r="C58" s="2">
        <f t="shared" ca="1" si="0"/>
        <v>-8.3199679230152191E-3</v>
      </c>
    </row>
    <row r="59" spans="1:3">
      <c r="A59" s="3">
        <f ca="1">IFERROR(__xludf.UNSUPPORTED("""COMPUTED_VALUE"""),43550.6666666666)</f>
        <v>43550.666666666599</v>
      </c>
      <c r="B59" s="1">
        <f ca="1">IFERROR(__xludf.UNSUPPORTED("""COMPUTED_VALUE"""),99.92)</f>
        <v>99.92</v>
      </c>
      <c r="C59" s="2">
        <f t="shared" ca="1" si="0"/>
        <v>1.0007075710097997E-2</v>
      </c>
    </row>
    <row r="60" spans="1:3">
      <c r="A60" s="3">
        <f ca="1">IFERROR(__xludf.UNSUPPORTED("""COMPUTED_VALUE"""),43551.6666666666)</f>
        <v>43551.666666666599</v>
      </c>
      <c r="B60" s="1">
        <f ca="1">IFERROR(__xludf.UNSUPPORTED("""COMPUTED_VALUE"""),99.58)</f>
        <v>99.58</v>
      </c>
      <c r="C60" s="2">
        <f t="shared" ca="1" si="0"/>
        <v>-3.402722177742228E-3</v>
      </c>
    </row>
    <row r="61" spans="1:3">
      <c r="A61" s="3">
        <f ca="1">IFERROR(__xludf.UNSUPPORTED("""COMPUTED_VALUE"""),43552.6666666666)</f>
        <v>43552.666666666599</v>
      </c>
      <c r="B61" s="1">
        <f ca="1">IFERROR(__xludf.UNSUPPORTED("""COMPUTED_VALUE"""),100.71)</f>
        <v>100.71</v>
      </c>
      <c r="C61" s="2">
        <f t="shared" ca="1" si="0"/>
        <v>1.1347660172725401E-2</v>
      </c>
    </row>
    <row r="62" spans="1:3">
      <c r="A62" s="3">
        <f ca="1">IFERROR(__xludf.UNSUPPORTED("""COMPUTED_VALUE"""),43553.6666666666)</f>
        <v>43553.666666666599</v>
      </c>
      <c r="B62" s="1">
        <f ca="1">IFERROR(__xludf.UNSUPPORTED("""COMPUTED_VALUE"""),101.23)</f>
        <v>101.23</v>
      </c>
      <c r="C62" s="2">
        <f t="shared" ca="1" si="0"/>
        <v>5.1633402839838171E-3</v>
      </c>
    </row>
    <row r="63" spans="1:3">
      <c r="A63" s="3">
        <f ca="1">IFERROR(__xludf.UNSUPPORTED("""COMPUTED_VALUE"""),43556.6666666666)</f>
        <v>43556.666666666599</v>
      </c>
      <c r="B63" s="1">
        <f ca="1">IFERROR(__xludf.UNSUPPORTED("""COMPUTED_VALUE"""),104.64)</f>
        <v>104.64</v>
      </c>
      <c r="C63" s="2">
        <f t="shared" ca="1" si="0"/>
        <v>3.3685666304455165E-2</v>
      </c>
    </row>
    <row r="64" spans="1:3">
      <c r="A64" s="3">
        <f ca="1">IFERROR(__xludf.UNSUPPORTED("""COMPUTED_VALUE"""),43557.6666666666)</f>
        <v>43557.666666666599</v>
      </c>
      <c r="B64" s="1">
        <f ca="1">IFERROR(__xludf.UNSUPPORTED("""COMPUTED_VALUE"""),105.14)</f>
        <v>105.14</v>
      </c>
      <c r="C64" s="2">
        <f t="shared" ca="1" si="0"/>
        <v>4.7782874617737E-3</v>
      </c>
    </row>
    <row r="65" spans="1:3">
      <c r="A65" s="3">
        <f ca="1">IFERROR(__xludf.UNSUPPORTED("""COMPUTED_VALUE"""),43558.6666666666)</f>
        <v>43558.666666666599</v>
      </c>
      <c r="B65" s="1">
        <f ca="1">IFERROR(__xludf.UNSUPPORTED("""COMPUTED_VALUE"""),105.35)</f>
        <v>105.35</v>
      </c>
      <c r="C65" s="2">
        <f t="shared" ca="1" si="0"/>
        <v>1.9973368841544013E-3</v>
      </c>
    </row>
    <row r="66" spans="1:3">
      <c r="A66" s="3">
        <f ca="1">IFERROR(__xludf.UNSUPPORTED("""COMPUTED_VALUE"""),43559.6666666666)</f>
        <v>43559.666666666599</v>
      </c>
      <c r="B66" s="1">
        <f ca="1">IFERROR(__xludf.UNSUPPORTED("""COMPUTED_VALUE"""),105.56)</f>
        <v>105.56</v>
      </c>
      <c r="C66" s="2">
        <f t="shared" ca="1" si="0"/>
        <v>1.9933554817276504E-3</v>
      </c>
    </row>
    <row r="67" spans="1:3">
      <c r="A67" s="3">
        <f ca="1">IFERROR(__xludf.UNSUPPORTED("""COMPUTED_VALUE"""),43560.6666666666)</f>
        <v>43560.666666666599</v>
      </c>
      <c r="B67" s="1">
        <f ca="1">IFERROR(__xludf.UNSUPPORTED("""COMPUTED_VALUE"""),105.31)</f>
        <v>105.31</v>
      </c>
      <c r="C67" s="2">
        <f t="shared" ca="1" si="0"/>
        <v>-2.3683213338385753E-3</v>
      </c>
    </row>
    <row r="68" spans="1:3">
      <c r="A68" s="3">
        <f ca="1">IFERROR(__xludf.UNSUPPORTED("""COMPUTED_VALUE"""),43563.6666666666)</f>
        <v>43563.666666666599</v>
      </c>
      <c r="B68" s="1">
        <f ca="1">IFERROR(__xludf.UNSUPPORTED("""COMPUTED_VALUE"""),105.65)</f>
        <v>105.65</v>
      </c>
      <c r="C68" s="2">
        <f t="shared" ca="1" si="0"/>
        <v>3.2285632893362779E-3</v>
      </c>
    </row>
    <row r="69" spans="1:3">
      <c r="A69" s="3">
        <f ca="1">IFERROR(__xludf.UNSUPPORTED("""COMPUTED_VALUE"""),43564.6666666666)</f>
        <v>43564.666666666599</v>
      </c>
      <c r="B69" s="1">
        <f ca="1">IFERROR(__xludf.UNSUPPORTED("""COMPUTED_VALUE"""),104.87)</f>
        <v>104.87</v>
      </c>
      <c r="C69" s="2">
        <f t="shared" ca="1" si="0"/>
        <v>-7.3828679602461061E-3</v>
      </c>
    </row>
    <row r="70" spans="1:3">
      <c r="A70" s="3">
        <f ca="1">IFERROR(__xludf.UNSUPPORTED("""COMPUTED_VALUE"""),43565.6666666666)</f>
        <v>43565.666666666599</v>
      </c>
      <c r="B70" s="1">
        <f ca="1">IFERROR(__xludf.UNSUPPORTED("""COMPUTED_VALUE"""),105.34)</f>
        <v>105.34</v>
      </c>
      <c r="C70" s="2">
        <f t="shared" ca="1" si="0"/>
        <v>4.481739296271563E-3</v>
      </c>
    </row>
    <row r="71" spans="1:3">
      <c r="A71" s="3">
        <f ca="1">IFERROR(__xludf.UNSUPPORTED("""COMPUTED_VALUE"""),43566.6666666666)</f>
        <v>43566.666666666599</v>
      </c>
      <c r="B71" s="1">
        <f ca="1">IFERROR(__xludf.UNSUPPORTED("""COMPUTED_VALUE"""),106.23)</f>
        <v>106.23</v>
      </c>
      <c r="C71" s="2">
        <f t="shared" ca="1" si="0"/>
        <v>8.4488323523827652E-3</v>
      </c>
    </row>
    <row r="72" spans="1:3">
      <c r="A72" s="3">
        <f ca="1">IFERROR(__xludf.UNSUPPORTED("""COMPUTED_VALUE"""),43567.6666666666)</f>
        <v>43567.666666666599</v>
      </c>
      <c r="B72" s="1">
        <f ca="1">IFERROR(__xludf.UNSUPPORTED("""COMPUTED_VALUE"""),111.21)</f>
        <v>111.21</v>
      </c>
      <c r="C72" s="2">
        <f t="shared" ca="1" si="0"/>
        <v>4.6879412595311962E-2</v>
      </c>
    </row>
    <row r="73" spans="1:3">
      <c r="A73" s="3">
        <f ca="1">IFERROR(__xludf.UNSUPPORTED("""COMPUTED_VALUE"""),43570.6666666666)</f>
        <v>43570.666666666599</v>
      </c>
      <c r="B73" s="1">
        <f ca="1">IFERROR(__xludf.UNSUPPORTED("""COMPUTED_VALUE"""),109.94)</f>
        <v>109.94</v>
      </c>
      <c r="C73" s="2">
        <f t="shared" ca="1" si="0"/>
        <v>-1.1419836345652334E-2</v>
      </c>
    </row>
    <row r="74" spans="1:3">
      <c r="A74" s="3">
        <f ca="1">IFERROR(__xludf.UNSUPPORTED("""COMPUTED_VALUE"""),43571.6666666666)</f>
        <v>43571.666666666599</v>
      </c>
      <c r="B74" s="1">
        <f ca="1">IFERROR(__xludf.UNSUPPORTED("""COMPUTED_VALUE"""),111.1)</f>
        <v>111.1</v>
      </c>
      <c r="C74" s="2">
        <f t="shared" ca="1" si="0"/>
        <v>1.0551209750773118E-2</v>
      </c>
    </row>
    <row r="75" spans="1:3">
      <c r="A75" s="3">
        <f ca="1">IFERROR(__xludf.UNSUPPORTED("""COMPUTED_VALUE"""),43572.6666666666)</f>
        <v>43572.666666666599</v>
      </c>
      <c r="B75" s="1">
        <f ca="1">IFERROR(__xludf.UNSUPPORTED("""COMPUTED_VALUE"""),114.3)</f>
        <v>114.3</v>
      </c>
      <c r="C75" s="2">
        <f t="shared" ca="1" si="0"/>
        <v>2.8802880288028829E-2</v>
      </c>
    </row>
    <row r="76" spans="1:3">
      <c r="A76" s="3">
        <f ca="1">IFERROR(__xludf.UNSUPPORTED("""COMPUTED_VALUE"""),43573.6666666666)</f>
        <v>43573.666666666599</v>
      </c>
      <c r="B76" s="1">
        <f ca="1">IFERROR(__xludf.UNSUPPORTED("""COMPUTED_VALUE"""),113.46)</f>
        <v>113.46</v>
      </c>
      <c r="C76" s="2">
        <f t="shared" ca="1" si="0"/>
        <v>-7.3490813648294266E-3</v>
      </c>
    </row>
    <row r="77" spans="1:3">
      <c r="A77" s="3">
        <f ca="1">IFERROR(__xludf.UNSUPPORTED("""COMPUTED_VALUE"""),43577.6666666666)</f>
        <v>43577.666666666599</v>
      </c>
      <c r="B77" s="1">
        <f ca="1">IFERROR(__xludf.UNSUPPORTED("""COMPUTED_VALUE"""),113.6)</f>
        <v>113.6</v>
      </c>
      <c r="C77" s="2">
        <f t="shared" ca="1" si="0"/>
        <v>1.2339150361360882E-3</v>
      </c>
    </row>
    <row r="78" spans="1:3">
      <c r="A78" s="3">
        <f ca="1">IFERROR(__xludf.UNSUPPORTED("""COMPUTED_VALUE"""),43578.6666666666)</f>
        <v>43578.666666666599</v>
      </c>
      <c r="B78" s="1">
        <f ca="1">IFERROR(__xludf.UNSUPPORTED("""COMPUTED_VALUE"""),113.74)</f>
        <v>113.74</v>
      </c>
      <c r="C78" s="2">
        <f t="shared" ca="1" si="0"/>
        <v>1.2323943661971882E-3</v>
      </c>
    </row>
    <row r="79" spans="1:3">
      <c r="A79" s="3">
        <f ca="1">IFERROR(__xludf.UNSUPPORTED("""COMPUTED_VALUE"""),43579.6666666666)</f>
        <v>43579.666666666599</v>
      </c>
      <c r="B79" s="1">
        <f ca="1">IFERROR(__xludf.UNSUPPORTED("""COMPUTED_VALUE"""),113.55)</f>
        <v>113.55</v>
      </c>
      <c r="C79" s="2">
        <f t="shared" ca="1" si="0"/>
        <v>-1.6704765254088073E-3</v>
      </c>
    </row>
    <row r="80" spans="1:3">
      <c r="A80" s="3">
        <f ca="1">IFERROR(__xludf.UNSUPPORTED("""COMPUTED_VALUE"""),43580.6666666666)</f>
        <v>43580.666666666599</v>
      </c>
      <c r="B80" s="1">
        <f ca="1">IFERROR(__xludf.UNSUPPORTED("""COMPUTED_VALUE"""),113.61)</f>
        <v>113.61</v>
      </c>
      <c r="C80" s="2">
        <f t="shared" ca="1" si="0"/>
        <v>5.2840158520477565E-4</v>
      </c>
    </row>
    <row r="81" spans="1:3">
      <c r="A81" s="3">
        <f ca="1">IFERROR(__xludf.UNSUPPORTED("""COMPUTED_VALUE"""),43581.6666666666)</f>
        <v>43581.666666666599</v>
      </c>
      <c r="B81" s="1">
        <f ca="1">IFERROR(__xludf.UNSUPPORTED("""COMPUTED_VALUE"""),114.47)</f>
        <v>114.47</v>
      </c>
      <c r="C81" s="2">
        <f t="shared" ca="1" si="0"/>
        <v>7.5697561834345518E-3</v>
      </c>
    </row>
    <row r="82" spans="1:3">
      <c r="A82" s="3">
        <f ca="1">IFERROR(__xludf.UNSUPPORTED("""COMPUTED_VALUE"""),43584.6666666666)</f>
        <v>43584.666666666599</v>
      </c>
      <c r="B82" s="1">
        <f ca="1">IFERROR(__xludf.UNSUPPORTED("""COMPUTED_VALUE"""),116.12)</f>
        <v>116.12</v>
      </c>
      <c r="C82" s="2">
        <f t="shared" ca="1" si="0"/>
        <v>1.4414257010570504E-2</v>
      </c>
    </row>
    <row r="83" spans="1:3">
      <c r="A83" s="3">
        <f ca="1">IFERROR(__xludf.UNSUPPORTED("""COMPUTED_VALUE"""),43585.6666666666)</f>
        <v>43585.666666666599</v>
      </c>
      <c r="B83" s="1">
        <f ca="1">IFERROR(__xludf.UNSUPPORTED("""COMPUTED_VALUE"""),116.05)</f>
        <v>116.05</v>
      </c>
      <c r="C83" s="2">
        <f t="shared" ca="1" si="0"/>
        <v>-6.0282466414060792E-4</v>
      </c>
    </row>
    <row r="84" spans="1:3">
      <c r="A84" s="3">
        <f ca="1">IFERROR(__xludf.UNSUPPORTED("""COMPUTED_VALUE"""),43586.6666666666)</f>
        <v>43586.666666666599</v>
      </c>
      <c r="B84" s="1">
        <f ca="1">IFERROR(__xludf.UNSUPPORTED("""COMPUTED_VALUE"""),115.16)</f>
        <v>115.16</v>
      </c>
      <c r="C84" s="2">
        <f t="shared" ca="1" si="0"/>
        <v>-7.6691081430417972E-3</v>
      </c>
    </row>
    <row r="85" spans="1:3">
      <c r="A85" s="3">
        <f ca="1">IFERROR(__xludf.UNSUPPORTED("""COMPUTED_VALUE"""),43587.6666666666)</f>
        <v>43587.666666666599</v>
      </c>
      <c r="B85" s="1">
        <f ca="1">IFERROR(__xludf.UNSUPPORTED("""COMPUTED_VALUE"""),115.41)</f>
        <v>115.41</v>
      </c>
      <c r="C85" s="2">
        <f t="shared" ca="1" si="0"/>
        <v>2.1708926710663425E-3</v>
      </c>
    </row>
    <row r="86" spans="1:3">
      <c r="A86" s="3">
        <f ca="1">IFERROR(__xludf.UNSUPPORTED("""COMPUTED_VALUE"""),43588.6666666666)</f>
        <v>43588.666666666599</v>
      </c>
      <c r="B86" s="1">
        <f ca="1">IFERROR(__xludf.UNSUPPORTED("""COMPUTED_VALUE"""),116.12)</f>
        <v>116.12</v>
      </c>
      <c r="C86" s="2">
        <f t="shared" ca="1" si="0"/>
        <v>6.1519798977558958E-3</v>
      </c>
    </row>
    <row r="87" spans="1:3">
      <c r="A87" s="3">
        <f ca="1">IFERROR(__xludf.UNSUPPORTED("""COMPUTED_VALUE"""),43591.6666666666)</f>
        <v>43591.666666666599</v>
      </c>
      <c r="B87" s="1">
        <f ca="1">IFERROR(__xludf.UNSUPPORTED("""COMPUTED_VALUE"""),115.09)</f>
        <v>115.09</v>
      </c>
      <c r="C87" s="2">
        <f t="shared" ca="1" si="0"/>
        <v>-8.870134343782303E-3</v>
      </c>
    </row>
    <row r="88" spans="1:3">
      <c r="A88" s="3">
        <f ca="1">IFERROR(__xludf.UNSUPPORTED("""COMPUTED_VALUE"""),43592.6666666666)</f>
        <v>43592.666666666599</v>
      </c>
      <c r="B88" s="1">
        <f ca="1">IFERROR(__xludf.UNSUPPORTED("""COMPUTED_VALUE"""),113.21)</f>
        <v>113.21</v>
      </c>
      <c r="C88" s="2">
        <f t="shared" ca="1" si="0"/>
        <v>-1.6335042140933266E-2</v>
      </c>
    </row>
    <row r="89" spans="1:3">
      <c r="A89" s="3">
        <f ca="1">IFERROR(__xludf.UNSUPPORTED("""COMPUTED_VALUE"""),43593.6666666666)</f>
        <v>43593.666666666599</v>
      </c>
      <c r="B89" s="1">
        <f ca="1">IFERROR(__xludf.UNSUPPORTED("""COMPUTED_VALUE"""),112.61)</f>
        <v>112.61</v>
      </c>
      <c r="C89" s="2">
        <f t="shared" ca="1" si="0"/>
        <v>-5.2998851691546181E-3</v>
      </c>
    </row>
    <row r="90" spans="1:3">
      <c r="A90" s="3">
        <f ca="1">IFERROR(__xludf.UNSUPPORTED("""COMPUTED_VALUE"""),43594.6666666666)</f>
        <v>43594.666666666599</v>
      </c>
      <c r="B90" s="1">
        <f ca="1">IFERROR(__xludf.UNSUPPORTED("""COMPUTED_VALUE"""),112.52)</f>
        <v>112.52</v>
      </c>
      <c r="C90" s="2">
        <f t="shared" ca="1" si="0"/>
        <v>-7.9921854187020168E-4</v>
      </c>
    </row>
    <row r="91" spans="1:3">
      <c r="A91" s="3">
        <f ca="1">IFERROR(__xludf.UNSUPPORTED("""COMPUTED_VALUE"""),43595.6666666666)</f>
        <v>43595.666666666599</v>
      </c>
      <c r="B91" s="1">
        <f ca="1">IFERROR(__xludf.UNSUPPORTED("""COMPUTED_VALUE"""),112.51)</f>
        <v>112.51</v>
      </c>
      <c r="C91" s="2">
        <f t="shared" ca="1" si="0"/>
        <v>-8.8873089228500756E-5</v>
      </c>
    </row>
    <row r="92" spans="1:3">
      <c r="A92" s="3">
        <f ca="1">IFERROR(__xludf.UNSUPPORTED("""COMPUTED_VALUE"""),43598.6666666666)</f>
        <v>43598.666666666599</v>
      </c>
      <c r="B92" s="1">
        <f ca="1">IFERROR(__xludf.UNSUPPORTED("""COMPUTED_VALUE"""),109.45)</f>
        <v>109.45</v>
      </c>
      <c r="C92" s="2">
        <f t="shared" ca="1" si="0"/>
        <v>-2.7197582437116719E-2</v>
      </c>
    </row>
    <row r="93" spans="1:3">
      <c r="A93" s="3">
        <f ca="1">IFERROR(__xludf.UNSUPPORTED("""COMPUTED_VALUE"""),43599.6666666666)</f>
        <v>43599.666666666599</v>
      </c>
      <c r="B93" s="1">
        <f ca="1">IFERROR(__xludf.UNSUPPORTED("""COMPUTED_VALUE"""),110.32)</f>
        <v>110.32</v>
      </c>
      <c r="C93" s="2">
        <f t="shared" ca="1" si="0"/>
        <v>7.9488350845133872E-3</v>
      </c>
    </row>
    <row r="94" spans="1:3">
      <c r="A94" s="3">
        <f ca="1">IFERROR(__xludf.UNSUPPORTED("""COMPUTED_VALUE"""),43600.6666666666)</f>
        <v>43600.666666666599</v>
      </c>
      <c r="B94" s="1">
        <f ca="1">IFERROR(__xludf.UNSUPPORTED("""COMPUTED_VALUE"""),109.9)</f>
        <v>109.9</v>
      </c>
      <c r="C94" s="2">
        <f t="shared" ca="1" si="0"/>
        <v>-3.8071065989846585E-3</v>
      </c>
    </row>
    <row r="95" spans="1:3">
      <c r="A95" s="3">
        <f ca="1">IFERROR(__xludf.UNSUPPORTED("""COMPUTED_VALUE"""),43601.6666666666)</f>
        <v>43601.666666666599</v>
      </c>
      <c r="B95" s="1">
        <f ca="1">IFERROR(__xludf.UNSUPPORTED("""COMPUTED_VALUE"""),111.31)</f>
        <v>111.31</v>
      </c>
      <c r="C95" s="2">
        <f t="shared" ca="1" si="0"/>
        <v>1.2829845313921716E-2</v>
      </c>
    </row>
    <row r="96" spans="1:3">
      <c r="A96" s="3">
        <f ca="1">IFERROR(__xludf.UNSUPPORTED("""COMPUTED_VALUE"""),43602.6666666666)</f>
        <v>43602.666666666599</v>
      </c>
      <c r="B96" s="1">
        <f ca="1">IFERROR(__xludf.UNSUPPORTED("""COMPUTED_VALUE"""),110.77)</f>
        <v>110.77</v>
      </c>
      <c r="C96" s="2">
        <f t="shared" ca="1" si="0"/>
        <v>-4.8513161441021135E-3</v>
      </c>
    </row>
    <row r="97" spans="1:3">
      <c r="A97" s="3">
        <f ca="1">IFERROR(__xludf.UNSUPPORTED("""COMPUTED_VALUE"""),43605.6666666666)</f>
        <v>43605.666666666599</v>
      </c>
      <c r="B97" s="1">
        <f ca="1">IFERROR(__xludf.UNSUPPORTED("""COMPUTED_VALUE"""),111.35)</f>
        <v>111.35</v>
      </c>
      <c r="C97" s="2">
        <f t="shared" ca="1" si="0"/>
        <v>5.2360747494808908E-3</v>
      </c>
    </row>
    <row r="98" spans="1:3">
      <c r="A98" s="3">
        <f ca="1">IFERROR(__xludf.UNSUPPORTED("""COMPUTED_VALUE"""),43606.6666666666)</f>
        <v>43606.666666666599</v>
      </c>
      <c r="B98" s="1">
        <f ca="1">IFERROR(__xludf.UNSUPPORTED("""COMPUTED_VALUE"""),111.73)</f>
        <v>111.73</v>
      </c>
      <c r="C98" s="2">
        <f t="shared" ca="1" si="0"/>
        <v>3.4126627750337645E-3</v>
      </c>
    </row>
    <row r="99" spans="1:3">
      <c r="A99" s="3">
        <f ca="1">IFERROR(__xludf.UNSUPPORTED("""COMPUTED_VALUE"""),43607.6666666666)</f>
        <v>43607.666666666599</v>
      </c>
      <c r="B99" s="1">
        <f ca="1">IFERROR(__xludf.UNSUPPORTED("""COMPUTED_VALUE"""),110.82)</f>
        <v>110.82</v>
      </c>
      <c r="C99" s="2">
        <f t="shared" ca="1" si="0"/>
        <v>-8.1446343864674739E-3</v>
      </c>
    </row>
    <row r="100" spans="1:3">
      <c r="A100" s="3">
        <f ca="1">IFERROR(__xludf.UNSUPPORTED("""COMPUTED_VALUE"""),43608.6666666666)</f>
        <v>43608.666666666599</v>
      </c>
      <c r="B100" s="1">
        <f ca="1">IFERROR(__xludf.UNSUPPORTED("""COMPUTED_VALUE"""),108.64)</f>
        <v>108.64</v>
      </c>
      <c r="C100" s="2">
        <f t="shared" ca="1" si="0"/>
        <v>-1.9671539433315222E-2</v>
      </c>
    </row>
    <row r="101" spans="1:3">
      <c r="A101" s="3">
        <f ca="1">IFERROR(__xludf.UNSUPPORTED("""COMPUTED_VALUE"""),43609.6666666666)</f>
        <v>43609.666666666599</v>
      </c>
      <c r="B101" s="1">
        <f ca="1">IFERROR(__xludf.UNSUPPORTED("""COMPUTED_VALUE"""),109.71)</f>
        <v>109.71</v>
      </c>
      <c r="C101" s="2">
        <f t="shared" ca="1" si="0"/>
        <v>9.8490427098673894E-3</v>
      </c>
    </row>
    <row r="102" spans="1:3">
      <c r="A102" s="3">
        <f ca="1">IFERROR(__xludf.UNSUPPORTED("""COMPUTED_VALUE"""),43613.6666666666)</f>
        <v>43613.666666666599</v>
      </c>
      <c r="B102" s="1">
        <f ca="1">IFERROR(__xludf.UNSUPPORTED("""COMPUTED_VALUE"""),108.52)</f>
        <v>108.52</v>
      </c>
      <c r="C102" s="2">
        <f t="shared" ca="1" si="0"/>
        <v>-1.0846777868927151E-2</v>
      </c>
    </row>
    <row r="103" spans="1:3">
      <c r="A103" s="3">
        <f ca="1">IFERROR(__xludf.UNSUPPORTED("""COMPUTED_VALUE"""),43614.6666666666)</f>
        <v>43614.666666666599</v>
      </c>
      <c r="B103" s="1">
        <f ca="1">IFERROR(__xludf.UNSUPPORTED("""COMPUTED_VALUE"""),108.22)</f>
        <v>108.22</v>
      </c>
      <c r="C103" s="2">
        <f t="shared" ca="1" si="0"/>
        <v>-2.7644673792848982E-3</v>
      </c>
    </row>
    <row r="104" spans="1:3">
      <c r="A104" s="3">
        <f ca="1">IFERROR(__xludf.UNSUPPORTED("""COMPUTED_VALUE"""),43615.6666666666)</f>
        <v>43615.666666666599</v>
      </c>
      <c r="B104" s="1">
        <f ca="1">IFERROR(__xludf.UNSUPPORTED("""COMPUTED_VALUE"""),107.06)</f>
        <v>107.06</v>
      </c>
      <c r="C104" s="2">
        <f t="shared" ca="1" si="0"/>
        <v>-1.0718905932359976E-2</v>
      </c>
    </row>
    <row r="105" spans="1:3">
      <c r="A105" s="3">
        <f ca="1">IFERROR(__xludf.UNSUPPORTED("""COMPUTED_VALUE"""),43616.6666666666)</f>
        <v>43616.666666666599</v>
      </c>
      <c r="B105" s="1">
        <f ca="1">IFERROR(__xludf.UNSUPPORTED("""COMPUTED_VALUE"""),105.96)</f>
        <v>105.96</v>
      </c>
      <c r="C105" s="2">
        <f t="shared" ca="1" si="0"/>
        <v>-1.0274612366897147E-2</v>
      </c>
    </row>
    <row r="106" spans="1:3">
      <c r="A106" s="3">
        <f ca="1">IFERROR(__xludf.UNSUPPORTED("""COMPUTED_VALUE"""),43619.6666666666)</f>
        <v>43619.666666666599</v>
      </c>
      <c r="B106" s="1">
        <f ca="1">IFERROR(__xludf.UNSUPPORTED("""COMPUTED_VALUE"""),106.46)</f>
        <v>106.46</v>
      </c>
      <c r="C106" s="2">
        <f t="shared" ca="1" si="0"/>
        <v>4.7187617969044922E-3</v>
      </c>
    </row>
    <row r="107" spans="1:3">
      <c r="A107" s="3">
        <f ca="1">IFERROR(__xludf.UNSUPPORTED("""COMPUTED_VALUE"""),43620.6666666666)</f>
        <v>43620.666666666599</v>
      </c>
      <c r="B107" s="1">
        <f ca="1">IFERROR(__xludf.UNSUPPORTED("""COMPUTED_VALUE"""),109.74)</f>
        <v>109.74</v>
      </c>
      <c r="C107" s="2">
        <f t="shared" ca="1" si="0"/>
        <v>3.080969378170206E-2</v>
      </c>
    </row>
    <row r="108" spans="1:3">
      <c r="A108" s="3">
        <f ca="1">IFERROR(__xludf.UNSUPPORTED("""COMPUTED_VALUE"""),43621.6666666666)</f>
        <v>43621.666666666599</v>
      </c>
      <c r="B108" s="1">
        <f ca="1">IFERROR(__xludf.UNSUPPORTED("""COMPUTED_VALUE"""),110.13)</f>
        <v>110.13</v>
      </c>
      <c r="C108" s="2">
        <f t="shared" ca="1" si="0"/>
        <v>3.5538545653362548E-3</v>
      </c>
    </row>
    <row r="109" spans="1:3">
      <c r="A109" s="3">
        <f ca="1">IFERROR(__xludf.UNSUPPORTED("""COMPUTED_VALUE"""),43622.6666666666)</f>
        <v>43622.666666666599</v>
      </c>
      <c r="B109" s="1">
        <f ca="1">IFERROR(__xludf.UNSUPPORTED("""COMPUTED_VALUE"""),110.37)</f>
        <v>110.37</v>
      </c>
      <c r="C109" s="2">
        <f t="shared" ca="1" si="0"/>
        <v>2.1792427131572607E-3</v>
      </c>
    </row>
    <row r="110" spans="1:3">
      <c r="A110" s="3">
        <f ca="1">IFERROR(__xludf.UNSUPPORTED("""COMPUTED_VALUE"""),43623.6666666666)</f>
        <v>43623.666666666599</v>
      </c>
      <c r="B110" s="1">
        <f ca="1">IFERROR(__xludf.UNSUPPORTED("""COMPUTED_VALUE"""),109.16)</f>
        <v>109.16</v>
      </c>
      <c r="C110" s="2">
        <f t="shared" ca="1" si="0"/>
        <v>-1.0963124037329056E-2</v>
      </c>
    </row>
    <row r="111" spans="1:3">
      <c r="A111" s="3">
        <f ca="1">IFERROR(__xludf.UNSUPPORTED("""COMPUTED_VALUE"""),43626.6666666666)</f>
        <v>43626.666666666599</v>
      </c>
      <c r="B111" s="1">
        <f ca="1">IFERROR(__xludf.UNSUPPORTED("""COMPUTED_VALUE"""),110.34)</f>
        <v>110.34</v>
      </c>
      <c r="C111" s="2">
        <f t="shared" ca="1" si="0"/>
        <v>1.0809820447050264E-2</v>
      </c>
    </row>
    <row r="112" spans="1:3">
      <c r="A112" s="3">
        <f ca="1">IFERROR(__xludf.UNSUPPORTED("""COMPUTED_VALUE"""),43627.6666666666)</f>
        <v>43627.666666666599</v>
      </c>
      <c r="B112" s="1">
        <f ca="1">IFERROR(__xludf.UNSUPPORTED("""COMPUTED_VALUE"""),110.68)</f>
        <v>110.68</v>
      </c>
      <c r="C112" s="2">
        <f t="shared" ca="1" si="0"/>
        <v>3.0813848105854941E-3</v>
      </c>
    </row>
    <row r="113" spans="1:3">
      <c r="A113" s="3">
        <f ca="1">IFERROR(__xludf.UNSUPPORTED("""COMPUTED_VALUE"""),43628.6666666666)</f>
        <v>43628.666666666599</v>
      </c>
      <c r="B113" s="1">
        <f ca="1">IFERROR(__xludf.UNSUPPORTED("""COMPUTED_VALUE"""),109.27)</f>
        <v>109.27</v>
      </c>
      <c r="C113" s="2">
        <f t="shared" ca="1" si="0"/>
        <v>-1.2739428984459801E-2</v>
      </c>
    </row>
    <row r="114" spans="1:3">
      <c r="A114" s="3">
        <f ca="1">IFERROR(__xludf.UNSUPPORTED("""COMPUTED_VALUE"""),43629.6666666666)</f>
        <v>43629.666666666599</v>
      </c>
      <c r="B114" s="1">
        <f ca="1">IFERROR(__xludf.UNSUPPORTED("""COMPUTED_VALUE"""),109.54)</f>
        <v>109.54</v>
      </c>
      <c r="C114" s="2">
        <f t="shared" ca="1" si="0"/>
        <v>2.470943534364512E-3</v>
      </c>
    </row>
    <row r="115" spans="1:3">
      <c r="A115" s="3">
        <f ca="1">IFERROR(__xludf.UNSUPPORTED("""COMPUTED_VALUE"""),43630.6666666666)</f>
        <v>43630.666666666599</v>
      </c>
      <c r="B115" s="1">
        <f ca="1">IFERROR(__xludf.UNSUPPORTED("""COMPUTED_VALUE"""),109.82)</f>
        <v>109.82</v>
      </c>
      <c r="C115" s="2">
        <f t="shared" ca="1" si="0"/>
        <v>2.5561438743836673E-3</v>
      </c>
    </row>
    <row r="116" spans="1:3">
      <c r="A116" s="3">
        <f ca="1">IFERROR(__xludf.UNSUPPORTED("""COMPUTED_VALUE"""),43633.6666666666)</f>
        <v>43633.666666666599</v>
      </c>
      <c r="B116" s="1">
        <f ca="1">IFERROR(__xludf.UNSUPPORTED("""COMPUTED_VALUE"""),109.22)</f>
        <v>109.22</v>
      </c>
      <c r="C116" s="2">
        <f t="shared" ca="1" si="0"/>
        <v>-5.4634857038790233E-3</v>
      </c>
    </row>
    <row r="117" spans="1:3">
      <c r="A117" s="3">
        <f ca="1">IFERROR(__xludf.UNSUPPORTED("""COMPUTED_VALUE"""),43634.6666666666)</f>
        <v>43634.666666666599</v>
      </c>
      <c r="B117" s="1">
        <f ca="1">IFERROR(__xludf.UNSUPPORTED("""COMPUTED_VALUE"""),110.71)</f>
        <v>110.71</v>
      </c>
      <c r="C117" s="2">
        <f t="shared" ca="1" si="0"/>
        <v>1.3642190075077778E-2</v>
      </c>
    </row>
    <row r="118" spans="1:3">
      <c r="A118" s="3">
        <f ca="1">IFERROR(__xludf.UNSUPPORTED("""COMPUTED_VALUE"""),43635.6666666666)</f>
        <v>43635.666666666599</v>
      </c>
      <c r="B118" s="1">
        <f ca="1">IFERROR(__xludf.UNSUPPORTED("""COMPUTED_VALUE"""),109.91)</f>
        <v>109.91</v>
      </c>
      <c r="C118" s="2">
        <f t="shared" ca="1" si="0"/>
        <v>-7.2260861710775649E-3</v>
      </c>
    </row>
    <row r="119" spans="1:3">
      <c r="A119" s="3">
        <f ca="1">IFERROR(__xludf.UNSUPPORTED("""COMPUTED_VALUE"""),43636.6666666666)</f>
        <v>43636.666666666599</v>
      </c>
      <c r="B119" s="1">
        <f ca="1">IFERROR(__xludf.UNSUPPORTED("""COMPUTED_VALUE"""),110.19)</f>
        <v>110.19</v>
      </c>
      <c r="C119" s="2">
        <f t="shared" ca="1" si="0"/>
        <v>2.5475388954599321E-3</v>
      </c>
    </row>
    <row r="120" spans="1:3">
      <c r="A120" s="3">
        <f ca="1">IFERROR(__xludf.UNSUPPORTED("""COMPUTED_VALUE"""),43637.6666666666)</f>
        <v>43637.666666666599</v>
      </c>
      <c r="B120" s="1">
        <f ca="1">IFERROR(__xludf.UNSUPPORTED("""COMPUTED_VALUE"""),109.44)</f>
        <v>109.44</v>
      </c>
      <c r="C120" s="2">
        <f t="shared" ca="1" si="0"/>
        <v>-6.8064252654505856E-3</v>
      </c>
    </row>
    <row r="121" spans="1:3">
      <c r="A121" s="3">
        <f ca="1">IFERROR(__xludf.UNSUPPORTED("""COMPUTED_VALUE"""),43640.6666666666)</f>
        <v>43640.666666666599</v>
      </c>
      <c r="B121" s="1">
        <f ca="1">IFERROR(__xludf.UNSUPPORTED("""COMPUTED_VALUE"""),108.66)</f>
        <v>108.66</v>
      </c>
      <c r="C121" s="2">
        <f t="shared" ca="1" si="0"/>
        <v>-7.1271929824561512E-3</v>
      </c>
    </row>
    <row r="122" spans="1:3">
      <c r="A122" s="3">
        <f ca="1">IFERROR(__xludf.UNSUPPORTED("""COMPUTED_VALUE"""),43641.6666666666)</f>
        <v>43641.666666666599</v>
      </c>
      <c r="B122" s="1">
        <f ca="1">IFERROR(__xludf.UNSUPPORTED("""COMPUTED_VALUE"""),107.76)</f>
        <v>107.76</v>
      </c>
      <c r="C122" s="2">
        <f t="shared" ca="1" si="0"/>
        <v>-8.2827167310877189E-3</v>
      </c>
    </row>
    <row r="123" spans="1:3">
      <c r="A123" s="3">
        <f ca="1">IFERROR(__xludf.UNSUPPORTED("""COMPUTED_VALUE"""),43642.6666666666)</f>
        <v>43642.666666666599</v>
      </c>
      <c r="B123" s="1">
        <f ca="1">IFERROR(__xludf.UNSUPPORTED("""COMPUTED_VALUE"""),108.48)</f>
        <v>108.48</v>
      </c>
      <c r="C123" s="2">
        <f t="shared" ca="1" si="0"/>
        <v>6.6815144766146882E-3</v>
      </c>
    </row>
    <row r="124" spans="1:3">
      <c r="A124" s="3">
        <f ca="1">IFERROR(__xludf.UNSUPPORTED("""COMPUTED_VALUE"""),43643.6666666666)</f>
        <v>43643.666666666599</v>
      </c>
      <c r="B124" s="1">
        <f ca="1">IFERROR(__xludf.UNSUPPORTED("""COMPUTED_VALUE"""),108.84)</f>
        <v>108.84</v>
      </c>
      <c r="C124" s="2">
        <f t="shared" ca="1" si="0"/>
        <v>3.3185840707964549E-3</v>
      </c>
    </row>
    <row r="125" spans="1:3">
      <c r="A125" s="3">
        <f ca="1">IFERROR(__xludf.UNSUPPORTED("""COMPUTED_VALUE"""),43644.6666666666)</f>
        <v>43644.666666666599</v>
      </c>
      <c r="B125" s="1">
        <f ca="1">IFERROR(__xludf.UNSUPPORTED("""COMPUTED_VALUE"""),111.8)</f>
        <v>111.8</v>
      </c>
      <c r="C125" s="2">
        <f t="shared" ca="1" si="0"/>
        <v>2.7195883866225595E-2</v>
      </c>
    </row>
    <row r="126" spans="1:3">
      <c r="A126" s="3">
        <f ca="1">IFERROR(__xludf.UNSUPPORTED("""COMPUTED_VALUE"""),43647.6666666666)</f>
        <v>43647.666666666599</v>
      </c>
      <c r="B126" s="1">
        <f ca="1">IFERROR(__xludf.UNSUPPORTED("""COMPUTED_VALUE"""),113.68)</f>
        <v>113.68</v>
      </c>
      <c r="C126" s="2">
        <f t="shared" ca="1" si="0"/>
        <v>1.6815742397137831E-2</v>
      </c>
    </row>
    <row r="127" spans="1:3">
      <c r="A127" s="3">
        <f ca="1">IFERROR(__xludf.UNSUPPORTED("""COMPUTED_VALUE"""),43648.6666666666)</f>
        <v>43648.666666666599</v>
      </c>
      <c r="B127" s="1">
        <f ca="1">IFERROR(__xludf.UNSUPPORTED("""COMPUTED_VALUE"""),113.8)</f>
        <v>113.8</v>
      </c>
      <c r="C127" s="2">
        <f t="shared" ca="1" si="0"/>
        <v>1.0555946516536798E-3</v>
      </c>
    </row>
    <row r="128" spans="1:3">
      <c r="A128" s="3">
        <f ca="1">IFERROR(__xludf.UNSUPPORTED("""COMPUTED_VALUE"""),43649.5416666666)</f>
        <v>43649.541666666599</v>
      </c>
      <c r="B128" s="1">
        <f ca="1">IFERROR(__xludf.UNSUPPORTED("""COMPUTED_VALUE"""),112.82)</f>
        <v>112.82</v>
      </c>
      <c r="C128" s="2">
        <f t="shared" ca="1" si="0"/>
        <v>-8.6115992970123376E-3</v>
      </c>
    </row>
    <row r="129" spans="1:3">
      <c r="A129" s="3">
        <f ca="1">IFERROR(__xludf.UNSUPPORTED("""COMPUTED_VALUE"""),43651.6666666666)</f>
        <v>43651.666666666599</v>
      </c>
      <c r="B129" s="1">
        <f ca="1">IFERROR(__xludf.UNSUPPORTED("""COMPUTED_VALUE"""),113.49)</f>
        <v>113.49</v>
      </c>
      <c r="C129" s="2">
        <f t="shared" ca="1" si="0"/>
        <v>5.9386633575607313E-3</v>
      </c>
    </row>
    <row r="130" spans="1:3">
      <c r="A130" s="3">
        <f ca="1">IFERROR(__xludf.UNSUPPORTED("""COMPUTED_VALUE"""),43654.6666666666)</f>
        <v>43654.666666666599</v>
      </c>
      <c r="B130" s="1">
        <f ca="1">IFERROR(__xludf.UNSUPPORTED("""COMPUTED_VALUE"""),112.87)</f>
        <v>112.87</v>
      </c>
      <c r="C130" s="2">
        <f t="shared" ca="1" si="0"/>
        <v>-5.4630363908713571E-3</v>
      </c>
    </row>
    <row r="131" spans="1:3">
      <c r="A131" s="3">
        <f ca="1">IFERROR(__xludf.UNSUPPORTED("""COMPUTED_VALUE"""),43655.6666666666)</f>
        <v>43655.666666666599</v>
      </c>
      <c r="B131" s="1">
        <f ca="1">IFERROR(__xludf.UNSUPPORTED("""COMPUTED_VALUE"""),113.35)</f>
        <v>113.35</v>
      </c>
      <c r="C131" s="2">
        <f t="shared" ca="1" si="0"/>
        <v>4.2526800744218107E-3</v>
      </c>
    </row>
    <row r="132" spans="1:3">
      <c r="A132" s="3">
        <f ca="1">IFERROR(__xludf.UNSUPPORTED("""COMPUTED_VALUE"""),43656.6666666666)</f>
        <v>43656.666666666599</v>
      </c>
      <c r="B132" s="1">
        <f ca="1">IFERROR(__xludf.UNSUPPORTED("""COMPUTED_VALUE"""),113.02)</f>
        <v>113.02</v>
      </c>
      <c r="C132" s="2">
        <f t="shared" ca="1" si="0"/>
        <v>-2.9113365681517275E-3</v>
      </c>
    </row>
    <row r="133" spans="1:3">
      <c r="A133" s="3">
        <f ca="1">IFERROR(__xludf.UNSUPPORTED("""COMPUTED_VALUE"""),43657.6666666666)</f>
        <v>43657.666666666599</v>
      </c>
      <c r="B133" s="1">
        <f ca="1">IFERROR(__xludf.UNSUPPORTED("""COMPUTED_VALUE"""),114.1)</f>
        <v>114.1</v>
      </c>
      <c r="C133" s="2">
        <f t="shared" ca="1" si="0"/>
        <v>9.5558308264023922E-3</v>
      </c>
    </row>
    <row r="134" spans="1:3">
      <c r="A134" s="3">
        <f ca="1">IFERROR(__xludf.UNSUPPORTED("""COMPUTED_VALUE"""),43658.6666666666)</f>
        <v>43658.666666666599</v>
      </c>
      <c r="B134" s="1">
        <f ca="1">IFERROR(__xludf.UNSUPPORTED("""COMPUTED_VALUE"""),115.3)</f>
        <v>115.3</v>
      </c>
      <c r="C134" s="2">
        <f t="shared" ca="1" si="0"/>
        <v>1.0517090271691525E-2</v>
      </c>
    </row>
    <row r="135" spans="1:3">
      <c r="A135" s="3">
        <f ca="1">IFERROR(__xludf.UNSUPPORTED("""COMPUTED_VALUE"""),43661.6666666666)</f>
        <v>43661.666666666599</v>
      </c>
      <c r="B135" s="1">
        <f ca="1">IFERROR(__xludf.UNSUPPORTED("""COMPUTED_VALUE"""),113.9)</f>
        <v>113.9</v>
      </c>
      <c r="C135" s="2">
        <f t="shared" ca="1" si="0"/>
        <v>-1.2142237640936613E-2</v>
      </c>
    </row>
    <row r="136" spans="1:3">
      <c r="A136" s="3">
        <f ca="1">IFERROR(__xludf.UNSUPPORTED("""COMPUTED_VALUE"""),43662.6666666666)</f>
        <v>43662.666666666599</v>
      </c>
      <c r="B136" s="1">
        <f ca="1">IFERROR(__xludf.UNSUPPORTED("""COMPUTED_VALUE"""),115.12)</f>
        <v>115.12</v>
      </c>
      <c r="C136" s="2">
        <f t="shared" ca="1" si="0"/>
        <v>1.0711150131694458E-2</v>
      </c>
    </row>
    <row r="137" spans="1:3">
      <c r="A137" s="3">
        <f ca="1">IFERROR(__xludf.UNSUPPORTED("""COMPUTED_VALUE"""),43663.6666666666)</f>
        <v>43663.666666666599</v>
      </c>
      <c r="B137" s="1">
        <f ca="1">IFERROR(__xludf.UNSUPPORTED("""COMPUTED_VALUE"""),113.99)</f>
        <v>113.99</v>
      </c>
      <c r="C137" s="2">
        <f t="shared" ca="1" si="0"/>
        <v>-9.8158443363447669E-3</v>
      </c>
    </row>
    <row r="138" spans="1:3">
      <c r="A138" s="3">
        <f ca="1">IFERROR(__xludf.UNSUPPORTED("""COMPUTED_VALUE"""),43664.6666666666)</f>
        <v>43664.666666666599</v>
      </c>
      <c r="B138" s="1">
        <f ca="1">IFERROR(__xludf.UNSUPPORTED("""COMPUTED_VALUE"""),114.67)</f>
        <v>114.67</v>
      </c>
      <c r="C138" s="2">
        <f t="shared" ca="1" si="0"/>
        <v>5.9654355645232639E-3</v>
      </c>
    </row>
    <row r="139" spans="1:3">
      <c r="A139" s="3">
        <f ca="1">IFERROR(__xludf.UNSUPPORTED("""COMPUTED_VALUE"""),43665.6666666666)</f>
        <v>43665.666666666599</v>
      </c>
      <c r="B139" s="1">
        <f ca="1">IFERROR(__xludf.UNSUPPORTED("""COMPUTED_VALUE"""),113.54)</f>
        <v>113.54</v>
      </c>
      <c r="C139" s="2">
        <f t="shared" ca="1" si="0"/>
        <v>-9.8543646987005792E-3</v>
      </c>
    </row>
    <row r="140" spans="1:3">
      <c r="A140" s="3">
        <f ca="1">IFERROR(__xludf.UNSUPPORTED("""COMPUTED_VALUE"""),43668.6666666666)</f>
        <v>43668.666666666599</v>
      </c>
      <c r="B140" s="1">
        <f ca="1">IFERROR(__xludf.UNSUPPORTED("""COMPUTED_VALUE"""),114.27)</f>
        <v>114.27</v>
      </c>
      <c r="C140" s="2">
        <f t="shared" ca="1" si="0"/>
        <v>6.429452175444687E-3</v>
      </c>
    </row>
    <row r="141" spans="1:3">
      <c r="A141" s="3">
        <f ca="1">IFERROR(__xludf.UNSUPPORTED("""COMPUTED_VALUE"""),43669.6666666666)</f>
        <v>43669.666666666599</v>
      </c>
      <c r="B141" s="1">
        <f ca="1">IFERROR(__xludf.UNSUPPORTED("""COMPUTED_VALUE"""),116.36)</f>
        <v>116.36</v>
      </c>
      <c r="C141" s="2">
        <f t="shared" ca="1" si="0"/>
        <v>1.8290014877045624E-2</v>
      </c>
    </row>
    <row r="142" spans="1:3">
      <c r="A142" s="3">
        <f ca="1">IFERROR(__xludf.UNSUPPORTED("""COMPUTED_VALUE"""),43670.6666666666)</f>
        <v>43670.666666666599</v>
      </c>
      <c r="B142" s="1">
        <f ca="1">IFERROR(__xludf.UNSUPPORTED("""COMPUTED_VALUE"""),116.83)</f>
        <v>116.83</v>
      </c>
      <c r="C142" s="2">
        <f t="shared" ca="1" si="0"/>
        <v>4.0391887246476353E-3</v>
      </c>
    </row>
    <row r="143" spans="1:3">
      <c r="A143" s="3">
        <f ca="1">IFERROR(__xludf.UNSUPPORTED("""COMPUTED_VALUE"""),43671.6666666666)</f>
        <v>43671.666666666599</v>
      </c>
      <c r="B143" s="1">
        <f ca="1">IFERROR(__xludf.UNSUPPORTED("""COMPUTED_VALUE"""),115.71)</f>
        <v>115.71</v>
      </c>
      <c r="C143" s="2">
        <f t="shared" ca="1" si="0"/>
        <v>-9.5865787896944662E-3</v>
      </c>
    </row>
    <row r="144" spans="1:3">
      <c r="A144" s="3">
        <f ca="1">IFERROR(__xludf.UNSUPPORTED("""COMPUTED_VALUE"""),43672.6666666666)</f>
        <v>43672.666666666599</v>
      </c>
      <c r="B144" s="1">
        <f ca="1">IFERROR(__xludf.UNSUPPORTED("""COMPUTED_VALUE"""),116.22)</f>
        <v>116.22</v>
      </c>
      <c r="C144" s="2">
        <f t="shared" ca="1" si="0"/>
        <v>4.4075706507648877E-3</v>
      </c>
    </row>
    <row r="145" spans="1:3">
      <c r="A145" s="3">
        <f ca="1">IFERROR(__xludf.UNSUPPORTED("""COMPUTED_VALUE"""),43675.6666666666)</f>
        <v>43675.666666666599</v>
      </c>
      <c r="B145" s="1">
        <f ca="1">IFERROR(__xludf.UNSUPPORTED("""COMPUTED_VALUE"""),115.85)</f>
        <v>115.85</v>
      </c>
      <c r="C145" s="2">
        <f t="shared" ca="1" si="0"/>
        <v>-3.1836172775770483E-3</v>
      </c>
    </row>
    <row r="146" spans="1:3">
      <c r="A146" s="3">
        <f ca="1">IFERROR(__xludf.UNSUPPORTED("""COMPUTED_VALUE"""),43676.6666666666)</f>
        <v>43676.666666666599</v>
      </c>
      <c r="B146" s="1">
        <f ca="1">IFERROR(__xludf.UNSUPPORTED("""COMPUTED_VALUE"""),115.59)</f>
        <v>115.59</v>
      </c>
      <c r="C146" s="2">
        <f t="shared" ca="1" si="0"/>
        <v>-2.2442813983598697E-3</v>
      </c>
    </row>
    <row r="147" spans="1:3">
      <c r="A147" s="3">
        <f ca="1">IFERROR(__xludf.UNSUPPORTED("""COMPUTED_VALUE"""),43677.6666666666)</f>
        <v>43677.666666666599</v>
      </c>
      <c r="B147" s="1">
        <f ca="1">IFERROR(__xludf.UNSUPPORTED("""COMPUTED_VALUE"""),116)</f>
        <v>116</v>
      </c>
      <c r="C147" s="2">
        <f t="shared" ca="1" si="0"/>
        <v>3.5470196383769925E-3</v>
      </c>
    </row>
    <row r="148" spans="1:3">
      <c r="A148" s="3">
        <f ca="1">IFERROR(__xludf.UNSUPPORTED("""COMPUTED_VALUE"""),43678.6666666666)</f>
        <v>43678.666666666599</v>
      </c>
      <c r="B148" s="1">
        <f ca="1">IFERROR(__xludf.UNSUPPORTED("""COMPUTED_VALUE"""),112.94)</f>
        <v>112.94</v>
      </c>
      <c r="C148" s="2">
        <f t="shared" ca="1" si="0"/>
        <v>-2.6379310344827607E-2</v>
      </c>
    </row>
    <row r="149" spans="1:3">
      <c r="A149" s="3">
        <f ca="1">IFERROR(__xludf.UNSUPPORTED("""COMPUTED_VALUE"""),43679.6666666666)</f>
        <v>43679.666666666599</v>
      </c>
      <c r="B149" s="1">
        <f ca="1">IFERROR(__xludf.UNSUPPORTED("""COMPUTED_VALUE"""),112.93)</f>
        <v>112.93</v>
      </c>
      <c r="C149" s="2">
        <f t="shared" ca="1" si="0"/>
        <v>-8.8542588985221401E-5</v>
      </c>
    </row>
    <row r="150" spans="1:3">
      <c r="A150" s="3">
        <f ca="1">IFERROR(__xludf.UNSUPPORTED("""COMPUTED_VALUE"""),43682.6666666666)</f>
        <v>43682.666666666599</v>
      </c>
      <c r="B150" s="1">
        <f ca="1">IFERROR(__xludf.UNSUPPORTED("""COMPUTED_VALUE"""),109.57)</f>
        <v>109.57</v>
      </c>
      <c r="C150" s="2">
        <f t="shared" ca="1" si="0"/>
        <v>-2.9752944301779983E-2</v>
      </c>
    </row>
    <row r="151" spans="1:3">
      <c r="A151" s="3">
        <f ca="1">IFERROR(__xludf.UNSUPPORTED("""COMPUTED_VALUE"""),43683.6666666666)</f>
        <v>43683.666666666599</v>
      </c>
      <c r="B151" s="1">
        <f ca="1">IFERROR(__xludf.UNSUPPORTED("""COMPUTED_VALUE"""),110.43)</f>
        <v>110.43</v>
      </c>
      <c r="C151" s="2">
        <f t="shared" ca="1" si="0"/>
        <v>7.8488637400749624E-3</v>
      </c>
    </row>
    <row r="152" spans="1:3">
      <c r="A152" s="3">
        <f ca="1">IFERROR(__xludf.UNSUPPORTED("""COMPUTED_VALUE"""),43684.6666666666)</f>
        <v>43684.666666666599</v>
      </c>
      <c r="B152" s="1">
        <f ca="1">IFERROR(__xludf.UNSUPPORTED("""COMPUTED_VALUE"""),108.03)</f>
        <v>108.03</v>
      </c>
      <c r="C152" s="2">
        <f t="shared" ca="1" si="0"/>
        <v>-2.1733224667210047E-2</v>
      </c>
    </row>
    <row r="153" spans="1:3">
      <c r="A153" s="3">
        <f ca="1">IFERROR(__xludf.UNSUPPORTED("""COMPUTED_VALUE"""),43685.6666666666)</f>
        <v>43685.666666666599</v>
      </c>
      <c r="B153" s="1">
        <f ca="1">IFERROR(__xludf.UNSUPPORTED("""COMPUTED_VALUE"""),109.86)</f>
        <v>109.86</v>
      </c>
      <c r="C153" s="2">
        <f t="shared" ca="1" si="0"/>
        <v>1.6939738961399595E-2</v>
      </c>
    </row>
    <row r="154" spans="1:3">
      <c r="A154" s="3">
        <f ca="1">IFERROR(__xludf.UNSUPPORTED("""COMPUTED_VALUE"""),43686.6666666666)</f>
        <v>43686.666666666599</v>
      </c>
      <c r="B154" s="1">
        <f ca="1">IFERROR(__xludf.UNSUPPORTED("""COMPUTED_VALUE"""),109.74)</f>
        <v>109.74</v>
      </c>
      <c r="C154" s="2">
        <f t="shared" ca="1" si="0"/>
        <v>-1.0922992900055028E-3</v>
      </c>
    </row>
    <row r="155" spans="1:3">
      <c r="A155" s="3">
        <f ca="1">IFERROR(__xludf.UNSUPPORTED("""COMPUTED_VALUE"""),43689.6666666666)</f>
        <v>43689.666666666599</v>
      </c>
      <c r="B155" s="1">
        <f ca="1">IFERROR(__xludf.UNSUPPORTED("""COMPUTED_VALUE"""),107.68)</f>
        <v>107.68</v>
      </c>
      <c r="C155" s="2">
        <f t="shared" ca="1" si="0"/>
        <v>-1.8771642063058029E-2</v>
      </c>
    </row>
    <row r="156" spans="1:3">
      <c r="A156" s="3">
        <f ca="1">IFERROR(__xludf.UNSUPPORTED("""COMPUTED_VALUE"""),43690.6666666666)</f>
        <v>43690.666666666599</v>
      </c>
      <c r="B156" s="1">
        <f ca="1">IFERROR(__xludf.UNSUPPORTED("""COMPUTED_VALUE"""),109.34)</f>
        <v>109.34</v>
      </c>
      <c r="C156" s="2">
        <f t="shared" ca="1" si="0"/>
        <v>1.5416047548291201E-2</v>
      </c>
    </row>
    <row r="157" spans="1:3">
      <c r="A157" s="3">
        <f ca="1">IFERROR(__xludf.UNSUPPORTED("""COMPUTED_VALUE"""),43691.6666666666)</f>
        <v>43691.666666666599</v>
      </c>
      <c r="B157" s="1">
        <f ca="1">IFERROR(__xludf.UNSUPPORTED("""COMPUTED_VALUE"""),104.8)</f>
        <v>104.8</v>
      </c>
      <c r="C157" s="2">
        <f t="shared" ca="1" si="0"/>
        <v>-4.152185842326693E-2</v>
      </c>
    </row>
    <row r="158" spans="1:3">
      <c r="A158" s="3">
        <f ca="1">IFERROR(__xludf.UNSUPPORTED("""COMPUTED_VALUE"""),43692.6666666666)</f>
        <v>43692.666666666599</v>
      </c>
      <c r="B158" s="1">
        <f ca="1">IFERROR(__xludf.UNSUPPORTED("""COMPUTED_VALUE"""),105.2)</f>
        <v>105.2</v>
      </c>
      <c r="C158" s="2">
        <f t="shared" ca="1" si="0"/>
        <v>3.8167938931298255E-3</v>
      </c>
    </row>
    <row r="159" spans="1:3">
      <c r="A159" s="3">
        <f ca="1">IFERROR(__xludf.UNSUPPORTED("""COMPUTED_VALUE"""),43693.6666666666)</f>
        <v>43693.666666666599</v>
      </c>
      <c r="B159" s="1">
        <f ca="1">IFERROR(__xludf.UNSUPPORTED("""COMPUTED_VALUE"""),107.72)</f>
        <v>107.72</v>
      </c>
      <c r="C159" s="2">
        <f t="shared" ca="1" si="0"/>
        <v>2.3954372623574107E-2</v>
      </c>
    </row>
    <row r="160" spans="1:3">
      <c r="A160" s="3">
        <f ca="1">IFERROR(__xludf.UNSUPPORTED("""COMPUTED_VALUE"""),43696.6666666666)</f>
        <v>43696.666666666599</v>
      </c>
      <c r="B160" s="1">
        <f ca="1">IFERROR(__xludf.UNSUPPORTED("""COMPUTED_VALUE"""),108.69)</f>
        <v>108.69</v>
      </c>
      <c r="C160" s="2">
        <f t="shared" ca="1" si="0"/>
        <v>9.0048273301151036E-3</v>
      </c>
    </row>
    <row r="161" spans="1:3">
      <c r="A161" s="3">
        <f ca="1">IFERROR(__xludf.UNSUPPORTED("""COMPUTED_VALUE"""),43697.6666666666)</f>
        <v>43697.666666666599</v>
      </c>
      <c r="B161" s="1">
        <f ca="1">IFERROR(__xludf.UNSUPPORTED("""COMPUTED_VALUE"""),107.31)</f>
        <v>107.31</v>
      </c>
      <c r="C161" s="2">
        <f t="shared" ca="1" si="0"/>
        <v>-1.2696660226331728E-2</v>
      </c>
    </row>
    <row r="162" spans="1:3">
      <c r="A162" s="3">
        <f ca="1">IFERROR(__xludf.UNSUPPORTED("""COMPUTED_VALUE"""),43698.6666666666)</f>
        <v>43698.666666666599</v>
      </c>
      <c r="B162" s="1">
        <f ca="1">IFERROR(__xludf.UNSUPPORTED("""COMPUTED_VALUE"""),107.61)</f>
        <v>107.61</v>
      </c>
      <c r="C162" s="2">
        <f t="shared" ca="1" si="0"/>
        <v>2.7956388034665654E-3</v>
      </c>
    </row>
    <row r="163" spans="1:3">
      <c r="A163" s="3">
        <f ca="1">IFERROR(__xludf.UNSUPPORTED("""COMPUTED_VALUE"""),43699.6666666666)</f>
        <v>43699.666666666599</v>
      </c>
      <c r="B163" s="1">
        <f ca="1">IFERROR(__xludf.UNSUPPORTED("""COMPUTED_VALUE"""),108.72)</f>
        <v>108.72</v>
      </c>
      <c r="C163" s="2">
        <f t="shared" ca="1" si="0"/>
        <v>1.0315026484527454E-2</v>
      </c>
    </row>
    <row r="164" spans="1:3">
      <c r="A164" s="3">
        <f ca="1">IFERROR(__xludf.UNSUPPORTED("""COMPUTED_VALUE"""),43700.6666666666)</f>
        <v>43700.666666666599</v>
      </c>
      <c r="B164" s="1">
        <f ca="1">IFERROR(__xludf.UNSUPPORTED("""COMPUTED_VALUE"""),106.02)</f>
        <v>106.02</v>
      </c>
      <c r="C164" s="2">
        <f t="shared" ca="1" si="0"/>
        <v>-2.4834437086092741E-2</v>
      </c>
    </row>
    <row r="165" spans="1:3">
      <c r="A165" s="3">
        <f ca="1">IFERROR(__xludf.UNSUPPORTED("""COMPUTED_VALUE"""),43703.6666666666)</f>
        <v>43703.666666666599</v>
      </c>
      <c r="B165" s="1">
        <f ca="1">IFERROR(__xludf.UNSUPPORTED("""COMPUTED_VALUE"""),106.87)</f>
        <v>106.87</v>
      </c>
      <c r="C165" s="2">
        <f t="shared" ca="1" si="0"/>
        <v>8.0173552159970626E-3</v>
      </c>
    </row>
    <row r="166" spans="1:3">
      <c r="A166" s="3">
        <f ca="1">IFERROR(__xludf.UNSUPPORTED("""COMPUTED_VALUE"""),43704.6666666666)</f>
        <v>43704.666666666599</v>
      </c>
      <c r="B166" s="1">
        <f ca="1">IFERROR(__xludf.UNSUPPORTED("""COMPUTED_VALUE"""),105.74)</f>
        <v>105.74</v>
      </c>
      <c r="C166" s="2">
        <f t="shared" ca="1" si="0"/>
        <v>-1.0573594086273131E-2</v>
      </c>
    </row>
    <row r="167" spans="1:3">
      <c r="A167" s="3">
        <f ca="1">IFERROR(__xludf.UNSUPPORTED("""COMPUTED_VALUE"""),43705.6666666666)</f>
        <v>43705.666666666599</v>
      </c>
      <c r="B167" s="1">
        <f ca="1">IFERROR(__xludf.UNSUPPORTED("""COMPUTED_VALUE"""),106.8)</f>
        <v>106.8</v>
      </c>
      <c r="C167" s="2">
        <f t="shared" ca="1" si="0"/>
        <v>1.0024588613580502E-2</v>
      </c>
    </row>
    <row r="168" spans="1:3">
      <c r="A168" s="3">
        <f ca="1">IFERROR(__xludf.UNSUPPORTED("""COMPUTED_VALUE"""),43706.6666666666)</f>
        <v>43706.666666666599</v>
      </c>
      <c r="B168" s="1">
        <f ca="1">IFERROR(__xludf.UNSUPPORTED("""COMPUTED_VALUE"""),109.22)</f>
        <v>109.22</v>
      </c>
      <c r="C168" s="2">
        <f t="shared" ca="1" si="0"/>
        <v>2.2659176029962563E-2</v>
      </c>
    </row>
    <row r="169" spans="1:3">
      <c r="A169" s="3">
        <f ca="1">IFERROR(__xludf.UNSUPPORTED("""COMPUTED_VALUE"""),43707.6666666666)</f>
        <v>43707.666666666599</v>
      </c>
      <c r="B169" s="1">
        <f ca="1">IFERROR(__xludf.UNSUPPORTED("""COMPUTED_VALUE"""),109.86)</f>
        <v>109.86</v>
      </c>
      <c r="C169" s="2">
        <f t="shared" ca="1" si="0"/>
        <v>5.8597326496978627E-3</v>
      </c>
    </row>
    <row r="170" spans="1:3">
      <c r="A170" s="3">
        <f ca="1">IFERROR(__xludf.UNSUPPORTED("""COMPUTED_VALUE"""),43711.6666666666)</f>
        <v>43711.666666666599</v>
      </c>
      <c r="B170" s="1">
        <f ca="1">IFERROR(__xludf.UNSUPPORTED("""COMPUTED_VALUE"""),108.56)</f>
        <v>108.56</v>
      </c>
      <c r="C170" s="2">
        <f t="shared" ca="1" si="0"/>
        <v>-1.1833242308392474E-2</v>
      </c>
    </row>
    <row r="171" spans="1:3">
      <c r="A171" s="3">
        <f ca="1">IFERROR(__xludf.UNSUPPORTED("""COMPUTED_VALUE"""),43712.6666666666)</f>
        <v>43712.666666666599</v>
      </c>
      <c r="B171" s="1">
        <f ca="1">IFERROR(__xludf.UNSUPPORTED("""COMPUTED_VALUE"""),109.87)</f>
        <v>109.87</v>
      </c>
      <c r="C171" s="2">
        <f t="shared" ca="1" si="0"/>
        <v>1.2067059690493757E-2</v>
      </c>
    </row>
    <row r="172" spans="1:3">
      <c r="A172" s="3">
        <f ca="1">IFERROR(__xludf.UNSUPPORTED("""COMPUTED_VALUE"""),43713.6666666666)</f>
        <v>43713.666666666599</v>
      </c>
      <c r="B172" s="1">
        <f ca="1">IFERROR(__xludf.UNSUPPORTED("""COMPUTED_VALUE"""),112.37)</f>
        <v>112.37</v>
      </c>
      <c r="C172" s="2">
        <f t="shared" ca="1" si="0"/>
        <v>2.2754164012014199E-2</v>
      </c>
    </row>
    <row r="173" spans="1:3">
      <c r="A173" s="3">
        <f ca="1">IFERROR(__xludf.UNSUPPORTED("""COMPUTED_VALUE"""),43714.6666666666)</f>
        <v>43714.666666666599</v>
      </c>
      <c r="B173" s="1">
        <f ca="1">IFERROR(__xludf.UNSUPPORTED("""COMPUTED_VALUE"""),112.61)</f>
        <v>112.61</v>
      </c>
      <c r="C173" s="2">
        <f t="shared" ca="1" si="0"/>
        <v>2.1358013704725004E-3</v>
      </c>
    </row>
    <row r="174" spans="1:3">
      <c r="A174" s="3">
        <f ca="1">IFERROR(__xludf.UNSUPPORTED("""COMPUTED_VALUE"""),43717.6666666666)</f>
        <v>43717.666666666599</v>
      </c>
      <c r="B174" s="1">
        <f ca="1">IFERROR(__xludf.UNSUPPORTED("""COMPUTED_VALUE"""),115.4)</f>
        <v>115.4</v>
      </c>
      <c r="C174" s="2">
        <f t="shared" ca="1" si="0"/>
        <v>2.477577479797537E-2</v>
      </c>
    </row>
    <row r="175" spans="1:3">
      <c r="A175" s="3">
        <f ca="1">IFERROR(__xludf.UNSUPPORTED("""COMPUTED_VALUE"""),43718.6666666666)</f>
        <v>43718.666666666599</v>
      </c>
      <c r="B175" s="1">
        <f ca="1">IFERROR(__xludf.UNSUPPORTED("""COMPUTED_VALUE"""),116.87)</f>
        <v>116.87</v>
      </c>
      <c r="C175" s="2">
        <f t="shared" ca="1" si="0"/>
        <v>1.2738301559792017E-2</v>
      </c>
    </row>
    <row r="176" spans="1:3">
      <c r="A176" s="3">
        <f ca="1">IFERROR(__xludf.UNSUPPORTED("""COMPUTED_VALUE"""),43719.6666666666)</f>
        <v>43719.666666666599</v>
      </c>
      <c r="B176" s="1">
        <f ca="1">IFERROR(__xludf.UNSUPPORTED("""COMPUTED_VALUE"""),117.19)</f>
        <v>117.19</v>
      </c>
      <c r="C176" s="2">
        <f t="shared" ca="1" si="0"/>
        <v>2.738085051766862E-3</v>
      </c>
    </row>
    <row r="177" spans="1:3">
      <c r="A177" s="3">
        <f ca="1">IFERROR(__xludf.UNSUPPORTED("""COMPUTED_VALUE"""),43720.6666666666)</f>
        <v>43720.666666666599</v>
      </c>
      <c r="B177" s="1">
        <f ca="1">IFERROR(__xludf.UNSUPPORTED("""COMPUTED_VALUE"""),117.91)</f>
        <v>117.91</v>
      </c>
      <c r="C177" s="2">
        <f t="shared" ca="1" si="0"/>
        <v>6.1438689307961331E-3</v>
      </c>
    </row>
    <row r="178" spans="1:3">
      <c r="A178" s="3">
        <f ca="1">IFERROR(__xludf.UNSUPPORTED("""COMPUTED_VALUE"""),43721.6666666666)</f>
        <v>43721.666666666599</v>
      </c>
      <c r="B178" s="1">
        <f ca="1">IFERROR(__xludf.UNSUPPORTED("""COMPUTED_VALUE"""),120.23)</f>
        <v>120.23</v>
      </c>
      <c r="C178" s="2">
        <f t="shared" ca="1" si="0"/>
        <v>1.967602408616748E-2</v>
      </c>
    </row>
    <row r="179" spans="1:3">
      <c r="A179" s="3">
        <f ca="1">IFERROR(__xludf.UNSUPPORTED("""COMPUTED_VALUE"""),43724.6666666666)</f>
        <v>43724.666666666599</v>
      </c>
      <c r="B179" s="1">
        <f ca="1">IFERROR(__xludf.UNSUPPORTED("""COMPUTED_VALUE"""),119.16)</f>
        <v>119.16</v>
      </c>
      <c r="C179" s="2">
        <f t="shared" ca="1" si="0"/>
        <v>-8.8996090825917609E-3</v>
      </c>
    </row>
    <row r="180" spans="1:3">
      <c r="A180" s="3">
        <f ca="1">IFERROR(__xludf.UNSUPPORTED("""COMPUTED_VALUE"""),43725.6666666666)</f>
        <v>43725.666666666599</v>
      </c>
      <c r="B180" s="1">
        <f ca="1">IFERROR(__xludf.UNSUPPORTED("""COMPUTED_VALUE"""),118.57)</f>
        <v>118.57</v>
      </c>
      <c r="C180" s="2">
        <f t="shared" ca="1" si="0"/>
        <v>-4.9513259483048291E-3</v>
      </c>
    </row>
    <row r="181" spans="1:3">
      <c r="A181" s="3">
        <f ca="1">IFERROR(__xludf.UNSUPPORTED("""COMPUTED_VALUE"""),43726.6666666666)</f>
        <v>43726.666666666599</v>
      </c>
      <c r="B181" s="1">
        <f ca="1">IFERROR(__xludf.UNSUPPORTED("""COMPUTED_VALUE"""),119.76)</f>
        <v>119.76</v>
      </c>
      <c r="C181" s="2">
        <f t="shared" ca="1" si="0"/>
        <v>1.0036265497174766E-2</v>
      </c>
    </row>
    <row r="182" spans="1:3">
      <c r="A182" s="3">
        <f ca="1">IFERROR(__xludf.UNSUPPORTED("""COMPUTED_VALUE"""),43727.6666666666)</f>
        <v>43727.666666666599</v>
      </c>
      <c r="B182" s="1">
        <f ca="1">IFERROR(__xludf.UNSUPPORTED("""COMPUTED_VALUE"""),119.38)</f>
        <v>119.38</v>
      </c>
      <c r="C182" s="2">
        <f t="shared" ca="1" si="0"/>
        <v>-3.1730126920508487E-3</v>
      </c>
    </row>
    <row r="183" spans="1:3">
      <c r="A183" s="3">
        <f ca="1">IFERROR(__xludf.UNSUPPORTED("""COMPUTED_VALUE"""),43728.6666666666)</f>
        <v>43728.666666666599</v>
      </c>
      <c r="B183" s="1">
        <f ca="1">IFERROR(__xludf.UNSUPPORTED("""COMPUTED_VALUE"""),118.9)</f>
        <v>118.9</v>
      </c>
      <c r="C183" s="2">
        <f t="shared" ca="1" si="0"/>
        <v>-4.0207739989947212E-3</v>
      </c>
    </row>
    <row r="184" spans="1:3">
      <c r="A184" s="3">
        <f ca="1">IFERROR(__xludf.UNSUPPORTED("""COMPUTED_VALUE"""),43731.6666666666)</f>
        <v>43731.666666666599</v>
      </c>
      <c r="B184" s="1">
        <f ca="1">IFERROR(__xludf.UNSUPPORTED("""COMPUTED_VALUE"""),118.88)</f>
        <v>118.88</v>
      </c>
      <c r="C184" s="2">
        <f t="shared" ca="1" si="0"/>
        <v>-1.6820857863759656E-4</v>
      </c>
    </row>
    <row r="185" spans="1:3">
      <c r="A185" s="3">
        <f ca="1">IFERROR(__xludf.UNSUPPORTED("""COMPUTED_VALUE"""),43732.6666666666)</f>
        <v>43732.666666666599</v>
      </c>
      <c r="B185" s="1">
        <f ca="1">IFERROR(__xludf.UNSUPPORTED("""COMPUTED_VALUE"""),117.33)</f>
        <v>117.33</v>
      </c>
      <c r="C185" s="2">
        <f t="shared" ca="1" si="0"/>
        <v>-1.3038358008075348E-2</v>
      </c>
    </row>
    <row r="186" spans="1:3">
      <c r="A186" s="3">
        <f ca="1">IFERROR(__xludf.UNSUPPORTED("""COMPUTED_VALUE"""),43733.6666666666)</f>
        <v>43733.666666666599</v>
      </c>
      <c r="B186" s="1">
        <f ca="1">IFERROR(__xludf.UNSUPPORTED("""COMPUTED_VALUE"""),118)</f>
        <v>118</v>
      </c>
      <c r="C186" s="2">
        <f t="shared" ca="1" si="0"/>
        <v>5.7103894997017103E-3</v>
      </c>
    </row>
    <row r="187" spans="1:3">
      <c r="A187" s="3">
        <f ca="1">IFERROR(__xludf.UNSUPPORTED("""COMPUTED_VALUE"""),43734.6666666666)</f>
        <v>43734.666666666599</v>
      </c>
      <c r="B187" s="1">
        <f ca="1">IFERROR(__xludf.UNSUPPORTED("""COMPUTED_VALUE"""),117.03)</f>
        <v>117.03</v>
      </c>
      <c r="C187" s="2">
        <f t="shared" ca="1" si="0"/>
        <v>-8.2203389830508376E-3</v>
      </c>
    </row>
    <row r="188" spans="1:3">
      <c r="A188" s="3">
        <f ca="1">IFERROR(__xludf.UNSUPPORTED("""COMPUTED_VALUE"""),43735.6666666666)</f>
        <v>43735.666666666599</v>
      </c>
      <c r="B188" s="1">
        <f ca="1">IFERROR(__xludf.UNSUPPORTED("""COMPUTED_VALUE"""),117.72)</f>
        <v>117.72</v>
      </c>
      <c r="C188" s="2">
        <f t="shared" ca="1" si="0"/>
        <v>5.8959241220199752E-3</v>
      </c>
    </row>
    <row r="189" spans="1:3">
      <c r="A189" s="3">
        <f ca="1">IFERROR(__xludf.UNSUPPORTED("""COMPUTED_VALUE"""),43738.6666666666)</f>
        <v>43738.666666666599</v>
      </c>
      <c r="B189" s="1">
        <f ca="1">IFERROR(__xludf.UNSUPPORTED("""COMPUTED_VALUE"""),117.69)</f>
        <v>117.69</v>
      </c>
      <c r="C189" s="2">
        <f t="shared" ca="1" si="0"/>
        <v>-2.5484199796127369E-4</v>
      </c>
    </row>
    <row r="190" spans="1:3">
      <c r="A190" s="3">
        <f ca="1">IFERROR(__xludf.UNSUPPORTED("""COMPUTED_VALUE"""),43739.6666666666)</f>
        <v>43739.666666666599</v>
      </c>
      <c r="B190" s="1">
        <f ca="1">IFERROR(__xludf.UNSUPPORTED("""COMPUTED_VALUE"""),115.55)</f>
        <v>115.55</v>
      </c>
      <c r="C190" s="2">
        <f t="shared" ca="1" si="0"/>
        <v>-1.8183363072478552E-2</v>
      </c>
    </row>
    <row r="191" spans="1:3">
      <c r="A191" s="3">
        <f ca="1">IFERROR(__xludf.UNSUPPORTED("""COMPUTED_VALUE"""),43740.6666666666)</f>
        <v>43740.666666666599</v>
      </c>
      <c r="B191" s="1">
        <f ca="1">IFERROR(__xludf.UNSUPPORTED("""COMPUTED_VALUE"""),113.25)</f>
        <v>113.25</v>
      </c>
      <c r="C191" s="2">
        <f t="shared" ca="1" si="0"/>
        <v>-1.9904803115534376E-2</v>
      </c>
    </row>
    <row r="192" spans="1:3">
      <c r="A192" s="3">
        <f ca="1">IFERROR(__xludf.UNSUPPORTED("""COMPUTED_VALUE"""),43741.6666666666)</f>
        <v>43741.666666666599</v>
      </c>
      <c r="B192" s="1">
        <f ca="1">IFERROR(__xludf.UNSUPPORTED("""COMPUTED_VALUE"""),112.19)</f>
        <v>112.19</v>
      </c>
      <c r="C192" s="2">
        <f t="shared" ca="1" si="0"/>
        <v>-9.3598233995585197E-3</v>
      </c>
    </row>
    <row r="193" spans="1:3">
      <c r="A193" s="3">
        <f ca="1">IFERROR(__xludf.UNSUPPORTED("""COMPUTED_VALUE"""),43742.6666666666)</f>
        <v>43742.666666666599</v>
      </c>
      <c r="B193" s="1">
        <f ca="1">IFERROR(__xludf.UNSUPPORTED("""COMPUTED_VALUE"""),114.62)</f>
        <v>114.62</v>
      </c>
      <c r="C193" s="2">
        <f t="shared" ca="1" si="0"/>
        <v>2.1659684463856022E-2</v>
      </c>
    </row>
    <row r="194" spans="1:3">
      <c r="A194" s="3">
        <f ca="1">IFERROR(__xludf.UNSUPPORTED("""COMPUTED_VALUE"""),43745.6666666666)</f>
        <v>43745.666666666599</v>
      </c>
      <c r="B194" s="1">
        <f ca="1">IFERROR(__xludf.UNSUPPORTED("""COMPUTED_VALUE"""),114.37)</f>
        <v>114.37</v>
      </c>
      <c r="C194" s="2">
        <f t="shared" ca="1" si="0"/>
        <v>-2.1811202233467109E-3</v>
      </c>
    </row>
    <row r="195" spans="1:3">
      <c r="A195" s="3">
        <f ca="1">IFERROR(__xludf.UNSUPPORTED("""COMPUTED_VALUE"""),43746.6666666666)</f>
        <v>43746.666666666599</v>
      </c>
      <c r="B195" s="1">
        <f ca="1">IFERROR(__xludf.UNSUPPORTED("""COMPUTED_VALUE"""),111.82)</f>
        <v>111.82</v>
      </c>
      <c r="C195" s="2">
        <f t="shared" ca="1" si="0"/>
        <v>-2.2296056658214665E-2</v>
      </c>
    </row>
    <row r="196" spans="1:3">
      <c r="A196" s="3">
        <f ca="1">IFERROR(__xludf.UNSUPPORTED("""COMPUTED_VALUE"""),43747.6666666666)</f>
        <v>43747.666666666599</v>
      </c>
      <c r="B196" s="1">
        <f ca="1">IFERROR(__xludf.UNSUPPORTED("""COMPUTED_VALUE"""),112.63)</f>
        <v>112.63</v>
      </c>
      <c r="C196" s="2">
        <f t="shared" ca="1" si="0"/>
        <v>7.243784653908087E-3</v>
      </c>
    </row>
    <row r="197" spans="1:3">
      <c r="A197" s="3">
        <f ca="1">IFERROR(__xludf.UNSUPPORTED("""COMPUTED_VALUE"""),43748.6666666666)</f>
        <v>43748.666666666599</v>
      </c>
      <c r="B197" s="1">
        <f ca="1">IFERROR(__xludf.UNSUPPORTED("""COMPUTED_VALUE"""),114.21)</f>
        <v>114.21</v>
      </c>
      <c r="C197" s="2">
        <f t="shared" ca="1" si="0"/>
        <v>1.4028234040664106E-2</v>
      </c>
    </row>
    <row r="198" spans="1:3">
      <c r="A198" s="3">
        <f ca="1">IFERROR(__xludf.UNSUPPORTED("""COMPUTED_VALUE"""),43749.6666666666)</f>
        <v>43749.666666666599</v>
      </c>
      <c r="B198" s="1">
        <f ca="1">IFERROR(__xludf.UNSUPPORTED("""COMPUTED_VALUE"""),116.14)</f>
        <v>116.14</v>
      </c>
      <c r="C198" s="2">
        <f t="shared" ca="1" si="0"/>
        <v>1.6898695385693083E-2</v>
      </c>
    </row>
    <row r="199" spans="1:3">
      <c r="A199" s="3">
        <f ca="1">IFERROR(__xludf.UNSUPPORTED("""COMPUTED_VALUE"""),43752.6666666666)</f>
        <v>43752.666666666599</v>
      </c>
      <c r="B199" s="1">
        <f ca="1">IFERROR(__xludf.UNSUPPORTED("""COMPUTED_VALUE"""),116.45)</f>
        <v>116.45</v>
      </c>
      <c r="C199" s="2">
        <f t="shared" ca="1" si="0"/>
        <v>2.6691923540554698E-3</v>
      </c>
    </row>
    <row r="200" spans="1:3">
      <c r="A200" s="3">
        <f ca="1">IFERROR(__xludf.UNSUPPORTED("""COMPUTED_VALUE"""),43753.6666666666)</f>
        <v>43753.666666666599</v>
      </c>
      <c r="B200" s="1">
        <f ca="1">IFERROR(__xludf.UNSUPPORTED("""COMPUTED_VALUE"""),119.96)</f>
        <v>119.96</v>
      </c>
      <c r="C200" s="2">
        <f t="shared" ca="1" si="0"/>
        <v>3.0141691713181543E-2</v>
      </c>
    </row>
    <row r="201" spans="1:3">
      <c r="A201" s="3">
        <f ca="1">IFERROR(__xludf.UNSUPPORTED("""COMPUTED_VALUE"""),43754.6666666666)</f>
        <v>43754.666666666599</v>
      </c>
      <c r="B201" s="1">
        <f ca="1">IFERROR(__xludf.UNSUPPORTED("""COMPUTED_VALUE"""),119.68)</f>
        <v>119.68</v>
      </c>
      <c r="C201" s="2">
        <f t="shared" ca="1" si="0"/>
        <v>-2.3341113704567103E-3</v>
      </c>
    </row>
    <row r="202" spans="1:3">
      <c r="A202" s="3">
        <f ca="1">IFERROR(__xludf.UNSUPPORTED("""COMPUTED_VALUE"""),43755.6666666666)</f>
        <v>43755.666666666599</v>
      </c>
      <c r="B202" s="1">
        <f ca="1">IFERROR(__xludf.UNSUPPORTED("""COMPUTED_VALUE"""),120.35)</f>
        <v>120.35</v>
      </c>
      <c r="C202" s="2">
        <f t="shared" ca="1" si="0"/>
        <v>5.5982620320854564E-3</v>
      </c>
    </row>
    <row r="203" spans="1:3">
      <c r="A203" s="3">
        <f ca="1">IFERROR(__xludf.UNSUPPORTED("""COMPUTED_VALUE"""),43756.6666666666)</f>
        <v>43756.666666666599</v>
      </c>
      <c r="B203" s="1">
        <f ca="1">IFERROR(__xludf.UNSUPPORTED("""COMPUTED_VALUE"""),120.56)</f>
        <v>120.56</v>
      </c>
      <c r="C203" s="2">
        <f t="shared" ca="1" si="0"/>
        <v>1.7449106771915909E-3</v>
      </c>
    </row>
    <row r="204" spans="1:3">
      <c r="A204" s="3">
        <f ca="1">IFERROR(__xludf.UNSUPPORTED("""COMPUTED_VALUE"""),43759.6666666666)</f>
        <v>43759.666666666599</v>
      </c>
      <c r="B204" s="1">
        <f ca="1">IFERROR(__xludf.UNSUPPORTED("""COMPUTED_VALUE"""),123.55)</f>
        <v>123.55</v>
      </c>
      <c r="C204" s="2">
        <f t="shared" ca="1" si="0"/>
        <v>2.4800928998009248E-2</v>
      </c>
    </row>
    <row r="205" spans="1:3">
      <c r="A205" s="3">
        <f ca="1">IFERROR(__xludf.UNSUPPORTED("""COMPUTED_VALUE"""),43760.6666666666)</f>
        <v>43760.666666666599</v>
      </c>
      <c r="B205" s="1">
        <f ca="1">IFERROR(__xludf.UNSUPPORTED("""COMPUTED_VALUE"""),124.79)</f>
        <v>124.79</v>
      </c>
      <c r="C205" s="2">
        <f t="shared" ca="1" si="0"/>
        <v>1.003642250101181E-2</v>
      </c>
    </row>
    <row r="206" spans="1:3">
      <c r="A206" s="3">
        <f ca="1">IFERROR(__xludf.UNSUPPORTED("""COMPUTED_VALUE"""),43761.6666666666)</f>
        <v>43761.666666666599</v>
      </c>
      <c r="B206" s="1">
        <f ca="1">IFERROR(__xludf.UNSUPPORTED("""COMPUTED_VALUE"""),125.12)</f>
        <v>125.12</v>
      </c>
      <c r="C206" s="2">
        <f t="shared" ca="1" si="0"/>
        <v>2.6444426636749604E-3</v>
      </c>
    </row>
    <row r="207" spans="1:3">
      <c r="A207" s="3">
        <f ca="1">IFERROR(__xludf.UNSUPPORTED("""COMPUTED_VALUE"""),43762.6666666666)</f>
        <v>43762.666666666599</v>
      </c>
      <c r="B207" s="1">
        <f ca="1">IFERROR(__xludf.UNSUPPORTED("""COMPUTED_VALUE"""),125.03)</f>
        <v>125.03</v>
      </c>
      <c r="C207" s="2">
        <f t="shared" ca="1" si="0"/>
        <v>-7.1930946291562825E-4</v>
      </c>
    </row>
    <row r="208" spans="1:3">
      <c r="A208" s="3">
        <f ca="1">IFERROR(__xludf.UNSUPPORTED("""COMPUTED_VALUE"""),43763.6666666666)</f>
        <v>43763.666666666599</v>
      </c>
      <c r="B208" s="1">
        <f ca="1">IFERROR(__xludf.UNSUPPORTED("""COMPUTED_VALUE"""),126.03)</f>
        <v>126.03</v>
      </c>
      <c r="C208" s="2">
        <f t="shared" ca="1" si="0"/>
        <v>7.9980804606894339E-3</v>
      </c>
    </row>
    <row r="209" spans="1:3">
      <c r="A209" s="3">
        <f ca="1">IFERROR(__xludf.UNSUPPORTED("""COMPUTED_VALUE"""),43766.6666666666)</f>
        <v>43766.666666666599</v>
      </c>
      <c r="B209" s="1">
        <f ca="1">IFERROR(__xludf.UNSUPPORTED("""COMPUTED_VALUE"""),126.51)</f>
        <v>126.51</v>
      </c>
      <c r="C209" s="2">
        <f t="shared" ca="1" si="0"/>
        <v>3.8086169959533761E-3</v>
      </c>
    </row>
    <row r="210" spans="1:3">
      <c r="A210" s="3">
        <f ca="1">IFERROR(__xludf.UNSUPPORTED("""COMPUTED_VALUE"""),43767.6666666666)</f>
        <v>43767.666666666599</v>
      </c>
      <c r="B210" s="1">
        <f ca="1">IFERROR(__xludf.UNSUPPORTED("""COMPUTED_VALUE"""),126.43)</f>
        <v>126.43</v>
      </c>
      <c r="C210" s="2">
        <f t="shared" ca="1" si="0"/>
        <v>-6.3236107817562473E-4</v>
      </c>
    </row>
    <row r="211" spans="1:3">
      <c r="A211" s="3">
        <f ca="1">IFERROR(__xludf.UNSUPPORTED("""COMPUTED_VALUE"""),43768.6666666666)</f>
        <v>43768.666666666599</v>
      </c>
      <c r="B211" s="1">
        <f ca="1">IFERROR(__xludf.UNSUPPORTED("""COMPUTED_VALUE"""),125.73)</f>
        <v>125.73</v>
      </c>
      <c r="C211" s="2">
        <f t="shared" ca="1" si="0"/>
        <v>-5.5366606027050765E-3</v>
      </c>
    </row>
    <row r="212" spans="1:3">
      <c r="A212" s="3">
        <f ca="1">IFERROR(__xludf.UNSUPPORTED("""COMPUTED_VALUE"""),43769.6666666666)</f>
        <v>43769.666666666599</v>
      </c>
      <c r="B212" s="1">
        <f ca="1">IFERROR(__xludf.UNSUPPORTED("""COMPUTED_VALUE"""),124.92)</f>
        <v>124.92</v>
      </c>
      <c r="C212" s="2">
        <f t="shared" ca="1" si="0"/>
        <v>-6.4423765211166963E-3</v>
      </c>
    </row>
    <row r="213" spans="1:3">
      <c r="A213" s="3">
        <f ca="1">IFERROR(__xludf.UNSUPPORTED("""COMPUTED_VALUE"""),43770.6666666666)</f>
        <v>43770.666666666599</v>
      </c>
      <c r="B213" s="1">
        <f ca="1">IFERROR(__xludf.UNSUPPORTED("""COMPUTED_VALUE"""),127.8)</f>
        <v>127.8</v>
      </c>
      <c r="C213" s="2">
        <f t="shared" ca="1" si="0"/>
        <v>2.305475504322763E-2</v>
      </c>
    </row>
    <row r="214" spans="1:3">
      <c r="A214" s="3">
        <f ca="1">IFERROR(__xludf.UNSUPPORTED("""COMPUTED_VALUE"""),43773.6666666666)</f>
        <v>43773.666666666599</v>
      </c>
      <c r="B214" s="1">
        <f ca="1">IFERROR(__xludf.UNSUPPORTED("""COMPUTED_VALUE"""),128.82)</f>
        <v>128.82</v>
      </c>
      <c r="C214" s="2">
        <f t="shared" ca="1" si="0"/>
        <v>7.9812206572769644E-3</v>
      </c>
    </row>
    <row r="215" spans="1:3">
      <c r="A215" s="3">
        <f ca="1">IFERROR(__xludf.UNSUPPORTED("""COMPUTED_VALUE"""),43774.6666666666)</f>
        <v>43774.666666666599</v>
      </c>
      <c r="B215" s="1">
        <f ca="1">IFERROR(__xludf.UNSUPPORTED("""COMPUTED_VALUE"""),129.1)</f>
        <v>129.1</v>
      </c>
      <c r="C215" s="2">
        <f t="shared" ca="1" si="0"/>
        <v>2.1735755317497372E-3</v>
      </c>
    </row>
    <row r="216" spans="1:3">
      <c r="A216" s="3">
        <f ca="1">IFERROR(__xludf.UNSUPPORTED("""COMPUTED_VALUE"""),43775.6666666666)</f>
        <v>43775.666666666599</v>
      </c>
      <c r="B216" s="1">
        <f ca="1">IFERROR(__xludf.UNSUPPORTED("""COMPUTED_VALUE"""),129.3)</f>
        <v>129.30000000000001</v>
      </c>
      <c r="C216" s="2">
        <f t="shared" ca="1" si="0"/>
        <v>1.54918667699471E-3</v>
      </c>
    </row>
    <row r="217" spans="1:3">
      <c r="A217" s="3">
        <f ca="1">IFERROR(__xludf.UNSUPPORTED("""COMPUTED_VALUE"""),43776.6666666666)</f>
        <v>43776.666666666599</v>
      </c>
      <c r="B217" s="1">
        <f ca="1">IFERROR(__xludf.UNSUPPORTED("""COMPUTED_VALUE"""),129.3)</f>
        <v>129.30000000000001</v>
      </c>
      <c r="C217" s="2">
        <f t="shared" ca="1" si="0"/>
        <v>0</v>
      </c>
    </row>
    <row r="218" spans="1:3">
      <c r="A218" s="3">
        <f ca="1">IFERROR(__xludf.UNSUPPORTED("""COMPUTED_VALUE"""),43777.6666666666)</f>
        <v>43777.666666666599</v>
      </c>
      <c r="B218" s="1">
        <f ca="1">IFERROR(__xludf.UNSUPPORTED("""COMPUTED_VALUE"""),130.38)</f>
        <v>130.38</v>
      </c>
      <c r="C218" s="2">
        <f t="shared" ca="1" si="0"/>
        <v>8.3526682134569524E-3</v>
      </c>
    </row>
    <row r="219" spans="1:3">
      <c r="A219" s="3">
        <f ca="1">IFERROR(__xludf.UNSUPPORTED("""COMPUTED_VALUE"""),43780.6666666666)</f>
        <v>43780.666666666599</v>
      </c>
      <c r="B219" s="1">
        <f ca="1">IFERROR(__xludf.UNSUPPORTED("""COMPUTED_VALUE"""),129.92)</f>
        <v>129.91999999999999</v>
      </c>
      <c r="C219" s="2">
        <f t="shared" ca="1" si="0"/>
        <v>-3.5281484890321213E-3</v>
      </c>
    </row>
    <row r="220" spans="1:3">
      <c r="A220" s="3">
        <f ca="1">IFERROR(__xludf.UNSUPPORTED("""COMPUTED_VALUE"""),43781.6666666666)</f>
        <v>43781.666666666599</v>
      </c>
      <c r="B220" s="1">
        <f ca="1">IFERROR(__xludf.UNSUPPORTED("""COMPUTED_VALUE"""),129.16)</f>
        <v>129.16</v>
      </c>
      <c r="C220" s="2">
        <f t="shared" ca="1" si="0"/>
        <v>-5.8497536945812112E-3</v>
      </c>
    </row>
    <row r="221" spans="1:3">
      <c r="A221" s="3">
        <f ca="1">IFERROR(__xludf.UNSUPPORTED("""COMPUTED_VALUE"""),43782.6666666666)</f>
        <v>43782.666666666599</v>
      </c>
      <c r="B221" s="1">
        <f ca="1">IFERROR(__xludf.UNSUPPORTED("""COMPUTED_VALUE"""),128.48)</f>
        <v>128.47999999999999</v>
      </c>
      <c r="C221" s="2">
        <f t="shared" ca="1" si="0"/>
        <v>-5.2647878600186344E-3</v>
      </c>
    </row>
    <row r="222" spans="1:3">
      <c r="A222" s="3">
        <f ca="1">IFERROR(__xludf.UNSUPPORTED("""COMPUTED_VALUE"""),43783.6666666666)</f>
        <v>43783.666666666599</v>
      </c>
      <c r="B222" s="1">
        <f ca="1">IFERROR(__xludf.UNSUPPORTED("""COMPUTED_VALUE"""),128.6)</f>
        <v>128.6</v>
      </c>
      <c r="C222" s="2">
        <f t="shared" ca="1" si="0"/>
        <v>9.3399750934001059E-4</v>
      </c>
    </row>
    <row r="223" spans="1:3">
      <c r="A223" s="3">
        <f ca="1">IFERROR(__xludf.UNSUPPORTED("""COMPUTED_VALUE"""),43784.6666666666)</f>
        <v>43784.666666666599</v>
      </c>
      <c r="B223" s="1">
        <f ca="1">IFERROR(__xludf.UNSUPPORTED("""COMPUTED_VALUE"""),129.53)</f>
        <v>129.53</v>
      </c>
      <c r="C223" s="2">
        <f t="shared" ca="1" si="0"/>
        <v>7.2317262830482645E-3</v>
      </c>
    </row>
    <row r="224" spans="1:3">
      <c r="A224" s="3">
        <f ca="1">IFERROR(__xludf.UNSUPPORTED("""COMPUTED_VALUE"""),43787.6666666666)</f>
        <v>43787.666666666599</v>
      </c>
      <c r="B224" s="1">
        <f ca="1">IFERROR(__xludf.UNSUPPORTED("""COMPUTED_VALUE"""),130.62)</f>
        <v>130.62</v>
      </c>
      <c r="C224" s="2">
        <f t="shared" ca="1" si="0"/>
        <v>8.4150389871072602E-3</v>
      </c>
    </row>
    <row r="225" spans="1:3">
      <c r="A225" s="3">
        <f ca="1">IFERROR(__xludf.UNSUPPORTED("""COMPUTED_VALUE"""),43788.6666666666)</f>
        <v>43788.666666666599</v>
      </c>
      <c r="B225" s="1">
        <f ca="1">IFERROR(__xludf.UNSUPPORTED("""COMPUTED_VALUE"""),130.58)</f>
        <v>130.58000000000001</v>
      </c>
      <c r="C225" s="2">
        <f t="shared" ca="1" si="0"/>
        <v>-3.0623181748577587E-4</v>
      </c>
    </row>
    <row r="226" spans="1:3">
      <c r="A226" s="3">
        <f ca="1">IFERROR(__xludf.UNSUPPORTED("""COMPUTED_VALUE"""),43789.6666666666)</f>
        <v>43789.666666666599</v>
      </c>
      <c r="B226" s="1">
        <f ca="1">IFERROR(__xludf.UNSUPPORTED("""COMPUTED_VALUE"""),129.63)</f>
        <v>129.63</v>
      </c>
      <c r="C226" s="2">
        <f t="shared" ca="1" si="0"/>
        <v>-7.2752335732885354E-3</v>
      </c>
    </row>
    <row r="227" spans="1:3">
      <c r="A227" s="3">
        <f ca="1">IFERROR(__xludf.UNSUPPORTED("""COMPUTED_VALUE"""),43790.6666666666)</f>
        <v>43790.666666666599</v>
      </c>
      <c r="B227" s="1">
        <f ca="1">IFERROR(__xludf.UNSUPPORTED("""COMPUTED_VALUE"""),129.93)</f>
        <v>129.93</v>
      </c>
      <c r="C227" s="2">
        <f t="shared" ca="1" si="0"/>
        <v>2.3142791020597962E-3</v>
      </c>
    </row>
    <row r="228" spans="1:3">
      <c r="A228" s="3">
        <f ca="1">IFERROR(__xludf.UNSUPPORTED("""COMPUTED_VALUE"""),43791.6666666666)</f>
        <v>43791.666666666599</v>
      </c>
      <c r="B228" s="1">
        <f ca="1">IFERROR(__xludf.UNSUPPORTED("""COMPUTED_VALUE"""),130.79)</f>
        <v>130.79</v>
      </c>
      <c r="C228" s="2">
        <f t="shared" ca="1" si="0"/>
        <v>6.6189486646654749E-3</v>
      </c>
    </row>
    <row r="229" spans="1:3">
      <c r="A229" s="3">
        <f ca="1">IFERROR(__xludf.UNSUPPORTED("""COMPUTED_VALUE"""),43794.6666666666)</f>
        <v>43794.666666666599</v>
      </c>
      <c r="B229" s="1">
        <f ca="1">IFERROR(__xludf.UNSUPPORTED("""COMPUTED_VALUE"""),131.49)</f>
        <v>131.49</v>
      </c>
      <c r="C229" s="2">
        <f t="shared" ca="1" si="0"/>
        <v>5.3520911384663744E-3</v>
      </c>
    </row>
    <row r="230" spans="1:3">
      <c r="A230" s="3">
        <f ca="1">IFERROR(__xludf.UNSUPPORTED("""COMPUTED_VALUE"""),43795.6666666666)</f>
        <v>43795.666666666599</v>
      </c>
      <c r="B230" s="1">
        <f ca="1">IFERROR(__xludf.UNSUPPORTED("""COMPUTED_VALUE"""),131.67)</f>
        <v>131.66999999999999</v>
      </c>
      <c r="C230" s="2">
        <f t="shared" ca="1" si="0"/>
        <v>1.3689253935658863E-3</v>
      </c>
    </row>
    <row r="231" spans="1:3">
      <c r="A231" s="3">
        <f ca="1">IFERROR(__xludf.UNSUPPORTED("""COMPUTED_VALUE"""),43796.6666666666)</f>
        <v>43796.666666666599</v>
      </c>
      <c r="B231" s="1">
        <f ca="1">IFERROR(__xludf.UNSUPPORTED("""COMPUTED_VALUE"""),132.06)</f>
        <v>132.06</v>
      </c>
      <c r="C231" s="2">
        <f t="shared" ca="1" si="0"/>
        <v>2.9619503303714954E-3</v>
      </c>
    </row>
    <row r="232" spans="1:3">
      <c r="A232" s="3">
        <f ca="1">IFERROR(__xludf.UNSUPPORTED("""COMPUTED_VALUE"""),43798.5416666666)</f>
        <v>43798.541666666599</v>
      </c>
      <c r="B232" s="1">
        <f ca="1">IFERROR(__xludf.UNSUPPORTED("""COMPUTED_VALUE"""),131.76)</f>
        <v>131.76</v>
      </c>
      <c r="C232" s="2">
        <f t="shared" ca="1" si="0"/>
        <v>-2.2716946842345248E-3</v>
      </c>
    </row>
    <row r="233" spans="1:3">
      <c r="A233" s="3">
        <f ca="1">IFERROR(__xludf.UNSUPPORTED("""COMPUTED_VALUE"""),43801.6666666666)</f>
        <v>43801.666666666599</v>
      </c>
      <c r="B233" s="1">
        <f ca="1">IFERROR(__xludf.UNSUPPORTED("""COMPUTED_VALUE"""),131.47)</f>
        <v>131.47</v>
      </c>
      <c r="C233" s="2">
        <f t="shared" ca="1" si="0"/>
        <v>-2.200971463266485E-3</v>
      </c>
    </row>
    <row r="234" spans="1:3">
      <c r="A234" s="3">
        <f ca="1">IFERROR(__xludf.UNSUPPORTED("""COMPUTED_VALUE"""),43802.6666666666)</f>
        <v>43802.666666666599</v>
      </c>
      <c r="B234" s="1">
        <f ca="1">IFERROR(__xludf.UNSUPPORTED("""COMPUTED_VALUE"""),129.78)</f>
        <v>129.78</v>
      </c>
      <c r="C234" s="2">
        <f t="shared" ca="1" si="0"/>
        <v>-1.2854643644937991E-2</v>
      </c>
    </row>
    <row r="235" spans="1:3">
      <c r="A235" s="3">
        <f ca="1">IFERROR(__xludf.UNSUPPORTED("""COMPUTED_VALUE"""),43803.6666666666)</f>
        <v>43803.666666666599</v>
      </c>
      <c r="B235" s="1">
        <f ca="1">IFERROR(__xludf.UNSUPPORTED("""COMPUTED_VALUE"""),132.34)</f>
        <v>132.34</v>
      </c>
      <c r="C235" s="2">
        <f t="shared" ca="1" si="0"/>
        <v>1.9725689628602269E-2</v>
      </c>
    </row>
    <row r="236" spans="1:3">
      <c r="A236" s="3">
        <f ca="1">IFERROR(__xludf.UNSUPPORTED("""COMPUTED_VALUE"""),43804.6666666666)</f>
        <v>43804.666666666599</v>
      </c>
      <c r="B236" s="1">
        <f ca="1">IFERROR(__xludf.UNSUPPORTED("""COMPUTED_VALUE"""),133.06)</f>
        <v>133.06</v>
      </c>
      <c r="C236" s="2">
        <f t="shared" ca="1" si="0"/>
        <v>5.440531963125275E-3</v>
      </c>
    </row>
    <row r="237" spans="1:3">
      <c r="A237" s="3">
        <f ca="1">IFERROR(__xludf.UNSUPPORTED("""COMPUTED_VALUE"""),43805.6666666666)</f>
        <v>43805.666666666599</v>
      </c>
      <c r="B237" s="1">
        <f ca="1">IFERROR(__xludf.UNSUPPORTED("""COMPUTED_VALUE"""),135.04)</f>
        <v>135.04</v>
      </c>
      <c r="C237" s="2">
        <f t="shared" ca="1" si="0"/>
        <v>1.4880505035322334E-2</v>
      </c>
    </row>
    <row r="238" spans="1:3">
      <c r="A238" s="3">
        <f ca="1">IFERROR(__xludf.UNSUPPORTED("""COMPUTED_VALUE"""),43808.6666666666)</f>
        <v>43808.666666666599</v>
      </c>
      <c r="B238" s="1">
        <f ca="1">IFERROR(__xludf.UNSUPPORTED("""COMPUTED_VALUE"""),134.41)</f>
        <v>134.41</v>
      </c>
      <c r="C238" s="2">
        <f t="shared" ca="1" si="0"/>
        <v>-4.6652843601895401E-3</v>
      </c>
    </row>
    <row r="239" spans="1:3">
      <c r="A239" s="3">
        <f ca="1">IFERROR(__xludf.UNSUPPORTED("""COMPUTED_VALUE"""),43809.6666666666)</f>
        <v>43809.666666666599</v>
      </c>
      <c r="B239" s="1">
        <f ca="1">IFERROR(__xludf.UNSUPPORTED("""COMPUTED_VALUE"""),134.5)</f>
        <v>134.5</v>
      </c>
      <c r="C239" s="2">
        <f t="shared" ca="1" si="0"/>
        <v>6.6959303623244858E-4</v>
      </c>
    </row>
    <row r="240" spans="1:3">
      <c r="A240" s="3">
        <f ca="1">IFERROR(__xludf.UNSUPPORTED("""COMPUTED_VALUE"""),43810.6666666666)</f>
        <v>43810.666666666599</v>
      </c>
      <c r="B240" s="1">
        <f ca="1">IFERROR(__xludf.UNSUPPORTED("""COMPUTED_VALUE"""),134.18)</f>
        <v>134.18</v>
      </c>
      <c r="C240" s="2">
        <f t="shared" ca="1" si="0"/>
        <v>-2.3791821561337783E-3</v>
      </c>
    </row>
    <row r="241" spans="1:3">
      <c r="A241" s="3">
        <f ca="1">IFERROR(__xludf.UNSUPPORTED("""COMPUTED_VALUE"""),43811.6666666666)</f>
        <v>43811.666666666599</v>
      </c>
      <c r="B241" s="1">
        <f ca="1">IFERROR(__xludf.UNSUPPORTED("""COMPUTED_VALUE"""),138.02)</f>
        <v>138.02000000000001</v>
      </c>
      <c r="C241" s="2">
        <f t="shared" ca="1" si="0"/>
        <v>2.8618273960351791E-2</v>
      </c>
    </row>
    <row r="242" spans="1:3">
      <c r="A242" s="3">
        <f ca="1">IFERROR(__xludf.UNSUPPORTED("""COMPUTED_VALUE"""),43812.6666666666)</f>
        <v>43812.666666666599</v>
      </c>
      <c r="B242" s="1">
        <f ca="1">IFERROR(__xludf.UNSUPPORTED("""COMPUTED_VALUE"""),136.81)</f>
        <v>136.81</v>
      </c>
      <c r="C242" s="2">
        <f t="shared" ca="1" si="0"/>
        <v>-8.7668453847269089E-3</v>
      </c>
    </row>
    <row r="243" spans="1:3">
      <c r="A243" s="3">
        <f ca="1">IFERROR(__xludf.UNSUPPORTED("""COMPUTED_VALUE"""),43815.6666666666)</f>
        <v>43815.666666666599</v>
      </c>
      <c r="B243" s="1">
        <f ca="1">IFERROR(__xludf.UNSUPPORTED("""COMPUTED_VALUE"""),137.34)</f>
        <v>137.34</v>
      </c>
      <c r="C243" s="2">
        <f t="shared" ca="1" si="0"/>
        <v>3.8739858197500265E-3</v>
      </c>
    </row>
    <row r="244" spans="1:3">
      <c r="A244" s="3">
        <f ca="1">IFERROR(__xludf.UNSUPPORTED("""COMPUTED_VALUE"""),43816.6666666666)</f>
        <v>43816.666666666599</v>
      </c>
      <c r="B244" s="1">
        <f ca="1">IFERROR(__xludf.UNSUPPORTED("""COMPUTED_VALUE"""),138.18)</f>
        <v>138.18</v>
      </c>
      <c r="C244" s="2">
        <f t="shared" ca="1" si="0"/>
        <v>6.1162079510703607E-3</v>
      </c>
    </row>
    <row r="245" spans="1:3">
      <c r="A245" s="3">
        <f ca="1">IFERROR(__xludf.UNSUPPORTED("""COMPUTED_VALUE"""),43817.6666666666)</f>
        <v>43817.666666666599</v>
      </c>
      <c r="B245" s="1">
        <f ca="1">IFERROR(__xludf.UNSUPPORTED("""COMPUTED_VALUE"""),138.04)</f>
        <v>138.04</v>
      </c>
      <c r="C245" s="2">
        <f t="shared" ca="1" si="0"/>
        <v>-1.0131712259372904E-3</v>
      </c>
    </row>
    <row r="246" spans="1:3">
      <c r="A246" s="3">
        <f ca="1">IFERROR(__xludf.UNSUPPORTED("""COMPUTED_VALUE"""),43818.6666666666)</f>
        <v>43818.666666666599</v>
      </c>
      <c r="B246" s="1">
        <f ca="1">IFERROR(__xludf.UNSUPPORTED("""COMPUTED_VALUE"""),137.35)</f>
        <v>137.35</v>
      </c>
      <c r="C246" s="2">
        <f t="shared" ca="1" si="0"/>
        <v>-4.9985511445957533E-3</v>
      </c>
    </row>
    <row r="247" spans="1:3">
      <c r="A247" s="3">
        <f ca="1">IFERROR(__xludf.UNSUPPORTED("""COMPUTED_VALUE"""),43819.6666666666)</f>
        <v>43819.666666666599</v>
      </c>
      <c r="B247" s="1">
        <f ca="1">IFERROR(__xludf.UNSUPPORTED("""COMPUTED_VALUE"""),137.24)</f>
        <v>137.24</v>
      </c>
      <c r="C247" s="2">
        <f t="shared" ca="1" si="0"/>
        <v>-8.0087368037848729E-4</v>
      </c>
    </row>
    <row r="248" spans="1:3">
      <c r="A248" s="3">
        <f ca="1">IFERROR(__xludf.UNSUPPORTED("""COMPUTED_VALUE"""),43822.6666666666)</f>
        <v>43822.666666666599</v>
      </c>
      <c r="B248" s="1">
        <f ca="1">IFERROR(__xludf.UNSUPPORTED("""COMPUTED_VALUE"""),137.2)</f>
        <v>137.19999999999999</v>
      </c>
      <c r="C248" s="2">
        <f t="shared" ca="1" si="0"/>
        <v>-2.914602156807087E-4</v>
      </c>
    </row>
    <row r="249" spans="1:3">
      <c r="A249" s="3">
        <f ca="1">IFERROR(__xludf.UNSUPPORTED("""COMPUTED_VALUE"""),43823.5416666666)</f>
        <v>43823.541666666599</v>
      </c>
      <c r="B249" s="1">
        <f ca="1">IFERROR(__xludf.UNSUPPORTED("""COMPUTED_VALUE"""),137.58)</f>
        <v>137.58000000000001</v>
      </c>
      <c r="C249" s="2">
        <f t="shared" ca="1" si="0"/>
        <v>2.7696793002917196E-3</v>
      </c>
    </row>
    <row r="250" spans="1:3">
      <c r="A250" s="3">
        <f ca="1">IFERROR(__xludf.UNSUPPORTED("""COMPUTED_VALUE"""),43825.6666666666)</f>
        <v>43825.666666666599</v>
      </c>
      <c r="B250" s="1">
        <f ca="1">IFERROR(__xludf.UNSUPPORTED("""COMPUTED_VALUE"""),139.04)</f>
        <v>139.04</v>
      </c>
      <c r="C250" s="2">
        <f t="shared" ca="1" si="0"/>
        <v>1.0612007559238112E-2</v>
      </c>
    </row>
    <row r="251" spans="1:3">
      <c r="A251" s="3">
        <f ca="1">IFERROR(__xludf.UNSUPPORTED("""COMPUTED_VALUE"""),43826.6666666666)</f>
        <v>43826.666666666599</v>
      </c>
      <c r="B251" s="1">
        <f ca="1">IFERROR(__xludf.UNSUPPORTED("""COMPUTED_VALUE"""),139.14)</f>
        <v>139.13999999999999</v>
      </c>
      <c r="C251" s="2">
        <f t="shared" ca="1" si="0"/>
        <v>7.1921749136934926E-4</v>
      </c>
    </row>
    <row r="252" spans="1:3">
      <c r="A252" s="3">
        <f ca="1">IFERROR(__xludf.UNSUPPORTED("""COMPUTED_VALUE"""),43829.6666666666)</f>
        <v>43829.666666666599</v>
      </c>
      <c r="B252" s="1">
        <f ca="1">IFERROR(__xludf.UNSUPPORTED("""COMPUTED_VALUE"""),138.63)</f>
        <v>138.63</v>
      </c>
      <c r="C252" s="2">
        <f t="shared" ca="1" si="0"/>
        <v>-3.6653730056057997E-3</v>
      </c>
    </row>
    <row r="253" spans="1:3">
      <c r="A253" s="3">
        <f ca="1">IFERROR(__xludf.UNSUPPORTED("""COMPUTED_VALUE"""),43830.6666666666)</f>
        <v>43830.666666666599</v>
      </c>
      <c r="B253" s="1">
        <f ca="1">IFERROR(__xludf.UNSUPPORTED("""COMPUTED_VALUE"""),139.4)</f>
        <v>139.4</v>
      </c>
      <c r="C253" s="2">
        <f t="shared" ca="1" si="0"/>
        <v>5.5543533145784481E-3</v>
      </c>
    </row>
    <row r="254" spans="1:3">
      <c r="A254" s="3">
        <f ca="1">IFERROR(__xludf.UNSUPPORTED("""COMPUTED_VALUE"""),43832.6666666666)</f>
        <v>43832.666666666599</v>
      </c>
      <c r="B254" s="1">
        <f ca="1">IFERROR(__xludf.UNSUPPORTED("""COMPUTED_VALUE"""),141.09)</f>
        <v>141.09</v>
      </c>
      <c r="C254" s="2">
        <f t="shared" ca="1" si="0"/>
        <v>1.2123385939741733E-2</v>
      </c>
    </row>
    <row r="255" spans="1:3">
      <c r="A255" s="3">
        <f ca="1">IFERROR(__xludf.UNSUPPORTED("""COMPUTED_VALUE"""),43833.6666666666)</f>
        <v>43833.666666666599</v>
      </c>
      <c r="B255" s="1">
        <f ca="1">IFERROR(__xludf.UNSUPPORTED("""COMPUTED_VALUE"""),138.34)</f>
        <v>138.34</v>
      </c>
      <c r="C255" s="2">
        <f t="shared" ca="1" si="0"/>
        <v>-1.9491104968459849E-2</v>
      </c>
    </row>
    <row r="256" spans="1:3">
      <c r="A256" s="3">
        <f ca="1">IFERROR(__xludf.UNSUPPORTED("""COMPUTED_VALUE"""),43836.6666666666)</f>
        <v>43836.666666666599</v>
      </c>
      <c r="B256" s="1">
        <f ca="1">IFERROR(__xludf.UNSUPPORTED("""COMPUTED_VALUE"""),138.23)</f>
        <v>138.22999999999999</v>
      </c>
      <c r="C256" s="2">
        <f t="shared" ca="1" si="0"/>
        <v>-7.9514240277586841E-4</v>
      </c>
    </row>
    <row r="257" spans="1:3">
      <c r="A257" s="3">
        <f ca="1">IFERROR(__xludf.UNSUPPORTED("""COMPUTED_VALUE"""),43837.6666666666)</f>
        <v>43837.666666666599</v>
      </c>
      <c r="B257" s="1">
        <f ca="1">IFERROR(__xludf.UNSUPPORTED("""COMPUTED_VALUE"""),135.88)</f>
        <v>135.88</v>
      </c>
      <c r="C257" s="2">
        <f t="shared" ca="1" si="0"/>
        <v>-1.7000651088765063E-2</v>
      </c>
    </row>
    <row r="258" spans="1:3">
      <c r="A258" s="3">
        <f ca="1">IFERROR(__xludf.UNSUPPORTED("""COMPUTED_VALUE"""),43838.6666666666)</f>
        <v>43838.666666666599</v>
      </c>
      <c r="B258" s="1">
        <f ca="1">IFERROR(__xludf.UNSUPPORTED("""COMPUTED_VALUE"""),136.94)</f>
        <v>136.94</v>
      </c>
      <c r="C258" s="2">
        <f t="shared" ref="C258:C512" ca="1" si="1">(B258-B257)/B257</f>
        <v>7.8010008831321921E-3</v>
      </c>
    </row>
    <row r="259" spans="1:3">
      <c r="A259" s="3">
        <f ca="1">IFERROR(__xludf.UNSUPPORTED("""COMPUTED_VALUE"""),43839.6666666666)</f>
        <v>43839.666666666599</v>
      </c>
      <c r="B259" s="1">
        <f ca="1">IFERROR(__xludf.UNSUPPORTED("""COMPUTED_VALUE"""),137.44)</f>
        <v>137.44</v>
      </c>
      <c r="C259" s="2">
        <f t="shared" ca="1" si="1"/>
        <v>3.6512341171315906E-3</v>
      </c>
    </row>
    <row r="260" spans="1:3">
      <c r="A260" s="3">
        <f ca="1">IFERROR(__xludf.UNSUPPORTED("""COMPUTED_VALUE"""),43840.6666666666)</f>
        <v>43840.666666666599</v>
      </c>
      <c r="B260" s="1">
        <f ca="1">IFERROR(__xludf.UNSUPPORTED("""COMPUTED_VALUE"""),136.07)</f>
        <v>136.07</v>
      </c>
      <c r="C260" s="2">
        <f t="shared" ca="1" si="1"/>
        <v>-9.9679860302677864E-3</v>
      </c>
    </row>
    <row r="261" spans="1:3">
      <c r="A261" s="3">
        <f ca="1">IFERROR(__xludf.UNSUPPORTED("""COMPUTED_VALUE"""),43843.6666666666)</f>
        <v>43843.666666666599</v>
      </c>
      <c r="B261" s="1">
        <f ca="1">IFERROR(__xludf.UNSUPPORTED("""COMPUTED_VALUE"""),137.2)</f>
        <v>137.19999999999999</v>
      </c>
      <c r="C261" s="2">
        <f t="shared" ca="1" si="1"/>
        <v>8.3045491291246828E-3</v>
      </c>
    </row>
    <row r="262" spans="1:3">
      <c r="A262" s="3">
        <f ca="1">IFERROR(__xludf.UNSUPPORTED("""COMPUTED_VALUE"""),43844.6666666666)</f>
        <v>43844.666666666599</v>
      </c>
      <c r="B262" s="1">
        <f ca="1">IFERROR(__xludf.UNSUPPORTED("""COMPUTED_VALUE"""),138.8)</f>
        <v>138.80000000000001</v>
      </c>
      <c r="C262" s="2">
        <f t="shared" ca="1" si="1"/>
        <v>1.1661807580175093E-2</v>
      </c>
    </row>
    <row r="263" spans="1:3">
      <c r="A263" s="3">
        <f ca="1">IFERROR(__xludf.UNSUPPORTED("""COMPUTED_VALUE"""),43845.6666666666)</f>
        <v>43845.666666666599</v>
      </c>
      <c r="B263" s="1">
        <f ca="1">IFERROR(__xludf.UNSUPPORTED("""COMPUTED_VALUE"""),136.72)</f>
        <v>136.72</v>
      </c>
      <c r="C263" s="2">
        <f t="shared" ca="1" si="1"/>
        <v>-1.4985590778098072E-2</v>
      </c>
    </row>
    <row r="264" spans="1:3">
      <c r="A264" s="3">
        <f ca="1">IFERROR(__xludf.UNSUPPORTED("""COMPUTED_VALUE"""),43846.6666666666)</f>
        <v>43846.666666666599</v>
      </c>
      <c r="B264" s="1">
        <f ca="1">IFERROR(__xludf.UNSUPPORTED("""COMPUTED_VALUE"""),137.25)</f>
        <v>137.25</v>
      </c>
      <c r="C264" s="2">
        <f t="shared" ca="1" si="1"/>
        <v>3.8765359859567082E-3</v>
      </c>
    </row>
    <row r="265" spans="1:3">
      <c r="A265" s="3">
        <f ca="1">IFERROR(__xludf.UNSUPPORTED("""COMPUTED_VALUE"""),43847.6666666666)</f>
        <v>43847.666666666599</v>
      </c>
      <c r="B265" s="1">
        <f ca="1">IFERROR(__xludf.UNSUPPORTED("""COMPUTED_VALUE"""),138.2)</f>
        <v>138.19999999999999</v>
      </c>
      <c r="C265" s="2">
        <f t="shared" ca="1" si="1"/>
        <v>6.9216757741347081E-3</v>
      </c>
    </row>
    <row r="266" spans="1:3">
      <c r="A266" s="3">
        <f ca="1">IFERROR(__xludf.UNSUPPORTED("""COMPUTED_VALUE"""),43851.6666666666)</f>
        <v>43851.666666666599</v>
      </c>
      <c r="B266" s="1">
        <f ca="1">IFERROR(__xludf.UNSUPPORTED("""COMPUTED_VALUE"""),136.84)</f>
        <v>136.84</v>
      </c>
      <c r="C266" s="2">
        <f t="shared" ca="1" si="1"/>
        <v>-9.8408104196815154E-3</v>
      </c>
    </row>
    <row r="267" spans="1:3">
      <c r="A267" s="3">
        <f ca="1">IFERROR(__xludf.UNSUPPORTED("""COMPUTED_VALUE"""),43852.6666666666)</f>
        <v>43852.666666666599</v>
      </c>
      <c r="B267" s="1">
        <f ca="1">IFERROR(__xludf.UNSUPPORTED("""COMPUTED_VALUE"""),136.68)</f>
        <v>136.68</v>
      </c>
      <c r="C267" s="2">
        <f t="shared" ca="1" si="1"/>
        <v>-1.16924875767317E-3</v>
      </c>
    </row>
    <row r="268" spans="1:3">
      <c r="A268" s="3">
        <f ca="1">IFERROR(__xludf.UNSUPPORTED("""COMPUTED_VALUE"""),43853.6666666666)</f>
        <v>43853.666666666599</v>
      </c>
      <c r="B268" s="1">
        <f ca="1">IFERROR(__xludf.UNSUPPORTED("""COMPUTED_VALUE"""),136.54)</f>
        <v>136.54</v>
      </c>
      <c r="C268" s="2">
        <f t="shared" ca="1" si="1"/>
        <v>-1.0242903131402895E-3</v>
      </c>
    </row>
    <row r="269" spans="1:3">
      <c r="A269" s="3">
        <f ca="1">IFERROR(__xludf.UNSUPPORTED("""COMPUTED_VALUE"""),43854.6666666666)</f>
        <v>43854.666666666599</v>
      </c>
      <c r="B269" s="1">
        <f ca="1">IFERROR(__xludf.UNSUPPORTED("""COMPUTED_VALUE"""),133.15)</f>
        <v>133.15</v>
      </c>
      <c r="C269" s="2">
        <f t="shared" ca="1" si="1"/>
        <v>-2.4827889263219469E-2</v>
      </c>
    </row>
    <row r="270" spans="1:3">
      <c r="A270" s="3">
        <f ca="1">IFERROR(__xludf.UNSUPPORTED("""COMPUTED_VALUE"""),43857.6666666666)</f>
        <v>43857.666666666599</v>
      </c>
      <c r="B270" s="1">
        <f ca="1">IFERROR(__xludf.UNSUPPORTED("""COMPUTED_VALUE"""),132.03)</f>
        <v>132.03</v>
      </c>
      <c r="C270" s="2">
        <f t="shared" ca="1" si="1"/>
        <v>-8.4115659031168202E-3</v>
      </c>
    </row>
    <row r="271" spans="1:3">
      <c r="A271" s="3">
        <f ca="1">IFERROR(__xludf.UNSUPPORTED("""COMPUTED_VALUE"""),43858.6666666666)</f>
        <v>43858.666666666599</v>
      </c>
      <c r="B271" s="1">
        <f ca="1">IFERROR(__xludf.UNSUPPORTED("""COMPUTED_VALUE"""),134.43)</f>
        <v>134.43</v>
      </c>
      <c r="C271" s="2">
        <f t="shared" ca="1" si="1"/>
        <v>1.8177686889343375E-2</v>
      </c>
    </row>
    <row r="272" spans="1:3">
      <c r="A272" s="3">
        <f ca="1">IFERROR(__xludf.UNSUPPORTED("""COMPUTED_VALUE"""),43859.6666666666)</f>
        <v>43859.666666666599</v>
      </c>
      <c r="B272" s="1">
        <f ca="1">IFERROR(__xludf.UNSUPPORTED("""COMPUTED_VALUE"""),134.23)</f>
        <v>134.22999999999999</v>
      </c>
      <c r="C272" s="2">
        <f t="shared" ca="1" si="1"/>
        <v>-1.4877631481069482E-3</v>
      </c>
    </row>
    <row r="273" spans="1:3">
      <c r="A273" s="3">
        <f ca="1">IFERROR(__xludf.UNSUPPORTED("""COMPUTED_VALUE"""),43860.6666666666)</f>
        <v>43860.666666666599</v>
      </c>
      <c r="B273" s="1">
        <f ca="1">IFERROR(__xludf.UNSUPPORTED("""COMPUTED_VALUE"""),135.89)</f>
        <v>135.88999999999999</v>
      </c>
      <c r="C273" s="2">
        <f t="shared" ca="1" si="1"/>
        <v>1.2366833047753831E-2</v>
      </c>
    </row>
    <row r="274" spans="1:3">
      <c r="A274" s="3">
        <f ca="1">IFERROR(__xludf.UNSUPPORTED("""COMPUTED_VALUE"""),43861.6666666666)</f>
        <v>43861.666666666599</v>
      </c>
      <c r="B274" s="1">
        <f ca="1">IFERROR(__xludf.UNSUPPORTED("""COMPUTED_VALUE"""),132.36)</f>
        <v>132.36000000000001</v>
      </c>
      <c r="C274" s="2">
        <f t="shared" ca="1" si="1"/>
        <v>-2.5976893075281279E-2</v>
      </c>
    </row>
    <row r="275" spans="1:3">
      <c r="A275" s="3">
        <f ca="1">IFERROR(__xludf.UNSUPPORTED("""COMPUTED_VALUE"""),43864.6666666666)</f>
        <v>43864.666666666599</v>
      </c>
      <c r="B275" s="1">
        <f ca="1">IFERROR(__xludf.UNSUPPORTED("""COMPUTED_VALUE"""),133.37)</f>
        <v>133.37</v>
      </c>
      <c r="C275" s="2">
        <f t="shared" ca="1" si="1"/>
        <v>7.6307041402235631E-3</v>
      </c>
    </row>
    <row r="276" spans="1:3">
      <c r="A276" s="3">
        <f ca="1">IFERROR(__xludf.UNSUPPORTED("""COMPUTED_VALUE"""),43865.6666666666)</f>
        <v>43865.666666666599</v>
      </c>
      <c r="B276" s="1">
        <f ca="1">IFERROR(__xludf.UNSUPPORTED("""COMPUTED_VALUE"""),135.29)</f>
        <v>135.29</v>
      </c>
      <c r="C276" s="2">
        <f t="shared" ca="1" si="1"/>
        <v>1.4396041088700512E-2</v>
      </c>
    </row>
    <row r="277" spans="1:3">
      <c r="A277" s="3">
        <f ca="1">IFERROR(__xludf.UNSUPPORTED("""COMPUTED_VALUE"""),43866.6666666666)</f>
        <v>43866.666666666599</v>
      </c>
      <c r="B277" s="1">
        <f ca="1">IFERROR(__xludf.UNSUPPORTED("""COMPUTED_VALUE"""),137.59)</f>
        <v>137.59</v>
      </c>
      <c r="C277" s="2">
        <f t="shared" ca="1" si="1"/>
        <v>1.7000517407051604E-2</v>
      </c>
    </row>
    <row r="278" spans="1:3">
      <c r="A278" s="3">
        <f ca="1">IFERROR(__xludf.UNSUPPORTED("""COMPUTED_VALUE"""),43867.6666666666)</f>
        <v>43867.666666666599</v>
      </c>
      <c r="B278" s="1">
        <f ca="1">IFERROR(__xludf.UNSUPPORTED("""COMPUTED_VALUE"""),137.61)</f>
        <v>137.61000000000001</v>
      </c>
      <c r="C278" s="2">
        <f t="shared" ca="1" si="1"/>
        <v>1.4535940111934175E-4</v>
      </c>
    </row>
    <row r="279" spans="1:3">
      <c r="A279" s="3">
        <f ca="1">IFERROR(__xludf.UNSUPPORTED("""COMPUTED_VALUE"""),43868.6666666666)</f>
        <v>43868.666666666599</v>
      </c>
      <c r="B279" s="1">
        <f ca="1">IFERROR(__xludf.UNSUPPORTED("""COMPUTED_VALUE"""),137.17)</f>
        <v>137.16999999999999</v>
      </c>
      <c r="C279" s="2">
        <f t="shared" ca="1" si="1"/>
        <v>-3.1974420463630995E-3</v>
      </c>
    </row>
    <row r="280" spans="1:3">
      <c r="A280" s="3">
        <f ca="1">IFERROR(__xludf.UNSUPPORTED("""COMPUTED_VALUE"""),43871.6666666666)</f>
        <v>43871.666666666599</v>
      </c>
      <c r="B280" s="1">
        <f ca="1">IFERROR(__xludf.UNSUPPORTED("""COMPUTED_VALUE"""),137.74)</f>
        <v>137.74</v>
      </c>
      <c r="C280" s="2">
        <f t="shared" ca="1" si="1"/>
        <v>4.1554275716266069E-3</v>
      </c>
    </row>
    <row r="281" spans="1:3">
      <c r="A281" s="3">
        <f ca="1">IFERROR(__xludf.UNSUPPORTED("""COMPUTED_VALUE"""),43872.6666666666)</f>
        <v>43872.666666666599</v>
      </c>
      <c r="B281" s="1">
        <f ca="1">IFERROR(__xludf.UNSUPPORTED("""COMPUTED_VALUE"""),138)</f>
        <v>138</v>
      </c>
      <c r="C281" s="2">
        <f t="shared" ca="1" si="1"/>
        <v>1.8876143458689625E-3</v>
      </c>
    </row>
    <row r="282" spans="1:3">
      <c r="A282" s="3">
        <f ca="1">IFERROR(__xludf.UNSUPPORTED("""COMPUTED_VALUE"""),43873.6666666666)</f>
        <v>43873.666666666599</v>
      </c>
      <c r="B282" s="1">
        <f ca="1">IFERROR(__xludf.UNSUPPORTED("""COMPUTED_VALUE"""),138)</f>
        <v>138</v>
      </c>
      <c r="C282" s="2">
        <f t="shared" ca="1" si="1"/>
        <v>0</v>
      </c>
    </row>
    <row r="283" spans="1:3">
      <c r="A283" s="3">
        <f ca="1">IFERROR(__xludf.UNSUPPORTED("""COMPUTED_VALUE"""),43874.6666666666)</f>
        <v>43874.666666666599</v>
      </c>
      <c r="B283" s="1">
        <f ca="1">IFERROR(__xludf.UNSUPPORTED("""COMPUTED_VALUE"""),137.88)</f>
        <v>137.88</v>
      </c>
      <c r="C283" s="2">
        <f t="shared" ca="1" si="1"/>
        <v>-8.6956521739133734E-4</v>
      </c>
    </row>
    <row r="284" spans="1:3">
      <c r="A284" s="3">
        <f ca="1">IFERROR(__xludf.UNSUPPORTED("""COMPUTED_VALUE"""),43875.6666666666)</f>
        <v>43875.666666666599</v>
      </c>
      <c r="B284" s="1">
        <f ca="1">IFERROR(__xludf.UNSUPPORTED("""COMPUTED_VALUE"""),137.46)</f>
        <v>137.46</v>
      </c>
      <c r="C284" s="2">
        <f t="shared" ca="1" si="1"/>
        <v>-3.046127067014705E-3</v>
      </c>
    </row>
    <row r="285" spans="1:3">
      <c r="A285" s="3">
        <f ca="1">IFERROR(__xludf.UNSUPPORTED("""COMPUTED_VALUE"""),43879.6666666666)</f>
        <v>43879.666666666599</v>
      </c>
      <c r="B285" s="1">
        <f ca="1">IFERROR(__xludf.UNSUPPORTED("""COMPUTED_VALUE"""),135.64)</f>
        <v>135.63999999999999</v>
      </c>
      <c r="C285" s="2">
        <f t="shared" ca="1" si="1"/>
        <v>-1.3240215335370446E-2</v>
      </c>
    </row>
    <row r="286" spans="1:3">
      <c r="A286" s="3">
        <f ca="1">IFERROR(__xludf.UNSUPPORTED("""COMPUTED_VALUE"""),43880.6666666666)</f>
        <v>43880.666666666599</v>
      </c>
      <c r="B286" s="1">
        <f ca="1">IFERROR(__xludf.UNSUPPORTED("""COMPUTED_VALUE"""),137.49)</f>
        <v>137.49</v>
      </c>
      <c r="C286" s="2">
        <f t="shared" ca="1" si="1"/>
        <v>1.3639044529637444E-2</v>
      </c>
    </row>
    <row r="287" spans="1:3">
      <c r="A287" s="3">
        <f ca="1">IFERROR(__xludf.UNSUPPORTED("""COMPUTED_VALUE"""),43881.6666666666)</f>
        <v>43881.666666666599</v>
      </c>
      <c r="B287" s="1">
        <f ca="1">IFERROR(__xludf.UNSUPPORTED("""COMPUTED_VALUE"""),137.49)</f>
        <v>137.49</v>
      </c>
      <c r="C287" s="2">
        <f t="shared" ca="1" si="1"/>
        <v>0</v>
      </c>
    </row>
    <row r="288" spans="1:3">
      <c r="A288" s="3">
        <f ca="1">IFERROR(__xludf.UNSUPPORTED("""COMPUTED_VALUE"""),43882.6666666666)</f>
        <v>43882.666666666599</v>
      </c>
      <c r="B288" s="1">
        <f ca="1">IFERROR(__xludf.UNSUPPORTED("""COMPUTED_VALUE"""),135.81)</f>
        <v>135.81</v>
      </c>
      <c r="C288" s="2">
        <f t="shared" ca="1" si="1"/>
        <v>-1.2219070477852983E-2</v>
      </c>
    </row>
    <row r="289" spans="1:3">
      <c r="A289" s="3">
        <f ca="1">IFERROR(__xludf.UNSUPPORTED("""COMPUTED_VALUE"""),43885.6666666666)</f>
        <v>43885.666666666599</v>
      </c>
      <c r="B289" s="1">
        <f ca="1">IFERROR(__xludf.UNSUPPORTED("""COMPUTED_VALUE"""),132.16)</f>
        <v>132.16</v>
      </c>
      <c r="C289" s="2">
        <f t="shared" ca="1" si="1"/>
        <v>-2.6875782342979205E-2</v>
      </c>
    </row>
    <row r="290" spans="1:3">
      <c r="A290" s="3">
        <f ca="1">IFERROR(__xludf.UNSUPPORTED("""COMPUTED_VALUE"""),43886.6666666666)</f>
        <v>43886.666666666599</v>
      </c>
      <c r="B290" s="1">
        <f ca="1">IFERROR(__xludf.UNSUPPORTED("""COMPUTED_VALUE"""),126.26)</f>
        <v>126.26</v>
      </c>
      <c r="C290" s="2">
        <f t="shared" ca="1" si="1"/>
        <v>-4.4642857142857081E-2</v>
      </c>
    </row>
    <row r="291" spans="1:3">
      <c r="A291" s="3">
        <f ca="1">IFERROR(__xludf.UNSUPPORTED("""COMPUTED_VALUE"""),43887.6666666666)</f>
        <v>43887.666666666599</v>
      </c>
      <c r="B291" s="1">
        <f ca="1">IFERROR(__xludf.UNSUPPORTED("""COMPUTED_VALUE"""),126.64)</f>
        <v>126.64</v>
      </c>
      <c r="C291" s="2">
        <f t="shared" ca="1" si="1"/>
        <v>3.0096626009820642E-3</v>
      </c>
    </row>
    <row r="292" spans="1:3">
      <c r="A292" s="3">
        <f ca="1">IFERROR(__xludf.UNSUPPORTED("""COMPUTED_VALUE"""),43888.6666666666)</f>
        <v>43888.666666666599</v>
      </c>
      <c r="B292" s="1">
        <f ca="1">IFERROR(__xludf.UNSUPPORTED("""COMPUTED_VALUE"""),121.37)</f>
        <v>121.37</v>
      </c>
      <c r="C292" s="2">
        <f t="shared" ca="1" si="1"/>
        <v>-4.1614024005053665E-2</v>
      </c>
    </row>
    <row r="293" spans="1:3">
      <c r="A293" s="3">
        <f ca="1">IFERROR(__xludf.UNSUPPORTED("""COMPUTED_VALUE"""),43889.6666666666)</f>
        <v>43889.666666666599</v>
      </c>
      <c r="B293" s="1">
        <f ca="1">IFERROR(__xludf.UNSUPPORTED("""COMPUTED_VALUE"""),116.11)</f>
        <v>116.11</v>
      </c>
      <c r="C293" s="2">
        <f t="shared" ca="1" si="1"/>
        <v>-4.3338551536623589E-2</v>
      </c>
    </row>
    <row r="294" spans="1:3">
      <c r="A294" s="3">
        <f ca="1">IFERROR(__xludf.UNSUPPORTED("""COMPUTED_VALUE"""),43892.6666666666)</f>
        <v>43892.666666666599</v>
      </c>
      <c r="B294" s="1">
        <f ca="1">IFERROR(__xludf.UNSUPPORTED("""COMPUTED_VALUE"""),121.52)</f>
        <v>121.52</v>
      </c>
      <c r="C294" s="2">
        <f t="shared" ca="1" si="1"/>
        <v>4.6593747308586654E-2</v>
      </c>
    </row>
    <row r="295" spans="1:3">
      <c r="A295" s="3">
        <f ca="1">IFERROR(__xludf.UNSUPPORTED("""COMPUTED_VALUE"""),43893.6666666666)</f>
        <v>43893.666666666599</v>
      </c>
      <c r="B295" s="1">
        <f ca="1">IFERROR(__xludf.UNSUPPORTED("""COMPUTED_VALUE"""),116.96)</f>
        <v>116.96</v>
      </c>
      <c r="C295" s="2">
        <f t="shared" ca="1" si="1"/>
        <v>-3.7524687294272566E-2</v>
      </c>
    </row>
    <row r="296" spans="1:3">
      <c r="A296" s="3">
        <f ca="1">IFERROR(__xludf.UNSUPPORTED("""COMPUTED_VALUE"""),43894.6666666666)</f>
        <v>43894.666666666599</v>
      </c>
      <c r="B296" s="1">
        <f ca="1">IFERROR(__xludf.UNSUPPORTED("""COMPUTED_VALUE"""),119.85)</f>
        <v>119.85</v>
      </c>
      <c r="C296" s="2">
        <f t="shared" ca="1" si="1"/>
        <v>2.4709302325581401E-2</v>
      </c>
    </row>
    <row r="297" spans="1:3">
      <c r="A297" s="3">
        <f ca="1">IFERROR(__xludf.UNSUPPORTED("""COMPUTED_VALUE"""),43895.6666666666)</f>
        <v>43895.666666666599</v>
      </c>
      <c r="B297" s="1">
        <f ca="1">IFERROR(__xludf.UNSUPPORTED("""COMPUTED_VALUE"""),113.97)</f>
        <v>113.97</v>
      </c>
      <c r="C297" s="2">
        <f t="shared" ca="1" si="1"/>
        <v>-4.9061326658322871E-2</v>
      </c>
    </row>
    <row r="298" spans="1:3">
      <c r="A298" s="3">
        <f ca="1">IFERROR(__xludf.UNSUPPORTED("""COMPUTED_VALUE"""),43896.6666666666)</f>
        <v>43896.666666666599</v>
      </c>
      <c r="B298" s="1">
        <f ca="1">IFERROR(__xludf.UNSUPPORTED("""COMPUTED_VALUE"""),108.08)</f>
        <v>108.08</v>
      </c>
      <c r="C298" s="2">
        <f t="shared" ca="1" si="1"/>
        <v>-5.1680266736860582E-2</v>
      </c>
    </row>
    <row r="299" spans="1:3">
      <c r="A299" s="3">
        <f ca="1">IFERROR(__xludf.UNSUPPORTED("""COMPUTED_VALUE"""),43899.6666666666)</f>
        <v>43899.666666666599</v>
      </c>
      <c r="B299" s="1">
        <f ca="1">IFERROR(__xludf.UNSUPPORTED("""COMPUTED_VALUE"""),93.44)</f>
        <v>93.44</v>
      </c>
      <c r="C299" s="2">
        <f t="shared" ca="1" si="1"/>
        <v>-0.13545521835677277</v>
      </c>
    </row>
    <row r="300" spans="1:3">
      <c r="A300" s="3">
        <f ca="1">IFERROR(__xludf.UNSUPPORTED("""COMPUTED_VALUE"""),43900.6666666666)</f>
        <v>43900.666666666599</v>
      </c>
      <c r="B300" s="1">
        <f ca="1">IFERROR(__xludf.UNSUPPORTED("""COMPUTED_VALUE"""),100.7)</f>
        <v>100.7</v>
      </c>
      <c r="C300" s="2">
        <f t="shared" ca="1" si="1"/>
        <v>7.7696917808219232E-2</v>
      </c>
    </row>
    <row r="301" spans="1:3">
      <c r="A301" s="3">
        <f ca="1">IFERROR(__xludf.UNSUPPORTED("""COMPUTED_VALUE"""),43901.6666666666)</f>
        <v>43901.666666666599</v>
      </c>
      <c r="B301" s="1">
        <f ca="1">IFERROR(__xludf.UNSUPPORTED("""COMPUTED_VALUE"""),95.96)</f>
        <v>95.96</v>
      </c>
      <c r="C301" s="2">
        <f t="shared" ca="1" si="1"/>
        <v>-4.7070506454816377E-2</v>
      </c>
    </row>
    <row r="302" spans="1:3">
      <c r="A302" s="3">
        <f ca="1">IFERROR(__xludf.UNSUPPORTED("""COMPUTED_VALUE"""),43902.6666666666)</f>
        <v>43902.666666666599</v>
      </c>
      <c r="B302" s="1">
        <f ca="1">IFERROR(__xludf.UNSUPPORTED("""COMPUTED_VALUE"""),88.05)</f>
        <v>88.05</v>
      </c>
      <c r="C302" s="2">
        <f t="shared" ca="1" si="1"/>
        <v>-8.2430179241350529E-2</v>
      </c>
    </row>
    <row r="303" spans="1:3">
      <c r="A303" s="3">
        <f ca="1">IFERROR(__xludf.UNSUPPORTED("""COMPUTED_VALUE"""),43903.6666666666)</f>
        <v>43903.666666666599</v>
      </c>
      <c r="B303" s="1">
        <f ca="1">IFERROR(__xludf.UNSUPPORTED("""COMPUTED_VALUE"""),103.91)</f>
        <v>103.91</v>
      </c>
      <c r="C303" s="2">
        <f t="shared" ca="1" si="1"/>
        <v>0.18012492901760363</v>
      </c>
    </row>
    <row r="304" spans="1:3">
      <c r="A304" s="3">
        <f ca="1">IFERROR(__xludf.UNSUPPORTED("""COMPUTED_VALUE"""),43906.6666666666)</f>
        <v>43906.666666666599</v>
      </c>
      <c r="B304" s="1">
        <f ca="1">IFERROR(__xludf.UNSUPPORTED("""COMPUTED_VALUE"""),88.36)</f>
        <v>88.36</v>
      </c>
      <c r="C304" s="2">
        <f t="shared" ca="1" si="1"/>
        <v>-0.14964873448176305</v>
      </c>
    </row>
    <row r="305" spans="1:3">
      <c r="A305" s="3">
        <f ca="1">IFERROR(__xludf.UNSUPPORTED("""COMPUTED_VALUE"""),43907.6666666666)</f>
        <v>43907.666666666599</v>
      </c>
      <c r="B305" s="1">
        <f ca="1">IFERROR(__xludf.UNSUPPORTED("""COMPUTED_VALUE"""),93.76)</f>
        <v>93.76</v>
      </c>
      <c r="C305" s="2">
        <f t="shared" ca="1" si="1"/>
        <v>6.1113626075147191E-2</v>
      </c>
    </row>
    <row r="306" spans="1:3">
      <c r="A306" s="3">
        <f ca="1">IFERROR(__xludf.UNSUPPORTED("""COMPUTED_VALUE"""),43908.6666666666)</f>
        <v>43908.666666666599</v>
      </c>
      <c r="B306" s="1">
        <f ca="1">IFERROR(__xludf.UNSUPPORTED("""COMPUTED_VALUE"""),83.89)</f>
        <v>83.89</v>
      </c>
      <c r="C306" s="2">
        <f t="shared" ca="1" si="1"/>
        <v>-0.10526877133105807</v>
      </c>
    </row>
    <row r="307" spans="1:3">
      <c r="A307" s="3">
        <f ca="1">IFERROR(__xludf.UNSUPPORTED("""COMPUTED_VALUE"""),43909.6666666666)</f>
        <v>43909.666666666599</v>
      </c>
      <c r="B307" s="1">
        <f ca="1">IFERROR(__xludf.UNSUPPORTED("""COMPUTED_VALUE"""),85.3)</f>
        <v>85.3</v>
      </c>
      <c r="C307" s="2">
        <f t="shared" ca="1" si="1"/>
        <v>1.680772440100127E-2</v>
      </c>
    </row>
    <row r="308" spans="1:3">
      <c r="A308" s="3">
        <f ca="1">IFERROR(__xludf.UNSUPPORTED("""COMPUTED_VALUE"""),43910.6666666666)</f>
        <v>43910.666666666599</v>
      </c>
      <c r="B308" s="1">
        <f ca="1">IFERROR(__xludf.UNSUPPORTED("""COMPUTED_VALUE"""),83.5)</f>
        <v>83.5</v>
      </c>
      <c r="C308" s="2">
        <f t="shared" ca="1" si="1"/>
        <v>-2.1101992966002313E-2</v>
      </c>
    </row>
    <row r="309" spans="1:3">
      <c r="A309" s="3">
        <f ca="1">IFERROR(__xludf.UNSUPPORTED("""COMPUTED_VALUE"""),43913.6666666666)</f>
        <v>43913.666666666599</v>
      </c>
      <c r="B309" s="1">
        <f ca="1">IFERROR(__xludf.UNSUPPORTED("""COMPUTED_VALUE"""),79.03)</f>
        <v>79.03</v>
      </c>
      <c r="C309" s="2">
        <f t="shared" ca="1" si="1"/>
        <v>-5.3532934131736515E-2</v>
      </c>
    </row>
    <row r="310" spans="1:3">
      <c r="A310" s="3">
        <f ca="1">IFERROR(__xludf.UNSUPPORTED("""COMPUTED_VALUE"""),43914.6666666666)</f>
        <v>43914.666666666599</v>
      </c>
      <c r="B310" s="1">
        <f ca="1">IFERROR(__xludf.UNSUPPORTED("""COMPUTED_VALUE"""),88.43)</f>
        <v>88.43</v>
      </c>
      <c r="C310" s="2">
        <f t="shared" ca="1" si="1"/>
        <v>0.11894217385802866</v>
      </c>
    </row>
    <row r="311" spans="1:3">
      <c r="A311" s="3">
        <f ca="1">IFERROR(__xludf.UNSUPPORTED("""COMPUTED_VALUE"""),43915.6666666666)</f>
        <v>43915.666666666599</v>
      </c>
      <c r="B311" s="1">
        <f ca="1">IFERROR(__xludf.UNSUPPORTED("""COMPUTED_VALUE"""),91.73)</f>
        <v>91.73</v>
      </c>
      <c r="C311" s="2">
        <f t="shared" ca="1" si="1"/>
        <v>3.7317652380413853E-2</v>
      </c>
    </row>
    <row r="312" spans="1:3">
      <c r="A312" s="3">
        <f ca="1">IFERROR(__xludf.UNSUPPORTED("""COMPUTED_VALUE"""),43916.6666666666)</f>
        <v>43916.666666666599</v>
      </c>
      <c r="B312" s="1">
        <f ca="1">IFERROR(__xludf.UNSUPPORTED("""COMPUTED_VALUE"""),98.12)</f>
        <v>98.12</v>
      </c>
      <c r="C312" s="2">
        <f t="shared" ca="1" si="1"/>
        <v>6.9660961517497011E-2</v>
      </c>
    </row>
    <row r="313" spans="1:3">
      <c r="A313" s="3">
        <f ca="1">IFERROR(__xludf.UNSUPPORTED("""COMPUTED_VALUE"""),43917.6666666666)</f>
        <v>43917.666666666599</v>
      </c>
      <c r="B313" s="1">
        <f ca="1">IFERROR(__xludf.UNSUPPORTED("""COMPUTED_VALUE"""),91.13)</f>
        <v>91.13</v>
      </c>
      <c r="C313" s="2">
        <f t="shared" ca="1" si="1"/>
        <v>-7.1239298817774244E-2</v>
      </c>
    </row>
    <row r="314" spans="1:3">
      <c r="A314" s="3">
        <f ca="1">IFERROR(__xludf.UNSUPPORTED("""COMPUTED_VALUE"""),43920.6666666666)</f>
        <v>43920.666666666599</v>
      </c>
      <c r="B314" s="1">
        <f ca="1">IFERROR(__xludf.UNSUPPORTED("""COMPUTED_VALUE"""),93.5)</f>
        <v>93.5</v>
      </c>
      <c r="C314" s="2">
        <f t="shared" ca="1" si="1"/>
        <v>2.6006803467573846E-2</v>
      </c>
    </row>
    <row r="315" spans="1:3">
      <c r="A315" s="3">
        <f ca="1">IFERROR(__xludf.UNSUPPORTED("""COMPUTED_VALUE"""),43921.6666666666)</f>
        <v>43921.666666666599</v>
      </c>
      <c r="B315" s="1">
        <f ca="1">IFERROR(__xludf.UNSUPPORTED("""COMPUTED_VALUE"""),90.03)</f>
        <v>90.03</v>
      </c>
      <c r="C315" s="2">
        <f t="shared" ca="1" si="1"/>
        <v>-3.7112299465240632E-2</v>
      </c>
    </row>
    <row r="316" spans="1:3">
      <c r="A316" s="3">
        <f ca="1">IFERROR(__xludf.UNSUPPORTED("""COMPUTED_VALUE"""),43922.6666666666)</f>
        <v>43922.666666666599</v>
      </c>
      <c r="B316" s="1">
        <f ca="1">IFERROR(__xludf.UNSUPPORTED("""COMPUTED_VALUE"""),84.36)</f>
        <v>84.36</v>
      </c>
      <c r="C316" s="2">
        <f t="shared" ca="1" si="1"/>
        <v>-6.2979006997667467E-2</v>
      </c>
    </row>
    <row r="317" spans="1:3">
      <c r="A317" s="3">
        <f ca="1">IFERROR(__xludf.UNSUPPORTED("""COMPUTED_VALUE"""),43923.6666666666)</f>
        <v>43923.666666666599</v>
      </c>
      <c r="B317" s="1">
        <f ca="1">IFERROR(__xludf.UNSUPPORTED("""COMPUTED_VALUE"""),87.51)</f>
        <v>87.51</v>
      </c>
      <c r="C317" s="2">
        <f t="shared" ca="1" si="1"/>
        <v>3.7339971550497932E-2</v>
      </c>
    </row>
    <row r="318" spans="1:3">
      <c r="A318" s="3">
        <f ca="1">IFERROR(__xludf.UNSUPPORTED("""COMPUTED_VALUE"""),43924.6666666666)</f>
        <v>43924.666666666599</v>
      </c>
      <c r="B318" s="1">
        <f ca="1">IFERROR(__xludf.UNSUPPORTED("""COMPUTED_VALUE"""),84.05)</f>
        <v>84.05</v>
      </c>
      <c r="C318" s="2">
        <f t="shared" ca="1" si="1"/>
        <v>-3.9538338475602876E-2</v>
      </c>
    </row>
    <row r="319" spans="1:3">
      <c r="A319" s="3">
        <f ca="1">IFERROR(__xludf.UNSUPPORTED("""COMPUTED_VALUE"""),43927.6666666666)</f>
        <v>43927.666666666599</v>
      </c>
      <c r="B319" s="1">
        <f ca="1">IFERROR(__xludf.UNSUPPORTED("""COMPUTED_VALUE"""),89.46)</f>
        <v>89.46</v>
      </c>
      <c r="C319" s="2">
        <f t="shared" ca="1" si="1"/>
        <v>6.4366448542534163E-2</v>
      </c>
    </row>
    <row r="320" spans="1:3">
      <c r="A320" s="3">
        <f ca="1">IFERROR(__xludf.UNSUPPORTED("""COMPUTED_VALUE"""),43928.6666666666)</f>
        <v>43928.666666666599</v>
      </c>
      <c r="B320" s="1">
        <f ca="1">IFERROR(__xludf.UNSUPPORTED("""COMPUTED_VALUE"""),90.64)</f>
        <v>90.64</v>
      </c>
      <c r="C320" s="2">
        <f t="shared" ca="1" si="1"/>
        <v>1.3190252626872422E-2</v>
      </c>
    </row>
    <row r="321" spans="1:3">
      <c r="A321" s="3">
        <f ca="1">IFERROR(__xludf.UNSUPPORTED("""COMPUTED_VALUE"""),43929.6666666666)</f>
        <v>43929.666666666599</v>
      </c>
      <c r="B321" s="1">
        <f ca="1">IFERROR(__xludf.UNSUPPORTED("""COMPUTED_VALUE"""),94.3)</f>
        <v>94.3</v>
      </c>
      <c r="C321" s="2">
        <f t="shared" ca="1" si="1"/>
        <v>4.0379523389232092E-2</v>
      </c>
    </row>
    <row r="322" spans="1:3">
      <c r="A322" s="3">
        <f ca="1">IFERROR(__xludf.UNSUPPORTED("""COMPUTED_VALUE"""),43930.6666666666)</f>
        <v>43930.666666666599</v>
      </c>
      <c r="B322" s="1">
        <f ca="1">IFERROR(__xludf.UNSUPPORTED("""COMPUTED_VALUE"""),102.76)</f>
        <v>102.76</v>
      </c>
      <c r="C322" s="2">
        <f t="shared" ca="1" si="1"/>
        <v>8.9713679745493199E-2</v>
      </c>
    </row>
    <row r="323" spans="1:3">
      <c r="A323" s="3">
        <f ca="1">IFERROR(__xludf.UNSUPPORTED("""COMPUTED_VALUE"""),43934.6666666666)</f>
        <v>43934.666666666599</v>
      </c>
      <c r="B323" s="1">
        <f ca="1">IFERROR(__xludf.UNSUPPORTED("""COMPUTED_VALUE"""),98.19)</f>
        <v>98.19</v>
      </c>
      <c r="C323" s="2">
        <f t="shared" ca="1" si="1"/>
        <v>-4.4472557415336775E-2</v>
      </c>
    </row>
    <row r="324" spans="1:3">
      <c r="A324" s="3">
        <f ca="1">IFERROR(__xludf.UNSUPPORTED("""COMPUTED_VALUE"""),43935.6666666666)</f>
        <v>43935.666666666599</v>
      </c>
      <c r="B324" s="1">
        <f ca="1">IFERROR(__xludf.UNSUPPORTED("""COMPUTED_VALUE"""),95.5)</f>
        <v>95.5</v>
      </c>
      <c r="C324" s="2">
        <f t="shared" ca="1" si="1"/>
        <v>-2.7395865159384844E-2</v>
      </c>
    </row>
    <row r="325" spans="1:3">
      <c r="A325" s="3">
        <f ca="1">IFERROR(__xludf.UNSUPPORTED("""COMPUTED_VALUE"""),43936.6666666666)</f>
        <v>43936.666666666599</v>
      </c>
      <c r="B325" s="1">
        <f ca="1">IFERROR(__xludf.UNSUPPORTED("""COMPUTED_VALUE"""),90.79)</f>
        <v>90.79</v>
      </c>
      <c r="C325" s="2">
        <f t="shared" ca="1" si="1"/>
        <v>-4.9319371727748626E-2</v>
      </c>
    </row>
    <row r="326" spans="1:3">
      <c r="A326" s="3">
        <f ca="1">IFERROR(__xludf.UNSUPPORTED("""COMPUTED_VALUE"""),43937.6666666666)</f>
        <v>43937.666666666599</v>
      </c>
      <c r="B326" s="1">
        <f ca="1">IFERROR(__xludf.UNSUPPORTED("""COMPUTED_VALUE"""),87.33)</f>
        <v>87.33</v>
      </c>
      <c r="C326" s="2">
        <f t="shared" ca="1" si="1"/>
        <v>-3.8109924000440665E-2</v>
      </c>
    </row>
    <row r="327" spans="1:3">
      <c r="A327" s="3">
        <f ca="1">IFERROR(__xludf.UNSUPPORTED("""COMPUTED_VALUE"""),43938.6666666666)</f>
        <v>43938.666666666599</v>
      </c>
      <c r="B327" s="1">
        <f ca="1">IFERROR(__xludf.UNSUPPORTED("""COMPUTED_VALUE"""),95.18)</f>
        <v>95.18</v>
      </c>
      <c r="C327" s="2">
        <f t="shared" ca="1" si="1"/>
        <v>8.9888927058284773E-2</v>
      </c>
    </row>
    <row r="328" spans="1:3">
      <c r="A328" s="3">
        <f ca="1">IFERROR(__xludf.UNSUPPORTED("""COMPUTED_VALUE"""),43941.6666666666)</f>
        <v>43941.666666666599</v>
      </c>
      <c r="B328" s="1">
        <f ca="1">IFERROR(__xludf.UNSUPPORTED("""COMPUTED_VALUE"""),91.71)</f>
        <v>91.71</v>
      </c>
      <c r="C328" s="2">
        <f t="shared" ca="1" si="1"/>
        <v>-3.6457238915738738E-2</v>
      </c>
    </row>
    <row r="329" spans="1:3">
      <c r="A329" s="3">
        <f ca="1">IFERROR(__xludf.UNSUPPORTED("""COMPUTED_VALUE"""),43942.6666666666)</f>
        <v>43942.666666666599</v>
      </c>
      <c r="B329" s="1">
        <f ca="1">IFERROR(__xludf.UNSUPPORTED("""COMPUTED_VALUE"""),89.05)</f>
        <v>89.05</v>
      </c>
      <c r="C329" s="2">
        <f t="shared" ca="1" si="1"/>
        <v>-2.9004470613891581E-2</v>
      </c>
    </row>
    <row r="330" spans="1:3">
      <c r="A330" s="3">
        <f ca="1">IFERROR(__xludf.UNSUPPORTED("""COMPUTED_VALUE"""),43943.6666666666)</f>
        <v>43943.666666666599</v>
      </c>
      <c r="B330" s="1">
        <f ca="1">IFERROR(__xludf.UNSUPPORTED("""COMPUTED_VALUE"""),89.34)</f>
        <v>89.34</v>
      </c>
      <c r="C330" s="2">
        <f t="shared" ca="1" si="1"/>
        <v>3.2565974171814291E-3</v>
      </c>
    </row>
    <row r="331" spans="1:3">
      <c r="A331" s="3">
        <f ca="1">IFERROR(__xludf.UNSUPPORTED("""COMPUTED_VALUE"""),43944.6666666666)</f>
        <v>43944.666666666599</v>
      </c>
      <c r="B331" s="1">
        <f ca="1">IFERROR(__xludf.UNSUPPORTED("""COMPUTED_VALUE"""),89.39)</f>
        <v>89.39</v>
      </c>
      <c r="C331" s="2">
        <f t="shared" ca="1" si="1"/>
        <v>5.5965972688602143E-4</v>
      </c>
    </row>
    <row r="332" spans="1:3">
      <c r="A332" s="3">
        <f ca="1">IFERROR(__xludf.UNSUPPORTED("""COMPUTED_VALUE"""),43945.6666666666)</f>
        <v>43945.666666666599</v>
      </c>
      <c r="B332" s="1">
        <f ca="1">IFERROR(__xludf.UNSUPPORTED("""COMPUTED_VALUE"""),90.71)</f>
        <v>90.71</v>
      </c>
      <c r="C332" s="2">
        <f t="shared" ca="1" si="1"/>
        <v>1.4766752433157995E-2</v>
      </c>
    </row>
    <row r="333" spans="1:3">
      <c r="A333" s="3">
        <f ca="1">IFERROR(__xludf.UNSUPPORTED("""COMPUTED_VALUE"""),43948.6666666666)</f>
        <v>43948.666666666599</v>
      </c>
      <c r="B333" s="1">
        <f ca="1">IFERROR(__xludf.UNSUPPORTED("""COMPUTED_VALUE"""),94.62)</f>
        <v>94.62</v>
      </c>
      <c r="C333" s="2">
        <f t="shared" ca="1" si="1"/>
        <v>4.3104398633006406E-2</v>
      </c>
    </row>
    <row r="334" spans="1:3">
      <c r="A334" s="3">
        <f ca="1">IFERROR(__xludf.UNSUPPORTED("""COMPUTED_VALUE"""),43949.6666666666)</f>
        <v>43949.666666666599</v>
      </c>
      <c r="B334" s="1">
        <f ca="1">IFERROR(__xludf.UNSUPPORTED("""COMPUTED_VALUE"""),95.29)</f>
        <v>95.29</v>
      </c>
      <c r="C334" s="2">
        <f t="shared" ca="1" si="1"/>
        <v>7.0809554005495847E-3</v>
      </c>
    </row>
    <row r="335" spans="1:3">
      <c r="A335" s="3">
        <f ca="1">IFERROR(__xludf.UNSUPPORTED("""COMPUTED_VALUE"""),43950.6666666666)</f>
        <v>43950.666666666599</v>
      </c>
      <c r="B335" s="1">
        <f ca="1">IFERROR(__xludf.UNSUPPORTED("""COMPUTED_VALUE"""),97.86)</f>
        <v>97.86</v>
      </c>
      <c r="C335" s="2">
        <f t="shared" ca="1" si="1"/>
        <v>2.6970301185853637E-2</v>
      </c>
    </row>
    <row r="336" spans="1:3">
      <c r="A336" s="3">
        <f ca="1">IFERROR(__xludf.UNSUPPORTED("""COMPUTED_VALUE"""),43951.6666666666)</f>
        <v>43951.666666666599</v>
      </c>
      <c r="B336" s="1">
        <f ca="1">IFERROR(__xludf.UNSUPPORTED("""COMPUTED_VALUE"""),95.76)</f>
        <v>95.76</v>
      </c>
      <c r="C336" s="2">
        <f t="shared" ca="1" si="1"/>
        <v>-2.14592274678111E-2</v>
      </c>
    </row>
    <row r="337" spans="1:3">
      <c r="A337" s="3">
        <f ca="1">IFERROR(__xludf.UNSUPPORTED("""COMPUTED_VALUE"""),43952.6666666666)</f>
        <v>43952.666666666599</v>
      </c>
      <c r="B337" s="1">
        <f ca="1">IFERROR(__xludf.UNSUPPORTED("""COMPUTED_VALUE"""),93.25)</f>
        <v>93.25</v>
      </c>
      <c r="C337" s="2">
        <f t="shared" ca="1" si="1"/>
        <v>-2.6211361737677578E-2</v>
      </c>
    </row>
    <row r="338" spans="1:3">
      <c r="A338" s="3">
        <f ca="1">IFERROR(__xludf.UNSUPPORTED("""COMPUTED_VALUE"""),43955.6666666666)</f>
        <v>43955.666666666599</v>
      </c>
      <c r="B338" s="1">
        <f ca="1">IFERROR(__xludf.UNSUPPORTED("""COMPUTED_VALUE"""),92.14)</f>
        <v>92.14</v>
      </c>
      <c r="C338" s="2">
        <f t="shared" ca="1" si="1"/>
        <v>-1.1903485254691683E-2</v>
      </c>
    </row>
    <row r="339" spans="1:3">
      <c r="A339" s="3">
        <f ca="1">IFERROR(__xludf.UNSUPPORTED("""COMPUTED_VALUE"""),43956.6666666666)</f>
        <v>43956.666666666599</v>
      </c>
      <c r="B339" s="1">
        <f ca="1">IFERROR(__xludf.UNSUPPORTED("""COMPUTED_VALUE"""),92)</f>
        <v>92</v>
      </c>
      <c r="C339" s="2">
        <f t="shared" ca="1" si="1"/>
        <v>-1.5194269589754782E-3</v>
      </c>
    </row>
    <row r="340" spans="1:3">
      <c r="A340" s="3">
        <f ca="1">IFERROR(__xludf.UNSUPPORTED("""COMPUTED_VALUE"""),43957.6666666666)</f>
        <v>43957.666666666599</v>
      </c>
      <c r="B340" s="1">
        <f ca="1">IFERROR(__xludf.UNSUPPORTED("""COMPUTED_VALUE"""),90.27)</f>
        <v>90.27</v>
      </c>
      <c r="C340" s="2">
        <f t="shared" ca="1" si="1"/>
        <v>-1.8804347826087E-2</v>
      </c>
    </row>
    <row r="341" spans="1:3">
      <c r="A341" s="3">
        <f ca="1">IFERROR(__xludf.UNSUPPORTED("""COMPUTED_VALUE"""),43958.6666666666)</f>
        <v>43958.666666666599</v>
      </c>
      <c r="B341" s="1">
        <f ca="1">IFERROR(__xludf.UNSUPPORTED("""COMPUTED_VALUE"""),91.21)</f>
        <v>91.21</v>
      </c>
      <c r="C341" s="2">
        <f t="shared" ca="1" si="1"/>
        <v>1.0413204829954555E-2</v>
      </c>
    </row>
    <row r="342" spans="1:3">
      <c r="A342" s="3">
        <f ca="1">IFERROR(__xludf.UNSUPPORTED("""COMPUTED_VALUE"""),43959.6666666666)</f>
        <v>43959.666666666599</v>
      </c>
      <c r="B342" s="1">
        <f ca="1">IFERROR(__xludf.UNSUPPORTED("""COMPUTED_VALUE"""),92.7)</f>
        <v>92.7</v>
      </c>
      <c r="C342" s="2">
        <f t="shared" ca="1" si="1"/>
        <v>1.6335928078061716E-2</v>
      </c>
    </row>
    <row r="343" spans="1:3">
      <c r="A343" s="3">
        <f ca="1">IFERROR(__xludf.UNSUPPORTED("""COMPUTED_VALUE"""),43962.6666666666)</f>
        <v>43962.666666666599</v>
      </c>
      <c r="B343" s="1">
        <f ca="1">IFERROR(__xludf.UNSUPPORTED("""COMPUTED_VALUE"""),89.97)</f>
        <v>89.97</v>
      </c>
      <c r="C343" s="2">
        <f t="shared" ca="1" si="1"/>
        <v>-2.9449838187702308E-2</v>
      </c>
    </row>
    <row r="344" spans="1:3">
      <c r="A344" s="3">
        <f ca="1">IFERROR(__xludf.UNSUPPORTED("""COMPUTED_VALUE"""),43963.6666666666)</f>
        <v>43963.666666666599</v>
      </c>
      <c r="B344" s="1">
        <f ca="1">IFERROR(__xludf.UNSUPPORTED("""COMPUTED_VALUE"""),87.03)</f>
        <v>87.03</v>
      </c>
      <c r="C344" s="2">
        <f t="shared" ca="1" si="1"/>
        <v>-3.2677559186395443E-2</v>
      </c>
    </row>
    <row r="345" spans="1:3">
      <c r="A345" s="3">
        <f ca="1">IFERROR(__xludf.UNSUPPORTED("""COMPUTED_VALUE"""),43964.6666666666)</f>
        <v>43964.666666666599</v>
      </c>
      <c r="B345" s="1">
        <f ca="1">IFERROR(__xludf.UNSUPPORTED("""COMPUTED_VALUE"""),84.03)</f>
        <v>84.03</v>
      </c>
      <c r="C345" s="2">
        <f t="shared" ca="1" si="1"/>
        <v>-3.447087211306446E-2</v>
      </c>
    </row>
    <row r="346" spans="1:3">
      <c r="A346" s="3">
        <f ca="1">IFERROR(__xludf.UNSUPPORTED("""COMPUTED_VALUE"""),43965.6666666666)</f>
        <v>43965.666666666599</v>
      </c>
      <c r="B346" s="1">
        <f ca="1">IFERROR(__xludf.UNSUPPORTED("""COMPUTED_VALUE"""),87.52)</f>
        <v>87.52</v>
      </c>
      <c r="C346" s="2">
        <f t="shared" ca="1" si="1"/>
        <v>4.1532785909794062E-2</v>
      </c>
    </row>
    <row r="347" spans="1:3">
      <c r="A347" s="3">
        <f ca="1">IFERROR(__xludf.UNSUPPORTED("""COMPUTED_VALUE"""),43966.6666666666)</f>
        <v>43966.666666666599</v>
      </c>
      <c r="B347" s="1">
        <f ca="1">IFERROR(__xludf.UNSUPPORTED("""COMPUTED_VALUE"""),85.9)</f>
        <v>85.9</v>
      </c>
      <c r="C347" s="2">
        <f t="shared" ca="1" si="1"/>
        <v>-1.8510054844606837E-2</v>
      </c>
    </row>
    <row r="348" spans="1:3">
      <c r="A348" s="3">
        <f ca="1">IFERROR(__xludf.UNSUPPORTED("""COMPUTED_VALUE"""),43969.6666666666)</f>
        <v>43969.666666666599</v>
      </c>
      <c r="B348" s="1">
        <f ca="1">IFERROR(__xludf.UNSUPPORTED("""COMPUTED_VALUE"""),90.45)</f>
        <v>90.45</v>
      </c>
      <c r="C348" s="2">
        <f t="shared" ca="1" si="1"/>
        <v>5.2968568102444664E-2</v>
      </c>
    </row>
    <row r="349" spans="1:3">
      <c r="A349" s="3">
        <f ca="1">IFERROR(__xludf.UNSUPPORTED("""COMPUTED_VALUE"""),43970.6666666666)</f>
        <v>43970.666666666599</v>
      </c>
      <c r="B349" s="1">
        <f ca="1">IFERROR(__xludf.UNSUPPORTED("""COMPUTED_VALUE"""),88.67)</f>
        <v>88.67</v>
      </c>
      <c r="C349" s="2">
        <f t="shared" ca="1" si="1"/>
        <v>-1.9679380873410736E-2</v>
      </c>
    </row>
    <row r="350" spans="1:3">
      <c r="A350" s="3">
        <f ca="1">IFERROR(__xludf.UNSUPPORTED("""COMPUTED_VALUE"""),43971.6666666666)</f>
        <v>43971.666666666599</v>
      </c>
      <c r="B350" s="1">
        <f ca="1">IFERROR(__xludf.UNSUPPORTED("""COMPUTED_VALUE"""),91.33)</f>
        <v>91.33</v>
      </c>
      <c r="C350" s="2">
        <f t="shared" ca="1" si="1"/>
        <v>2.9998872222848725E-2</v>
      </c>
    </row>
    <row r="351" spans="1:3">
      <c r="A351" s="3">
        <f ca="1">IFERROR(__xludf.UNSUPPORTED("""COMPUTED_VALUE"""),43972.6666666666)</f>
        <v>43972.666666666599</v>
      </c>
      <c r="B351" s="1">
        <f ca="1">IFERROR(__xludf.UNSUPPORTED("""COMPUTED_VALUE"""),90.17)</f>
        <v>90.17</v>
      </c>
      <c r="C351" s="2">
        <f t="shared" ca="1" si="1"/>
        <v>-1.270119347421435E-2</v>
      </c>
    </row>
    <row r="352" spans="1:3">
      <c r="A352" s="3">
        <f ca="1">IFERROR(__xludf.UNSUPPORTED("""COMPUTED_VALUE"""),43973.6666666666)</f>
        <v>43973.666666666599</v>
      </c>
      <c r="B352" s="1">
        <f ca="1">IFERROR(__xludf.UNSUPPORTED("""COMPUTED_VALUE"""),89.47)</f>
        <v>89.47</v>
      </c>
      <c r="C352" s="2">
        <f t="shared" ca="1" si="1"/>
        <v>-7.7631141177775627E-3</v>
      </c>
    </row>
    <row r="353" spans="1:3">
      <c r="A353" s="3">
        <f ca="1">IFERROR(__xludf.UNSUPPORTED("""COMPUTED_VALUE"""),43977.6666666666)</f>
        <v>43977.666666666599</v>
      </c>
      <c r="B353" s="1">
        <f ca="1">IFERROR(__xludf.UNSUPPORTED("""COMPUTED_VALUE"""),95.82)</f>
        <v>95.82</v>
      </c>
      <c r="C353" s="2">
        <f t="shared" ca="1" si="1"/>
        <v>7.097351067396887E-2</v>
      </c>
    </row>
    <row r="354" spans="1:3">
      <c r="A354" s="3">
        <f ca="1">IFERROR(__xludf.UNSUPPORTED("""COMPUTED_VALUE"""),43978.6666666666)</f>
        <v>43978.666666666599</v>
      </c>
      <c r="B354" s="1">
        <f ca="1">IFERROR(__xludf.UNSUPPORTED("""COMPUTED_VALUE"""),101.37)</f>
        <v>101.37</v>
      </c>
      <c r="C354" s="2">
        <f t="shared" ca="1" si="1"/>
        <v>5.7921102066374575E-2</v>
      </c>
    </row>
    <row r="355" spans="1:3">
      <c r="A355" s="3">
        <f ca="1">IFERROR(__xludf.UNSUPPORTED("""COMPUTED_VALUE"""),43979.6666666666)</f>
        <v>43979.666666666599</v>
      </c>
      <c r="B355" s="1">
        <f ca="1">IFERROR(__xludf.UNSUPPORTED("""COMPUTED_VALUE"""),99.86)</f>
        <v>99.86</v>
      </c>
      <c r="C355" s="2">
        <f t="shared" ca="1" si="1"/>
        <v>-1.4895925816316513E-2</v>
      </c>
    </row>
    <row r="356" spans="1:3">
      <c r="A356" s="3">
        <f ca="1">IFERROR(__xludf.UNSUPPORTED("""COMPUTED_VALUE"""),43980.6666666666)</f>
        <v>43980.666666666599</v>
      </c>
      <c r="B356" s="1">
        <f ca="1">IFERROR(__xludf.UNSUPPORTED("""COMPUTED_VALUE"""),97.31)</f>
        <v>97.31</v>
      </c>
      <c r="C356" s="2">
        <f t="shared" ca="1" si="1"/>
        <v>-2.5535750050070069E-2</v>
      </c>
    </row>
    <row r="357" spans="1:3">
      <c r="A357" s="3">
        <f ca="1">IFERROR(__xludf.UNSUPPORTED("""COMPUTED_VALUE"""),43983.6666666666)</f>
        <v>43983.666666666599</v>
      </c>
      <c r="B357" s="1">
        <f ca="1">IFERROR(__xludf.UNSUPPORTED("""COMPUTED_VALUE"""),98.6)</f>
        <v>98.6</v>
      </c>
      <c r="C357" s="2">
        <f t="shared" ca="1" si="1"/>
        <v>1.3256602610214696E-2</v>
      </c>
    </row>
    <row r="358" spans="1:3">
      <c r="A358" s="3">
        <f ca="1">IFERROR(__xludf.UNSUPPORTED("""COMPUTED_VALUE"""),43984.6666666666)</f>
        <v>43984.666666666599</v>
      </c>
      <c r="B358" s="1">
        <f ca="1">IFERROR(__xludf.UNSUPPORTED("""COMPUTED_VALUE"""),98.93)</f>
        <v>98.93</v>
      </c>
      <c r="C358" s="2">
        <f t="shared" ca="1" si="1"/>
        <v>3.3468559837729465E-3</v>
      </c>
    </row>
    <row r="359" spans="1:3">
      <c r="A359" s="3">
        <f ca="1">IFERROR(__xludf.UNSUPPORTED("""COMPUTED_VALUE"""),43985.6666666666)</f>
        <v>43985.666666666599</v>
      </c>
      <c r="B359" s="1">
        <f ca="1">IFERROR(__xludf.UNSUPPORTED("""COMPUTED_VALUE"""),104.27)</f>
        <v>104.27</v>
      </c>
      <c r="C359" s="2">
        <f t="shared" ca="1" si="1"/>
        <v>5.3977559890831792E-2</v>
      </c>
    </row>
    <row r="360" spans="1:3">
      <c r="A360" s="3">
        <f ca="1">IFERROR(__xludf.UNSUPPORTED("""COMPUTED_VALUE"""),43986.6666666666)</f>
        <v>43986.666666666599</v>
      </c>
      <c r="B360" s="1">
        <f ca="1">IFERROR(__xludf.UNSUPPORTED("""COMPUTED_VALUE"""),106.44)</f>
        <v>106.44</v>
      </c>
      <c r="C360" s="2">
        <f t="shared" ca="1" si="1"/>
        <v>2.0811355135705398E-2</v>
      </c>
    </row>
    <row r="361" spans="1:3">
      <c r="A361" s="3">
        <f ca="1">IFERROR(__xludf.UNSUPPORTED("""COMPUTED_VALUE"""),43987.6666666666)</f>
        <v>43987.666666666599</v>
      </c>
      <c r="B361" s="1">
        <f ca="1">IFERROR(__xludf.UNSUPPORTED("""COMPUTED_VALUE"""),111.23)</f>
        <v>111.23</v>
      </c>
      <c r="C361" s="2">
        <f t="shared" ca="1" si="1"/>
        <v>4.5001878992859887E-2</v>
      </c>
    </row>
    <row r="362" spans="1:3">
      <c r="A362" s="3">
        <f ca="1">IFERROR(__xludf.UNSUPPORTED("""COMPUTED_VALUE"""),43990.6666666666)</f>
        <v>43990.666666666599</v>
      </c>
      <c r="B362" s="1">
        <f ca="1">IFERROR(__xludf.UNSUPPORTED("""COMPUTED_VALUE"""),113.45)</f>
        <v>113.45</v>
      </c>
      <c r="C362" s="2">
        <f t="shared" ca="1" si="1"/>
        <v>1.9958644250651792E-2</v>
      </c>
    </row>
    <row r="363" spans="1:3">
      <c r="A363" s="3">
        <f ca="1">IFERROR(__xludf.UNSUPPORTED("""COMPUTED_VALUE"""),43991.6666666666)</f>
        <v>43991.666666666599</v>
      </c>
      <c r="B363" s="1">
        <f ca="1">IFERROR(__xludf.UNSUPPORTED("""COMPUTED_VALUE"""),110.54)</f>
        <v>110.54</v>
      </c>
      <c r="C363" s="2">
        <f t="shared" ca="1" si="1"/>
        <v>-2.5650066108417774E-2</v>
      </c>
    </row>
    <row r="364" spans="1:3">
      <c r="A364" s="3">
        <f ca="1">IFERROR(__xludf.UNSUPPORTED("""COMPUTED_VALUE"""),43992.6666666666)</f>
        <v>43992.666666666599</v>
      </c>
      <c r="B364" s="1">
        <f ca="1">IFERROR(__xludf.UNSUPPORTED("""COMPUTED_VALUE"""),106.06)</f>
        <v>106.06</v>
      </c>
      <c r="C364" s="2">
        <f t="shared" ca="1" si="1"/>
        <v>-4.0528315541885324E-2</v>
      </c>
    </row>
    <row r="365" spans="1:3">
      <c r="A365" s="3">
        <f ca="1">IFERROR(__xludf.UNSUPPORTED("""COMPUTED_VALUE"""),43993.6666666666)</f>
        <v>43993.666666666599</v>
      </c>
      <c r="B365" s="1">
        <f ca="1">IFERROR(__xludf.UNSUPPORTED("""COMPUTED_VALUE"""),97.21)</f>
        <v>97.21</v>
      </c>
      <c r="C365" s="2">
        <f t="shared" ca="1" si="1"/>
        <v>-8.3443333961908436E-2</v>
      </c>
    </row>
    <row r="366" spans="1:3">
      <c r="A366" s="3">
        <f ca="1">IFERROR(__xludf.UNSUPPORTED("""COMPUTED_VALUE"""),43994.6666666666)</f>
        <v>43994.666666666599</v>
      </c>
      <c r="B366" s="1">
        <f ca="1">IFERROR(__xludf.UNSUPPORTED("""COMPUTED_VALUE"""),99.87)</f>
        <v>99.87</v>
      </c>
      <c r="C366" s="2">
        <f t="shared" ca="1" si="1"/>
        <v>2.7363439975311293E-2</v>
      </c>
    </row>
    <row r="367" spans="1:3">
      <c r="A367" s="3">
        <f ca="1">IFERROR(__xludf.UNSUPPORTED("""COMPUTED_VALUE"""),43997.6666666666)</f>
        <v>43997.666666666599</v>
      </c>
      <c r="B367" s="1">
        <f ca="1">IFERROR(__xludf.UNSUPPORTED("""COMPUTED_VALUE"""),101.25)</f>
        <v>101.25</v>
      </c>
      <c r="C367" s="2">
        <f t="shared" ca="1" si="1"/>
        <v>1.3817963352358019E-2</v>
      </c>
    </row>
    <row r="368" spans="1:3">
      <c r="A368" s="3">
        <f ca="1">IFERROR(__xludf.UNSUPPORTED("""COMPUTED_VALUE"""),43998.6666666666)</f>
        <v>43998.666666666599</v>
      </c>
      <c r="B368" s="1">
        <f ca="1">IFERROR(__xludf.UNSUPPORTED("""COMPUTED_VALUE"""),102.06)</f>
        <v>102.06</v>
      </c>
      <c r="C368" s="2">
        <f t="shared" ca="1" si="1"/>
        <v>8.0000000000000227E-3</v>
      </c>
    </row>
    <row r="369" spans="1:3">
      <c r="A369" s="3">
        <f ca="1">IFERROR(__xludf.UNSUPPORTED("""COMPUTED_VALUE"""),43999.6666666666)</f>
        <v>43999.666666666599</v>
      </c>
      <c r="B369" s="1">
        <f ca="1">IFERROR(__xludf.UNSUPPORTED("""COMPUTED_VALUE"""),99.48)</f>
        <v>99.48</v>
      </c>
      <c r="C369" s="2">
        <f t="shared" ca="1" si="1"/>
        <v>-2.5279247501469707E-2</v>
      </c>
    </row>
    <row r="370" spans="1:3">
      <c r="A370" s="3">
        <f ca="1">IFERROR(__xludf.UNSUPPORTED("""COMPUTED_VALUE"""),44000.6666666666)</f>
        <v>44000.666666666599</v>
      </c>
      <c r="B370" s="1">
        <f ca="1">IFERROR(__xludf.UNSUPPORTED("""COMPUTED_VALUE"""),98.94)</f>
        <v>98.94</v>
      </c>
      <c r="C370" s="2">
        <f t="shared" ca="1" si="1"/>
        <v>-5.4282267792521736E-3</v>
      </c>
    </row>
    <row r="371" spans="1:3">
      <c r="A371" s="3">
        <f ca="1">IFERROR(__xludf.UNSUPPORTED("""COMPUTED_VALUE"""),44001.6666666666)</f>
        <v>44001.666666666599</v>
      </c>
      <c r="B371" s="1">
        <f ca="1">IFERROR(__xludf.UNSUPPORTED("""COMPUTED_VALUE"""),97.81)</f>
        <v>97.81</v>
      </c>
      <c r="C371" s="2">
        <f t="shared" ca="1" si="1"/>
        <v>-1.1421063270669047E-2</v>
      </c>
    </row>
    <row r="372" spans="1:3">
      <c r="A372" s="3">
        <f ca="1">IFERROR(__xludf.UNSUPPORTED("""COMPUTED_VALUE"""),44004.6666666666)</f>
        <v>44004.666666666599</v>
      </c>
      <c r="B372" s="1">
        <f ca="1">IFERROR(__xludf.UNSUPPORTED("""COMPUTED_VALUE"""),96.75)</f>
        <v>96.75</v>
      </c>
      <c r="C372" s="2">
        <f t="shared" ca="1" si="1"/>
        <v>-1.0837337695532178E-2</v>
      </c>
    </row>
    <row r="373" spans="1:3">
      <c r="A373" s="3">
        <f ca="1">IFERROR(__xludf.UNSUPPORTED("""COMPUTED_VALUE"""),44005.6666666666)</f>
        <v>44005.666666666599</v>
      </c>
      <c r="B373" s="1">
        <f ca="1">IFERROR(__xludf.UNSUPPORTED("""COMPUTED_VALUE"""),97.93)</f>
        <v>97.93</v>
      </c>
      <c r="C373" s="2">
        <f t="shared" ca="1" si="1"/>
        <v>1.2196382428940639E-2</v>
      </c>
    </row>
    <row r="374" spans="1:3">
      <c r="A374" s="3">
        <f ca="1">IFERROR(__xludf.UNSUPPORTED("""COMPUTED_VALUE"""),44006.6666666666)</f>
        <v>44006.666666666599</v>
      </c>
      <c r="B374" s="1">
        <f ca="1">IFERROR(__xludf.UNSUPPORTED("""COMPUTED_VALUE"""),94.66)</f>
        <v>94.66</v>
      </c>
      <c r="C374" s="2">
        <f t="shared" ca="1" si="1"/>
        <v>-3.3391197794342999E-2</v>
      </c>
    </row>
    <row r="375" spans="1:3">
      <c r="A375" s="3">
        <f ca="1">IFERROR(__xludf.UNSUPPORTED("""COMPUTED_VALUE"""),44007.6666666666)</f>
        <v>44007.666666666599</v>
      </c>
      <c r="B375" s="1">
        <f ca="1">IFERROR(__xludf.UNSUPPORTED("""COMPUTED_VALUE"""),97.96)</f>
        <v>97.96</v>
      </c>
      <c r="C375" s="2">
        <f t="shared" ca="1" si="1"/>
        <v>3.486160997253325E-2</v>
      </c>
    </row>
    <row r="376" spans="1:3">
      <c r="A376" s="3">
        <f ca="1">IFERROR(__xludf.UNSUPPORTED("""COMPUTED_VALUE"""),44008.6666666666)</f>
        <v>44008.666666666599</v>
      </c>
      <c r="B376" s="1">
        <f ca="1">IFERROR(__xludf.UNSUPPORTED("""COMPUTED_VALUE"""),92.59)</f>
        <v>92.59</v>
      </c>
      <c r="C376" s="2">
        <f t="shared" ca="1" si="1"/>
        <v>-5.4818293180890064E-2</v>
      </c>
    </row>
    <row r="377" spans="1:3">
      <c r="A377" s="3">
        <f ca="1">IFERROR(__xludf.UNSUPPORTED("""COMPUTED_VALUE"""),44011.6666666666)</f>
        <v>44011.666666666599</v>
      </c>
      <c r="B377" s="1">
        <f ca="1">IFERROR(__xludf.UNSUPPORTED("""COMPUTED_VALUE"""),93)</f>
        <v>93</v>
      </c>
      <c r="C377" s="2">
        <f t="shared" ca="1" si="1"/>
        <v>4.4281239874716122E-3</v>
      </c>
    </row>
    <row r="378" spans="1:3">
      <c r="A378" s="3">
        <f ca="1">IFERROR(__xludf.UNSUPPORTED("""COMPUTED_VALUE"""),44012.6666666666)</f>
        <v>44012.666666666599</v>
      </c>
      <c r="B378" s="1">
        <f ca="1">IFERROR(__xludf.UNSUPPORTED("""COMPUTED_VALUE"""),94.06)</f>
        <v>94.06</v>
      </c>
      <c r="C378" s="2">
        <f t="shared" ca="1" si="1"/>
        <v>1.1397849462365616E-2</v>
      </c>
    </row>
    <row r="379" spans="1:3">
      <c r="A379" s="3">
        <f ca="1">IFERROR(__xludf.UNSUPPORTED("""COMPUTED_VALUE"""),44013.6666666666)</f>
        <v>44013.666666666599</v>
      </c>
      <c r="B379" s="1">
        <f ca="1">IFERROR(__xludf.UNSUPPORTED("""COMPUTED_VALUE"""),93.26)</f>
        <v>93.26</v>
      </c>
      <c r="C379" s="2">
        <f t="shared" ca="1" si="1"/>
        <v>-8.5052094407824484E-3</v>
      </c>
    </row>
    <row r="380" spans="1:3">
      <c r="A380" s="3">
        <f ca="1">IFERROR(__xludf.UNSUPPORTED("""COMPUTED_VALUE"""),44014.6666666666)</f>
        <v>44014.666666666599</v>
      </c>
      <c r="B380" s="1">
        <f ca="1">IFERROR(__xludf.UNSUPPORTED("""COMPUTED_VALUE"""),92.66)</f>
        <v>92.66</v>
      </c>
      <c r="C380" s="2">
        <f t="shared" ca="1" si="1"/>
        <v>-6.4336264207592586E-3</v>
      </c>
    </row>
    <row r="381" spans="1:3">
      <c r="A381" s="3">
        <f ca="1">IFERROR(__xludf.UNSUPPORTED("""COMPUTED_VALUE"""),44018.6666666666)</f>
        <v>44018.666666666599</v>
      </c>
      <c r="B381" s="1">
        <f ca="1">IFERROR(__xludf.UNSUPPORTED("""COMPUTED_VALUE"""),95)</f>
        <v>95</v>
      </c>
      <c r="C381" s="2">
        <f t="shared" ca="1" si="1"/>
        <v>2.5253615368012124E-2</v>
      </c>
    </row>
    <row r="382" spans="1:3">
      <c r="A382" s="3">
        <f ca="1">IFERROR(__xludf.UNSUPPORTED("""COMPUTED_VALUE"""),44019.6666666666)</f>
        <v>44019.666666666599</v>
      </c>
      <c r="B382" s="1">
        <f ca="1">IFERROR(__xludf.UNSUPPORTED("""COMPUTED_VALUE"""),92.32)</f>
        <v>92.32</v>
      </c>
      <c r="C382" s="2">
        <f t="shared" ca="1" si="1"/>
        <v>-2.8210526315789547E-2</v>
      </c>
    </row>
    <row r="383" spans="1:3">
      <c r="A383" s="3">
        <f ca="1">IFERROR(__xludf.UNSUPPORTED("""COMPUTED_VALUE"""),44020.6666666666)</f>
        <v>44020.666666666599</v>
      </c>
      <c r="B383" s="1">
        <f ca="1">IFERROR(__xludf.UNSUPPORTED("""COMPUTED_VALUE"""),93.3)</f>
        <v>93.3</v>
      </c>
      <c r="C383" s="2">
        <f t="shared" ca="1" si="1"/>
        <v>1.0615251299826734E-2</v>
      </c>
    </row>
    <row r="384" spans="1:3">
      <c r="A384" s="3">
        <f ca="1">IFERROR(__xludf.UNSUPPORTED("""COMPUTED_VALUE"""),44021.6666666666)</f>
        <v>44021.666666666599</v>
      </c>
      <c r="B384" s="1">
        <f ca="1">IFERROR(__xludf.UNSUPPORTED("""COMPUTED_VALUE"""),91.28)</f>
        <v>91.28</v>
      </c>
      <c r="C384" s="2">
        <f t="shared" ca="1" si="1"/>
        <v>-2.165058949624862E-2</v>
      </c>
    </row>
    <row r="385" spans="1:3">
      <c r="A385" s="3">
        <f ca="1">IFERROR(__xludf.UNSUPPORTED("""COMPUTED_VALUE"""),44022.6666666666)</f>
        <v>44022.666666666599</v>
      </c>
      <c r="B385" s="1">
        <f ca="1">IFERROR(__xludf.UNSUPPORTED("""COMPUTED_VALUE"""),96.27)</f>
        <v>96.27</v>
      </c>
      <c r="C385" s="2">
        <f t="shared" ca="1" si="1"/>
        <v>5.4666958808063049E-2</v>
      </c>
    </row>
    <row r="386" spans="1:3">
      <c r="A386" s="3">
        <f ca="1">IFERROR(__xludf.UNSUPPORTED("""COMPUTED_VALUE"""),44025.6666666666)</f>
        <v>44025.666666666599</v>
      </c>
      <c r="B386" s="1">
        <f ca="1">IFERROR(__xludf.UNSUPPORTED("""COMPUTED_VALUE"""),97.65)</f>
        <v>97.65</v>
      </c>
      <c r="C386" s="2">
        <f t="shared" ca="1" si="1"/>
        <v>1.4334683702087979E-2</v>
      </c>
    </row>
    <row r="387" spans="1:3">
      <c r="A387" s="3">
        <f ca="1">IFERROR(__xludf.UNSUPPORTED("""COMPUTED_VALUE"""),44026.6666666666)</f>
        <v>44026.666666666599</v>
      </c>
      <c r="B387" s="1">
        <f ca="1">IFERROR(__xludf.UNSUPPORTED("""COMPUTED_VALUE"""),98.21)</f>
        <v>98.21</v>
      </c>
      <c r="C387" s="2">
        <f t="shared" ca="1" si="1"/>
        <v>5.7347670250894834E-3</v>
      </c>
    </row>
    <row r="388" spans="1:3">
      <c r="A388" s="3">
        <f ca="1">IFERROR(__xludf.UNSUPPORTED("""COMPUTED_VALUE"""),44027.6666666666)</f>
        <v>44027.666666666599</v>
      </c>
      <c r="B388" s="1">
        <f ca="1">IFERROR(__xludf.UNSUPPORTED("""COMPUTED_VALUE"""),99.73)</f>
        <v>99.73</v>
      </c>
      <c r="C388" s="2">
        <f t="shared" ca="1" si="1"/>
        <v>1.5477038998065476E-2</v>
      </c>
    </row>
    <row r="389" spans="1:3">
      <c r="A389" s="3">
        <f ca="1">IFERROR(__xludf.UNSUPPORTED("""COMPUTED_VALUE"""),44028.6666666666)</f>
        <v>44028.666666666599</v>
      </c>
      <c r="B389" s="1">
        <f ca="1">IFERROR(__xludf.UNSUPPORTED("""COMPUTED_VALUE"""),100.01)</f>
        <v>100.01</v>
      </c>
      <c r="C389" s="2">
        <f t="shared" ca="1" si="1"/>
        <v>2.8075804672616175E-3</v>
      </c>
    </row>
    <row r="390" spans="1:3">
      <c r="A390" s="3">
        <f ca="1">IFERROR(__xludf.UNSUPPORTED("""COMPUTED_VALUE"""),44029.6666666666)</f>
        <v>44029.666666666599</v>
      </c>
      <c r="B390" s="1">
        <f ca="1">IFERROR(__xludf.UNSUPPORTED("""COMPUTED_VALUE"""),98.16)</f>
        <v>98.16</v>
      </c>
      <c r="C390" s="2">
        <f t="shared" ca="1" si="1"/>
        <v>-1.8498150184981587E-2</v>
      </c>
    </row>
    <row r="391" spans="1:3">
      <c r="A391" s="3">
        <f ca="1">IFERROR(__xludf.UNSUPPORTED("""COMPUTED_VALUE"""),44032.6666666666)</f>
        <v>44032.666666666599</v>
      </c>
      <c r="B391" s="1">
        <f ca="1">IFERROR(__xludf.UNSUPPORTED("""COMPUTED_VALUE"""),97.3)</f>
        <v>97.3</v>
      </c>
      <c r="C391" s="2">
        <f t="shared" ca="1" si="1"/>
        <v>-8.7612061939690254E-3</v>
      </c>
    </row>
    <row r="392" spans="1:3">
      <c r="A392" s="3">
        <f ca="1">IFERROR(__xludf.UNSUPPORTED("""COMPUTED_VALUE"""),44033.6666666666)</f>
        <v>44033.666666666599</v>
      </c>
      <c r="B392" s="1">
        <f ca="1">IFERROR(__xludf.UNSUPPORTED("""COMPUTED_VALUE"""),99.41)</f>
        <v>99.41</v>
      </c>
      <c r="C392" s="2">
        <f t="shared" ca="1" si="1"/>
        <v>2.1685508735868442E-2</v>
      </c>
    </row>
    <row r="393" spans="1:3">
      <c r="A393" s="3">
        <f ca="1">IFERROR(__xludf.UNSUPPORTED("""COMPUTED_VALUE"""),44034.6666666666)</f>
        <v>44034.666666666599</v>
      </c>
      <c r="B393" s="1">
        <f ca="1">IFERROR(__xludf.UNSUPPORTED("""COMPUTED_VALUE"""),98.69)</f>
        <v>98.69</v>
      </c>
      <c r="C393" s="2">
        <f t="shared" ca="1" si="1"/>
        <v>-7.242732119505069E-3</v>
      </c>
    </row>
    <row r="394" spans="1:3">
      <c r="A394" s="3">
        <f ca="1">IFERROR(__xludf.UNSUPPORTED("""COMPUTED_VALUE"""),44035.6666666666)</f>
        <v>44035.666666666599</v>
      </c>
      <c r="B394" s="1">
        <f ca="1">IFERROR(__xludf.UNSUPPORTED("""COMPUTED_VALUE"""),98.98)</f>
        <v>98.98</v>
      </c>
      <c r="C394" s="2">
        <f t="shared" ca="1" si="1"/>
        <v>2.9384942750025965E-3</v>
      </c>
    </row>
    <row r="395" spans="1:3">
      <c r="A395" s="3">
        <f ca="1">IFERROR(__xludf.UNSUPPORTED("""COMPUTED_VALUE"""),44036.6666666666)</f>
        <v>44036.666666666599</v>
      </c>
      <c r="B395" s="1">
        <f ca="1">IFERROR(__xludf.UNSUPPORTED("""COMPUTED_VALUE"""),98.28)</f>
        <v>98.28</v>
      </c>
      <c r="C395" s="2">
        <f t="shared" ca="1" si="1"/>
        <v>-7.0721357850071003E-3</v>
      </c>
    </row>
    <row r="396" spans="1:3">
      <c r="A396" s="3">
        <f ca="1">IFERROR(__xludf.UNSUPPORTED("""COMPUTED_VALUE"""),44039.6666666666)</f>
        <v>44039.666666666599</v>
      </c>
      <c r="B396" s="1">
        <f ca="1">IFERROR(__xludf.UNSUPPORTED("""COMPUTED_VALUE"""),96.9)</f>
        <v>96.9</v>
      </c>
      <c r="C396" s="2">
        <f t="shared" ca="1" si="1"/>
        <v>-1.4041514041513995E-2</v>
      </c>
    </row>
    <row r="397" spans="1:3">
      <c r="A397" s="3">
        <f ca="1">IFERROR(__xludf.UNSUPPORTED("""COMPUTED_VALUE"""),44040.6666666666)</f>
        <v>44040.666666666599</v>
      </c>
      <c r="B397" s="1">
        <f ca="1">IFERROR(__xludf.UNSUPPORTED("""COMPUTED_VALUE"""),97.32)</f>
        <v>97.32</v>
      </c>
      <c r="C397" s="2">
        <f t="shared" ca="1" si="1"/>
        <v>4.3343653250772704E-3</v>
      </c>
    </row>
    <row r="398" spans="1:3">
      <c r="A398" s="3">
        <f ca="1">IFERROR(__xludf.UNSUPPORTED("""COMPUTED_VALUE"""),44041.6666666666)</f>
        <v>44041.666666666599</v>
      </c>
      <c r="B398" s="1">
        <f ca="1">IFERROR(__xludf.UNSUPPORTED("""COMPUTED_VALUE"""),99.68)</f>
        <v>99.68</v>
      </c>
      <c r="C398" s="2">
        <f t="shared" ca="1" si="1"/>
        <v>2.4249897246198252E-2</v>
      </c>
    </row>
    <row r="399" spans="1:3">
      <c r="A399" s="3">
        <f ca="1">IFERROR(__xludf.UNSUPPORTED("""COMPUTED_VALUE"""),44042.6666666666)</f>
        <v>44042.666666666599</v>
      </c>
      <c r="B399" s="1">
        <f ca="1">IFERROR(__xludf.UNSUPPORTED("""COMPUTED_VALUE"""),97.02)</f>
        <v>97.02</v>
      </c>
      <c r="C399" s="2">
        <f t="shared" ca="1" si="1"/>
        <v>-2.6685393258427073E-2</v>
      </c>
    </row>
    <row r="400" spans="1:3">
      <c r="A400" s="3">
        <f ca="1">IFERROR(__xludf.UNSUPPORTED("""COMPUTED_VALUE"""),44043.6666666666)</f>
        <v>44043.666666666599</v>
      </c>
      <c r="B400" s="1">
        <f ca="1">IFERROR(__xludf.UNSUPPORTED("""COMPUTED_VALUE"""),96.64)</f>
        <v>96.64</v>
      </c>
      <c r="C400" s="2">
        <f t="shared" ca="1" si="1"/>
        <v>-3.9167182024324411E-3</v>
      </c>
    </row>
    <row r="401" spans="1:3">
      <c r="A401" s="3">
        <f ca="1">IFERROR(__xludf.UNSUPPORTED("""COMPUTED_VALUE"""),44046.6666666666)</f>
        <v>44046.666666666599</v>
      </c>
      <c r="B401" s="1">
        <f ca="1">IFERROR(__xludf.UNSUPPORTED("""COMPUTED_VALUE"""),96.1)</f>
        <v>96.1</v>
      </c>
      <c r="C401" s="2">
        <f t="shared" ca="1" si="1"/>
        <v>-5.5877483443709259E-3</v>
      </c>
    </row>
    <row r="402" spans="1:3">
      <c r="A402" s="3">
        <f ca="1">IFERROR(__xludf.UNSUPPORTED("""COMPUTED_VALUE"""),44047.6666666666)</f>
        <v>44047.666666666599</v>
      </c>
      <c r="B402" s="1">
        <f ca="1">IFERROR(__xludf.UNSUPPORTED("""COMPUTED_VALUE"""),95.55)</f>
        <v>95.55</v>
      </c>
      <c r="C402" s="2">
        <f t="shared" ca="1" si="1"/>
        <v>-5.7232049947970572E-3</v>
      </c>
    </row>
    <row r="403" spans="1:3">
      <c r="A403" s="3">
        <f ca="1">IFERROR(__xludf.UNSUPPORTED("""COMPUTED_VALUE"""),44048.6666666666)</f>
        <v>44048.666666666599</v>
      </c>
      <c r="B403" s="1">
        <f ca="1">IFERROR(__xludf.UNSUPPORTED("""COMPUTED_VALUE"""),97.21)</f>
        <v>97.21</v>
      </c>
      <c r="C403" s="2">
        <f t="shared" ca="1" si="1"/>
        <v>1.7373103087388767E-2</v>
      </c>
    </row>
    <row r="404" spans="1:3">
      <c r="A404" s="3">
        <f ca="1">IFERROR(__xludf.UNSUPPORTED("""COMPUTED_VALUE"""),44049.6666666666)</f>
        <v>44049.666666666599</v>
      </c>
      <c r="B404" s="1">
        <f ca="1">IFERROR(__xludf.UNSUPPORTED("""COMPUTED_VALUE"""),97.24)</f>
        <v>97.24</v>
      </c>
      <c r="C404" s="2">
        <f t="shared" ca="1" si="1"/>
        <v>3.0861022528547616E-4</v>
      </c>
    </row>
    <row r="405" spans="1:3">
      <c r="A405" s="3">
        <f ca="1">IFERROR(__xludf.UNSUPPORTED("""COMPUTED_VALUE"""),44050.6666666666)</f>
        <v>44050.666666666599</v>
      </c>
      <c r="B405" s="1">
        <f ca="1">IFERROR(__xludf.UNSUPPORTED("""COMPUTED_VALUE"""),99.38)</f>
        <v>99.38</v>
      </c>
      <c r="C405" s="2">
        <f t="shared" ca="1" si="1"/>
        <v>2.2007404360345543E-2</v>
      </c>
    </row>
    <row r="406" spans="1:3">
      <c r="A406" s="3">
        <f ca="1">IFERROR(__xludf.UNSUPPORTED("""COMPUTED_VALUE"""),44053.6666666666)</f>
        <v>44053.666666666599</v>
      </c>
      <c r="B406" s="1">
        <f ca="1">IFERROR(__xludf.UNSUPPORTED("""COMPUTED_VALUE"""),100.64)</f>
        <v>100.64</v>
      </c>
      <c r="C406" s="2">
        <f t="shared" ca="1" si="1"/>
        <v>1.2678607365667189E-2</v>
      </c>
    </row>
    <row r="407" spans="1:3">
      <c r="A407" s="3">
        <f ca="1">IFERROR(__xludf.UNSUPPORTED("""COMPUTED_VALUE"""),44054.6666666666)</f>
        <v>44054.666666666599</v>
      </c>
      <c r="B407" s="1">
        <f ca="1">IFERROR(__xludf.UNSUPPORTED("""COMPUTED_VALUE"""),103.82)</f>
        <v>103.82</v>
      </c>
      <c r="C407" s="2">
        <f t="shared" ca="1" si="1"/>
        <v>3.1597774244832996E-2</v>
      </c>
    </row>
    <row r="408" spans="1:3">
      <c r="A408" s="3">
        <f ca="1">IFERROR(__xludf.UNSUPPORTED("""COMPUTED_VALUE"""),44055.6666666666)</f>
        <v>44055.666666666599</v>
      </c>
      <c r="B408" s="1">
        <f ca="1">IFERROR(__xludf.UNSUPPORTED("""COMPUTED_VALUE"""),102.94)</f>
        <v>102.94</v>
      </c>
      <c r="C408" s="2">
        <f t="shared" ca="1" si="1"/>
        <v>-8.4762088229627768E-3</v>
      </c>
    </row>
    <row r="409" spans="1:3">
      <c r="A409" s="3">
        <f ca="1">IFERROR(__xludf.UNSUPPORTED("""COMPUTED_VALUE"""),44056.6666666666)</f>
        <v>44056.666666666599</v>
      </c>
      <c r="B409" s="1">
        <f ca="1">IFERROR(__xludf.UNSUPPORTED("""COMPUTED_VALUE"""),102.37)</f>
        <v>102.37</v>
      </c>
      <c r="C409" s="2">
        <f t="shared" ca="1" si="1"/>
        <v>-5.5372061394986707E-3</v>
      </c>
    </row>
    <row r="410" spans="1:3">
      <c r="A410" s="3">
        <f ca="1">IFERROR(__xludf.UNSUPPORTED("""COMPUTED_VALUE"""),44057.6666666666)</f>
        <v>44057.666666666599</v>
      </c>
      <c r="B410" s="1">
        <f ca="1">IFERROR(__xludf.UNSUPPORTED("""COMPUTED_VALUE"""),102.41)</f>
        <v>102.41</v>
      </c>
      <c r="C410" s="2">
        <f t="shared" ca="1" si="1"/>
        <v>3.9073947445532911E-4</v>
      </c>
    </row>
    <row r="411" spans="1:3">
      <c r="A411" s="3">
        <f ca="1">IFERROR(__xludf.UNSUPPORTED("""COMPUTED_VALUE"""),44060.6666666666)</f>
        <v>44060.666666666599</v>
      </c>
      <c r="B411" s="1">
        <f ca="1">IFERROR(__xludf.UNSUPPORTED("""COMPUTED_VALUE"""),99.71)</f>
        <v>99.71</v>
      </c>
      <c r="C411" s="2">
        <f t="shared" ca="1" si="1"/>
        <v>-2.6364612830778272E-2</v>
      </c>
    </row>
    <row r="412" spans="1:3">
      <c r="A412" s="3">
        <f ca="1">IFERROR(__xludf.UNSUPPORTED("""COMPUTED_VALUE"""),44061.6666666666)</f>
        <v>44061.666666666599</v>
      </c>
      <c r="B412" s="1">
        <f ca="1">IFERROR(__xludf.UNSUPPORTED("""COMPUTED_VALUE"""),98.32)</f>
        <v>98.32</v>
      </c>
      <c r="C412" s="2">
        <f t="shared" ca="1" si="1"/>
        <v>-1.3940427238993086E-2</v>
      </c>
    </row>
    <row r="413" spans="1:3">
      <c r="A413" s="3">
        <f ca="1">IFERROR(__xludf.UNSUPPORTED("""COMPUTED_VALUE"""),44062.6666666666)</f>
        <v>44062.666666666599</v>
      </c>
      <c r="B413" s="1">
        <f ca="1">IFERROR(__xludf.UNSUPPORTED("""COMPUTED_VALUE"""),98.55)</f>
        <v>98.55</v>
      </c>
      <c r="C413" s="2">
        <f t="shared" ca="1" si="1"/>
        <v>2.3393002441009355E-3</v>
      </c>
    </row>
    <row r="414" spans="1:3">
      <c r="A414" s="3">
        <f ca="1">IFERROR(__xludf.UNSUPPORTED("""COMPUTED_VALUE"""),44063.6666666666)</f>
        <v>44063.666666666599</v>
      </c>
      <c r="B414" s="1">
        <f ca="1">IFERROR(__xludf.UNSUPPORTED("""COMPUTED_VALUE"""),97.37)</f>
        <v>97.37</v>
      </c>
      <c r="C414" s="2">
        <f t="shared" ca="1" si="1"/>
        <v>-1.1973617453069433E-2</v>
      </c>
    </row>
    <row r="415" spans="1:3">
      <c r="A415" s="3">
        <f ca="1">IFERROR(__xludf.UNSUPPORTED("""COMPUTED_VALUE"""),44064.6666666666)</f>
        <v>44064.666666666599</v>
      </c>
      <c r="B415" s="1">
        <f ca="1">IFERROR(__xludf.UNSUPPORTED("""COMPUTED_VALUE"""),97.32)</f>
        <v>97.32</v>
      </c>
      <c r="C415" s="2">
        <f t="shared" ca="1" si="1"/>
        <v>-5.1350518640249938E-4</v>
      </c>
    </row>
    <row r="416" spans="1:3">
      <c r="A416" s="3">
        <f ca="1">IFERROR(__xludf.UNSUPPORTED("""COMPUTED_VALUE"""),44067.6666666666)</f>
        <v>44067.666666666599</v>
      </c>
      <c r="B416" s="1">
        <f ca="1">IFERROR(__xludf.UNSUPPORTED("""COMPUTED_VALUE"""),100.06)</f>
        <v>100.06</v>
      </c>
      <c r="C416" s="2">
        <f t="shared" ca="1" si="1"/>
        <v>2.8154541718043664E-2</v>
      </c>
    </row>
    <row r="417" spans="1:3">
      <c r="A417" s="3">
        <f ca="1">IFERROR(__xludf.UNSUPPORTED("""COMPUTED_VALUE"""),44068.6666666666)</f>
        <v>44068.666666666599</v>
      </c>
      <c r="B417" s="1">
        <f ca="1">IFERROR(__xludf.UNSUPPORTED("""COMPUTED_VALUE"""),100.5)</f>
        <v>100.5</v>
      </c>
      <c r="C417" s="2">
        <f t="shared" ca="1" si="1"/>
        <v>4.397361583050147E-3</v>
      </c>
    </row>
    <row r="418" spans="1:3">
      <c r="A418" s="3">
        <f ca="1">IFERROR(__xludf.UNSUPPORTED("""COMPUTED_VALUE"""),44069.6666666666)</f>
        <v>44069.666666666599</v>
      </c>
      <c r="B418" s="1">
        <f ca="1">IFERROR(__xludf.UNSUPPORTED("""COMPUTED_VALUE"""),99.09)</f>
        <v>99.09</v>
      </c>
      <c r="C418" s="2">
        <f t="shared" ca="1" si="1"/>
        <v>-1.4029850746268623E-2</v>
      </c>
    </row>
    <row r="419" spans="1:3">
      <c r="A419" s="3">
        <f ca="1">IFERROR(__xludf.UNSUPPORTED("""COMPUTED_VALUE"""),44070.6666666666)</f>
        <v>44070.666666666599</v>
      </c>
      <c r="B419" s="1">
        <f ca="1">IFERROR(__xludf.UNSUPPORTED("""COMPUTED_VALUE"""),102.35)</f>
        <v>102.35</v>
      </c>
      <c r="C419" s="2">
        <f t="shared" ca="1" si="1"/>
        <v>3.2899384398021904E-2</v>
      </c>
    </row>
    <row r="420" spans="1:3">
      <c r="A420" s="3">
        <f ca="1">IFERROR(__xludf.UNSUPPORTED("""COMPUTED_VALUE"""),44071.6666666666)</f>
        <v>44071.666666666599</v>
      </c>
      <c r="B420" s="1">
        <f ca="1">IFERROR(__xludf.UNSUPPORTED("""COMPUTED_VALUE"""),102.77)</f>
        <v>102.77</v>
      </c>
      <c r="C420" s="2">
        <f t="shared" ca="1" si="1"/>
        <v>4.103566194430891E-3</v>
      </c>
    </row>
    <row r="421" spans="1:3">
      <c r="A421" s="3">
        <f ca="1">IFERROR(__xludf.UNSUPPORTED("""COMPUTED_VALUE"""),44074.6666666666)</f>
        <v>44074.666666666599</v>
      </c>
      <c r="B421" s="1">
        <f ca="1">IFERROR(__xludf.UNSUPPORTED("""COMPUTED_VALUE"""),100.19)</f>
        <v>100.19</v>
      </c>
      <c r="C421" s="2">
        <f t="shared" ca="1" si="1"/>
        <v>-2.5104602510460237E-2</v>
      </c>
    </row>
    <row r="422" spans="1:3">
      <c r="A422" s="3">
        <f ca="1">IFERROR(__xludf.UNSUPPORTED("""COMPUTED_VALUE"""),44075.6666666666)</f>
        <v>44075.666666666599</v>
      </c>
      <c r="B422" s="1">
        <f ca="1">IFERROR(__xludf.UNSUPPORTED("""COMPUTED_VALUE"""),100.14)</f>
        <v>100.14</v>
      </c>
      <c r="C422" s="2">
        <f t="shared" ca="1" si="1"/>
        <v>-4.9905180157697529E-4</v>
      </c>
    </row>
    <row r="423" spans="1:3">
      <c r="A423" s="3">
        <f ca="1">IFERROR(__xludf.UNSUPPORTED("""COMPUTED_VALUE"""),44076.6666666666)</f>
        <v>44076.666666666599</v>
      </c>
      <c r="B423" s="1">
        <f ca="1">IFERROR(__xludf.UNSUPPORTED("""COMPUTED_VALUE"""),101.65)</f>
        <v>101.65</v>
      </c>
      <c r="C423" s="2">
        <f t="shared" ca="1" si="1"/>
        <v>1.5078889554623578E-2</v>
      </c>
    </row>
    <row r="424" spans="1:3">
      <c r="A424" s="3">
        <f ca="1">IFERROR(__xludf.UNSUPPORTED("""COMPUTED_VALUE"""),44077.6666666666)</f>
        <v>44077.666666666599</v>
      </c>
      <c r="B424" s="1">
        <f ca="1">IFERROR(__xludf.UNSUPPORTED("""COMPUTED_VALUE"""),101.33)</f>
        <v>101.33</v>
      </c>
      <c r="C424" s="2">
        <f t="shared" ca="1" si="1"/>
        <v>-3.1480570585342583E-3</v>
      </c>
    </row>
    <row r="425" spans="1:3">
      <c r="A425" s="3">
        <f ca="1">IFERROR(__xludf.UNSUPPORTED("""COMPUTED_VALUE"""),44078.6666666666)</f>
        <v>44078.666666666599</v>
      </c>
      <c r="B425" s="1">
        <f ca="1">IFERROR(__xludf.UNSUPPORTED("""COMPUTED_VALUE"""),103.52)</f>
        <v>103.52</v>
      </c>
      <c r="C425" s="2">
        <f t="shared" ca="1" si="1"/>
        <v>2.1612553044508022E-2</v>
      </c>
    </row>
    <row r="426" spans="1:3">
      <c r="A426" s="3">
        <f ca="1">IFERROR(__xludf.UNSUPPORTED("""COMPUTED_VALUE"""),44082.6666666666)</f>
        <v>44082.666666666599</v>
      </c>
      <c r="B426" s="1">
        <f ca="1">IFERROR(__xludf.UNSUPPORTED("""COMPUTED_VALUE"""),99.92)</f>
        <v>99.92</v>
      </c>
      <c r="C426" s="2">
        <f t="shared" ca="1" si="1"/>
        <v>-3.4775888717156055E-2</v>
      </c>
    </row>
    <row r="427" spans="1:3">
      <c r="A427" s="3">
        <f ca="1">IFERROR(__xludf.UNSUPPORTED("""COMPUTED_VALUE"""),44083.6666666666)</f>
        <v>44083.666666666599</v>
      </c>
      <c r="B427" s="1">
        <f ca="1">IFERROR(__xludf.UNSUPPORTED("""COMPUTED_VALUE"""),100.87)</f>
        <v>100.87</v>
      </c>
      <c r="C427" s="2">
        <f t="shared" ca="1" si="1"/>
        <v>9.5076060848679218E-3</v>
      </c>
    </row>
    <row r="428" spans="1:3">
      <c r="A428" s="3">
        <f ca="1">IFERROR(__xludf.UNSUPPORTED("""COMPUTED_VALUE"""),44084.6666666666)</f>
        <v>44084.666666666599</v>
      </c>
      <c r="B428" s="1">
        <f ca="1">IFERROR(__xludf.UNSUPPORTED("""COMPUTED_VALUE"""),99.83)</f>
        <v>99.83</v>
      </c>
      <c r="C428" s="2">
        <f t="shared" ca="1" si="1"/>
        <v>-1.0310300386636327E-2</v>
      </c>
    </row>
    <row r="429" spans="1:3">
      <c r="A429" s="3">
        <f ca="1">IFERROR(__xludf.UNSUPPORTED("""COMPUTED_VALUE"""),44085.6666666666)</f>
        <v>44085.666666666599</v>
      </c>
      <c r="B429" s="1">
        <f ca="1">IFERROR(__xludf.UNSUPPORTED("""COMPUTED_VALUE"""),101.07)</f>
        <v>101.07</v>
      </c>
      <c r="C429" s="2">
        <f t="shared" ca="1" si="1"/>
        <v>1.2421115897024892E-2</v>
      </c>
    </row>
    <row r="430" spans="1:3">
      <c r="A430" s="3">
        <f ca="1">IFERROR(__xludf.UNSUPPORTED("""COMPUTED_VALUE"""),44088.6666666666)</f>
        <v>44088.666666666599</v>
      </c>
      <c r="B430" s="1">
        <f ca="1">IFERROR(__xludf.UNSUPPORTED("""COMPUTED_VALUE"""),102.47)</f>
        <v>102.47</v>
      </c>
      <c r="C430" s="2">
        <f t="shared" ca="1" si="1"/>
        <v>1.3851785890966714E-2</v>
      </c>
    </row>
    <row r="431" spans="1:3">
      <c r="A431" s="3">
        <f ca="1">IFERROR(__xludf.UNSUPPORTED("""COMPUTED_VALUE"""),44089.6666666666)</f>
        <v>44089.666666666599</v>
      </c>
      <c r="B431" s="1">
        <f ca="1">IFERROR(__xludf.UNSUPPORTED("""COMPUTED_VALUE"""),99.28)</f>
        <v>99.28</v>
      </c>
      <c r="C431" s="2">
        <f t="shared" ca="1" si="1"/>
        <v>-3.1131062750073171E-2</v>
      </c>
    </row>
    <row r="432" spans="1:3">
      <c r="A432" s="3">
        <f ca="1">IFERROR(__xludf.UNSUPPORTED("""COMPUTED_VALUE"""),44090.6666666666)</f>
        <v>44090.666666666599</v>
      </c>
      <c r="B432" s="1">
        <f ca="1">IFERROR(__xludf.UNSUPPORTED("""COMPUTED_VALUE"""),99.7)</f>
        <v>99.7</v>
      </c>
      <c r="C432" s="2">
        <f t="shared" ca="1" si="1"/>
        <v>4.2304593070104923E-3</v>
      </c>
    </row>
    <row r="433" spans="1:3">
      <c r="A433" s="3">
        <f ca="1">IFERROR(__xludf.UNSUPPORTED("""COMPUTED_VALUE"""),44091.6666666666)</f>
        <v>44091.666666666599</v>
      </c>
      <c r="B433" s="1">
        <f ca="1">IFERROR(__xludf.UNSUPPORTED("""COMPUTED_VALUE"""),98.56)</f>
        <v>98.56</v>
      </c>
      <c r="C433" s="2">
        <f t="shared" ca="1" si="1"/>
        <v>-1.1434302908726183E-2</v>
      </c>
    </row>
    <row r="434" spans="1:3">
      <c r="A434" s="3">
        <f ca="1">IFERROR(__xludf.UNSUPPORTED("""COMPUTED_VALUE"""),44092.6666666666)</f>
        <v>44092.666666666599</v>
      </c>
      <c r="B434" s="1">
        <f ca="1">IFERROR(__xludf.UNSUPPORTED("""COMPUTED_VALUE"""),98.35)</f>
        <v>98.35</v>
      </c>
      <c r="C434" s="2">
        <f t="shared" ca="1" si="1"/>
        <v>-2.1306818181818987E-3</v>
      </c>
    </row>
    <row r="435" spans="1:3">
      <c r="A435" s="3">
        <f ca="1">IFERROR(__xludf.UNSUPPORTED("""COMPUTED_VALUE"""),44095.6666666666)</f>
        <v>44095.666666666599</v>
      </c>
      <c r="B435" s="1">
        <f ca="1">IFERROR(__xludf.UNSUPPORTED("""COMPUTED_VALUE"""),95.31)</f>
        <v>95.31</v>
      </c>
      <c r="C435" s="2">
        <f t="shared" ca="1" si="1"/>
        <v>-3.0910015251652184E-2</v>
      </c>
    </row>
    <row r="436" spans="1:3">
      <c r="A436" s="3">
        <f ca="1">IFERROR(__xludf.UNSUPPORTED("""COMPUTED_VALUE"""),44096.6666666666)</f>
        <v>44096.666666666599</v>
      </c>
      <c r="B436" s="1">
        <f ca="1">IFERROR(__xludf.UNSUPPORTED("""COMPUTED_VALUE"""),94.27)</f>
        <v>94.27</v>
      </c>
      <c r="C436" s="2">
        <f t="shared" ca="1" si="1"/>
        <v>-1.0911761619976982E-2</v>
      </c>
    </row>
    <row r="437" spans="1:3">
      <c r="A437" s="3">
        <f ca="1">IFERROR(__xludf.UNSUPPORTED("""COMPUTED_VALUE"""),44097.6666666666)</f>
        <v>44097.666666666599</v>
      </c>
      <c r="B437" s="1">
        <f ca="1">IFERROR(__xludf.UNSUPPORTED("""COMPUTED_VALUE"""),92.74)</f>
        <v>92.74</v>
      </c>
      <c r="C437" s="2">
        <f t="shared" ca="1" si="1"/>
        <v>-1.622997772356E-2</v>
      </c>
    </row>
    <row r="438" spans="1:3">
      <c r="A438" s="3">
        <f ca="1">IFERROR(__xludf.UNSUPPORTED("""COMPUTED_VALUE"""),44098.6666666666)</f>
        <v>44098.666666666599</v>
      </c>
      <c r="B438" s="1">
        <f ca="1">IFERROR(__xludf.UNSUPPORTED("""COMPUTED_VALUE"""),92.66)</f>
        <v>92.66</v>
      </c>
      <c r="C438" s="2">
        <f t="shared" ca="1" si="1"/>
        <v>-8.6262669829629396E-4</v>
      </c>
    </row>
    <row r="439" spans="1:3">
      <c r="A439" s="3">
        <f ca="1">IFERROR(__xludf.UNSUPPORTED("""COMPUTED_VALUE"""),44099.6666666666)</f>
        <v>44099.666666666599</v>
      </c>
      <c r="B439" s="1">
        <f ca="1">IFERROR(__xludf.UNSUPPORTED("""COMPUTED_VALUE"""),93.47)</f>
        <v>93.47</v>
      </c>
      <c r="C439" s="2">
        <f t="shared" ca="1" si="1"/>
        <v>8.7416360889272862E-3</v>
      </c>
    </row>
    <row r="440" spans="1:3">
      <c r="A440" s="3">
        <f ca="1">IFERROR(__xludf.UNSUPPORTED("""COMPUTED_VALUE"""),44102.6666666666)</f>
        <v>44102.666666666599</v>
      </c>
      <c r="B440" s="1">
        <f ca="1">IFERROR(__xludf.UNSUPPORTED("""COMPUTED_VALUE"""),96.16)</f>
        <v>96.16</v>
      </c>
      <c r="C440" s="2">
        <f t="shared" ca="1" si="1"/>
        <v>2.8779287471916101E-2</v>
      </c>
    </row>
    <row r="441" spans="1:3">
      <c r="A441" s="3">
        <f ca="1">IFERROR(__xludf.UNSUPPORTED("""COMPUTED_VALUE"""),44103.6666666666)</f>
        <v>44103.666666666599</v>
      </c>
      <c r="B441" s="1">
        <f ca="1">IFERROR(__xludf.UNSUPPORTED("""COMPUTED_VALUE"""),95.35)</f>
        <v>95.35</v>
      </c>
      <c r="C441" s="2">
        <f t="shared" ca="1" si="1"/>
        <v>-8.4234608985025196E-3</v>
      </c>
    </row>
    <row r="442" spans="1:3">
      <c r="A442" s="3">
        <f ca="1">IFERROR(__xludf.UNSUPPORTED("""COMPUTED_VALUE"""),44104.6666666666)</f>
        <v>44104.666666666599</v>
      </c>
      <c r="B442" s="1">
        <f ca="1">IFERROR(__xludf.UNSUPPORTED("""COMPUTED_VALUE"""),96.27)</f>
        <v>96.27</v>
      </c>
      <c r="C442" s="2">
        <f t="shared" ca="1" si="1"/>
        <v>9.6486628211851257E-3</v>
      </c>
    </row>
    <row r="443" spans="1:3">
      <c r="A443" s="3">
        <f ca="1">IFERROR(__xludf.UNSUPPORTED("""COMPUTED_VALUE"""),44105.6666666666)</f>
        <v>44105.666666666599</v>
      </c>
      <c r="B443" s="1">
        <f ca="1">IFERROR(__xludf.UNSUPPORTED("""COMPUTED_VALUE"""),96.97)</f>
        <v>96.97</v>
      </c>
      <c r="C443" s="2">
        <f t="shared" ca="1" si="1"/>
        <v>7.2712163706243156E-3</v>
      </c>
    </row>
    <row r="444" spans="1:3">
      <c r="A444" s="3">
        <f ca="1">IFERROR(__xludf.UNSUPPORTED("""COMPUTED_VALUE"""),44106.6666666666)</f>
        <v>44106.666666666599</v>
      </c>
      <c r="B444" s="1">
        <f ca="1">IFERROR(__xludf.UNSUPPORTED("""COMPUTED_VALUE"""),97.89)</f>
        <v>97.89</v>
      </c>
      <c r="C444" s="2">
        <f t="shared" ca="1" si="1"/>
        <v>9.4874703516551681E-3</v>
      </c>
    </row>
    <row r="445" spans="1:3">
      <c r="A445" s="3">
        <f ca="1">IFERROR(__xludf.UNSUPPORTED("""COMPUTED_VALUE"""),44109.6666666666)</f>
        <v>44109.666666666599</v>
      </c>
      <c r="B445" s="1">
        <f ca="1">IFERROR(__xludf.UNSUPPORTED("""COMPUTED_VALUE"""),99.04)</f>
        <v>99.04</v>
      </c>
      <c r="C445" s="2">
        <f t="shared" ca="1" si="1"/>
        <v>1.1747880273776747E-2</v>
      </c>
    </row>
    <row r="446" spans="1:3">
      <c r="A446" s="3">
        <f ca="1">IFERROR(__xludf.UNSUPPORTED("""COMPUTED_VALUE"""),44110.6666666666)</f>
        <v>44110.666666666599</v>
      </c>
      <c r="B446" s="1">
        <f ca="1">IFERROR(__xludf.UNSUPPORTED("""COMPUTED_VALUE"""),98.02)</f>
        <v>98.02</v>
      </c>
      <c r="C446" s="2">
        <f t="shared" ca="1" si="1"/>
        <v>-1.0298869143780394E-2</v>
      </c>
    </row>
    <row r="447" spans="1:3">
      <c r="A447" s="3">
        <f ca="1">IFERROR(__xludf.UNSUPPORTED("""COMPUTED_VALUE"""),44111.6666666666)</f>
        <v>44111.666666666599</v>
      </c>
      <c r="B447" s="1">
        <f ca="1">IFERROR(__xludf.UNSUPPORTED("""COMPUTED_VALUE"""),99.73)</f>
        <v>99.73</v>
      </c>
      <c r="C447" s="2">
        <f t="shared" ca="1" si="1"/>
        <v>1.744541930218331E-2</v>
      </c>
    </row>
    <row r="448" spans="1:3">
      <c r="A448" s="3">
        <f ca="1">IFERROR(__xludf.UNSUPPORTED("""COMPUTED_VALUE"""),44112.6666666666)</f>
        <v>44112.666666666599</v>
      </c>
      <c r="B448" s="1">
        <f ca="1">IFERROR(__xludf.UNSUPPORTED("""COMPUTED_VALUE"""),101.78)</f>
        <v>101.78</v>
      </c>
      <c r="C448" s="2">
        <f t="shared" ca="1" si="1"/>
        <v>2.0555499849593876E-2</v>
      </c>
    </row>
    <row r="449" spans="1:3">
      <c r="A449" s="3">
        <f ca="1">IFERROR(__xludf.UNSUPPORTED("""COMPUTED_VALUE"""),44113.6666666666)</f>
        <v>44113.666666666599</v>
      </c>
      <c r="B449" s="1">
        <f ca="1">IFERROR(__xludf.UNSUPPORTED("""COMPUTED_VALUE"""),101.2)</f>
        <v>101.2</v>
      </c>
      <c r="C449" s="2">
        <f t="shared" ca="1" si="1"/>
        <v>-5.6985655335036181E-3</v>
      </c>
    </row>
    <row r="450" spans="1:3">
      <c r="A450" s="3">
        <f ca="1">IFERROR(__xludf.UNSUPPORTED("""COMPUTED_VALUE"""),44116.6666666666)</f>
        <v>44116.666666666599</v>
      </c>
      <c r="B450" s="1">
        <f ca="1">IFERROR(__xludf.UNSUPPORTED("""COMPUTED_VALUE"""),102.44)</f>
        <v>102.44</v>
      </c>
      <c r="C450" s="2">
        <f t="shared" ca="1" si="1"/>
        <v>1.2252964426877419E-2</v>
      </c>
    </row>
    <row r="451" spans="1:3">
      <c r="A451" s="3">
        <f ca="1">IFERROR(__xludf.UNSUPPORTED("""COMPUTED_VALUE"""),44117.6666666666)</f>
        <v>44117.666666666599</v>
      </c>
      <c r="B451" s="1">
        <f ca="1">IFERROR(__xludf.UNSUPPORTED("""COMPUTED_VALUE"""),100.78)</f>
        <v>100.78</v>
      </c>
      <c r="C451" s="2">
        <f t="shared" ca="1" si="1"/>
        <v>-1.6204607575165918E-2</v>
      </c>
    </row>
    <row r="452" spans="1:3">
      <c r="A452" s="3">
        <f ca="1">IFERROR(__xludf.UNSUPPORTED("""COMPUTED_VALUE"""),44118.6666666666)</f>
        <v>44118.666666666599</v>
      </c>
      <c r="B452" s="1">
        <f ca="1">IFERROR(__xludf.UNSUPPORTED("""COMPUTED_VALUE"""),100.22)</f>
        <v>100.22</v>
      </c>
      <c r="C452" s="2">
        <f t="shared" ca="1" si="1"/>
        <v>-5.5566580670768232E-3</v>
      </c>
    </row>
    <row r="453" spans="1:3">
      <c r="A453" s="3">
        <f ca="1">IFERROR(__xludf.UNSUPPORTED("""COMPUTED_VALUE"""),44119.6666666666)</f>
        <v>44119.666666666599</v>
      </c>
      <c r="B453" s="1">
        <f ca="1">IFERROR(__xludf.UNSUPPORTED("""COMPUTED_VALUE"""),101.72)</f>
        <v>101.72</v>
      </c>
      <c r="C453" s="2">
        <f t="shared" ca="1" si="1"/>
        <v>1.4967072440630613E-2</v>
      </c>
    </row>
    <row r="454" spans="1:3">
      <c r="A454" s="3">
        <f ca="1">IFERROR(__xludf.UNSUPPORTED("""COMPUTED_VALUE"""),44120.6666666666)</f>
        <v>44120.666666666599</v>
      </c>
      <c r="B454" s="1">
        <f ca="1">IFERROR(__xludf.UNSUPPORTED("""COMPUTED_VALUE"""),101.51)</f>
        <v>101.51</v>
      </c>
      <c r="C454" s="2">
        <f t="shared" ca="1" si="1"/>
        <v>-2.0644907589460653E-3</v>
      </c>
    </row>
    <row r="455" spans="1:3">
      <c r="A455" s="3">
        <f ca="1">IFERROR(__xludf.UNSUPPORTED("""COMPUTED_VALUE"""),44123.6666666666)</f>
        <v>44123.666666666599</v>
      </c>
      <c r="B455" s="1">
        <f ca="1">IFERROR(__xludf.UNSUPPORTED("""COMPUTED_VALUE"""),99.8)</f>
        <v>99.8</v>
      </c>
      <c r="C455" s="2">
        <f t="shared" ca="1" si="1"/>
        <v>-1.6845630972318077E-2</v>
      </c>
    </row>
    <row r="456" spans="1:3">
      <c r="A456" s="3">
        <f ca="1">IFERROR(__xludf.UNSUPPORTED("""COMPUTED_VALUE"""),44124.6666666666)</f>
        <v>44124.666666666599</v>
      </c>
      <c r="B456" s="1">
        <f ca="1">IFERROR(__xludf.UNSUPPORTED("""COMPUTED_VALUE"""),100.37)</f>
        <v>100.37</v>
      </c>
      <c r="C456" s="2">
        <f t="shared" ca="1" si="1"/>
        <v>5.7114228456914568E-3</v>
      </c>
    </row>
    <row r="457" spans="1:3">
      <c r="A457" s="3">
        <f ca="1">IFERROR(__xludf.UNSUPPORTED("""COMPUTED_VALUE"""),44125.6666666666)</f>
        <v>44125.666666666599</v>
      </c>
      <c r="B457" s="1">
        <f ca="1">IFERROR(__xludf.UNSUPPORTED("""COMPUTED_VALUE"""),99.37)</f>
        <v>99.37</v>
      </c>
      <c r="C457" s="2">
        <f t="shared" ca="1" si="1"/>
        <v>-9.9631363953372517E-3</v>
      </c>
    </row>
    <row r="458" spans="1:3">
      <c r="A458" s="3">
        <f ca="1">IFERROR(__xludf.UNSUPPORTED("""COMPUTED_VALUE"""),44126.6666666666)</f>
        <v>44126.666666666599</v>
      </c>
      <c r="B458" s="1">
        <f ca="1">IFERROR(__xludf.UNSUPPORTED("""COMPUTED_VALUE"""),102.88)</f>
        <v>102.88</v>
      </c>
      <c r="C458" s="2">
        <f t="shared" ca="1" si="1"/>
        <v>3.5322531951293056E-2</v>
      </c>
    </row>
    <row r="459" spans="1:3">
      <c r="A459" s="3">
        <f ca="1">IFERROR(__xludf.UNSUPPORTED("""COMPUTED_VALUE"""),44127.6666666666)</f>
        <v>44127.666666666599</v>
      </c>
      <c r="B459" s="1">
        <f ca="1">IFERROR(__xludf.UNSUPPORTED("""COMPUTED_VALUE"""),103.81)</f>
        <v>103.81</v>
      </c>
      <c r="C459" s="2">
        <f t="shared" ca="1" si="1"/>
        <v>9.039657853810331E-3</v>
      </c>
    </row>
    <row r="460" spans="1:3">
      <c r="A460" s="3">
        <f ca="1">IFERROR(__xludf.UNSUPPORTED("""COMPUTED_VALUE"""),44130.6666666666)</f>
        <v>44130.666666666599</v>
      </c>
      <c r="B460" s="1">
        <f ca="1">IFERROR(__xludf.UNSUPPORTED("""COMPUTED_VALUE"""),101.24)</f>
        <v>101.24</v>
      </c>
      <c r="C460" s="2">
        <f t="shared" ca="1" si="1"/>
        <v>-2.4756767170792865E-2</v>
      </c>
    </row>
    <row r="461" spans="1:3">
      <c r="A461" s="3">
        <f ca="1">IFERROR(__xludf.UNSUPPORTED("""COMPUTED_VALUE"""),44131.6666666666)</f>
        <v>44131.666666666599</v>
      </c>
      <c r="B461" s="1">
        <f ca="1">IFERROR(__xludf.UNSUPPORTED("""COMPUTED_VALUE"""),99.33)</f>
        <v>99.33</v>
      </c>
      <c r="C461" s="2">
        <f t="shared" ca="1" si="1"/>
        <v>-1.8866060845515575E-2</v>
      </c>
    </row>
    <row r="462" spans="1:3">
      <c r="A462" s="3">
        <f ca="1">IFERROR(__xludf.UNSUPPORTED("""COMPUTED_VALUE"""),44132.6666666666)</f>
        <v>44132.666666666599</v>
      </c>
      <c r="B462" s="1">
        <f ca="1">IFERROR(__xludf.UNSUPPORTED("""COMPUTED_VALUE"""),96.54)</f>
        <v>96.54</v>
      </c>
      <c r="C462" s="2">
        <f t="shared" ca="1" si="1"/>
        <v>-2.8088190878888475E-2</v>
      </c>
    </row>
    <row r="463" spans="1:3">
      <c r="A463" s="3">
        <f ca="1">IFERROR(__xludf.UNSUPPORTED("""COMPUTED_VALUE"""),44133.6666666666)</f>
        <v>44133.666666666599</v>
      </c>
      <c r="B463" s="1">
        <f ca="1">IFERROR(__xludf.UNSUPPORTED("""COMPUTED_VALUE"""),97.17)</f>
        <v>97.17</v>
      </c>
      <c r="C463" s="2">
        <f t="shared" ca="1" si="1"/>
        <v>6.5257924176506674E-3</v>
      </c>
    </row>
    <row r="464" spans="1:3">
      <c r="A464" s="3">
        <f ca="1">IFERROR(__xludf.UNSUPPORTED("""COMPUTED_VALUE"""),44134.6666666666)</f>
        <v>44134.666666666599</v>
      </c>
      <c r="B464" s="1">
        <f ca="1">IFERROR(__xludf.UNSUPPORTED("""COMPUTED_VALUE"""),98.04)</f>
        <v>98.04</v>
      </c>
      <c r="C464" s="2">
        <f t="shared" ca="1" si="1"/>
        <v>8.9533806730472832E-3</v>
      </c>
    </row>
    <row r="465" spans="1:3">
      <c r="A465" s="3">
        <f ca="1">IFERROR(__xludf.UNSUPPORTED("""COMPUTED_VALUE"""),44137.6666666666)</f>
        <v>44137.666666666599</v>
      </c>
      <c r="B465" s="1">
        <f ca="1">IFERROR(__xludf.UNSUPPORTED("""COMPUTED_VALUE"""),100.25)</f>
        <v>100.25</v>
      </c>
      <c r="C465" s="2">
        <f t="shared" ca="1" si="1"/>
        <v>2.2541819665442612E-2</v>
      </c>
    </row>
    <row r="466" spans="1:3">
      <c r="A466" s="3">
        <f ca="1">IFERROR(__xludf.UNSUPPORTED("""COMPUTED_VALUE"""),44138.6666666666)</f>
        <v>44138.666666666599</v>
      </c>
      <c r="B466" s="1">
        <f ca="1">IFERROR(__xludf.UNSUPPORTED("""COMPUTED_VALUE"""),103.41)</f>
        <v>103.41</v>
      </c>
      <c r="C466" s="2">
        <f t="shared" ca="1" si="1"/>
        <v>3.1521197007481259E-2</v>
      </c>
    </row>
    <row r="467" spans="1:3">
      <c r="A467" s="3">
        <f ca="1">IFERROR(__xludf.UNSUPPORTED("""COMPUTED_VALUE"""),44139.6666666666)</f>
        <v>44139.666666666599</v>
      </c>
      <c r="B467" s="1">
        <f ca="1">IFERROR(__xludf.UNSUPPORTED("""COMPUTED_VALUE"""),100.25)</f>
        <v>100.25</v>
      </c>
      <c r="C467" s="2">
        <f t="shared" ca="1" si="1"/>
        <v>-3.055797311671982E-2</v>
      </c>
    </row>
    <row r="468" spans="1:3">
      <c r="A468" s="3">
        <f ca="1">IFERROR(__xludf.UNSUPPORTED("""COMPUTED_VALUE"""),44140.6666666666)</f>
        <v>44140.666666666599</v>
      </c>
      <c r="B468" s="1">
        <f ca="1">IFERROR(__xludf.UNSUPPORTED("""COMPUTED_VALUE"""),104.35)</f>
        <v>104.35</v>
      </c>
      <c r="C468" s="2">
        <f t="shared" ca="1" si="1"/>
        <v>4.089775561097251E-2</v>
      </c>
    </row>
    <row r="469" spans="1:3">
      <c r="A469" s="3">
        <f ca="1">IFERROR(__xludf.UNSUPPORTED("""COMPUTED_VALUE"""),44141.6666666666)</f>
        <v>44141.666666666599</v>
      </c>
      <c r="B469" s="1">
        <f ca="1">IFERROR(__xludf.UNSUPPORTED("""COMPUTED_VALUE"""),102.96)</f>
        <v>102.96</v>
      </c>
      <c r="C469" s="2">
        <f t="shared" ca="1" si="1"/>
        <v>-1.332055582175372E-2</v>
      </c>
    </row>
    <row r="470" spans="1:3">
      <c r="A470" s="3">
        <f ca="1">IFERROR(__xludf.UNSUPPORTED("""COMPUTED_VALUE"""),44144.6666666666)</f>
        <v>44144.666666666599</v>
      </c>
      <c r="B470" s="1">
        <f ca="1">IFERROR(__xludf.UNSUPPORTED("""COMPUTED_VALUE"""),116.9)</f>
        <v>116.9</v>
      </c>
      <c r="C470" s="2">
        <f t="shared" ca="1" si="1"/>
        <v>0.13539238539238552</v>
      </c>
    </row>
    <row r="471" spans="1:3">
      <c r="A471" s="3">
        <f ca="1">IFERROR(__xludf.UNSUPPORTED("""COMPUTED_VALUE"""),44145.6666666666)</f>
        <v>44145.666666666599</v>
      </c>
      <c r="B471" s="1">
        <f ca="1">IFERROR(__xludf.UNSUPPORTED("""COMPUTED_VALUE"""),116.52)</f>
        <v>116.52</v>
      </c>
      <c r="C471" s="2">
        <f t="shared" ca="1" si="1"/>
        <v>-3.25064157399495E-3</v>
      </c>
    </row>
    <row r="472" spans="1:3">
      <c r="A472" s="3">
        <f ca="1">IFERROR(__xludf.UNSUPPORTED("""COMPUTED_VALUE"""),44146.6666666666)</f>
        <v>44146.666666666599</v>
      </c>
      <c r="B472" s="1">
        <f ca="1">IFERROR(__xludf.UNSUPPORTED("""COMPUTED_VALUE"""),114.78)</f>
        <v>114.78</v>
      </c>
      <c r="C472" s="2">
        <f t="shared" ca="1" si="1"/>
        <v>-1.4933058702368648E-2</v>
      </c>
    </row>
    <row r="473" spans="1:3">
      <c r="A473" s="3">
        <f ca="1">IFERROR(__xludf.UNSUPPORTED("""COMPUTED_VALUE"""),44147.6666666666)</f>
        <v>44147.666666666599</v>
      </c>
      <c r="B473" s="1">
        <f ca="1">IFERROR(__xludf.UNSUPPORTED("""COMPUTED_VALUE"""),113.37)</f>
        <v>113.37</v>
      </c>
      <c r="C473" s="2">
        <f t="shared" ca="1" si="1"/>
        <v>-1.2284370099320409E-2</v>
      </c>
    </row>
    <row r="474" spans="1:3">
      <c r="A474" s="3">
        <f ca="1">IFERROR(__xludf.UNSUPPORTED("""COMPUTED_VALUE"""),44148.6666666666)</f>
        <v>44148.666666666599</v>
      </c>
      <c r="B474" s="1">
        <f ca="1">IFERROR(__xludf.UNSUPPORTED("""COMPUTED_VALUE"""),114.08)</f>
        <v>114.08</v>
      </c>
      <c r="C474" s="2">
        <f t="shared" ca="1" si="1"/>
        <v>6.2626797212665935E-3</v>
      </c>
    </row>
    <row r="475" spans="1:3">
      <c r="A475" s="3">
        <f ca="1">IFERROR(__xludf.UNSUPPORTED("""COMPUTED_VALUE"""),44151.6666666666)</f>
        <v>44151.666666666599</v>
      </c>
      <c r="B475" s="1">
        <f ca="1">IFERROR(__xludf.UNSUPPORTED("""COMPUTED_VALUE"""),117.3)</f>
        <v>117.3</v>
      </c>
      <c r="C475" s="2">
        <f t="shared" ca="1" si="1"/>
        <v>2.8225806451612892E-2</v>
      </c>
    </row>
    <row r="476" spans="1:3">
      <c r="A476" s="3">
        <f ca="1">IFERROR(__xludf.UNSUPPORTED("""COMPUTED_VALUE"""),44152.6666666666)</f>
        <v>44152.666666666599</v>
      </c>
      <c r="B476" s="1">
        <f ca="1">IFERROR(__xludf.UNSUPPORTED("""COMPUTED_VALUE"""),116.11)</f>
        <v>116.11</v>
      </c>
      <c r="C476" s="2">
        <f t="shared" ca="1" si="1"/>
        <v>-1.0144927536231864E-2</v>
      </c>
    </row>
    <row r="477" spans="1:3">
      <c r="A477" s="3">
        <f ca="1">IFERROR(__xludf.UNSUPPORTED("""COMPUTED_VALUE"""),44153.6666666666)</f>
        <v>44153.666666666599</v>
      </c>
      <c r="B477" s="1">
        <f ca="1">IFERROR(__xludf.UNSUPPORTED("""COMPUTED_VALUE"""),115.25)</f>
        <v>115.25</v>
      </c>
      <c r="C477" s="2">
        <f t="shared" ca="1" si="1"/>
        <v>-7.4067694427697823E-3</v>
      </c>
    </row>
    <row r="478" spans="1:3">
      <c r="A478" s="3">
        <f ca="1">IFERROR(__xludf.UNSUPPORTED("""COMPUTED_VALUE"""),44154.6666666666)</f>
        <v>44154.666666666599</v>
      </c>
      <c r="B478" s="1">
        <f ca="1">IFERROR(__xludf.UNSUPPORTED("""COMPUTED_VALUE"""),115.56)</f>
        <v>115.56</v>
      </c>
      <c r="C478" s="2">
        <f t="shared" ca="1" si="1"/>
        <v>2.6898047722342931E-3</v>
      </c>
    </row>
    <row r="479" spans="1:3">
      <c r="A479" s="3">
        <f ca="1">IFERROR(__xludf.UNSUPPORTED("""COMPUTED_VALUE"""),44155.6666666666)</f>
        <v>44155.666666666599</v>
      </c>
      <c r="B479" s="1">
        <f ca="1">IFERROR(__xludf.UNSUPPORTED("""COMPUTED_VALUE"""),114.57)</f>
        <v>114.57</v>
      </c>
      <c r="C479" s="2">
        <f t="shared" ca="1" si="1"/>
        <v>-8.5669781931464965E-3</v>
      </c>
    </row>
    <row r="480" spans="1:3">
      <c r="A480" s="3">
        <f ca="1">IFERROR(__xludf.UNSUPPORTED("""COMPUTED_VALUE"""),44158.6666666666)</f>
        <v>44158.666666666599</v>
      </c>
      <c r="B480" s="1">
        <f ca="1">IFERROR(__xludf.UNSUPPORTED("""COMPUTED_VALUE"""),117.87)</f>
        <v>117.87</v>
      </c>
      <c r="C480" s="2">
        <f t="shared" ca="1" si="1"/>
        <v>2.8803351662739039E-2</v>
      </c>
    </row>
    <row r="481" spans="1:3">
      <c r="A481" s="3">
        <f ca="1">IFERROR(__xludf.UNSUPPORTED("""COMPUTED_VALUE"""),44159.6666666666)</f>
        <v>44159.666666666599</v>
      </c>
      <c r="B481" s="1">
        <f ca="1">IFERROR(__xludf.UNSUPPORTED("""COMPUTED_VALUE"""),123.32)</f>
        <v>123.32</v>
      </c>
      <c r="C481" s="2">
        <f t="shared" ca="1" si="1"/>
        <v>4.6237380164588004E-2</v>
      </c>
    </row>
    <row r="482" spans="1:3">
      <c r="A482" s="3">
        <f ca="1">IFERROR(__xludf.UNSUPPORTED("""COMPUTED_VALUE"""),44160.6666666666)</f>
        <v>44160.666666666599</v>
      </c>
      <c r="B482" s="1">
        <f ca="1">IFERROR(__xludf.UNSUPPORTED("""COMPUTED_VALUE"""),122.03)</f>
        <v>122.03</v>
      </c>
      <c r="C482" s="2">
        <f t="shared" ca="1" si="1"/>
        <v>-1.0460590334090109E-2</v>
      </c>
    </row>
    <row r="483" spans="1:3">
      <c r="A483" s="3">
        <f ca="1">IFERROR(__xludf.UNSUPPORTED("""COMPUTED_VALUE"""),44162.5416666666)</f>
        <v>44162.541666666599</v>
      </c>
      <c r="B483" s="1">
        <f ca="1">IFERROR(__xludf.UNSUPPORTED("""COMPUTED_VALUE"""),121.22)</f>
        <v>121.22</v>
      </c>
      <c r="C483" s="2">
        <f t="shared" ca="1" si="1"/>
        <v>-6.6377120380234555E-3</v>
      </c>
    </row>
    <row r="484" spans="1:3">
      <c r="A484" s="3">
        <f ca="1">IFERROR(__xludf.UNSUPPORTED("""COMPUTED_VALUE"""),44165.6666666666)</f>
        <v>44165.666666666599</v>
      </c>
      <c r="B484" s="1">
        <f ca="1">IFERROR(__xludf.UNSUPPORTED("""COMPUTED_VALUE"""),117.88)</f>
        <v>117.88</v>
      </c>
      <c r="C484" s="2">
        <f t="shared" ca="1" si="1"/>
        <v>-2.7553209041412337E-2</v>
      </c>
    </row>
    <row r="485" spans="1:3">
      <c r="A485" s="3">
        <f ca="1">IFERROR(__xludf.UNSUPPORTED("""COMPUTED_VALUE"""),44166.6666666666)</f>
        <v>44166.666666666599</v>
      </c>
      <c r="B485" s="1">
        <f ca="1">IFERROR(__xludf.UNSUPPORTED("""COMPUTED_VALUE"""),119.74)</f>
        <v>119.74</v>
      </c>
      <c r="C485" s="2">
        <f t="shared" ca="1" si="1"/>
        <v>1.577875805904309E-2</v>
      </c>
    </row>
    <row r="486" spans="1:3">
      <c r="A486" s="3">
        <f ca="1">IFERROR(__xludf.UNSUPPORTED("""COMPUTED_VALUE"""),44167.6666666666)</f>
        <v>44167.666666666599</v>
      </c>
      <c r="B486" s="1">
        <f ca="1">IFERROR(__xludf.UNSUPPORTED("""COMPUTED_VALUE"""),122.04)</f>
        <v>122.04</v>
      </c>
      <c r="C486" s="2">
        <f t="shared" ca="1" si="1"/>
        <v>1.9208284616669548E-2</v>
      </c>
    </row>
    <row r="487" spans="1:3">
      <c r="A487" s="3">
        <f ca="1">IFERROR(__xludf.UNSUPPORTED("""COMPUTED_VALUE"""),44168.6666666666)</f>
        <v>44168.666666666599</v>
      </c>
      <c r="B487" s="1">
        <f ca="1">IFERROR(__xludf.UNSUPPORTED("""COMPUTED_VALUE"""),121.24)</f>
        <v>121.24</v>
      </c>
      <c r="C487" s="2">
        <f t="shared" ca="1" si="1"/>
        <v>-6.5552277941659399E-3</v>
      </c>
    </row>
    <row r="488" spans="1:3">
      <c r="A488" s="3">
        <f ca="1">IFERROR(__xludf.UNSUPPORTED("""COMPUTED_VALUE"""),44169.6666666666)</f>
        <v>44169.666666666599</v>
      </c>
      <c r="B488" s="1">
        <f ca="1">IFERROR(__xludf.UNSUPPORTED("""COMPUTED_VALUE"""),122.34)</f>
        <v>122.34</v>
      </c>
      <c r="C488" s="2">
        <f t="shared" ca="1" si="1"/>
        <v>9.0729132299571802E-3</v>
      </c>
    </row>
    <row r="489" spans="1:3">
      <c r="A489" s="3">
        <f ca="1">IFERROR(__xludf.UNSUPPORTED("""COMPUTED_VALUE"""),44172.6666666666)</f>
        <v>44172.666666666599</v>
      </c>
      <c r="B489" s="1">
        <f ca="1">IFERROR(__xludf.UNSUPPORTED("""COMPUTED_VALUE"""),121.88)</f>
        <v>121.88</v>
      </c>
      <c r="C489" s="2">
        <f t="shared" ca="1" si="1"/>
        <v>-3.7600130783064243E-3</v>
      </c>
    </row>
    <row r="490" spans="1:3">
      <c r="A490" s="3">
        <f ca="1">IFERROR(__xludf.UNSUPPORTED("""COMPUTED_VALUE"""),44173.6666666666)</f>
        <v>44173.666666666599</v>
      </c>
      <c r="B490" s="1">
        <f ca="1">IFERROR(__xludf.UNSUPPORTED("""COMPUTED_VALUE"""),122)</f>
        <v>122</v>
      </c>
      <c r="C490" s="2">
        <f t="shared" ca="1" si="1"/>
        <v>9.8457499179524575E-4</v>
      </c>
    </row>
    <row r="491" spans="1:3">
      <c r="A491" s="3">
        <f ca="1">IFERROR(__xludf.UNSUPPORTED("""COMPUTED_VALUE"""),44174.6666666666)</f>
        <v>44174.666666666599</v>
      </c>
      <c r="B491" s="1">
        <f ca="1">IFERROR(__xludf.UNSUPPORTED("""COMPUTED_VALUE"""),121.05)</f>
        <v>121.05</v>
      </c>
      <c r="C491" s="2">
        <f t="shared" ca="1" si="1"/>
        <v>-7.7868852459016622E-3</v>
      </c>
    </row>
    <row r="492" spans="1:3">
      <c r="A492" s="3">
        <f ca="1">IFERROR(__xludf.UNSUPPORTED("""COMPUTED_VALUE"""),44175.6666666666)</f>
        <v>44175.666666666599</v>
      </c>
      <c r="B492" s="1">
        <f ca="1">IFERROR(__xludf.UNSUPPORTED("""COMPUTED_VALUE"""),120.27)</f>
        <v>120.27</v>
      </c>
      <c r="C492" s="2">
        <f t="shared" ca="1" si="1"/>
        <v>-6.4436183395291296E-3</v>
      </c>
    </row>
    <row r="493" spans="1:3">
      <c r="A493" s="3">
        <f ca="1">IFERROR(__xludf.UNSUPPORTED("""COMPUTED_VALUE"""),44176.6666666666)</f>
        <v>44176.666666666599</v>
      </c>
      <c r="B493" s="1">
        <f ca="1">IFERROR(__xludf.UNSUPPORTED("""COMPUTED_VALUE"""),119.56)</f>
        <v>119.56</v>
      </c>
      <c r="C493" s="2">
        <f t="shared" ca="1" si="1"/>
        <v>-5.9033840525483808E-3</v>
      </c>
    </row>
    <row r="494" spans="1:3">
      <c r="A494" s="3">
        <f ca="1">IFERROR(__xludf.UNSUPPORTED("""COMPUTED_VALUE"""),44179.6666666666)</f>
        <v>44179.666666666599</v>
      </c>
      <c r="B494" s="1">
        <f ca="1">IFERROR(__xludf.UNSUPPORTED("""COMPUTED_VALUE"""),118.3)</f>
        <v>118.3</v>
      </c>
      <c r="C494" s="2">
        <f t="shared" ca="1" si="1"/>
        <v>-1.0538641686182713E-2</v>
      </c>
    </row>
    <row r="495" spans="1:3">
      <c r="A495" s="3">
        <f ca="1">IFERROR(__xludf.UNSUPPORTED("""COMPUTED_VALUE"""),44180.6666666666)</f>
        <v>44180.666666666599</v>
      </c>
      <c r="B495" s="1">
        <f ca="1">IFERROR(__xludf.UNSUPPORTED("""COMPUTED_VALUE"""),120.32)</f>
        <v>120.32</v>
      </c>
      <c r="C495" s="2">
        <f t="shared" ca="1" si="1"/>
        <v>1.7075232459847812E-2</v>
      </c>
    </row>
    <row r="496" spans="1:3">
      <c r="A496" s="3">
        <f ca="1">IFERROR(__xludf.UNSUPPORTED("""COMPUTED_VALUE"""),44181.6666666666)</f>
        <v>44181.666666666599</v>
      </c>
      <c r="B496" s="1">
        <f ca="1">IFERROR(__xludf.UNSUPPORTED("""COMPUTED_VALUE"""),120.67)</f>
        <v>120.67</v>
      </c>
      <c r="C496" s="2">
        <f t="shared" ca="1" si="1"/>
        <v>2.9089095744681561E-3</v>
      </c>
    </row>
    <row r="497" spans="1:3">
      <c r="A497" s="3">
        <f ca="1">IFERROR(__xludf.UNSUPPORTED("""COMPUTED_VALUE"""),44182.6666666666)</f>
        <v>44182.666666666599</v>
      </c>
      <c r="B497" s="1">
        <f ca="1">IFERROR(__xludf.UNSUPPORTED("""COMPUTED_VALUE"""),119.67)</f>
        <v>119.67</v>
      </c>
      <c r="C497" s="2">
        <f t="shared" ca="1" si="1"/>
        <v>-8.2870638932626174E-3</v>
      </c>
    </row>
    <row r="498" spans="1:3">
      <c r="A498" s="3">
        <f ca="1">IFERROR(__xludf.UNSUPPORTED("""COMPUTED_VALUE"""),44183.6666666666)</f>
        <v>44183.666666666599</v>
      </c>
      <c r="B498" s="1">
        <f ca="1">IFERROR(__xludf.UNSUPPORTED("""COMPUTED_VALUE"""),119.08)</f>
        <v>119.08</v>
      </c>
      <c r="C498" s="2">
        <f t="shared" ca="1" si="1"/>
        <v>-4.9302247848249632E-3</v>
      </c>
    </row>
    <row r="499" spans="1:3">
      <c r="A499" s="3">
        <f ca="1">IFERROR(__xludf.UNSUPPORTED("""COMPUTED_VALUE"""),44186.6666666666)</f>
        <v>44186.666666666599</v>
      </c>
      <c r="B499" s="1">
        <f ca="1">IFERROR(__xludf.UNSUPPORTED("""COMPUTED_VALUE"""),123.55)</f>
        <v>123.55</v>
      </c>
      <c r="C499" s="2">
        <f t="shared" ca="1" si="1"/>
        <v>3.7537789721195827E-2</v>
      </c>
    </row>
    <row r="500" spans="1:3">
      <c r="A500" s="3">
        <f ca="1">IFERROR(__xludf.UNSUPPORTED("""COMPUTED_VALUE"""),44187.6666666666)</f>
        <v>44187.666666666599</v>
      </c>
      <c r="B500" s="1">
        <f ca="1">IFERROR(__xludf.UNSUPPORTED("""COMPUTED_VALUE"""),121.67)</f>
        <v>121.67</v>
      </c>
      <c r="C500" s="2">
        <f t="shared" ca="1" si="1"/>
        <v>-1.521651153379195E-2</v>
      </c>
    </row>
    <row r="501" spans="1:3">
      <c r="A501" s="3">
        <f ca="1">IFERROR(__xludf.UNSUPPORTED("""COMPUTED_VALUE"""),44188.6666666666)</f>
        <v>44188.666666666599</v>
      </c>
      <c r="B501" s="1">
        <f ca="1">IFERROR(__xludf.UNSUPPORTED("""COMPUTED_VALUE"""),125.07)</f>
        <v>125.07</v>
      </c>
      <c r="C501" s="2">
        <f t="shared" ca="1" si="1"/>
        <v>2.7944439878359425E-2</v>
      </c>
    </row>
    <row r="502" spans="1:3">
      <c r="A502" s="3">
        <f ca="1">IFERROR(__xludf.UNSUPPORTED("""COMPUTED_VALUE"""),44189.5416666666)</f>
        <v>44189.541666666599</v>
      </c>
      <c r="B502" s="1">
        <f ca="1">IFERROR(__xludf.UNSUPPORTED("""COMPUTED_VALUE"""),124.52)</f>
        <v>124.52</v>
      </c>
      <c r="C502" s="2">
        <f t="shared" ca="1" si="1"/>
        <v>-4.3975373790676999E-3</v>
      </c>
    </row>
    <row r="503" spans="1:3">
      <c r="A503" s="3">
        <f ca="1">IFERROR(__xludf.UNSUPPORTED("""COMPUTED_VALUE"""),44193.6666666666)</f>
        <v>44193.666666666599</v>
      </c>
      <c r="B503" s="1">
        <f ca="1">IFERROR(__xludf.UNSUPPORTED("""COMPUTED_VALUE"""),125.34)</f>
        <v>125.34</v>
      </c>
      <c r="C503" s="2">
        <f t="shared" ca="1" si="1"/>
        <v>6.5852875040154791E-3</v>
      </c>
    </row>
    <row r="504" spans="1:3">
      <c r="A504" s="3">
        <f ca="1">IFERROR(__xludf.UNSUPPORTED("""COMPUTED_VALUE"""),44194.6666666666)</f>
        <v>44194.666666666599</v>
      </c>
      <c r="B504" s="1">
        <f ca="1">IFERROR(__xludf.UNSUPPORTED("""COMPUTED_VALUE"""),125.01)</f>
        <v>125.01</v>
      </c>
      <c r="C504" s="2">
        <f t="shared" ca="1" si="1"/>
        <v>-2.6328386787936673E-3</v>
      </c>
    </row>
    <row r="505" spans="1:3">
      <c r="A505" s="3">
        <f ca="1">IFERROR(__xludf.UNSUPPORTED("""COMPUTED_VALUE"""),44195.6666666666)</f>
        <v>44195.666666666599</v>
      </c>
      <c r="B505" s="1">
        <f ca="1">IFERROR(__xludf.UNSUPPORTED("""COMPUTED_VALUE"""),125.36)</f>
        <v>125.36</v>
      </c>
      <c r="C505" s="2">
        <f t="shared" ca="1" si="1"/>
        <v>2.7997760179185207E-3</v>
      </c>
    </row>
    <row r="506" spans="1:3">
      <c r="A506" s="3">
        <f ca="1">IFERROR(__xludf.UNSUPPORTED("""COMPUTED_VALUE"""),44196.6666666666)</f>
        <v>44196.666666666599</v>
      </c>
      <c r="B506" s="1">
        <f ca="1">IFERROR(__xludf.UNSUPPORTED("""COMPUTED_VALUE"""),127.07)</f>
        <v>127.07</v>
      </c>
      <c r="C506" s="2">
        <f t="shared" ca="1" si="1"/>
        <v>1.3640714741544302E-2</v>
      </c>
    </row>
    <row r="507" spans="1:3">
      <c r="A507" s="3">
        <f ca="1">IFERROR(__xludf.UNSUPPORTED("""COMPUTED_VALUE"""),44200.6666666666)</f>
        <v>44200.666666666599</v>
      </c>
      <c r="B507" s="1">
        <f ca="1">IFERROR(__xludf.UNSUPPORTED("""COMPUTED_VALUE"""),125.87)</f>
        <v>125.87</v>
      </c>
      <c r="C507" s="2">
        <f t="shared" ca="1" si="1"/>
        <v>-9.4436137561972819E-3</v>
      </c>
    </row>
    <row r="508" spans="1:3">
      <c r="A508" s="3">
        <f ca="1">IFERROR(__xludf.UNSUPPORTED("""COMPUTED_VALUE"""),44201.6666666666)</f>
        <v>44201.666666666599</v>
      </c>
      <c r="B508" s="1">
        <f ca="1">IFERROR(__xludf.UNSUPPORTED("""COMPUTED_VALUE"""),125.65)</f>
        <v>125.65</v>
      </c>
      <c r="C508" s="2">
        <f t="shared" ca="1" si="1"/>
        <v>-1.7478350679272173E-3</v>
      </c>
    </row>
    <row r="509" spans="1:3">
      <c r="A509" s="3">
        <f ca="1">IFERROR(__xludf.UNSUPPORTED("""COMPUTED_VALUE"""),44202.6666666666)</f>
        <v>44202.666666666599</v>
      </c>
      <c r="B509" s="1">
        <f ca="1">IFERROR(__xludf.UNSUPPORTED("""COMPUTED_VALUE"""),131.55)</f>
        <v>131.55000000000001</v>
      </c>
      <c r="C509" s="2">
        <f t="shared" ca="1" si="1"/>
        <v>4.6955829685634741E-2</v>
      </c>
    </row>
    <row r="510" spans="1:3">
      <c r="A510" s="3">
        <f ca="1">IFERROR(__xludf.UNSUPPORTED("""COMPUTED_VALUE"""),44203.6666666666)</f>
        <v>44203.666666666599</v>
      </c>
      <c r="B510" s="1">
        <f ca="1">IFERROR(__xludf.UNSUPPORTED("""COMPUTED_VALUE"""),135.87)</f>
        <v>135.87</v>
      </c>
      <c r="C510" s="2">
        <f t="shared" ca="1" si="1"/>
        <v>3.283922462941842E-2</v>
      </c>
    </row>
    <row r="511" spans="1:3">
      <c r="A511" s="3">
        <f ca="1">IFERROR(__xludf.UNSUPPORTED("""COMPUTED_VALUE"""),44204.6666666666)</f>
        <v>44204.666666666599</v>
      </c>
      <c r="B511" s="1">
        <f ca="1">IFERROR(__xludf.UNSUPPORTED("""COMPUTED_VALUE"""),136.02)</f>
        <v>136.02000000000001</v>
      </c>
      <c r="C511" s="2">
        <f t="shared" ca="1" si="1"/>
        <v>1.1039964672113468E-3</v>
      </c>
    </row>
    <row r="512" spans="1:3">
      <c r="A512" s="3">
        <f ca="1">IFERROR(__xludf.UNSUPPORTED("""COMPUTED_VALUE"""),44207.6666666666)</f>
        <v>44207.666666666599</v>
      </c>
      <c r="B512" s="1">
        <f ca="1">IFERROR(__xludf.UNSUPPORTED("""COMPUTED_VALUE"""),138.05)</f>
        <v>138.05000000000001</v>
      </c>
      <c r="C512" s="2">
        <f t="shared" ca="1" si="1"/>
        <v>1.492427584178798E-2</v>
      </c>
    </row>
    <row r="513" spans="1:3">
      <c r="A513" s="3">
        <f ca="1">IFERROR(__xludf.UNSUPPORTED("""COMPUTED_VALUE"""),44208.6666666666)</f>
        <v>44208.666666666599</v>
      </c>
      <c r="B513" s="1">
        <f ca="1">IFERROR(__xludf.UNSUPPORTED("""COMPUTED_VALUE"""),140.22)</f>
        <v>140.22</v>
      </c>
      <c r="C513" s="2">
        <f t="shared" ref="C513:C767" ca="1" si="2">(B513-B512)/B512</f>
        <v>1.5718942412169413E-2</v>
      </c>
    </row>
    <row r="514" spans="1:3">
      <c r="A514" s="3">
        <f ca="1">IFERROR(__xludf.UNSUPPORTED("""COMPUTED_VALUE"""),44209.6666666666)</f>
        <v>44209.666666666599</v>
      </c>
      <c r="B514" s="1">
        <f ca="1">IFERROR(__xludf.UNSUPPORTED("""COMPUTED_VALUE"""),140.35)</f>
        <v>140.35</v>
      </c>
      <c r="C514" s="2">
        <f t="shared" ca="1" si="2"/>
        <v>9.2711453430320535E-4</v>
      </c>
    </row>
    <row r="515" spans="1:3">
      <c r="A515" s="3">
        <f ca="1">IFERROR(__xludf.UNSUPPORTED("""COMPUTED_VALUE"""),44210.6666666666)</f>
        <v>44210.666666666599</v>
      </c>
      <c r="B515" s="1">
        <f ca="1">IFERROR(__xludf.UNSUPPORTED("""COMPUTED_VALUE"""),141.17)</f>
        <v>141.16999999999999</v>
      </c>
      <c r="C515" s="2">
        <f t="shared" ca="1" si="2"/>
        <v>5.8425365158531759E-3</v>
      </c>
    </row>
    <row r="516" spans="1:3">
      <c r="A516" s="3">
        <f ca="1">IFERROR(__xludf.UNSUPPORTED("""COMPUTED_VALUE"""),44211.6666666666)</f>
        <v>44211.666666666599</v>
      </c>
      <c r="B516" s="1">
        <f ca="1">IFERROR(__xludf.UNSUPPORTED("""COMPUTED_VALUE"""),138.64)</f>
        <v>138.63999999999999</v>
      </c>
      <c r="C516" s="2">
        <f t="shared" ca="1" si="2"/>
        <v>-1.7921654742509043E-2</v>
      </c>
    </row>
    <row r="517" spans="1:3">
      <c r="A517" s="3">
        <f ca="1">IFERROR(__xludf.UNSUPPORTED("""COMPUTED_VALUE"""),44215.6666666666)</f>
        <v>44215.666666666599</v>
      </c>
      <c r="B517" s="1">
        <f ca="1">IFERROR(__xludf.UNSUPPORTED("""COMPUTED_VALUE"""),138.04)</f>
        <v>138.04</v>
      </c>
      <c r="C517" s="2">
        <f t="shared" ca="1" si="2"/>
        <v>-4.3277553375648753E-3</v>
      </c>
    </row>
    <row r="518" spans="1:3">
      <c r="A518" s="3">
        <f ca="1">IFERROR(__xludf.UNSUPPORTED("""COMPUTED_VALUE"""),44216.6666666666)</f>
        <v>44216.666666666599</v>
      </c>
      <c r="B518" s="1">
        <f ca="1">IFERROR(__xludf.UNSUPPORTED("""COMPUTED_VALUE"""),135.97)</f>
        <v>135.97</v>
      </c>
      <c r="C518" s="2">
        <f t="shared" ca="1" si="2"/>
        <v>-1.4995653433787259E-2</v>
      </c>
    </row>
    <row r="519" spans="1:3">
      <c r="A519" s="3">
        <f ca="1">IFERROR(__xludf.UNSUPPORTED("""COMPUTED_VALUE"""),44217.6666666666)</f>
        <v>44217.666666666599</v>
      </c>
      <c r="B519" s="1">
        <f ca="1">IFERROR(__xludf.UNSUPPORTED("""COMPUTED_VALUE"""),134.83)</f>
        <v>134.83000000000001</v>
      </c>
      <c r="C519" s="2">
        <f t="shared" ca="1" si="2"/>
        <v>-8.3842023975876021E-3</v>
      </c>
    </row>
    <row r="520" spans="1:3">
      <c r="A520" s="3">
        <f ca="1">IFERROR(__xludf.UNSUPPORTED("""COMPUTED_VALUE"""),44218.6666666666)</f>
        <v>44218.666666666599</v>
      </c>
      <c r="B520" s="1">
        <f ca="1">IFERROR(__xludf.UNSUPPORTED("""COMPUTED_VALUE"""),133.79)</f>
        <v>133.79</v>
      </c>
      <c r="C520" s="2">
        <f t="shared" ca="1" si="2"/>
        <v>-7.7134168953498505E-3</v>
      </c>
    </row>
    <row r="521" spans="1:3">
      <c r="A521" s="3">
        <f ca="1">IFERROR(__xludf.UNSUPPORTED("""COMPUTED_VALUE"""),44221.6666666666)</f>
        <v>44221.666666666599</v>
      </c>
      <c r="B521" s="1">
        <f ca="1">IFERROR(__xludf.UNSUPPORTED("""COMPUTED_VALUE"""),132.12)</f>
        <v>132.12</v>
      </c>
      <c r="C521" s="2">
        <f t="shared" ca="1" si="2"/>
        <v>-1.2482248299573867E-2</v>
      </c>
    </row>
    <row r="522" spans="1:3">
      <c r="A522" s="3">
        <f ca="1">IFERROR(__xludf.UNSUPPORTED("""COMPUTED_VALUE"""),44222.6666666666)</f>
        <v>44222.666666666599</v>
      </c>
      <c r="B522" s="1">
        <f ca="1">IFERROR(__xludf.UNSUPPORTED("""COMPUTED_VALUE"""),131.58)</f>
        <v>131.58000000000001</v>
      </c>
      <c r="C522" s="2">
        <f t="shared" ca="1" si="2"/>
        <v>-4.087193460490403E-3</v>
      </c>
    </row>
    <row r="523" spans="1:3">
      <c r="A523" s="3">
        <f ca="1">IFERROR(__xludf.UNSUPPORTED("""COMPUTED_VALUE"""),44223.6666666666)</f>
        <v>44223.666666666599</v>
      </c>
      <c r="B523" s="1">
        <f ca="1">IFERROR(__xludf.UNSUPPORTED("""COMPUTED_VALUE"""),127.86)</f>
        <v>127.86</v>
      </c>
      <c r="C523" s="2">
        <f t="shared" ca="1" si="2"/>
        <v>-2.827177382580949E-2</v>
      </c>
    </row>
    <row r="524" spans="1:3">
      <c r="A524" s="3">
        <f ca="1">IFERROR(__xludf.UNSUPPORTED("""COMPUTED_VALUE"""),44224.6666666666)</f>
        <v>44224.666666666599</v>
      </c>
      <c r="B524" s="1">
        <f ca="1">IFERROR(__xludf.UNSUPPORTED("""COMPUTED_VALUE"""),130.11)</f>
        <v>130.11000000000001</v>
      </c>
      <c r="C524" s="2">
        <f t="shared" ca="1" si="2"/>
        <v>1.7597372125762664E-2</v>
      </c>
    </row>
    <row r="525" spans="1:3">
      <c r="A525" s="3">
        <f ca="1">IFERROR(__xludf.UNSUPPORTED("""COMPUTED_VALUE"""),44225.6666666666)</f>
        <v>44225.666666666599</v>
      </c>
      <c r="B525" s="1">
        <f ca="1">IFERROR(__xludf.UNSUPPORTED("""COMPUTED_VALUE"""),128.67)</f>
        <v>128.66999999999999</v>
      </c>
      <c r="C525" s="2">
        <f t="shared" ca="1" si="2"/>
        <v>-1.1067558219967919E-2</v>
      </c>
    </row>
    <row r="526" spans="1:3">
      <c r="A526" s="3">
        <f ca="1">IFERROR(__xludf.UNSUPPORTED("""COMPUTED_VALUE"""),44228.6666666666)</f>
        <v>44228.666666666599</v>
      </c>
      <c r="B526" s="1">
        <f ca="1">IFERROR(__xludf.UNSUPPORTED("""COMPUTED_VALUE"""),129.62)</f>
        <v>129.62</v>
      </c>
      <c r="C526" s="2">
        <f t="shared" ca="1" si="2"/>
        <v>7.3832284137717976E-3</v>
      </c>
    </row>
    <row r="527" spans="1:3">
      <c r="A527" s="3">
        <f ca="1">IFERROR(__xludf.UNSUPPORTED("""COMPUTED_VALUE"""),44229.6666666666)</f>
        <v>44229.666666666599</v>
      </c>
      <c r="B527" s="1">
        <f ca="1">IFERROR(__xludf.UNSUPPORTED("""COMPUTED_VALUE"""),133.61)</f>
        <v>133.61000000000001</v>
      </c>
      <c r="C527" s="2">
        <f t="shared" ca="1" si="2"/>
        <v>3.078228668415375E-2</v>
      </c>
    </row>
    <row r="528" spans="1:3">
      <c r="A528" s="3">
        <f ca="1">IFERROR(__xludf.UNSUPPORTED("""COMPUTED_VALUE"""),44230.6666666666)</f>
        <v>44230.666666666599</v>
      </c>
      <c r="B528" s="1">
        <f ca="1">IFERROR(__xludf.UNSUPPORTED("""COMPUTED_VALUE"""),135.14)</f>
        <v>135.13999999999999</v>
      </c>
      <c r="C528" s="2">
        <f t="shared" ca="1" si="2"/>
        <v>1.1451238679739335E-2</v>
      </c>
    </row>
    <row r="529" spans="1:3">
      <c r="A529" s="3">
        <f ca="1">IFERROR(__xludf.UNSUPPORTED("""COMPUTED_VALUE"""),44231.6666666666)</f>
        <v>44231.666666666599</v>
      </c>
      <c r="B529" s="1">
        <f ca="1">IFERROR(__xludf.UNSUPPORTED("""COMPUTED_VALUE"""),138.25)</f>
        <v>138.25</v>
      </c>
      <c r="C529" s="2">
        <f t="shared" ca="1" si="2"/>
        <v>2.3013171525825174E-2</v>
      </c>
    </row>
    <row r="530" spans="1:3">
      <c r="A530" s="3">
        <f ca="1">IFERROR(__xludf.UNSUPPORTED("""COMPUTED_VALUE"""),44232.6666666666)</f>
        <v>44232.666666666599</v>
      </c>
      <c r="B530" s="1">
        <f ca="1">IFERROR(__xludf.UNSUPPORTED("""COMPUTED_VALUE"""),137.98)</f>
        <v>137.97999999999999</v>
      </c>
      <c r="C530" s="2">
        <f t="shared" ca="1" si="2"/>
        <v>-1.9529837251356979E-3</v>
      </c>
    </row>
    <row r="531" spans="1:3">
      <c r="A531" s="3">
        <f ca="1">IFERROR(__xludf.UNSUPPORTED("""COMPUTED_VALUE"""),44235.6666666666)</f>
        <v>44235.666666666599</v>
      </c>
      <c r="B531" s="1">
        <f ca="1">IFERROR(__xludf.UNSUPPORTED("""COMPUTED_VALUE"""),140.14)</f>
        <v>140.13999999999999</v>
      </c>
      <c r="C531" s="2">
        <f t="shared" ca="1" si="2"/>
        <v>1.5654442672851113E-2</v>
      </c>
    </row>
    <row r="532" spans="1:3">
      <c r="A532" s="3">
        <f ca="1">IFERROR(__xludf.UNSUPPORTED("""COMPUTED_VALUE"""),44236.6666666666)</f>
        <v>44236.666666666599</v>
      </c>
      <c r="B532" s="1">
        <f ca="1">IFERROR(__xludf.UNSUPPORTED("""COMPUTED_VALUE"""),139.58)</f>
        <v>139.58000000000001</v>
      </c>
      <c r="C532" s="2">
        <f t="shared" ca="1" si="2"/>
        <v>-3.9960039960038095E-3</v>
      </c>
    </row>
    <row r="533" spans="1:3">
      <c r="A533" s="3">
        <f ca="1">IFERROR(__xludf.UNSUPPORTED("""COMPUTED_VALUE"""),44237.6666666666)</f>
        <v>44237.666666666599</v>
      </c>
      <c r="B533" s="1">
        <f ca="1">IFERROR(__xludf.UNSUPPORTED("""COMPUTED_VALUE"""),139.66)</f>
        <v>139.66</v>
      </c>
      <c r="C533" s="2">
        <f t="shared" ca="1" si="2"/>
        <v>5.7314801547488233E-4</v>
      </c>
    </row>
    <row r="534" spans="1:3">
      <c r="A534" s="3">
        <f ca="1">IFERROR(__xludf.UNSUPPORTED("""COMPUTED_VALUE"""),44238.6666666666)</f>
        <v>44238.666666666599</v>
      </c>
      <c r="B534" s="1">
        <f ca="1">IFERROR(__xludf.UNSUPPORTED("""COMPUTED_VALUE"""),139.27)</f>
        <v>139.27000000000001</v>
      </c>
      <c r="C534" s="2">
        <f t="shared" ca="1" si="2"/>
        <v>-2.7924960618644305E-3</v>
      </c>
    </row>
    <row r="535" spans="1:3">
      <c r="A535" s="3">
        <f ca="1">IFERROR(__xludf.UNSUPPORTED("""COMPUTED_VALUE"""),44239.6666666666)</f>
        <v>44239.666666666599</v>
      </c>
      <c r="B535" s="1">
        <f ca="1">IFERROR(__xludf.UNSUPPORTED("""COMPUTED_VALUE"""),141.25)</f>
        <v>141.25</v>
      </c>
      <c r="C535" s="2">
        <f t="shared" ca="1" si="2"/>
        <v>1.4216988583327275E-2</v>
      </c>
    </row>
    <row r="536" spans="1:3">
      <c r="A536" s="3">
        <f ca="1">IFERROR(__xludf.UNSUPPORTED("""COMPUTED_VALUE"""),44243.6666666666)</f>
        <v>44243.666666666599</v>
      </c>
      <c r="B536" s="1">
        <f ca="1">IFERROR(__xludf.UNSUPPORTED("""COMPUTED_VALUE"""),144.65)</f>
        <v>144.65</v>
      </c>
      <c r="C536" s="2">
        <f t="shared" ca="1" si="2"/>
        <v>2.407079646017703E-2</v>
      </c>
    </row>
    <row r="537" spans="1:3">
      <c r="A537" s="3">
        <f ca="1">IFERROR(__xludf.UNSUPPORTED("""COMPUTED_VALUE"""),44244.6666666666)</f>
        <v>44244.666666666599</v>
      </c>
      <c r="B537" s="1">
        <f ca="1">IFERROR(__xludf.UNSUPPORTED("""COMPUTED_VALUE"""),145.1)</f>
        <v>145.1</v>
      </c>
      <c r="C537" s="2">
        <f t="shared" ca="1" si="2"/>
        <v>3.1109574835809792E-3</v>
      </c>
    </row>
    <row r="538" spans="1:3">
      <c r="A538" s="3">
        <f ca="1">IFERROR(__xludf.UNSUPPORTED("""COMPUTED_VALUE"""),44245.6666666666)</f>
        <v>44245.666666666599</v>
      </c>
      <c r="B538" s="1">
        <f ca="1">IFERROR(__xludf.UNSUPPORTED("""COMPUTED_VALUE"""),145.59)</f>
        <v>145.59</v>
      </c>
      <c r="C538" s="2">
        <f t="shared" ca="1" si="2"/>
        <v>3.3769813921434122E-3</v>
      </c>
    </row>
    <row r="539" spans="1:3">
      <c r="A539" s="3">
        <f ca="1">IFERROR(__xludf.UNSUPPORTED("""COMPUTED_VALUE"""),44246.6666666666)</f>
        <v>44246.666666666599</v>
      </c>
      <c r="B539" s="1">
        <f ca="1">IFERROR(__xludf.UNSUPPORTED("""COMPUTED_VALUE"""),148.02)</f>
        <v>148.02000000000001</v>
      </c>
      <c r="C539" s="2">
        <f t="shared" ca="1" si="2"/>
        <v>1.6690706779311813E-2</v>
      </c>
    </row>
    <row r="540" spans="1:3">
      <c r="A540" s="3">
        <f ca="1">IFERROR(__xludf.UNSUPPORTED("""COMPUTED_VALUE"""),44249.6666666666)</f>
        <v>44249.666666666599</v>
      </c>
      <c r="B540" s="1">
        <f ca="1">IFERROR(__xludf.UNSUPPORTED("""COMPUTED_VALUE"""),149.41)</f>
        <v>149.41</v>
      </c>
      <c r="C540" s="2">
        <f t="shared" ca="1" si="2"/>
        <v>9.3906228887987182E-3</v>
      </c>
    </row>
    <row r="541" spans="1:3">
      <c r="A541" s="3">
        <f ca="1">IFERROR(__xludf.UNSUPPORTED("""COMPUTED_VALUE"""),44250.6666666666)</f>
        <v>44250.666666666599</v>
      </c>
      <c r="B541" s="1">
        <f ca="1">IFERROR(__xludf.UNSUPPORTED("""COMPUTED_VALUE"""),150.61)</f>
        <v>150.61000000000001</v>
      </c>
      <c r="C541" s="2">
        <f t="shared" ca="1" si="2"/>
        <v>8.0315909243023707E-3</v>
      </c>
    </row>
    <row r="542" spans="1:3">
      <c r="A542" s="3">
        <f ca="1">IFERROR(__xludf.UNSUPPORTED("""COMPUTED_VALUE"""),44251.6666666666)</f>
        <v>44251.666666666599</v>
      </c>
      <c r="B542" s="1">
        <f ca="1">IFERROR(__xludf.UNSUPPORTED("""COMPUTED_VALUE"""),153.26)</f>
        <v>153.26</v>
      </c>
      <c r="C542" s="2">
        <f t="shared" ca="1" si="2"/>
        <v>1.7595113206294252E-2</v>
      </c>
    </row>
    <row r="543" spans="1:3">
      <c r="A543" s="3">
        <f ca="1">IFERROR(__xludf.UNSUPPORTED("""COMPUTED_VALUE"""),44252.6666666666)</f>
        <v>44252.666666666599</v>
      </c>
      <c r="B543" s="1">
        <f ca="1">IFERROR(__xludf.UNSUPPORTED("""COMPUTED_VALUE"""),151.18)</f>
        <v>151.18</v>
      </c>
      <c r="C543" s="2">
        <f t="shared" ca="1" si="2"/>
        <v>-1.3571708208273419E-2</v>
      </c>
    </row>
    <row r="544" spans="1:3">
      <c r="A544" s="3">
        <f ca="1">IFERROR(__xludf.UNSUPPORTED("""COMPUTED_VALUE"""),44253.6666666666)</f>
        <v>44253.666666666599</v>
      </c>
      <c r="B544" s="1">
        <f ca="1">IFERROR(__xludf.UNSUPPORTED("""COMPUTED_VALUE"""),147.17)</f>
        <v>147.16999999999999</v>
      </c>
      <c r="C544" s="2">
        <f t="shared" ca="1" si="2"/>
        <v>-2.6524672575737658E-2</v>
      </c>
    </row>
    <row r="545" spans="1:3">
      <c r="A545" s="3">
        <f ca="1">IFERROR(__xludf.UNSUPPORTED("""COMPUTED_VALUE"""),44256.6666666666)</f>
        <v>44256.666666666599</v>
      </c>
      <c r="B545" s="1">
        <f ca="1">IFERROR(__xludf.UNSUPPORTED("""COMPUTED_VALUE"""),150.5)</f>
        <v>150.5</v>
      </c>
      <c r="C545" s="2">
        <f t="shared" ca="1" si="2"/>
        <v>2.2626894068084616E-2</v>
      </c>
    </row>
    <row r="546" spans="1:3">
      <c r="A546" s="3">
        <f ca="1">IFERROR(__xludf.UNSUPPORTED("""COMPUTED_VALUE"""),44257.6666666666)</f>
        <v>44257.666666666599</v>
      </c>
      <c r="B546" s="1">
        <f ca="1">IFERROR(__xludf.UNSUPPORTED("""COMPUTED_VALUE"""),150.01)</f>
        <v>150.01</v>
      </c>
      <c r="C546" s="2">
        <f t="shared" ca="1" si="2"/>
        <v>-3.2558139534884325E-3</v>
      </c>
    </row>
    <row r="547" spans="1:3">
      <c r="A547" s="3">
        <f ca="1">IFERROR(__xludf.UNSUPPORTED("""COMPUTED_VALUE"""),44258.6666666666)</f>
        <v>44258.666666666599</v>
      </c>
      <c r="B547" s="1">
        <f ca="1">IFERROR(__xludf.UNSUPPORTED("""COMPUTED_VALUE"""),152.91)</f>
        <v>152.91</v>
      </c>
      <c r="C547" s="2">
        <f t="shared" ca="1" si="2"/>
        <v>1.9332044530364682E-2</v>
      </c>
    </row>
    <row r="548" spans="1:3">
      <c r="A548" s="3">
        <f ca="1">IFERROR(__xludf.UNSUPPORTED("""COMPUTED_VALUE"""),44259.6666666666)</f>
        <v>44259.666666666599</v>
      </c>
      <c r="B548" s="1">
        <f ca="1">IFERROR(__xludf.UNSUPPORTED("""COMPUTED_VALUE"""),150.56)</f>
        <v>150.56</v>
      </c>
      <c r="C548" s="2">
        <f t="shared" ca="1" si="2"/>
        <v>-1.5368517428552707E-2</v>
      </c>
    </row>
    <row r="549" spans="1:3">
      <c r="A549" s="3">
        <f ca="1">IFERROR(__xludf.UNSUPPORTED("""COMPUTED_VALUE"""),44260.6666666666)</f>
        <v>44260.666666666599</v>
      </c>
      <c r="B549" s="1">
        <f ca="1">IFERROR(__xludf.UNSUPPORTED("""COMPUTED_VALUE"""),150.91)</f>
        <v>150.91</v>
      </c>
      <c r="C549" s="2">
        <f t="shared" ca="1" si="2"/>
        <v>2.3246546227417265E-3</v>
      </c>
    </row>
    <row r="550" spans="1:3">
      <c r="A550" s="3">
        <f ca="1">IFERROR(__xludf.UNSUPPORTED("""COMPUTED_VALUE"""),44263.6666666666)</f>
        <v>44263.666666666599</v>
      </c>
      <c r="B550" s="1">
        <f ca="1">IFERROR(__xludf.UNSUPPORTED("""COMPUTED_VALUE"""),152.91)</f>
        <v>152.91</v>
      </c>
      <c r="C550" s="2">
        <f t="shared" ca="1" si="2"/>
        <v>1.325293221125174E-2</v>
      </c>
    </row>
    <row r="551" spans="1:3">
      <c r="A551" s="3">
        <f ca="1">IFERROR(__xludf.UNSUPPORTED("""COMPUTED_VALUE"""),44264.6666666666)</f>
        <v>44264.666666666599</v>
      </c>
      <c r="B551" s="1">
        <f ca="1">IFERROR(__xludf.UNSUPPORTED("""COMPUTED_VALUE"""),151.83)</f>
        <v>151.83000000000001</v>
      </c>
      <c r="C551" s="2">
        <f t="shared" ca="1" si="2"/>
        <v>-7.0629782224837104E-3</v>
      </c>
    </row>
    <row r="552" spans="1:3">
      <c r="A552" s="3">
        <f ca="1">IFERROR(__xludf.UNSUPPORTED("""COMPUTED_VALUE"""),44265.6666666666)</f>
        <v>44265.666666666599</v>
      </c>
      <c r="B552" s="1">
        <f ca="1">IFERROR(__xludf.UNSUPPORTED("""COMPUTED_VALUE"""),155.13)</f>
        <v>155.13</v>
      </c>
      <c r="C552" s="2">
        <f t="shared" ca="1" si="2"/>
        <v>2.1734835012843196E-2</v>
      </c>
    </row>
    <row r="553" spans="1:3">
      <c r="A553" s="3">
        <f ca="1">IFERROR(__xludf.UNSUPPORTED("""COMPUTED_VALUE"""),44266.6666666666)</f>
        <v>44266.666666666599</v>
      </c>
      <c r="B553" s="1">
        <f ca="1">IFERROR(__xludf.UNSUPPORTED("""COMPUTED_VALUE"""),154.32)</f>
        <v>154.32</v>
      </c>
      <c r="C553" s="2">
        <f t="shared" ca="1" si="2"/>
        <v>-5.2214271900986415E-3</v>
      </c>
    </row>
    <row r="554" spans="1:3">
      <c r="A554" s="3">
        <f ca="1">IFERROR(__xludf.UNSUPPORTED("""COMPUTED_VALUE"""),44267.6666666666)</f>
        <v>44267.666666666599</v>
      </c>
      <c r="B554" s="1">
        <f ca="1">IFERROR(__xludf.UNSUPPORTED("""COMPUTED_VALUE"""),156.15)</f>
        <v>156.15</v>
      </c>
      <c r="C554" s="2">
        <f t="shared" ca="1" si="2"/>
        <v>1.1858475894245804E-2</v>
      </c>
    </row>
    <row r="555" spans="1:3">
      <c r="A555" s="3">
        <f ca="1">IFERROR(__xludf.UNSUPPORTED("""COMPUTED_VALUE"""),44270.6666666666)</f>
        <v>44270.666666666599</v>
      </c>
      <c r="B555" s="1">
        <f ca="1">IFERROR(__xludf.UNSUPPORTED("""COMPUTED_VALUE"""),155.37)</f>
        <v>155.37</v>
      </c>
      <c r="C555" s="2">
        <f t="shared" ca="1" si="2"/>
        <v>-4.9951969260326676E-3</v>
      </c>
    </row>
    <row r="556" spans="1:3">
      <c r="A556" s="3">
        <f ca="1">IFERROR(__xludf.UNSUPPORTED("""COMPUTED_VALUE"""),44271.6666666666)</f>
        <v>44271.666666666599</v>
      </c>
      <c r="B556" s="1">
        <f ca="1">IFERROR(__xludf.UNSUPPORTED("""COMPUTED_VALUE"""),153.51)</f>
        <v>153.51</v>
      </c>
      <c r="C556" s="2">
        <f t="shared" ca="1" si="2"/>
        <v>-1.1971423054643842E-2</v>
      </c>
    </row>
    <row r="557" spans="1:3">
      <c r="A557" s="3">
        <f ca="1">IFERROR(__xludf.UNSUPPORTED("""COMPUTED_VALUE"""),44272.6666666666)</f>
        <v>44272.666666666599</v>
      </c>
      <c r="B557" s="1">
        <f ca="1">IFERROR(__xludf.UNSUPPORTED("""COMPUTED_VALUE"""),155.09)</f>
        <v>155.09</v>
      </c>
      <c r="C557" s="2">
        <f t="shared" ca="1" si="2"/>
        <v>1.0292489088658801E-2</v>
      </c>
    </row>
    <row r="558" spans="1:3">
      <c r="A558" s="3">
        <f ca="1">IFERROR(__xludf.UNSUPPORTED("""COMPUTED_VALUE"""),44273.6666666666)</f>
        <v>44273.666666666599</v>
      </c>
      <c r="B558" s="1">
        <f ca="1">IFERROR(__xludf.UNSUPPORTED("""COMPUTED_VALUE"""),157.65)</f>
        <v>157.65</v>
      </c>
      <c r="C558" s="2">
        <f t="shared" ca="1" si="2"/>
        <v>1.6506544587014005E-2</v>
      </c>
    </row>
    <row r="559" spans="1:3">
      <c r="A559" s="3">
        <f ca="1">IFERROR(__xludf.UNSUPPORTED("""COMPUTED_VALUE"""),44274.6666666666)</f>
        <v>44274.666666666599</v>
      </c>
      <c r="B559" s="1">
        <f ca="1">IFERROR(__xludf.UNSUPPORTED("""COMPUTED_VALUE"""),155.14)</f>
        <v>155.13999999999999</v>
      </c>
      <c r="C559" s="2">
        <f t="shared" ca="1" si="2"/>
        <v>-1.5921344751030887E-2</v>
      </c>
    </row>
    <row r="560" spans="1:3">
      <c r="A560" s="3">
        <f ca="1">IFERROR(__xludf.UNSUPPORTED("""COMPUTED_VALUE"""),44277.6666666666)</f>
        <v>44277.666666666599</v>
      </c>
      <c r="B560" s="1">
        <f ca="1">IFERROR(__xludf.UNSUPPORTED("""COMPUTED_VALUE"""),150.97)</f>
        <v>150.97</v>
      </c>
      <c r="C560" s="2">
        <f t="shared" ca="1" si="2"/>
        <v>-2.6878948046925279E-2</v>
      </c>
    </row>
    <row r="561" spans="1:3">
      <c r="A561" s="3">
        <f ca="1">IFERROR(__xludf.UNSUPPORTED("""COMPUTED_VALUE"""),44278.6666666666)</f>
        <v>44278.666666666599</v>
      </c>
      <c r="B561" s="1">
        <f ca="1">IFERROR(__xludf.UNSUPPORTED("""COMPUTED_VALUE"""),149.46)</f>
        <v>149.46</v>
      </c>
      <c r="C561" s="2">
        <f t="shared" ca="1" si="2"/>
        <v>-1.0001987149764793E-2</v>
      </c>
    </row>
    <row r="562" spans="1:3">
      <c r="A562" s="3">
        <f ca="1">IFERROR(__xludf.UNSUPPORTED("""COMPUTED_VALUE"""),44279.6666666666)</f>
        <v>44279.666666666599</v>
      </c>
      <c r="B562" s="1">
        <f ca="1">IFERROR(__xludf.UNSUPPORTED("""COMPUTED_VALUE"""),150.62)</f>
        <v>150.62</v>
      </c>
      <c r="C562" s="2">
        <f t="shared" ca="1" si="2"/>
        <v>7.7612739194433062E-3</v>
      </c>
    </row>
    <row r="563" spans="1:3">
      <c r="A563" s="3">
        <f ca="1">IFERROR(__xludf.UNSUPPORTED("""COMPUTED_VALUE"""),44280.6666666666)</f>
        <v>44280.666666666599</v>
      </c>
      <c r="B563" s="1">
        <f ca="1">IFERROR(__xludf.UNSUPPORTED("""COMPUTED_VALUE"""),152.55)</f>
        <v>152.55000000000001</v>
      </c>
      <c r="C563" s="2">
        <f t="shared" ca="1" si="2"/>
        <v>1.2813703359447662E-2</v>
      </c>
    </row>
    <row r="564" spans="1:3">
      <c r="A564" s="3">
        <f ca="1">IFERROR(__xludf.UNSUPPORTED("""COMPUTED_VALUE"""),44281.6666666666)</f>
        <v>44281.666666666599</v>
      </c>
      <c r="B564" s="1">
        <f ca="1">IFERROR(__xludf.UNSUPPORTED("""COMPUTED_VALUE"""),155.09)</f>
        <v>155.09</v>
      </c>
      <c r="C564" s="2">
        <f t="shared" ca="1" si="2"/>
        <v>1.6650278597181198E-2</v>
      </c>
    </row>
    <row r="565" spans="1:3">
      <c r="A565" s="3">
        <f ca="1">IFERROR(__xludf.UNSUPPORTED("""COMPUTED_VALUE"""),44284.6666666666)</f>
        <v>44284.666666666599</v>
      </c>
      <c r="B565" s="1">
        <f ca="1">IFERROR(__xludf.UNSUPPORTED("""COMPUTED_VALUE"""),152.68)</f>
        <v>152.68</v>
      </c>
      <c r="C565" s="2">
        <f t="shared" ca="1" si="2"/>
        <v>-1.5539364240118618E-2</v>
      </c>
    </row>
    <row r="566" spans="1:3">
      <c r="A566" s="3">
        <f ca="1">IFERROR(__xludf.UNSUPPORTED("""COMPUTED_VALUE"""),44285.6666666666)</f>
        <v>44285.666666666599</v>
      </c>
      <c r="B566" s="1">
        <f ca="1">IFERROR(__xludf.UNSUPPORTED("""COMPUTED_VALUE"""),154.48)</f>
        <v>154.47999999999999</v>
      </c>
      <c r="C566" s="2">
        <f t="shared" ca="1" si="2"/>
        <v>1.1789363374377672E-2</v>
      </c>
    </row>
    <row r="567" spans="1:3">
      <c r="A567" s="3">
        <f ca="1">IFERROR(__xludf.UNSUPPORTED("""COMPUTED_VALUE"""),44286.6666666666)</f>
        <v>44286.666666666599</v>
      </c>
      <c r="B567" s="1">
        <f ca="1">IFERROR(__xludf.UNSUPPORTED("""COMPUTED_VALUE"""),152.23)</f>
        <v>152.22999999999999</v>
      </c>
      <c r="C567" s="2">
        <f t="shared" ca="1" si="2"/>
        <v>-1.4564992232004144E-2</v>
      </c>
    </row>
    <row r="568" spans="1:3">
      <c r="A568" s="3">
        <f ca="1">IFERROR(__xludf.UNSUPPORTED("""COMPUTED_VALUE"""),44287.6666666666)</f>
        <v>44287.666666666599</v>
      </c>
      <c r="B568" s="1">
        <f ca="1">IFERROR(__xludf.UNSUPPORTED("""COMPUTED_VALUE"""),153.71)</f>
        <v>153.71</v>
      </c>
      <c r="C568" s="2">
        <f t="shared" ca="1" si="2"/>
        <v>9.7221309860081335E-3</v>
      </c>
    </row>
    <row r="569" spans="1:3">
      <c r="A569" s="3">
        <f ca="1">IFERROR(__xludf.UNSUPPORTED("""COMPUTED_VALUE"""),44291.6666666666)</f>
        <v>44291.666666666599</v>
      </c>
      <c r="B569" s="1">
        <f ca="1">IFERROR(__xludf.UNSUPPORTED("""COMPUTED_VALUE"""),153.62)</f>
        <v>153.62</v>
      </c>
      <c r="C569" s="2">
        <f t="shared" ca="1" si="2"/>
        <v>-5.8551818359250149E-4</v>
      </c>
    </row>
    <row r="570" spans="1:3">
      <c r="A570" s="3">
        <f ca="1">IFERROR(__xludf.UNSUPPORTED("""COMPUTED_VALUE"""),44292.6666666666)</f>
        <v>44292.666666666599</v>
      </c>
      <c r="B570" s="1">
        <f ca="1">IFERROR(__xludf.UNSUPPORTED("""COMPUTED_VALUE"""),152.54)</f>
        <v>152.54</v>
      </c>
      <c r="C570" s="2">
        <f t="shared" ca="1" si="2"/>
        <v>-7.0303345918501011E-3</v>
      </c>
    </row>
    <row r="571" spans="1:3">
      <c r="A571" s="3">
        <f ca="1">IFERROR(__xludf.UNSUPPORTED("""COMPUTED_VALUE"""),44293.6666666666)</f>
        <v>44293.666666666599</v>
      </c>
      <c r="B571" s="1">
        <f ca="1">IFERROR(__xludf.UNSUPPORTED("""COMPUTED_VALUE"""),154.93)</f>
        <v>154.93</v>
      </c>
      <c r="C571" s="2">
        <f t="shared" ca="1" si="2"/>
        <v>1.5668021502556802E-2</v>
      </c>
    </row>
    <row r="572" spans="1:3">
      <c r="A572" s="3">
        <f ca="1">IFERROR(__xludf.UNSUPPORTED("""COMPUTED_VALUE"""),44294.6666666666)</f>
        <v>44294.666666666599</v>
      </c>
      <c r="B572" s="1">
        <f ca="1">IFERROR(__xludf.UNSUPPORTED("""COMPUTED_VALUE"""),155.12)</f>
        <v>155.12</v>
      </c>
      <c r="C572" s="2">
        <f t="shared" ca="1" si="2"/>
        <v>1.2263602917446442E-3</v>
      </c>
    </row>
    <row r="573" spans="1:3">
      <c r="A573" s="3">
        <f ca="1">IFERROR(__xludf.UNSUPPORTED("""COMPUTED_VALUE"""),44295.6666666666)</f>
        <v>44295.666666666599</v>
      </c>
      <c r="B573" s="1">
        <f ca="1">IFERROR(__xludf.UNSUPPORTED("""COMPUTED_VALUE"""),156.28)</f>
        <v>156.28</v>
      </c>
      <c r="C573" s="2">
        <f t="shared" ca="1" si="2"/>
        <v>7.4780814853016801E-3</v>
      </c>
    </row>
    <row r="574" spans="1:3">
      <c r="A574" s="3">
        <f ca="1">IFERROR(__xludf.UNSUPPORTED("""COMPUTED_VALUE"""),44298.6666666666)</f>
        <v>44298.666666666599</v>
      </c>
      <c r="B574" s="1">
        <f ca="1">IFERROR(__xludf.UNSUPPORTED("""COMPUTED_VALUE"""),155.95)</f>
        <v>155.94999999999999</v>
      </c>
      <c r="C574" s="2">
        <f t="shared" ca="1" si="2"/>
        <v>-2.1115945738419024E-3</v>
      </c>
    </row>
    <row r="575" spans="1:3">
      <c r="A575" s="3">
        <f ca="1">IFERROR(__xludf.UNSUPPORTED("""COMPUTED_VALUE"""),44299.6666666666)</f>
        <v>44299.666666666599</v>
      </c>
      <c r="B575" s="1">
        <f ca="1">IFERROR(__xludf.UNSUPPORTED("""COMPUTED_VALUE"""),154.09)</f>
        <v>154.09</v>
      </c>
      <c r="C575" s="2">
        <f t="shared" ca="1" si="2"/>
        <v>-1.1926899647322766E-2</v>
      </c>
    </row>
    <row r="576" spans="1:3">
      <c r="A576" s="3">
        <f ca="1">IFERROR(__xludf.UNSUPPORTED("""COMPUTED_VALUE"""),44300.6666666666)</f>
        <v>44300.666666666599</v>
      </c>
      <c r="B576" s="1">
        <f ca="1">IFERROR(__xludf.UNSUPPORTED("""COMPUTED_VALUE"""),151.21)</f>
        <v>151.21</v>
      </c>
      <c r="C576" s="2">
        <f t="shared" ca="1" si="2"/>
        <v>-1.8690375754429198E-2</v>
      </c>
    </row>
    <row r="577" spans="1:3">
      <c r="A577" s="3">
        <f ca="1">IFERROR(__xludf.UNSUPPORTED("""COMPUTED_VALUE"""),44301.6666666666)</f>
        <v>44301.666666666599</v>
      </c>
      <c r="B577" s="1">
        <f ca="1">IFERROR(__xludf.UNSUPPORTED("""COMPUTED_VALUE"""),152.17)</f>
        <v>152.16999999999999</v>
      </c>
      <c r="C577" s="2">
        <f t="shared" ca="1" si="2"/>
        <v>6.3487864559220921E-3</v>
      </c>
    </row>
    <row r="578" spans="1:3">
      <c r="A578" s="3">
        <f ca="1">IFERROR(__xludf.UNSUPPORTED("""COMPUTED_VALUE"""),44302.6666666666)</f>
        <v>44302.666666666599</v>
      </c>
      <c r="B578" s="1">
        <f ca="1">IFERROR(__xludf.UNSUPPORTED("""COMPUTED_VALUE"""),153.3)</f>
        <v>153.30000000000001</v>
      </c>
      <c r="C578" s="2">
        <f t="shared" ca="1" si="2"/>
        <v>7.4259052375634091E-3</v>
      </c>
    </row>
    <row r="579" spans="1:3">
      <c r="A579" s="3">
        <f ca="1">IFERROR(__xludf.UNSUPPORTED("""COMPUTED_VALUE"""),44305.6666666666)</f>
        <v>44305.666666666599</v>
      </c>
      <c r="B579" s="1">
        <f ca="1">IFERROR(__xludf.UNSUPPORTED("""COMPUTED_VALUE"""),152.65)</f>
        <v>152.65</v>
      </c>
      <c r="C579" s="2">
        <f t="shared" ca="1" si="2"/>
        <v>-4.2400521852577018E-3</v>
      </c>
    </row>
    <row r="580" spans="1:3">
      <c r="A580" s="3">
        <f ca="1">IFERROR(__xludf.UNSUPPORTED("""COMPUTED_VALUE"""),44306.6666666666)</f>
        <v>44306.666666666599</v>
      </c>
      <c r="B580" s="1">
        <f ca="1">IFERROR(__xludf.UNSUPPORTED("""COMPUTED_VALUE"""),149.27)</f>
        <v>149.27000000000001</v>
      </c>
      <c r="C580" s="2">
        <f t="shared" ca="1" si="2"/>
        <v>-2.214215525712411E-2</v>
      </c>
    </row>
    <row r="581" spans="1:3">
      <c r="A581" s="3">
        <f ca="1">IFERROR(__xludf.UNSUPPORTED("""COMPUTED_VALUE"""),44307.6666666666)</f>
        <v>44307.666666666599</v>
      </c>
      <c r="B581" s="1">
        <f ca="1">IFERROR(__xludf.UNSUPPORTED("""COMPUTED_VALUE"""),150.54)</f>
        <v>150.54</v>
      </c>
      <c r="C581" s="2">
        <f t="shared" ca="1" si="2"/>
        <v>8.5080726200842879E-3</v>
      </c>
    </row>
    <row r="582" spans="1:3">
      <c r="A582" s="3">
        <f ca="1">IFERROR(__xludf.UNSUPPORTED("""COMPUTED_VALUE"""),44308.6666666666)</f>
        <v>44308.666666666599</v>
      </c>
      <c r="B582" s="1">
        <f ca="1">IFERROR(__xludf.UNSUPPORTED("""COMPUTED_VALUE"""),147.37)</f>
        <v>147.37</v>
      </c>
      <c r="C582" s="2">
        <f t="shared" ca="1" si="2"/>
        <v>-2.1057526238873307E-2</v>
      </c>
    </row>
    <row r="583" spans="1:3">
      <c r="A583" s="3">
        <f ca="1">IFERROR(__xludf.UNSUPPORTED("""COMPUTED_VALUE"""),44309.6666666666)</f>
        <v>44309.666666666599</v>
      </c>
      <c r="B583" s="1">
        <f ca="1">IFERROR(__xludf.UNSUPPORTED("""COMPUTED_VALUE"""),150.19)</f>
        <v>150.19</v>
      </c>
      <c r="C583" s="2">
        <f t="shared" ca="1" si="2"/>
        <v>1.9135509262400714E-2</v>
      </c>
    </row>
    <row r="584" spans="1:3">
      <c r="A584" s="3">
        <f ca="1">IFERROR(__xludf.UNSUPPORTED("""COMPUTED_VALUE"""),44312.6666666666)</f>
        <v>44312.666666666599</v>
      </c>
      <c r="B584" s="1">
        <f ca="1">IFERROR(__xludf.UNSUPPORTED("""COMPUTED_VALUE"""),150.56)</f>
        <v>150.56</v>
      </c>
      <c r="C584" s="2">
        <f t="shared" ca="1" si="2"/>
        <v>2.4635461748452265E-3</v>
      </c>
    </row>
    <row r="585" spans="1:3">
      <c r="A585" s="3">
        <f ca="1">IFERROR(__xludf.UNSUPPORTED("""COMPUTED_VALUE"""),44313.6666666666)</f>
        <v>44313.666666666599</v>
      </c>
      <c r="B585" s="1">
        <f ca="1">IFERROR(__xludf.UNSUPPORTED("""COMPUTED_VALUE"""),151.25)</f>
        <v>151.25</v>
      </c>
      <c r="C585" s="2">
        <f t="shared" ca="1" si="2"/>
        <v>4.5828905419766051E-3</v>
      </c>
    </row>
    <row r="586" spans="1:3">
      <c r="A586" s="3">
        <f ca="1">IFERROR(__xludf.UNSUPPORTED("""COMPUTED_VALUE"""),44314.6666666666)</f>
        <v>44314.666666666599</v>
      </c>
      <c r="B586" s="1">
        <f ca="1">IFERROR(__xludf.UNSUPPORTED("""COMPUTED_VALUE"""),152.23)</f>
        <v>152.22999999999999</v>
      </c>
      <c r="C586" s="2">
        <f t="shared" ca="1" si="2"/>
        <v>6.4793388429751388E-3</v>
      </c>
    </row>
    <row r="587" spans="1:3">
      <c r="A587" s="3">
        <f ca="1">IFERROR(__xludf.UNSUPPORTED("""COMPUTED_VALUE"""),44315.6666666666)</f>
        <v>44315.666666666599</v>
      </c>
      <c r="B587" s="1">
        <f ca="1">IFERROR(__xludf.UNSUPPORTED("""COMPUTED_VALUE"""),155.19)</f>
        <v>155.19</v>
      </c>
      <c r="C587" s="2">
        <f t="shared" ca="1" si="2"/>
        <v>1.9444261972016083E-2</v>
      </c>
    </row>
    <row r="588" spans="1:3">
      <c r="A588" s="3">
        <f ca="1">IFERROR(__xludf.UNSUPPORTED("""COMPUTED_VALUE"""),44316.6666666666)</f>
        <v>44316.666666666599</v>
      </c>
      <c r="B588" s="1">
        <f ca="1">IFERROR(__xludf.UNSUPPORTED("""COMPUTED_VALUE"""),153.81)</f>
        <v>153.81</v>
      </c>
      <c r="C588" s="2">
        <f t="shared" ca="1" si="2"/>
        <v>-8.8923255364391739E-3</v>
      </c>
    </row>
    <row r="589" spans="1:3">
      <c r="A589" s="3">
        <f ca="1">IFERROR(__xludf.UNSUPPORTED("""COMPUTED_VALUE"""),44319.6666666666)</f>
        <v>44319.666666666599</v>
      </c>
      <c r="B589" s="1">
        <f ca="1">IFERROR(__xludf.UNSUPPORTED("""COMPUTED_VALUE"""),153.36)</f>
        <v>153.36000000000001</v>
      </c>
      <c r="C589" s="2">
        <f t="shared" ca="1" si="2"/>
        <v>-2.9256875365710204E-3</v>
      </c>
    </row>
    <row r="590" spans="1:3">
      <c r="A590" s="3">
        <f ca="1">IFERROR(__xludf.UNSUPPORTED("""COMPUTED_VALUE"""),44320.6666666666)</f>
        <v>44320.666666666599</v>
      </c>
      <c r="B590" s="1">
        <f ca="1">IFERROR(__xludf.UNSUPPORTED("""COMPUTED_VALUE"""),155.48)</f>
        <v>155.47999999999999</v>
      </c>
      <c r="C590" s="2">
        <f t="shared" ca="1" si="2"/>
        <v>1.3823682837767188E-2</v>
      </c>
    </row>
    <row r="591" spans="1:3">
      <c r="A591" s="3">
        <f ca="1">IFERROR(__xludf.UNSUPPORTED("""COMPUTED_VALUE"""),44321.6666666666)</f>
        <v>44321.666666666599</v>
      </c>
      <c r="B591" s="1">
        <f ca="1">IFERROR(__xludf.UNSUPPORTED("""COMPUTED_VALUE"""),157.52)</f>
        <v>157.52000000000001</v>
      </c>
      <c r="C591" s="2">
        <f t="shared" ca="1" si="2"/>
        <v>1.3120658605608571E-2</v>
      </c>
    </row>
    <row r="592" spans="1:3">
      <c r="A592" s="3">
        <f ca="1">IFERROR(__xludf.UNSUPPORTED("""COMPUTED_VALUE"""),44322.6666666666)</f>
        <v>44322.666666666599</v>
      </c>
      <c r="B592" s="1">
        <f ca="1">IFERROR(__xludf.UNSUPPORTED("""COMPUTED_VALUE"""),160.69)</f>
        <v>160.69</v>
      </c>
      <c r="C592" s="2">
        <f t="shared" ca="1" si="2"/>
        <v>2.0124428643981635E-2</v>
      </c>
    </row>
    <row r="593" spans="1:3">
      <c r="A593" s="3">
        <f ca="1">IFERROR(__xludf.UNSUPPORTED("""COMPUTED_VALUE"""),44323.6666666666)</f>
        <v>44323.666666666599</v>
      </c>
      <c r="B593" s="1">
        <f ca="1">IFERROR(__xludf.UNSUPPORTED("""COMPUTED_VALUE"""),161.24)</f>
        <v>161.24</v>
      </c>
      <c r="C593" s="2">
        <f t="shared" ca="1" si="2"/>
        <v>3.4227394361815381E-3</v>
      </c>
    </row>
    <row r="594" spans="1:3">
      <c r="A594" s="3">
        <f ca="1">IFERROR(__xludf.UNSUPPORTED("""COMPUTED_VALUE"""),44326.6666666666)</f>
        <v>44326.666666666599</v>
      </c>
      <c r="B594" s="1">
        <f ca="1">IFERROR(__xludf.UNSUPPORTED("""COMPUTED_VALUE"""),161.22)</f>
        <v>161.22</v>
      </c>
      <c r="C594" s="2">
        <f t="shared" ca="1" si="2"/>
        <v>-1.2403870007448667E-4</v>
      </c>
    </row>
    <row r="595" spans="1:3">
      <c r="A595" s="3">
        <f ca="1">IFERROR(__xludf.UNSUPPORTED("""COMPUTED_VALUE"""),44327.6666666666)</f>
        <v>44327.666666666599</v>
      </c>
      <c r="B595" s="1">
        <f ca="1">IFERROR(__xludf.UNSUPPORTED("""COMPUTED_VALUE"""),158.54)</f>
        <v>158.54</v>
      </c>
      <c r="C595" s="2">
        <f t="shared" ca="1" si="2"/>
        <v>-1.6623247736012946E-2</v>
      </c>
    </row>
    <row r="596" spans="1:3">
      <c r="A596" s="3">
        <f ca="1">IFERROR(__xludf.UNSUPPORTED("""COMPUTED_VALUE"""),44328.6666666666)</f>
        <v>44328.666666666599</v>
      </c>
      <c r="B596" s="1">
        <f ca="1">IFERROR(__xludf.UNSUPPORTED("""COMPUTED_VALUE"""),157.45)</f>
        <v>157.44999999999999</v>
      </c>
      <c r="C596" s="2">
        <f t="shared" ca="1" si="2"/>
        <v>-6.8752365333669954E-3</v>
      </c>
    </row>
    <row r="597" spans="1:3">
      <c r="A597" s="3">
        <f ca="1">IFERROR(__xludf.UNSUPPORTED("""COMPUTED_VALUE"""),44329.6666666666)</f>
        <v>44329.666666666599</v>
      </c>
      <c r="B597" s="1">
        <f ca="1">IFERROR(__xludf.UNSUPPORTED("""COMPUTED_VALUE"""),161.5)</f>
        <v>161.5</v>
      </c>
      <c r="C597" s="2">
        <f t="shared" ca="1" si="2"/>
        <v>2.5722451571927669E-2</v>
      </c>
    </row>
    <row r="598" spans="1:3">
      <c r="A598" s="3">
        <f ca="1">IFERROR(__xludf.UNSUPPORTED("""COMPUTED_VALUE"""),44330.6666666666)</f>
        <v>44330.666666666599</v>
      </c>
      <c r="B598" s="1">
        <f ca="1">IFERROR(__xludf.UNSUPPORTED("""COMPUTED_VALUE"""),164.01)</f>
        <v>164.01</v>
      </c>
      <c r="C598" s="2">
        <f t="shared" ca="1" si="2"/>
        <v>1.5541795665634619E-2</v>
      </c>
    </row>
    <row r="599" spans="1:3">
      <c r="A599" s="3">
        <f ca="1">IFERROR(__xludf.UNSUPPORTED("""COMPUTED_VALUE"""),44333.6666666666)</f>
        <v>44333.666666666599</v>
      </c>
      <c r="B599" s="1">
        <f ca="1">IFERROR(__xludf.UNSUPPORTED("""COMPUTED_VALUE"""),164.67)</f>
        <v>164.67</v>
      </c>
      <c r="C599" s="2">
        <f t="shared" ca="1" si="2"/>
        <v>4.0241448692152713E-3</v>
      </c>
    </row>
    <row r="600" spans="1:3">
      <c r="A600" s="3">
        <f ca="1">IFERROR(__xludf.UNSUPPORTED("""COMPUTED_VALUE"""),44334.6666666666)</f>
        <v>44334.666666666599</v>
      </c>
      <c r="B600" s="1">
        <f ca="1">IFERROR(__xludf.UNSUPPORTED("""COMPUTED_VALUE"""),162.35)</f>
        <v>162.35</v>
      </c>
      <c r="C600" s="2">
        <f t="shared" ca="1" si="2"/>
        <v>-1.4088783627861744E-2</v>
      </c>
    </row>
    <row r="601" spans="1:3">
      <c r="A601" s="3">
        <f ca="1">IFERROR(__xludf.UNSUPPORTED("""COMPUTED_VALUE"""),44335.6666666666)</f>
        <v>44335.666666666599</v>
      </c>
      <c r="B601" s="1">
        <f ca="1">IFERROR(__xludf.UNSUPPORTED("""COMPUTED_VALUE"""),161.11)</f>
        <v>161.11000000000001</v>
      </c>
      <c r="C601" s="2">
        <f t="shared" ca="1" si="2"/>
        <v>-7.6378195257159271E-3</v>
      </c>
    </row>
    <row r="602" spans="1:3">
      <c r="A602" s="3">
        <f ca="1">IFERROR(__xludf.UNSUPPORTED("""COMPUTED_VALUE"""),44336.6666666666)</f>
        <v>44336.666666666599</v>
      </c>
      <c r="B602" s="1">
        <f ca="1">IFERROR(__xludf.UNSUPPORTED("""COMPUTED_VALUE"""),160.83)</f>
        <v>160.83000000000001</v>
      </c>
      <c r="C602" s="2">
        <f t="shared" ca="1" si="2"/>
        <v>-1.7379430202966986E-3</v>
      </c>
    </row>
    <row r="603" spans="1:3">
      <c r="A603" s="3">
        <f ca="1">IFERROR(__xludf.UNSUPPORTED("""COMPUTED_VALUE"""),44337.6666666666)</f>
        <v>44337.666666666599</v>
      </c>
      <c r="B603" s="1">
        <f ca="1">IFERROR(__xludf.UNSUPPORTED("""COMPUTED_VALUE"""),162.66)</f>
        <v>162.66</v>
      </c>
      <c r="C603" s="2">
        <f t="shared" ca="1" si="2"/>
        <v>1.1378474165267573E-2</v>
      </c>
    </row>
    <row r="604" spans="1:3">
      <c r="A604" s="3">
        <f ca="1">IFERROR(__xludf.UNSUPPORTED("""COMPUTED_VALUE"""),44340.6666666666)</f>
        <v>44340.666666666599</v>
      </c>
      <c r="B604" s="1">
        <f ca="1">IFERROR(__xludf.UNSUPPORTED("""COMPUTED_VALUE"""),163.54)</f>
        <v>163.54</v>
      </c>
      <c r="C604" s="2">
        <f t="shared" ca="1" si="2"/>
        <v>5.4100577892536297E-3</v>
      </c>
    </row>
    <row r="605" spans="1:3">
      <c r="A605" s="3">
        <f ca="1">IFERROR(__xludf.UNSUPPORTED("""COMPUTED_VALUE"""),44341.6666666666)</f>
        <v>44341.666666666599</v>
      </c>
      <c r="B605" s="1">
        <f ca="1">IFERROR(__xludf.UNSUPPORTED("""COMPUTED_VALUE"""),161.85)</f>
        <v>161.85</v>
      </c>
      <c r="C605" s="2">
        <f t="shared" ca="1" si="2"/>
        <v>-1.0333863275039733E-2</v>
      </c>
    </row>
    <row r="606" spans="1:3">
      <c r="A606" s="3">
        <f ca="1">IFERROR(__xludf.UNSUPPORTED("""COMPUTED_VALUE"""),44342.6666666666)</f>
        <v>44342.666666666599</v>
      </c>
      <c r="B606" s="1">
        <f ca="1">IFERROR(__xludf.UNSUPPORTED("""COMPUTED_VALUE"""),161.83)</f>
        <v>161.83000000000001</v>
      </c>
      <c r="C606" s="2">
        <f t="shared" ca="1" si="2"/>
        <v>-1.2357120790844494E-4</v>
      </c>
    </row>
    <row r="607" spans="1:3">
      <c r="A607" s="3">
        <f ca="1">IFERROR(__xludf.UNSUPPORTED("""COMPUTED_VALUE"""),44343.6666666666)</f>
        <v>44343.666666666599</v>
      </c>
      <c r="B607" s="1">
        <f ca="1">IFERROR(__xludf.UNSUPPORTED("""COMPUTED_VALUE"""),164.35)</f>
        <v>164.35</v>
      </c>
      <c r="C607" s="2">
        <f t="shared" ca="1" si="2"/>
        <v>1.5571896434529948E-2</v>
      </c>
    </row>
    <row r="608" spans="1:3">
      <c r="A608" s="3">
        <f ca="1">IFERROR(__xludf.UNSUPPORTED("""COMPUTED_VALUE"""),44344.6666666666)</f>
        <v>44344.666666666599</v>
      </c>
      <c r="B608" s="1">
        <f ca="1">IFERROR(__xludf.UNSUPPORTED("""COMPUTED_VALUE"""),164.24)</f>
        <v>164.24</v>
      </c>
      <c r="C608" s="2">
        <f t="shared" ca="1" si="2"/>
        <v>-6.6930331609361255E-4</v>
      </c>
    </row>
    <row r="609" spans="1:3">
      <c r="A609" s="3">
        <f ca="1">IFERROR(__xludf.UNSUPPORTED("""COMPUTED_VALUE"""),44348.6666666666)</f>
        <v>44348.666666666599</v>
      </c>
      <c r="B609" s="1">
        <f ca="1">IFERROR(__xludf.UNSUPPORTED("""COMPUTED_VALUE"""),166.05)</f>
        <v>166.05</v>
      </c>
      <c r="C609" s="2">
        <f t="shared" ca="1" si="2"/>
        <v>1.1020457866536789E-2</v>
      </c>
    </row>
    <row r="610" spans="1:3">
      <c r="A610" s="3">
        <f ca="1">IFERROR(__xludf.UNSUPPORTED("""COMPUTED_VALUE"""),44349.6666666666)</f>
        <v>44349.666666666599</v>
      </c>
      <c r="B610" s="1">
        <f ca="1">IFERROR(__xludf.UNSUPPORTED("""COMPUTED_VALUE"""),166.06)</f>
        <v>166.06</v>
      </c>
      <c r="C610" s="2">
        <f t="shared" ca="1" si="2"/>
        <v>6.0222824450411953E-5</v>
      </c>
    </row>
    <row r="611" spans="1:3">
      <c r="A611" s="3">
        <f ca="1">IFERROR(__xludf.UNSUPPORTED("""COMPUTED_VALUE"""),44350.6666666666)</f>
        <v>44350.666666666599</v>
      </c>
      <c r="B611" s="1">
        <f ca="1">IFERROR(__xludf.UNSUPPORTED("""COMPUTED_VALUE"""),166.17)</f>
        <v>166.17</v>
      </c>
      <c r="C611" s="2">
        <f t="shared" ca="1" si="2"/>
        <v>6.6241117668303757E-4</v>
      </c>
    </row>
    <row r="612" spans="1:3">
      <c r="A612" s="3">
        <f ca="1">IFERROR(__xludf.UNSUPPORTED("""COMPUTED_VALUE"""),44351.6666666666)</f>
        <v>44351.666666666599</v>
      </c>
      <c r="B612" s="1">
        <f ca="1">IFERROR(__xludf.UNSUPPORTED("""COMPUTED_VALUE"""),166.44)</f>
        <v>166.44</v>
      </c>
      <c r="C612" s="2">
        <f t="shared" ca="1" si="2"/>
        <v>1.6248420292472182E-3</v>
      </c>
    </row>
    <row r="613" spans="1:3">
      <c r="A613" s="3">
        <f ca="1">IFERROR(__xludf.UNSUPPORTED("""COMPUTED_VALUE"""),44354.6666666666)</f>
        <v>44354.666666666599</v>
      </c>
      <c r="B613" s="1">
        <f ca="1">IFERROR(__xludf.UNSUPPORTED("""COMPUTED_VALUE"""),165.66)</f>
        <v>165.66</v>
      </c>
      <c r="C613" s="2">
        <f t="shared" ca="1" si="2"/>
        <v>-4.6863734679163729E-3</v>
      </c>
    </row>
    <row r="614" spans="1:3">
      <c r="A614" s="3">
        <f ca="1">IFERROR(__xludf.UNSUPPORTED("""COMPUTED_VALUE"""),44355.6666666666)</f>
        <v>44355.666666666599</v>
      </c>
      <c r="B614" s="1">
        <f ca="1">IFERROR(__xludf.UNSUPPORTED("""COMPUTED_VALUE"""),165)</f>
        <v>165</v>
      </c>
      <c r="C614" s="2">
        <f t="shared" ca="1" si="2"/>
        <v>-3.9840637450198994E-3</v>
      </c>
    </row>
    <row r="615" spans="1:3">
      <c r="A615" s="3">
        <f ca="1">IFERROR(__xludf.UNSUPPORTED("""COMPUTED_VALUE"""),44356.6666666666)</f>
        <v>44356.666666666599</v>
      </c>
      <c r="B615" s="1">
        <f ca="1">IFERROR(__xludf.UNSUPPORTED("""COMPUTED_VALUE"""),162.94)</f>
        <v>162.94</v>
      </c>
      <c r="C615" s="2">
        <f t="shared" ca="1" si="2"/>
        <v>-1.2484848484848498E-2</v>
      </c>
    </row>
    <row r="616" spans="1:3">
      <c r="A616" s="3">
        <f ca="1">IFERROR(__xludf.UNSUPPORTED("""COMPUTED_VALUE"""),44357.6666666666)</f>
        <v>44357.666666666599</v>
      </c>
      <c r="B616" s="1">
        <f ca="1">IFERROR(__xludf.UNSUPPORTED("""COMPUTED_VALUE"""),160.4)</f>
        <v>160.4</v>
      </c>
      <c r="C616" s="2">
        <f t="shared" ca="1" si="2"/>
        <v>-1.5588560206210826E-2</v>
      </c>
    </row>
    <row r="617" spans="1:3">
      <c r="A617" s="3">
        <f ca="1">IFERROR(__xludf.UNSUPPORTED("""COMPUTED_VALUE"""),44358.6666666666)</f>
        <v>44358.666666666599</v>
      </c>
      <c r="B617" s="1">
        <f ca="1">IFERROR(__xludf.UNSUPPORTED("""COMPUTED_VALUE"""),160.29)</f>
        <v>160.29</v>
      </c>
      <c r="C617" s="2">
        <f t="shared" ca="1" si="2"/>
        <v>-6.8578553615968605E-4</v>
      </c>
    </row>
    <row r="618" spans="1:3">
      <c r="A618" s="3">
        <f ca="1">IFERROR(__xludf.UNSUPPORTED("""COMPUTED_VALUE"""),44361.6666666666)</f>
        <v>44361.666666666599</v>
      </c>
      <c r="B618" s="1">
        <f ca="1">IFERROR(__xludf.UNSUPPORTED("""COMPUTED_VALUE"""),157.57)</f>
        <v>157.57</v>
      </c>
      <c r="C618" s="2">
        <f t="shared" ca="1" si="2"/>
        <v>-1.6969243246615504E-2</v>
      </c>
    </row>
    <row r="619" spans="1:3">
      <c r="A619" s="3">
        <f ca="1">IFERROR(__xludf.UNSUPPORTED("""COMPUTED_VALUE"""),44362.6666666666)</f>
        <v>44362.666666666599</v>
      </c>
      <c r="B619" s="1">
        <f ca="1">IFERROR(__xludf.UNSUPPORTED("""COMPUTED_VALUE"""),155.18)</f>
        <v>155.18</v>
      </c>
      <c r="C619" s="2">
        <f t="shared" ca="1" si="2"/>
        <v>-1.5167861902646356E-2</v>
      </c>
    </row>
    <row r="620" spans="1:3">
      <c r="A620" s="3">
        <f ca="1">IFERROR(__xludf.UNSUPPORTED("""COMPUTED_VALUE"""),44363.6666666666)</f>
        <v>44363.666666666599</v>
      </c>
      <c r="B620" s="1">
        <f ca="1">IFERROR(__xludf.UNSUPPORTED("""COMPUTED_VALUE"""),156.27)</f>
        <v>156.27000000000001</v>
      </c>
      <c r="C620" s="2">
        <f t="shared" ca="1" si="2"/>
        <v>7.0241010439489838E-3</v>
      </c>
    </row>
    <row r="621" spans="1:3">
      <c r="A621" s="3">
        <f ca="1">IFERROR(__xludf.UNSUPPORTED("""COMPUTED_VALUE"""),44364.6666666666)</f>
        <v>44364.666666666599</v>
      </c>
      <c r="B621" s="1">
        <f ca="1">IFERROR(__xludf.UNSUPPORTED("""COMPUTED_VALUE"""),151.76)</f>
        <v>151.76</v>
      </c>
      <c r="C621" s="2">
        <f t="shared" ca="1" si="2"/>
        <v>-2.8860305880847373E-2</v>
      </c>
    </row>
    <row r="622" spans="1:3">
      <c r="A622" s="3">
        <f ca="1">IFERROR(__xludf.UNSUPPORTED("""COMPUTED_VALUE"""),44365.6666666666)</f>
        <v>44365.666666666599</v>
      </c>
      <c r="B622" s="1">
        <f ca="1">IFERROR(__xludf.UNSUPPORTED("""COMPUTED_VALUE"""),147.92)</f>
        <v>147.91999999999999</v>
      </c>
      <c r="C622" s="2">
        <f t="shared" ca="1" si="2"/>
        <v>-2.5303110173958906E-2</v>
      </c>
    </row>
    <row r="623" spans="1:3">
      <c r="A623" s="3">
        <f ca="1">IFERROR(__xludf.UNSUPPORTED("""COMPUTED_VALUE"""),44368.6666666666)</f>
        <v>44368.666666666599</v>
      </c>
      <c r="B623" s="1">
        <f ca="1">IFERROR(__xludf.UNSUPPORTED("""COMPUTED_VALUE"""),150.43)</f>
        <v>150.43</v>
      </c>
      <c r="C623" s="2">
        <f t="shared" ca="1" si="2"/>
        <v>1.6968631692807056E-2</v>
      </c>
    </row>
    <row r="624" spans="1:3">
      <c r="A624" s="3">
        <f ca="1">IFERROR(__xludf.UNSUPPORTED("""COMPUTED_VALUE"""),44369.6666666666)</f>
        <v>44369.666666666599</v>
      </c>
      <c r="B624" s="1">
        <f ca="1">IFERROR(__xludf.UNSUPPORTED("""COMPUTED_VALUE"""),150.21)</f>
        <v>150.21</v>
      </c>
      <c r="C624" s="2">
        <f t="shared" ca="1" si="2"/>
        <v>-1.4624742405105289E-3</v>
      </c>
    </row>
    <row r="625" spans="1:3">
      <c r="A625" s="3">
        <f ca="1">IFERROR(__xludf.UNSUPPORTED("""COMPUTED_VALUE"""),44370.6666666666)</f>
        <v>44370.666666666599</v>
      </c>
      <c r="B625" s="1">
        <f ca="1">IFERROR(__xludf.UNSUPPORTED("""COMPUTED_VALUE"""),151.12)</f>
        <v>151.12</v>
      </c>
      <c r="C625" s="2">
        <f t="shared" ca="1" si="2"/>
        <v>6.0581852073763164E-3</v>
      </c>
    </row>
    <row r="626" spans="1:3">
      <c r="A626" s="3">
        <f ca="1">IFERROR(__xludf.UNSUPPORTED("""COMPUTED_VALUE"""),44371.6666666666)</f>
        <v>44371.666666666599</v>
      </c>
      <c r="B626" s="1">
        <f ca="1">IFERROR(__xludf.UNSUPPORTED("""COMPUTED_VALUE"""),152.51)</f>
        <v>152.51</v>
      </c>
      <c r="C626" s="2">
        <f t="shared" ca="1" si="2"/>
        <v>9.1979883536261672E-3</v>
      </c>
    </row>
    <row r="627" spans="1:3">
      <c r="A627" s="3">
        <f ca="1">IFERROR(__xludf.UNSUPPORTED("""COMPUTED_VALUE"""),44372.6666666666)</f>
        <v>44372.666666666599</v>
      </c>
      <c r="B627" s="1">
        <f ca="1">IFERROR(__xludf.UNSUPPORTED("""COMPUTED_VALUE"""),154.05)</f>
        <v>154.05000000000001</v>
      </c>
      <c r="C627" s="2">
        <f t="shared" ca="1" si="2"/>
        <v>1.0097698511573147E-2</v>
      </c>
    </row>
    <row r="628" spans="1:3">
      <c r="A628" s="3">
        <f ca="1">IFERROR(__xludf.UNSUPPORTED("""COMPUTED_VALUE"""),44375.6666666666)</f>
        <v>44375.666666666599</v>
      </c>
      <c r="B628" s="1">
        <f ca="1">IFERROR(__xludf.UNSUPPORTED("""COMPUTED_VALUE"""),154.33)</f>
        <v>154.33000000000001</v>
      </c>
      <c r="C628" s="2">
        <f t="shared" ca="1" si="2"/>
        <v>1.8175916910094197E-3</v>
      </c>
    </row>
    <row r="629" spans="1:3">
      <c r="A629" s="3">
        <f ca="1">IFERROR(__xludf.UNSUPPORTED("""COMPUTED_VALUE"""),44376.6666666666)</f>
        <v>44376.666666666599</v>
      </c>
      <c r="B629" s="1">
        <f ca="1">IFERROR(__xludf.UNSUPPORTED("""COMPUTED_VALUE"""),154.14)</f>
        <v>154.13999999999999</v>
      </c>
      <c r="C629" s="2">
        <f t="shared" ca="1" si="2"/>
        <v>-1.2311281021190057E-3</v>
      </c>
    </row>
    <row r="630" spans="1:3">
      <c r="A630" s="3">
        <f ca="1">IFERROR(__xludf.UNSUPPORTED("""COMPUTED_VALUE"""),44377.6666666666)</f>
        <v>44377.666666666599</v>
      </c>
      <c r="B630" s="1">
        <f ca="1">IFERROR(__xludf.UNSUPPORTED("""COMPUTED_VALUE"""),155.54)</f>
        <v>155.54</v>
      </c>
      <c r="C630" s="2">
        <f t="shared" ca="1" si="2"/>
        <v>9.0826521344232886E-3</v>
      </c>
    </row>
    <row r="631" spans="1:3">
      <c r="A631" s="3">
        <f ca="1">IFERROR(__xludf.UNSUPPORTED("""COMPUTED_VALUE"""),44378.6666666666)</f>
        <v>44378.666666666599</v>
      </c>
      <c r="B631" s="1">
        <f ca="1">IFERROR(__xludf.UNSUPPORTED("""COMPUTED_VALUE"""),157.08)</f>
        <v>157.08000000000001</v>
      </c>
      <c r="C631" s="2">
        <f t="shared" ca="1" si="2"/>
        <v>9.9009900990100329E-3</v>
      </c>
    </row>
    <row r="632" spans="1:3">
      <c r="A632" s="3">
        <f ca="1">IFERROR(__xludf.UNSUPPORTED("""COMPUTED_VALUE"""),44379.6666666666)</f>
        <v>44379.666666666599</v>
      </c>
      <c r="B632" s="1">
        <f ca="1">IFERROR(__xludf.UNSUPPORTED("""COMPUTED_VALUE"""),156.03)</f>
        <v>156.03</v>
      </c>
      <c r="C632" s="2">
        <f t="shared" ca="1" si="2"/>
        <v>-6.6844919786096975E-3</v>
      </c>
    </row>
    <row r="633" spans="1:3">
      <c r="A633" s="3">
        <f ca="1">IFERROR(__xludf.UNSUPPORTED("""COMPUTED_VALUE"""),44383.6666666666)</f>
        <v>44383.666666666599</v>
      </c>
      <c r="B633" s="1">
        <f ca="1">IFERROR(__xludf.UNSUPPORTED("""COMPUTED_VALUE"""),153.41)</f>
        <v>153.41</v>
      </c>
      <c r="C633" s="2">
        <f t="shared" ca="1" si="2"/>
        <v>-1.679164263282705E-2</v>
      </c>
    </row>
    <row r="634" spans="1:3">
      <c r="A634" s="3">
        <f ca="1">IFERROR(__xludf.UNSUPPORTED("""COMPUTED_VALUE"""),44384.6666666666)</f>
        <v>44384.666666666599</v>
      </c>
      <c r="B634" s="1">
        <f ca="1">IFERROR(__xludf.UNSUPPORTED("""COMPUTED_VALUE"""),153.59)</f>
        <v>153.59</v>
      </c>
      <c r="C634" s="2">
        <f t="shared" ca="1" si="2"/>
        <v>1.1733263802881613E-3</v>
      </c>
    </row>
    <row r="635" spans="1:3">
      <c r="A635" s="3">
        <f ca="1">IFERROR(__xludf.UNSUPPORTED("""COMPUTED_VALUE"""),44385.6666666666)</f>
        <v>44385.666666666599</v>
      </c>
      <c r="B635" s="1">
        <f ca="1">IFERROR(__xludf.UNSUPPORTED("""COMPUTED_VALUE"""),150.94)</f>
        <v>150.94</v>
      </c>
      <c r="C635" s="2">
        <f t="shared" ca="1" si="2"/>
        <v>-1.7253727456214635E-2</v>
      </c>
    </row>
    <row r="636" spans="1:3">
      <c r="A636" s="3">
        <f ca="1">IFERROR(__xludf.UNSUPPORTED("""COMPUTED_VALUE"""),44386.6666666666)</f>
        <v>44386.666666666599</v>
      </c>
      <c r="B636" s="1">
        <f ca="1">IFERROR(__xludf.UNSUPPORTED("""COMPUTED_VALUE"""),155.77)</f>
        <v>155.77000000000001</v>
      </c>
      <c r="C636" s="2">
        <f t="shared" ca="1" si="2"/>
        <v>3.1999469988074812E-2</v>
      </c>
    </row>
    <row r="637" spans="1:3">
      <c r="A637" s="3">
        <f ca="1">IFERROR(__xludf.UNSUPPORTED("""COMPUTED_VALUE"""),44389.6666666666)</f>
        <v>44389.666666666599</v>
      </c>
      <c r="B637" s="1">
        <f ca="1">IFERROR(__xludf.UNSUPPORTED("""COMPUTED_VALUE"""),158)</f>
        <v>158</v>
      </c>
      <c r="C637" s="2">
        <f t="shared" ca="1" si="2"/>
        <v>1.4315978686524938E-2</v>
      </c>
    </row>
    <row r="638" spans="1:3">
      <c r="A638" s="3">
        <f ca="1">IFERROR(__xludf.UNSUPPORTED("""COMPUTED_VALUE"""),44390.6666666666)</f>
        <v>44390.666666666599</v>
      </c>
      <c r="B638" s="1">
        <f ca="1">IFERROR(__xludf.UNSUPPORTED("""COMPUTED_VALUE"""),155.65)</f>
        <v>155.65</v>
      </c>
      <c r="C638" s="2">
        <f t="shared" ca="1" si="2"/>
        <v>-1.4873417721518952E-2</v>
      </c>
    </row>
    <row r="639" spans="1:3">
      <c r="A639" s="3">
        <f ca="1">IFERROR(__xludf.UNSUPPORTED("""COMPUTED_VALUE"""),44391.6666666666)</f>
        <v>44391.666666666599</v>
      </c>
      <c r="B639" s="1">
        <f ca="1">IFERROR(__xludf.UNSUPPORTED("""COMPUTED_VALUE"""),155.12)</f>
        <v>155.12</v>
      </c>
      <c r="C639" s="2">
        <f t="shared" ca="1" si="2"/>
        <v>-3.4050754898811509E-3</v>
      </c>
    </row>
    <row r="640" spans="1:3">
      <c r="A640" s="3">
        <f ca="1">IFERROR(__xludf.UNSUPPORTED("""COMPUTED_VALUE"""),44392.6666666666)</f>
        <v>44392.666666666599</v>
      </c>
      <c r="B640" s="1">
        <f ca="1">IFERROR(__xludf.UNSUPPORTED("""COMPUTED_VALUE"""),155.46)</f>
        <v>155.46</v>
      </c>
      <c r="C640" s="2">
        <f t="shared" ca="1" si="2"/>
        <v>2.1918514698298312E-3</v>
      </c>
    </row>
    <row r="641" spans="1:3">
      <c r="A641" s="3">
        <f ca="1">IFERROR(__xludf.UNSUPPORTED("""COMPUTED_VALUE"""),44393.6666666666)</f>
        <v>44393.666666666599</v>
      </c>
      <c r="B641" s="1">
        <f ca="1">IFERROR(__xludf.UNSUPPORTED("""COMPUTED_VALUE"""),151.91)</f>
        <v>151.91</v>
      </c>
      <c r="C641" s="2">
        <f t="shared" ca="1" si="2"/>
        <v>-2.2835456065869106E-2</v>
      </c>
    </row>
    <row r="642" spans="1:3">
      <c r="A642" s="3">
        <f ca="1">IFERROR(__xludf.UNSUPPORTED("""COMPUTED_VALUE"""),44396.6666666666)</f>
        <v>44396.666666666599</v>
      </c>
      <c r="B642" s="1">
        <f ca="1">IFERROR(__xludf.UNSUPPORTED("""COMPUTED_VALUE"""),146.97)</f>
        <v>146.97</v>
      </c>
      <c r="C642" s="2">
        <f t="shared" ca="1" si="2"/>
        <v>-3.2519254821934025E-2</v>
      </c>
    </row>
    <row r="643" spans="1:3">
      <c r="A643" s="3">
        <f ca="1">IFERROR(__xludf.UNSUPPORTED("""COMPUTED_VALUE"""),44397.6666666666)</f>
        <v>44397.666666666599</v>
      </c>
      <c r="B643" s="1">
        <f ca="1">IFERROR(__xludf.UNSUPPORTED("""COMPUTED_VALUE"""),149.71)</f>
        <v>149.71</v>
      </c>
      <c r="C643" s="2">
        <f t="shared" ca="1" si="2"/>
        <v>1.8643260529359794E-2</v>
      </c>
    </row>
    <row r="644" spans="1:3">
      <c r="A644" s="3">
        <f ca="1">IFERROR(__xludf.UNSUPPORTED("""COMPUTED_VALUE"""),44398.6666666666)</f>
        <v>44398.666666666599</v>
      </c>
      <c r="B644" s="1">
        <f ca="1">IFERROR(__xludf.UNSUPPORTED("""COMPUTED_VALUE"""),152.86)</f>
        <v>152.86000000000001</v>
      </c>
      <c r="C644" s="2">
        <f t="shared" ca="1" si="2"/>
        <v>2.1040678645381106E-2</v>
      </c>
    </row>
    <row r="645" spans="1:3">
      <c r="A645" s="3">
        <f ca="1">IFERROR(__xludf.UNSUPPORTED("""COMPUTED_VALUE"""),44399.6666666666)</f>
        <v>44399.666666666599</v>
      </c>
      <c r="B645" s="1">
        <f ca="1">IFERROR(__xludf.UNSUPPORTED("""COMPUTED_VALUE"""),150.93)</f>
        <v>150.93</v>
      </c>
      <c r="C645" s="2">
        <f t="shared" ca="1" si="2"/>
        <v>-1.2625932225565921E-2</v>
      </c>
    </row>
    <row r="646" spans="1:3">
      <c r="A646" s="3">
        <f ca="1">IFERROR(__xludf.UNSUPPORTED("""COMPUTED_VALUE"""),44400.6666666666)</f>
        <v>44400.666666666599</v>
      </c>
      <c r="B646" s="1">
        <f ca="1">IFERROR(__xludf.UNSUPPORTED("""COMPUTED_VALUE"""),150.64)</f>
        <v>150.63999999999999</v>
      </c>
      <c r="C646" s="2">
        <f t="shared" ca="1" si="2"/>
        <v>-1.9214205260718244E-3</v>
      </c>
    </row>
    <row r="647" spans="1:3">
      <c r="A647" s="3">
        <f ca="1">IFERROR(__xludf.UNSUPPORTED("""COMPUTED_VALUE"""),44403.6666666666)</f>
        <v>44403.666666666599</v>
      </c>
      <c r="B647" s="1">
        <f ca="1">IFERROR(__xludf.UNSUPPORTED("""COMPUTED_VALUE"""),151.65)</f>
        <v>151.65</v>
      </c>
      <c r="C647" s="2">
        <f t="shared" ca="1" si="2"/>
        <v>6.7047265002656625E-3</v>
      </c>
    </row>
    <row r="648" spans="1:3">
      <c r="A648" s="3">
        <f ca="1">IFERROR(__xludf.UNSUPPORTED("""COMPUTED_VALUE"""),44404.6666666666)</f>
        <v>44404.666666666599</v>
      </c>
      <c r="B648" s="1">
        <f ca="1">IFERROR(__xludf.UNSUPPORTED("""COMPUTED_VALUE"""),151.45)</f>
        <v>151.44999999999999</v>
      </c>
      <c r="C648" s="2">
        <f t="shared" ca="1" si="2"/>
        <v>-1.3188262446423807E-3</v>
      </c>
    </row>
    <row r="649" spans="1:3">
      <c r="A649" s="3">
        <f ca="1">IFERROR(__xludf.UNSUPPORTED("""COMPUTED_VALUE"""),44405.6666666666)</f>
        <v>44405.666666666599</v>
      </c>
      <c r="B649" s="1">
        <f ca="1">IFERROR(__xludf.UNSUPPORTED("""COMPUTED_VALUE"""),151.7)</f>
        <v>151.69999999999999</v>
      </c>
      <c r="C649" s="2">
        <f t="shared" ca="1" si="2"/>
        <v>1.6507098052162431E-3</v>
      </c>
    </row>
    <row r="650" spans="1:3">
      <c r="A650" s="3">
        <f ca="1">IFERROR(__xludf.UNSUPPORTED("""COMPUTED_VALUE"""),44406.6666666666)</f>
        <v>44406.666666666599</v>
      </c>
      <c r="B650" s="1">
        <f ca="1">IFERROR(__xludf.UNSUPPORTED("""COMPUTED_VALUE"""),153)</f>
        <v>153</v>
      </c>
      <c r="C650" s="2">
        <f t="shared" ca="1" si="2"/>
        <v>8.5695451549110836E-3</v>
      </c>
    </row>
    <row r="651" spans="1:3">
      <c r="A651" s="3">
        <f ca="1">IFERROR(__xludf.UNSUPPORTED("""COMPUTED_VALUE"""),44407.6666666666)</f>
        <v>44407.666666666599</v>
      </c>
      <c r="B651" s="1">
        <f ca="1">IFERROR(__xludf.UNSUPPORTED("""COMPUTED_VALUE"""),151.78)</f>
        <v>151.78</v>
      </c>
      <c r="C651" s="2">
        <f t="shared" ca="1" si="2"/>
        <v>-7.97385620915032E-3</v>
      </c>
    </row>
    <row r="652" spans="1:3">
      <c r="A652" s="3">
        <f ca="1">IFERROR(__xludf.UNSUPPORTED("""COMPUTED_VALUE"""),44410.6666666666)</f>
        <v>44410.666666666599</v>
      </c>
      <c r="B652" s="1">
        <f ca="1">IFERROR(__xludf.UNSUPPORTED("""COMPUTED_VALUE"""),151.17)</f>
        <v>151.16999999999999</v>
      </c>
      <c r="C652" s="2">
        <f t="shared" ca="1" si="2"/>
        <v>-4.0189748319937645E-3</v>
      </c>
    </row>
    <row r="653" spans="1:3">
      <c r="A653" s="3">
        <f ca="1">IFERROR(__xludf.UNSUPPORTED("""COMPUTED_VALUE"""),44411.6666666666)</f>
        <v>44411.666666666599</v>
      </c>
      <c r="B653" s="1">
        <f ca="1">IFERROR(__xludf.UNSUPPORTED("""COMPUTED_VALUE"""),152.89)</f>
        <v>152.88999999999999</v>
      </c>
      <c r="C653" s="2">
        <f t="shared" ca="1" si="2"/>
        <v>1.1377918899252491E-2</v>
      </c>
    </row>
    <row r="654" spans="1:3">
      <c r="A654" s="3">
        <f ca="1">IFERROR(__xludf.UNSUPPORTED("""COMPUTED_VALUE"""),44412.6666666666)</f>
        <v>44412.666666666599</v>
      </c>
      <c r="B654" s="1">
        <f ca="1">IFERROR(__xludf.UNSUPPORTED("""COMPUTED_VALUE"""),151.24)</f>
        <v>151.24</v>
      </c>
      <c r="C654" s="2">
        <f t="shared" ca="1" si="2"/>
        <v>-1.0792072732029416E-2</v>
      </c>
    </row>
    <row r="655" spans="1:3">
      <c r="A655" s="3">
        <f ca="1">IFERROR(__xludf.UNSUPPORTED("""COMPUTED_VALUE"""),44413.6666666666)</f>
        <v>44413.666666666599</v>
      </c>
      <c r="B655" s="1">
        <f ca="1">IFERROR(__xludf.UNSUPPORTED("""COMPUTED_VALUE"""),153.15)</f>
        <v>153.15</v>
      </c>
      <c r="C655" s="2">
        <f t="shared" ca="1" si="2"/>
        <v>1.2628934144406219E-2</v>
      </c>
    </row>
    <row r="656" spans="1:3">
      <c r="A656" s="3">
        <f ca="1">IFERROR(__xludf.UNSUPPORTED("""COMPUTED_VALUE"""),44414.6666666666)</f>
        <v>44414.666666666599</v>
      </c>
      <c r="B656" s="1">
        <f ca="1">IFERROR(__xludf.UNSUPPORTED("""COMPUTED_VALUE"""),157.5)</f>
        <v>157.5</v>
      </c>
      <c r="C656" s="2">
        <f t="shared" ca="1" si="2"/>
        <v>2.8403525954946093E-2</v>
      </c>
    </row>
    <row r="657" spans="1:3">
      <c r="A657" s="3">
        <f ca="1">IFERROR(__xludf.UNSUPPORTED("""COMPUTED_VALUE"""),44417.6666666666)</f>
        <v>44417.666666666599</v>
      </c>
      <c r="B657" s="1">
        <f ca="1">IFERROR(__xludf.UNSUPPORTED("""COMPUTED_VALUE"""),157.33)</f>
        <v>157.33000000000001</v>
      </c>
      <c r="C657" s="2">
        <f t="shared" ca="1" si="2"/>
        <v>-1.0793650793649999E-3</v>
      </c>
    </row>
    <row r="658" spans="1:3">
      <c r="A658" s="3">
        <f ca="1">IFERROR(__xludf.UNSUPPORTED("""COMPUTED_VALUE"""),44418.6666666666)</f>
        <v>44418.666666666599</v>
      </c>
      <c r="B658" s="1">
        <f ca="1">IFERROR(__xludf.UNSUPPORTED("""COMPUTED_VALUE"""),159.26)</f>
        <v>159.26</v>
      </c>
      <c r="C658" s="2">
        <f t="shared" ca="1" si="2"/>
        <v>1.2267209051039079E-2</v>
      </c>
    </row>
    <row r="659" spans="1:3">
      <c r="A659" s="3">
        <f ca="1">IFERROR(__xludf.UNSUPPORTED("""COMPUTED_VALUE"""),44419.6666666666)</f>
        <v>44419.666666666599</v>
      </c>
      <c r="B659" s="1">
        <f ca="1">IFERROR(__xludf.UNSUPPORTED("""COMPUTED_VALUE"""),161.16)</f>
        <v>161.16</v>
      </c>
      <c r="C659" s="2">
        <f t="shared" ca="1" si="2"/>
        <v>1.1930177068943901E-2</v>
      </c>
    </row>
    <row r="660" spans="1:3">
      <c r="A660" s="3">
        <f ca="1">IFERROR(__xludf.UNSUPPORTED("""COMPUTED_VALUE"""),44420.6666666666)</f>
        <v>44420.666666666599</v>
      </c>
      <c r="B660" s="1">
        <f ca="1">IFERROR(__xludf.UNSUPPORTED("""COMPUTED_VALUE"""),161.79)</f>
        <v>161.79</v>
      </c>
      <c r="C660" s="2">
        <f t="shared" ca="1" si="2"/>
        <v>3.9091586001488918E-3</v>
      </c>
    </row>
    <row r="661" spans="1:3">
      <c r="A661" s="3">
        <f ca="1">IFERROR(__xludf.UNSUPPORTED("""COMPUTED_VALUE"""),44421.6666666666)</f>
        <v>44421.666666666599</v>
      </c>
      <c r="B661" s="1">
        <f ca="1">IFERROR(__xludf.UNSUPPORTED("""COMPUTED_VALUE"""),159.98)</f>
        <v>159.97999999999999</v>
      </c>
      <c r="C661" s="2">
        <f t="shared" ca="1" si="2"/>
        <v>-1.1187341615674655E-2</v>
      </c>
    </row>
    <row r="662" spans="1:3">
      <c r="A662" s="3">
        <f ca="1">IFERROR(__xludf.UNSUPPORTED("""COMPUTED_VALUE"""),44424.6666666666)</f>
        <v>44424.666666666599</v>
      </c>
      <c r="B662" s="1">
        <f ca="1">IFERROR(__xludf.UNSUPPORTED("""COMPUTED_VALUE"""),158.93)</f>
        <v>158.93</v>
      </c>
      <c r="C662" s="2">
        <f t="shared" ca="1" si="2"/>
        <v>-6.5633204150517752E-3</v>
      </c>
    </row>
    <row r="663" spans="1:3">
      <c r="A663" s="3">
        <f ca="1">IFERROR(__xludf.UNSUPPORTED("""COMPUTED_VALUE"""),44425.6666666666)</f>
        <v>44425.666666666599</v>
      </c>
      <c r="B663" s="1">
        <f ca="1">IFERROR(__xludf.UNSUPPORTED("""COMPUTED_VALUE"""),157.01)</f>
        <v>157.01</v>
      </c>
      <c r="C663" s="2">
        <f t="shared" ca="1" si="2"/>
        <v>-1.2080790285031246E-2</v>
      </c>
    </row>
    <row r="664" spans="1:3">
      <c r="A664" s="3">
        <f ca="1">IFERROR(__xludf.UNSUPPORTED("""COMPUTED_VALUE"""),44426.6666666666)</f>
        <v>44426.666666666599</v>
      </c>
      <c r="B664" s="1">
        <f ca="1">IFERROR(__xludf.UNSUPPORTED("""COMPUTED_VALUE"""),155.58)</f>
        <v>155.58000000000001</v>
      </c>
      <c r="C664" s="2">
        <f t="shared" ca="1" si="2"/>
        <v>-9.1077001464873481E-3</v>
      </c>
    </row>
    <row r="665" spans="1:3">
      <c r="A665" s="3">
        <f ca="1">IFERROR(__xludf.UNSUPPORTED("""COMPUTED_VALUE"""),44427.6666666666)</f>
        <v>44427.666666666599</v>
      </c>
      <c r="B665" s="1">
        <f ca="1">IFERROR(__xludf.UNSUPPORTED("""COMPUTED_VALUE"""),154.28)</f>
        <v>154.28</v>
      </c>
      <c r="C665" s="2">
        <f t="shared" ca="1" si="2"/>
        <v>-8.3558297981746448E-3</v>
      </c>
    </row>
    <row r="666" spans="1:3">
      <c r="A666" s="3">
        <f ca="1">IFERROR(__xludf.UNSUPPORTED("""COMPUTED_VALUE"""),44428.6666666666)</f>
        <v>44428.666666666599</v>
      </c>
      <c r="B666" s="1">
        <f ca="1">IFERROR(__xludf.UNSUPPORTED("""COMPUTED_VALUE"""),154.72)</f>
        <v>154.72</v>
      </c>
      <c r="C666" s="2">
        <f t="shared" ca="1" si="2"/>
        <v>2.8519574799066483E-3</v>
      </c>
    </row>
    <row r="667" spans="1:3">
      <c r="A667" s="3">
        <f ca="1">IFERROR(__xludf.UNSUPPORTED("""COMPUTED_VALUE"""),44431.6666666666)</f>
        <v>44431.666666666599</v>
      </c>
      <c r="B667" s="1">
        <f ca="1">IFERROR(__xludf.UNSUPPORTED("""COMPUTED_VALUE"""),156.7)</f>
        <v>156.69999999999999</v>
      </c>
      <c r="C667" s="2">
        <f t="shared" ca="1" si="2"/>
        <v>1.2797311271975115E-2</v>
      </c>
    </row>
    <row r="668" spans="1:3">
      <c r="A668" s="3">
        <f ca="1">IFERROR(__xludf.UNSUPPORTED("""COMPUTED_VALUE"""),44432.6666666666)</f>
        <v>44432.666666666599</v>
      </c>
      <c r="B668" s="1">
        <f ca="1">IFERROR(__xludf.UNSUPPORTED("""COMPUTED_VALUE"""),157.67)</f>
        <v>157.66999999999999</v>
      </c>
      <c r="C668" s="2">
        <f t="shared" ca="1" si="2"/>
        <v>6.1901723037651492E-3</v>
      </c>
    </row>
    <row r="669" spans="1:3">
      <c r="A669" s="3">
        <f ca="1">IFERROR(__xludf.UNSUPPORTED("""COMPUTED_VALUE"""),44433.6666666666)</f>
        <v>44433.666666666599</v>
      </c>
      <c r="B669" s="1">
        <f ca="1">IFERROR(__xludf.UNSUPPORTED("""COMPUTED_VALUE"""),160.92)</f>
        <v>160.91999999999999</v>
      </c>
      <c r="C669" s="2">
        <f t="shared" ca="1" si="2"/>
        <v>2.0612672036531998E-2</v>
      </c>
    </row>
    <row r="670" spans="1:3">
      <c r="A670" s="3">
        <f ca="1">IFERROR(__xludf.UNSUPPORTED("""COMPUTED_VALUE"""),44434.6666666666)</f>
        <v>44434.666666666599</v>
      </c>
      <c r="B670" s="1">
        <f ca="1">IFERROR(__xludf.UNSUPPORTED("""COMPUTED_VALUE"""),161.75)</f>
        <v>161.75</v>
      </c>
      <c r="C670" s="2">
        <f t="shared" ca="1" si="2"/>
        <v>5.1578424061646316E-3</v>
      </c>
    </row>
    <row r="671" spans="1:3">
      <c r="A671" s="3">
        <f ca="1">IFERROR(__xludf.UNSUPPORTED("""COMPUTED_VALUE"""),44435.6666666666)</f>
        <v>44435.666666666599</v>
      </c>
      <c r="B671" s="1">
        <f ca="1">IFERROR(__xludf.UNSUPPORTED("""COMPUTED_VALUE"""),163.05)</f>
        <v>163.05000000000001</v>
      </c>
      <c r="C671" s="2">
        <f t="shared" ca="1" si="2"/>
        <v>8.0370942812983698E-3</v>
      </c>
    </row>
    <row r="672" spans="1:3">
      <c r="A672" s="3">
        <f ca="1">IFERROR(__xludf.UNSUPPORTED("""COMPUTED_VALUE"""),44438.6666666666)</f>
        <v>44438.666666666599</v>
      </c>
      <c r="B672" s="1">
        <f ca="1">IFERROR(__xludf.UNSUPPORTED("""COMPUTED_VALUE"""),160.44)</f>
        <v>160.44</v>
      </c>
      <c r="C672" s="2">
        <f t="shared" ca="1" si="2"/>
        <v>-1.6007359705611859E-2</v>
      </c>
    </row>
    <row r="673" spans="1:3">
      <c r="A673" s="3">
        <f ca="1">IFERROR(__xludf.UNSUPPORTED("""COMPUTED_VALUE"""),44439.6666666666)</f>
        <v>44439.666666666599</v>
      </c>
      <c r="B673" s="1">
        <f ca="1">IFERROR(__xludf.UNSUPPORTED("""COMPUTED_VALUE"""),159.95)</f>
        <v>159.94999999999999</v>
      </c>
      <c r="C673" s="2">
        <f t="shared" ca="1" si="2"/>
        <v>-3.0541012216405454E-3</v>
      </c>
    </row>
    <row r="674" spans="1:3">
      <c r="A674" s="3">
        <f ca="1">IFERROR(__xludf.UNSUPPORTED("""COMPUTED_VALUE"""),44440.6666666666)</f>
        <v>44440.666666666599</v>
      </c>
      <c r="B674" s="1">
        <f ca="1">IFERROR(__xludf.UNSUPPORTED("""COMPUTED_VALUE"""),159.72)</f>
        <v>159.72</v>
      </c>
      <c r="C674" s="2">
        <f t="shared" ca="1" si="2"/>
        <v>-1.4379493591746783E-3</v>
      </c>
    </row>
    <row r="675" spans="1:3">
      <c r="A675" s="3">
        <f ca="1">IFERROR(__xludf.UNSUPPORTED("""COMPUTED_VALUE"""),44441.6666666666)</f>
        <v>44441.666666666599</v>
      </c>
      <c r="B675" s="1">
        <f ca="1">IFERROR(__xludf.UNSUPPORTED("""COMPUTED_VALUE"""),160.46)</f>
        <v>160.46</v>
      </c>
      <c r="C675" s="2">
        <f t="shared" ca="1" si="2"/>
        <v>4.6331079388931195E-3</v>
      </c>
    </row>
    <row r="676" spans="1:3">
      <c r="A676" s="3">
        <f ca="1">IFERROR(__xludf.UNSUPPORTED("""COMPUTED_VALUE"""),44442.6666666666)</f>
        <v>44442.666666666599</v>
      </c>
      <c r="B676" s="1">
        <f ca="1">IFERROR(__xludf.UNSUPPORTED("""COMPUTED_VALUE"""),159.49)</f>
        <v>159.49</v>
      </c>
      <c r="C676" s="2">
        <f t="shared" ca="1" si="2"/>
        <v>-6.0451202791973E-3</v>
      </c>
    </row>
    <row r="677" spans="1:3">
      <c r="A677" s="3">
        <f ca="1">IFERROR(__xludf.UNSUPPORTED("""COMPUTED_VALUE"""),44446.6666666666)</f>
        <v>44446.666666666599</v>
      </c>
      <c r="B677" s="1">
        <f ca="1">IFERROR(__xludf.UNSUPPORTED("""COMPUTED_VALUE"""),159.21)</f>
        <v>159.21</v>
      </c>
      <c r="C677" s="2">
        <f t="shared" ca="1" si="2"/>
        <v>-1.7555959621292942E-3</v>
      </c>
    </row>
    <row r="678" spans="1:3">
      <c r="A678" s="3">
        <f ca="1">IFERROR(__xludf.UNSUPPORTED("""COMPUTED_VALUE"""),44447.6666666666)</f>
        <v>44447.666666666599</v>
      </c>
      <c r="B678" s="1">
        <f ca="1">IFERROR(__xludf.UNSUPPORTED("""COMPUTED_VALUE"""),158.5)</f>
        <v>158.5</v>
      </c>
      <c r="C678" s="2">
        <f t="shared" ca="1" si="2"/>
        <v>-4.4595188744426103E-3</v>
      </c>
    </row>
    <row r="679" spans="1:3">
      <c r="A679" s="3">
        <f ca="1">IFERROR(__xludf.UNSUPPORTED("""COMPUTED_VALUE"""),44448.6666666666)</f>
        <v>44448.666666666599</v>
      </c>
      <c r="B679" s="1">
        <f ca="1">IFERROR(__xludf.UNSUPPORTED("""COMPUTED_VALUE"""),159.19)</f>
        <v>159.19</v>
      </c>
      <c r="C679" s="2">
        <f t="shared" ca="1" si="2"/>
        <v>4.3533123028391026E-3</v>
      </c>
    </row>
    <row r="680" spans="1:3">
      <c r="A680" s="3">
        <f ca="1">IFERROR(__xludf.UNSUPPORTED("""COMPUTED_VALUE"""),44449.6666666666)</f>
        <v>44449.666666666599</v>
      </c>
      <c r="B680" s="1">
        <f ca="1">IFERROR(__xludf.UNSUPPORTED("""COMPUTED_VALUE"""),157.36)</f>
        <v>157.36000000000001</v>
      </c>
      <c r="C680" s="2">
        <f t="shared" ca="1" si="2"/>
        <v>-1.1495696965889717E-2</v>
      </c>
    </row>
    <row r="681" spans="1:3">
      <c r="A681" s="3">
        <f ca="1">IFERROR(__xludf.UNSUPPORTED("""COMPUTED_VALUE"""),44452.6666666666)</f>
        <v>44452.666666666599</v>
      </c>
      <c r="B681" s="1">
        <f ca="1">IFERROR(__xludf.UNSUPPORTED("""COMPUTED_VALUE"""),159.86)</f>
        <v>159.86000000000001</v>
      </c>
      <c r="C681" s="2">
        <f t="shared" ca="1" si="2"/>
        <v>1.5887137773258769E-2</v>
      </c>
    </row>
    <row r="682" spans="1:3">
      <c r="A682" s="3">
        <f ca="1">IFERROR(__xludf.UNSUPPORTED("""COMPUTED_VALUE"""),44453.6666666666)</f>
        <v>44453.666666666599</v>
      </c>
      <c r="B682" s="1">
        <f ca="1">IFERROR(__xludf.UNSUPPORTED("""COMPUTED_VALUE"""),157.07)</f>
        <v>157.07</v>
      </c>
      <c r="C682" s="2">
        <f t="shared" ca="1" si="2"/>
        <v>-1.7452771174778055E-2</v>
      </c>
    </row>
    <row r="683" spans="1:3">
      <c r="A683" s="3">
        <f ca="1">IFERROR(__xludf.UNSUPPORTED("""COMPUTED_VALUE"""),44454.6666666666)</f>
        <v>44454.666666666599</v>
      </c>
      <c r="B683" s="1">
        <f ca="1">IFERROR(__xludf.UNSUPPORTED("""COMPUTED_VALUE"""),158.16)</f>
        <v>158.16</v>
      </c>
      <c r="C683" s="2">
        <f t="shared" ca="1" si="2"/>
        <v>6.9395810785000539E-3</v>
      </c>
    </row>
    <row r="684" spans="1:3">
      <c r="A684" s="3">
        <f ca="1">IFERROR(__xludf.UNSUPPORTED("""COMPUTED_VALUE"""),44455.6666666666)</f>
        <v>44455.666666666599</v>
      </c>
      <c r="B684" s="1">
        <f ca="1">IFERROR(__xludf.UNSUPPORTED("""COMPUTED_VALUE"""),158.09)</f>
        <v>158.09</v>
      </c>
      <c r="C684" s="2">
        <f t="shared" ca="1" si="2"/>
        <v>-4.4258978249869232E-4</v>
      </c>
    </row>
    <row r="685" spans="1:3">
      <c r="A685" s="3">
        <f ca="1">IFERROR(__xludf.UNSUPPORTED("""COMPUTED_VALUE"""),44456.6666666666)</f>
        <v>44456.666666666599</v>
      </c>
      <c r="B685" s="1">
        <f ca="1">IFERROR(__xludf.UNSUPPORTED("""COMPUTED_VALUE"""),157.68)</f>
        <v>157.68</v>
      </c>
      <c r="C685" s="2">
        <f t="shared" ca="1" si="2"/>
        <v>-2.5934594218482926E-3</v>
      </c>
    </row>
    <row r="686" spans="1:3">
      <c r="A686" s="3">
        <f ca="1">IFERROR(__xludf.UNSUPPORTED("""COMPUTED_VALUE"""),44459.6666666666)</f>
        <v>44459.666666666599</v>
      </c>
      <c r="B686" s="1">
        <f ca="1">IFERROR(__xludf.UNSUPPORTED("""COMPUTED_VALUE"""),152.96)</f>
        <v>152.96</v>
      </c>
      <c r="C686" s="2">
        <f t="shared" ca="1" si="2"/>
        <v>-2.9934043632673761E-2</v>
      </c>
    </row>
    <row r="687" spans="1:3">
      <c r="A687" s="3">
        <f ca="1">IFERROR(__xludf.UNSUPPORTED("""COMPUTED_VALUE"""),44460.6666666666)</f>
        <v>44460.666666666599</v>
      </c>
      <c r="B687" s="1">
        <f ca="1">IFERROR(__xludf.UNSUPPORTED("""COMPUTED_VALUE"""),152.98)</f>
        <v>152.97999999999999</v>
      </c>
      <c r="C687" s="2">
        <f t="shared" ca="1" si="2"/>
        <v>1.3075313807519489E-4</v>
      </c>
    </row>
    <row r="688" spans="1:3">
      <c r="A688" s="3">
        <f ca="1">IFERROR(__xludf.UNSUPPORTED("""COMPUTED_VALUE"""),44461.6666666666)</f>
        <v>44461.666666666599</v>
      </c>
      <c r="B688" s="1">
        <f ca="1">IFERROR(__xludf.UNSUPPORTED("""COMPUTED_VALUE"""),155.91)</f>
        <v>155.91</v>
      </c>
      <c r="C688" s="2">
        <f t="shared" ca="1" si="2"/>
        <v>1.9152830435351074E-2</v>
      </c>
    </row>
    <row r="689" spans="1:3">
      <c r="A689" s="3">
        <f ca="1">IFERROR(__xludf.UNSUPPORTED("""COMPUTED_VALUE"""),44462.6666666666)</f>
        <v>44462.666666666599</v>
      </c>
      <c r="B689" s="1">
        <f ca="1">IFERROR(__xludf.UNSUPPORTED("""COMPUTED_VALUE"""),161.18)</f>
        <v>161.18</v>
      </c>
      <c r="C689" s="2">
        <f t="shared" ca="1" si="2"/>
        <v>3.3801552177538392E-2</v>
      </c>
    </row>
    <row r="690" spans="1:3">
      <c r="A690" s="3">
        <f ca="1">IFERROR(__xludf.UNSUPPORTED("""COMPUTED_VALUE"""),44463.6666666666)</f>
        <v>44463.666666666599</v>
      </c>
      <c r="B690" s="1">
        <f ca="1">IFERROR(__xludf.UNSUPPORTED("""COMPUTED_VALUE"""),163.04)</f>
        <v>163.04</v>
      </c>
      <c r="C690" s="2">
        <f t="shared" ca="1" si="2"/>
        <v>1.1539893287008222E-2</v>
      </c>
    </row>
    <row r="691" spans="1:3">
      <c r="A691" s="3">
        <f ca="1">IFERROR(__xludf.UNSUPPORTED("""COMPUTED_VALUE"""),44466.6666666666)</f>
        <v>44466.666666666599</v>
      </c>
      <c r="B691" s="1">
        <f ca="1">IFERROR(__xludf.UNSUPPORTED("""COMPUTED_VALUE"""),166.98)</f>
        <v>166.98</v>
      </c>
      <c r="C691" s="2">
        <f t="shared" ca="1" si="2"/>
        <v>2.4165848871442578E-2</v>
      </c>
    </row>
    <row r="692" spans="1:3">
      <c r="A692" s="3">
        <f ca="1">IFERROR(__xludf.UNSUPPORTED("""COMPUTED_VALUE"""),44467.6666666666)</f>
        <v>44467.666666666599</v>
      </c>
      <c r="B692" s="1">
        <f ca="1">IFERROR(__xludf.UNSUPPORTED("""COMPUTED_VALUE"""),166.08)</f>
        <v>166.08</v>
      </c>
      <c r="C692" s="2">
        <f t="shared" ca="1" si="2"/>
        <v>-5.3898670499459653E-3</v>
      </c>
    </row>
    <row r="693" spans="1:3">
      <c r="A693" s="3">
        <f ca="1">IFERROR(__xludf.UNSUPPORTED("""COMPUTED_VALUE"""),44468.6666666666)</f>
        <v>44468.666666666599</v>
      </c>
      <c r="B693" s="1">
        <f ca="1">IFERROR(__xludf.UNSUPPORTED("""COMPUTED_VALUE"""),165.95)</f>
        <v>165.95</v>
      </c>
      <c r="C693" s="2">
        <f t="shared" ca="1" si="2"/>
        <v>-7.8275529865139614E-4</v>
      </c>
    </row>
    <row r="694" spans="1:3">
      <c r="A694" s="3">
        <f ca="1">IFERROR(__xludf.UNSUPPORTED("""COMPUTED_VALUE"""),44469.6666666666)</f>
        <v>44469.666666666599</v>
      </c>
      <c r="B694" s="1">
        <f ca="1">IFERROR(__xludf.UNSUPPORTED("""COMPUTED_VALUE"""),163.69)</f>
        <v>163.69</v>
      </c>
      <c r="C694" s="2">
        <f t="shared" ca="1" si="2"/>
        <v>-1.361855980717078E-2</v>
      </c>
    </row>
    <row r="695" spans="1:3">
      <c r="A695" s="3">
        <f ca="1">IFERROR(__xludf.UNSUPPORTED("""COMPUTED_VALUE"""),44470.6666666666)</f>
        <v>44470.666666666599</v>
      </c>
      <c r="B695" s="1">
        <f ca="1">IFERROR(__xludf.UNSUPPORTED("""COMPUTED_VALUE"""),167.13)</f>
        <v>167.13</v>
      </c>
      <c r="C695" s="2">
        <f t="shared" ca="1" si="2"/>
        <v>2.1015333862789407E-2</v>
      </c>
    </row>
    <row r="696" spans="1:3">
      <c r="A696" s="3">
        <f ca="1">IFERROR(__xludf.UNSUPPORTED("""COMPUTED_VALUE"""),44473.6666666666)</f>
        <v>44473.666666666599</v>
      </c>
      <c r="B696" s="1">
        <f ca="1">IFERROR(__xludf.UNSUPPORTED("""COMPUTED_VALUE"""),166.95)</f>
        <v>166.95</v>
      </c>
      <c r="C696" s="2">
        <f t="shared" ca="1" si="2"/>
        <v>-1.0770059235326202E-3</v>
      </c>
    </row>
    <row r="697" spans="1:3">
      <c r="A697" s="3">
        <f ca="1">IFERROR(__xludf.UNSUPPORTED("""COMPUTED_VALUE"""),44474.6666666666)</f>
        <v>44474.666666666599</v>
      </c>
      <c r="B697" s="1">
        <f ca="1">IFERROR(__xludf.UNSUPPORTED("""COMPUTED_VALUE"""),168.66)</f>
        <v>168.66</v>
      </c>
      <c r="C697" s="2">
        <f t="shared" ca="1" si="2"/>
        <v>1.0242587601078216E-2</v>
      </c>
    </row>
    <row r="698" spans="1:3">
      <c r="A698" s="3">
        <f ca="1">IFERROR(__xludf.UNSUPPORTED("""COMPUTED_VALUE"""),44475.6666666666)</f>
        <v>44475.666666666599</v>
      </c>
      <c r="B698" s="1">
        <f ca="1">IFERROR(__xludf.UNSUPPORTED("""COMPUTED_VALUE"""),169.02)</f>
        <v>169.02</v>
      </c>
      <c r="C698" s="2">
        <f t="shared" ca="1" si="2"/>
        <v>2.134471718249814E-3</v>
      </c>
    </row>
    <row r="699" spans="1:3">
      <c r="A699" s="3">
        <f ca="1">IFERROR(__xludf.UNSUPPORTED("""COMPUTED_VALUE"""),44476.6666666666)</f>
        <v>44476.666666666599</v>
      </c>
      <c r="B699" s="1">
        <f ca="1">IFERROR(__xludf.UNSUPPORTED("""COMPUTED_VALUE"""),170.09)</f>
        <v>170.09</v>
      </c>
      <c r="C699" s="2">
        <f t="shared" ca="1" si="2"/>
        <v>6.3306117619216255E-3</v>
      </c>
    </row>
    <row r="700" spans="1:3">
      <c r="A700" s="3">
        <f ca="1">IFERROR(__xludf.UNSUPPORTED("""COMPUTED_VALUE"""),44477.6666666666)</f>
        <v>44477.666666666599</v>
      </c>
      <c r="B700" s="1">
        <f ca="1">IFERROR(__xludf.UNSUPPORTED("""COMPUTED_VALUE"""),170.22)</f>
        <v>170.22</v>
      </c>
      <c r="C700" s="2">
        <f t="shared" ca="1" si="2"/>
        <v>7.6430125227817892E-4</v>
      </c>
    </row>
    <row r="701" spans="1:3">
      <c r="A701" s="3">
        <f ca="1">IFERROR(__xludf.UNSUPPORTED("""COMPUTED_VALUE"""),44480.6666666666)</f>
        <v>44480.666666666599</v>
      </c>
      <c r="B701" s="1">
        <f ca="1">IFERROR(__xludf.UNSUPPORTED("""COMPUTED_VALUE"""),166.64)</f>
        <v>166.64</v>
      </c>
      <c r="C701" s="2">
        <f t="shared" ca="1" si="2"/>
        <v>-2.1031606156738412E-2</v>
      </c>
    </row>
    <row r="702" spans="1:3">
      <c r="A702" s="3">
        <f ca="1">IFERROR(__xludf.UNSUPPORTED("""COMPUTED_VALUE"""),44481.6666666666)</f>
        <v>44481.666666666599</v>
      </c>
      <c r="B702" s="1">
        <f ca="1">IFERROR(__xludf.UNSUPPORTED("""COMPUTED_VALUE"""),165.36)</f>
        <v>165.36</v>
      </c>
      <c r="C702" s="2">
        <f t="shared" ca="1" si="2"/>
        <v>-7.6812289966392989E-3</v>
      </c>
    </row>
    <row r="703" spans="1:3">
      <c r="A703" s="3">
        <f ca="1">IFERROR(__xludf.UNSUPPORTED("""COMPUTED_VALUE"""),44482.6666666666)</f>
        <v>44482.666666666599</v>
      </c>
      <c r="B703" s="1">
        <f ca="1">IFERROR(__xludf.UNSUPPORTED("""COMPUTED_VALUE"""),161)</f>
        <v>161</v>
      </c>
      <c r="C703" s="2">
        <f t="shared" ca="1" si="2"/>
        <v>-2.6366715045960408E-2</v>
      </c>
    </row>
    <row r="704" spans="1:3">
      <c r="A704" s="3">
        <f ca="1">IFERROR(__xludf.UNSUPPORTED("""COMPUTED_VALUE"""),44483.6666666666)</f>
        <v>44483.666666666599</v>
      </c>
      <c r="B704" s="1">
        <f ca="1">IFERROR(__xludf.UNSUPPORTED("""COMPUTED_VALUE"""),163.47)</f>
        <v>163.47</v>
      </c>
      <c r="C704" s="2">
        <f t="shared" ca="1" si="2"/>
        <v>1.5341614906832291E-2</v>
      </c>
    </row>
    <row r="705" spans="1:3">
      <c r="A705" s="3">
        <f ca="1">IFERROR(__xludf.UNSUPPORTED("""COMPUTED_VALUE"""),44484.6666666666)</f>
        <v>44484.666666666599</v>
      </c>
      <c r="B705" s="1">
        <f ca="1">IFERROR(__xludf.UNSUPPORTED("""COMPUTED_VALUE"""),166.61)</f>
        <v>166.61</v>
      </c>
      <c r="C705" s="2">
        <f t="shared" ca="1" si="2"/>
        <v>1.9208417446626384E-2</v>
      </c>
    </row>
    <row r="706" spans="1:3">
      <c r="A706" s="3">
        <f ca="1">IFERROR(__xludf.UNSUPPORTED("""COMPUTED_VALUE"""),44487.6666666666)</f>
        <v>44487.666666666599</v>
      </c>
      <c r="B706" s="1">
        <f ca="1">IFERROR(__xludf.UNSUPPORTED("""COMPUTED_VALUE"""),166.55)</f>
        <v>166.55</v>
      </c>
      <c r="C706" s="2">
        <f t="shared" ca="1" si="2"/>
        <v>-3.6012244163016787E-4</v>
      </c>
    </row>
    <row r="707" spans="1:3">
      <c r="A707" s="3">
        <f ca="1">IFERROR(__xludf.UNSUPPORTED("""COMPUTED_VALUE"""),44488.6666666666)</f>
        <v>44488.666666666599</v>
      </c>
      <c r="B707" s="1">
        <f ca="1">IFERROR(__xludf.UNSUPPORTED("""COMPUTED_VALUE"""),168.57)</f>
        <v>168.57</v>
      </c>
      <c r="C707" s="2">
        <f t="shared" ca="1" si="2"/>
        <v>1.2128489942959963E-2</v>
      </c>
    </row>
    <row r="708" spans="1:3">
      <c r="A708" s="3">
        <f ca="1">IFERROR(__xludf.UNSUPPORTED("""COMPUTED_VALUE"""),44489.6666666666)</f>
        <v>44489.666666666599</v>
      </c>
      <c r="B708" s="1">
        <f ca="1">IFERROR(__xludf.UNSUPPORTED("""COMPUTED_VALUE"""),170.84)</f>
        <v>170.84</v>
      </c>
      <c r="C708" s="2">
        <f t="shared" ca="1" si="2"/>
        <v>1.3466215815388326E-2</v>
      </c>
    </row>
    <row r="709" spans="1:3">
      <c r="A709" s="3">
        <f ca="1">IFERROR(__xludf.UNSUPPORTED("""COMPUTED_VALUE"""),44490.6666666666)</f>
        <v>44490.666666666599</v>
      </c>
      <c r="B709" s="1">
        <f ca="1">IFERROR(__xludf.UNSUPPORTED("""COMPUTED_VALUE"""),169.5)</f>
        <v>169.5</v>
      </c>
      <c r="C709" s="2">
        <f t="shared" ca="1" si="2"/>
        <v>-7.8435963474596318E-3</v>
      </c>
    </row>
    <row r="710" spans="1:3">
      <c r="A710" s="3">
        <f ca="1">IFERROR(__xludf.UNSUPPORTED("""COMPUTED_VALUE"""),44491.6666666666)</f>
        <v>44491.666666666599</v>
      </c>
      <c r="B710" s="1">
        <f ca="1">IFERROR(__xludf.UNSUPPORTED("""COMPUTED_VALUE"""),171.78)</f>
        <v>171.78</v>
      </c>
      <c r="C710" s="2">
        <f t="shared" ca="1" si="2"/>
        <v>1.3451327433628325E-2</v>
      </c>
    </row>
    <row r="711" spans="1:3">
      <c r="A711" s="3">
        <f ca="1">IFERROR(__xludf.UNSUPPORTED("""COMPUTED_VALUE"""),44494.6666666666)</f>
        <v>44494.666666666599</v>
      </c>
      <c r="B711" s="1">
        <f ca="1">IFERROR(__xludf.UNSUPPORTED("""COMPUTED_VALUE"""),170.94)</f>
        <v>170.94</v>
      </c>
      <c r="C711" s="2">
        <f t="shared" ca="1" si="2"/>
        <v>-4.8899755501222693E-3</v>
      </c>
    </row>
    <row r="712" spans="1:3">
      <c r="A712" s="3">
        <f ca="1">IFERROR(__xludf.UNSUPPORTED("""COMPUTED_VALUE"""),44495.6666666666)</f>
        <v>44495.666666666599</v>
      </c>
      <c r="B712" s="1">
        <f ca="1">IFERROR(__xludf.UNSUPPORTED("""COMPUTED_VALUE"""),171.4)</f>
        <v>171.4</v>
      </c>
      <c r="C712" s="2">
        <f t="shared" ca="1" si="2"/>
        <v>2.6910026910027377E-3</v>
      </c>
    </row>
    <row r="713" spans="1:3">
      <c r="A713" s="3">
        <f ca="1">IFERROR(__xludf.UNSUPPORTED("""COMPUTED_VALUE"""),44496.6666666666)</f>
        <v>44496.666666666599</v>
      </c>
      <c r="B713" s="1">
        <f ca="1">IFERROR(__xludf.UNSUPPORTED("""COMPUTED_VALUE"""),167.83)</f>
        <v>167.83</v>
      </c>
      <c r="C713" s="2">
        <f t="shared" ca="1" si="2"/>
        <v>-2.0828471411901944E-2</v>
      </c>
    </row>
    <row r="714" spans="1:3">
      <c r="A714" s="3">
        <f ca="1">IFERROR(__xludf.UNSUPPORTED("""COMPUTED_VALUE"""),44497.6666666666)</f>
        <v>44497.666666666599</v>
      </c>
      <c r="B714" s="1">
        <f ca="1">IFERROR(__xludf.UNSUPPORTED("""COMPUTED_VALUE"""),170.36)</f>
        <v>170.36</v>
      </c>
      <c r="C714" s="2">
        <f t="shared" ca="1" si="2"/>
        <v>1.5074778049216475E-2</v>
      </c>
    </row>
    <row r="715" spans="1:3">
      <c r="A715" s="3">
        <f ca="1">IFERROR(__xludf.UNSUPPORTED("""COMPUTED_VALUE"""),44498.6666666666)</f>
        <v>44498.666666666599</v>
      </c>
      <c r="B715" s="1">
        <f ca="1">IFERROR(__xludf.UNSUPPORTED("""COMPUTED_VALUE"""),169.89)</f>
        <v>169.89</v>
      </c>
      <c r="C715" s="2">
        <f t="shared" ca="1" si="2"/>
        <v>-2.7588635830008645E-3</v>
      </c>
    </row>
    <row r="716" spans="1:3">
      <c r="A716" s="3">
        <f ca="1">IFERROR(__xludf.UNSUPPORTED("""COMPUTED_VALUE"""),44501.6666666666)</f>
        <v>44501.666666666599</v>
      </c>
      <c r="B716" s="1">
        <f ca="1">IFERROR(__xludf.UNSUPPORTED("""COMPUTED_VALUE"""),169.8)</f>
        <v>169.8</v>
      </c>
      <c r="C716" s="2">
        <f t="shared" ca="1" si="2"/>
        <v>-5.2975454705971514E-4</v>
      </c>
    </row>
    <row r="717" spans="1:3">
      <c r="A717" s="3">
        <f ca="1">IFERROR(__xludf.UNSUPPORTED("""COMPUTED_VALUE"""),44502.6666666666)</f>
        <v>44502.666666666599</v>
      </c>
      <c r="B717" s="1">
        <f ca="1">IFERROR(__xludf.UNSUPPORTED("""COMPUTED_VALUE"""),170.47)</f>
        <v>170.47</v>
      </c>
      <c r="C717" s="2">
        <f t="shared" ca="1" si="2"/>
        <v>3.9458186101294906E-3</v>
      </c>
    </row>
    <row r="718" spans="1:3">
      <c r="A718" s="3">
        <f ca="1">IFERROR(__xludf.UNSUPPORTED("""COMPUTED_VALUE"""),44503.6666666666)</f>
        <v>44503.666666666599</v>
      </c>
      <c r="B718" s="1">
        <f ca="1">IFERROR(__xludf.UNSUPPORTED("""COMPUTED_VALUE"""),170.53)</f>
        <v>170.53</v>
      </c>
      <c r="C718" s="2">
        <f t="shared" ca="1" si="2"/>
        <v>3.5196808822668076E-4</v>
      </c>
    </row>
    <row r="719" spans="1:3">
      <c r="A719" s="3">
        <f ca="1">IFERROR(__xludf.UNSUPPORTED("""COMPUTED_VALUE"""),44504.6666666666)</f>
        <v>44504.666666666599</v>
      </c>
      <c r="B719" s="1">
        <f ca="1">IFERROR(__xludf.UNSUPPORTED("""COMPUTED_VALUE"""),168.29)</f>
        <v>168.29</v>
      </c>
      <c r="C719" s="2">
        <f t="shared" ca="1" si="2"/>
        <v>-1.3135518677065671E-2</v>
      </c>
    </row>
    <row r="720" spans="1:3">
      <c r="A720" s="3">
        <f ca="1">IFERROR(__xludf.UNSUPPORTED("""COMPUTED_VALUE"""),44505.6666666666)</f>
        <v>44505.666666666599</v>
      </c>
      <c r="B720" s="1">
        <f ca="1">IFERROR(__xludf.UNSUPPORTED("""COMPUTED_VALUE"""),168.05)</f>
        <v>168.05</v>
      </c>
      <c r="C720" s="2">
        <f t="shared" ca="1" si="2"/>
        <v>-1.4261096916036644E-3</v>
      </c>
    </row>
    <row r="721" spans="1:3">
      <c r="A721" s="3">
        <f ca="1">IFERROR(__xludf.UNSUPPORTED("""COMPUTED_VALUE"""),44508.6666666666)</f>
        <v>44508.666666666599</v>
      </c>
      <c r="B721" s="1">
        <f ca="1">IFERROR(__xludf.UNSUPPORTED("""COMPUTED_VALUE"""),169.06)</f>
        <v>169.06</v>
      </c>
      <c r="C721" s="2">
        <f t="shared" ca="1" si="2"/>
        <v>6.010116036893727E-3</v>
      </c>
    </row>
    <row r="722" spans="1:3">
      <c r="A722" s="3">
        <f ca="1">IFERROR(__xludf.UNSUPPORTED("""COMPUTED_VALUE"""),44509.6666666666)</f>
        <v>44509.666666666599</v>
      </c>
      <c r="B722" s="1">
        <f ca="1">IFERROR(__xludf.UNSUPPORTED("""COMPUTED_VALUE"""),169.06)</f>
        <v>169.06</v>
      </c>
      <c r="C722" s="2">
        <f t="shared" ca="1" si="2"/>
        <v>0</v>
      </c>
    </row>
    <row r="723" spans="1:3">
      <c r="A723" s="3">
        <f ca="1">IFERROR(__xludf.UNSUPPORTED("""COMPUTED_VALUE"""),44510.6666666666)</f>
        <v>44510.666666666599</v>
      </c>
      <c r="B723" s="1">
        <f ca="1">IFERROR(__xludf.UNSUPPORTED("""COMPUTED_VALUE"""),167.62)</f>
        <v>167.62</v>
      </c>
      <c r="C723" s="2">
        <f t="shared" ca="1" si="2"/>
        <v>-8.5176860286288753E-3</v>
      </c>
    </row>
    <row r="724" spans="1:3">
      <c r="A724" s="3">
        <f ca="1">IFERROR(__xludf.UNSUPPORTED("""COMPUTED_VALUE"""),44511.6666666666)</f>
        <v>44511.666666666599</v>
      </c>
      <c r="B724" s="1">
        <f ca="1">IFERROR(__xludf.UNSUPPORTED("""COMPUTED_VALUE"""),167.61)</f>
        <v>167.61</v>
      </c>
      <c r="C724" s="2">
        <f t="shared" ca="1" si="2"/>
        <v>-5.9658751938855179E-5</v>
      </c>
    </row>
    <row r="725" spans="1:3">
      <c r="A725" s="3">
        <f ca="1">IFERROR(__xludf.UNSUPPORTED("""COMPUTED_VALUE"""),44512.6666666666)</f>
        <v>44512.666666666599</v>
      </c>
      <c r="B725" s="1">
        <f ca="1">IFERROR(__xludf.UNSUPPORTED("""COMPUTED_VALUE"""),166.86)</f>
        <v>166.86</v>
      </c>
      <c r="C725" s="2">
        <f t="shared" ca="1" si="2"/>
        <v>-4.4746733488455342E-3</v>
      </c>
    </row>
    <row r="726" spans="1:3">
      <c r="A726" s="3">
        <f ca="1">IFERROR(__xludf.UNSUPPORTED("""COMPUTED_VALUE"""),44515.6666666666)</f>
        <v>44515.666666666599</v>
      </c>
      <c r="B726" s="1">
        <f ca="1">IFERROR(__xludf.UNSUPPORTED("""COMPUTED_VALUE"""),166.56)</f>
        <v>166.56</v>
      </c>
      <c r="C726" s="2">
        <f t="shared" ca="1" si="2"/>
        <v>-1.7979144192737107E-3</v>
      </c>
    </row>
    <row r="727" spans="1:3">
      <c r="A727" s="3">
        <f ca="1">IFERROR(__xludf.UNSUPPORTED("""COMPUTED_VALUE"""),44516.6666666666)</f>
        <v>44516.666666666599</v>
      </c>
      <c r="B727" s="1">
        <f ca="1">IFERROR(__xludf.UNSUPPORTED("""COMPUTED_VALUE"""),165.36)</f>
        <v>165.36</v>
      </c>
      <c r="C727" s="2">
        <f t="shared" ca="1" si="2"/>
        <v>-7.2046109510085768E-3</v>
      </c>
    </row>
    <row r="728" spans="1:3">
      <c r="A728" s="3">
        <f ca="1">IFERROR(__xludf.UNSUPPORTED("""COMPUTED_VALUE"""),44517.6666666666)</f>
        <v>44517.666666666599</v>
      </c>
      <c r="B728" s="1">
        <f ca="1">IFERROR(__xludf.UNSUPPORTED("""COMPUTED_VALUE"""),164.47)</f>
        <v>164.47</v>
      </c>
      <c r="C728" s="2">
        <f t="shared" ca="1" si="2"/>
        <v>-5.3821964199323577E-3</v>
      </c>
    </row>
    <row r="729" spans="1:3">
      <c r="A729" s="3">
        <f ca="1">IFERROR(__xludf.UNSUPPORTED("""COMPUTED_VALUE"""),44518.6666666666)</f>
        <v>44518.666666666599</v>
      </c>
      <c r="B729" s="1">
        <f ca="1">IFERROR(__xludf.UNSUPPORTED("""COMPUTED_VALUE"""),163.05)</f>
        <v>163.05000000000001</v>
      </c>
      <c r="C729" s="2">
        <f t="shared" ca="1" si="2"/>
        <v>-8.6337933969720167E-3</v>
      </c>
    </row>
    <row r="730" spans="1:3">
      <c r="A730" s="3">
        <f ca="1">IFERROR(__xludf.UNSUPPORTED("""COMPUTED_VALUE"""),44519.6666666666)</f>
        <v>44519.666666666599</v>
      </c>
      <c r="B730" s="1">
        <f ca="1">IFERROR(__xludf.UNSUPPORTED("""COMPUTED_VALUE"""),160.92)</f>
        <v>160.91999999999999</v>
      </c>
      <c r="C730" s="2">
        <f t="shared" ca="1" si="2"/>
        <v>-1.306347746090171E-2</v>
      </c>
    </row>
    <row r="731" spans="1:3">
      <c r="A731" s="3">
        <f ca="1">IFERROR(__xludf.UNSUPPORTED("""COMPUTED_VALUE"""),44522.6666666666)</f>
        <v>44522.666666666599</v>
      </c>
      <c r="B731" s="1">
        <f ca="1">IFERROR(__xludf.UNSUPPORTED("""COMPUTED_VALUE"""),164.35)</f>
        <v>164.35</v>
      </c>
      <c r="C731" s="2">
        <f t="shared" ca="1" si="2"/>
        <v>2.1314939100174044E-2</v>
      </c>
    </row>
    <row r="732" spans="1:3">
      <c r="A732" s="3">
        <f ca="1">IFERROR(__xludf.UNSUPPORTED("""COMPUTED_VALUE"""),44523.6666666666)</f>
        <v>44523.666666666599</v>
      </c>
      <c r="B732" s="1">
        <f ca="1">IFERROR(__xludf.UNSUPPORTED("""COMPUTED_VALUE"""),168.28)</f>
        <v>168.28</v>
      </c>
      <c r="C732" s="2">
        <f t="shared" ca="1" si="2"/>
        <v>2.3912382111347774E-2</v>
      </c>
    </row>
    <row r="733" spans="1:3">
      <c r="A733" s="3">
        <f ca="1">IFERROR(__xludf.UNSUPPORTED("""COMPUTED_VALUE"""),44524.6666666666)</f>
        <v>44524.666666666599</v>
      </c>
      <c r="B733" s="1">
        <f ca="1">IFERROR(__xludf.UNSUPPORTED("""COMPUTED_VALUE"""),166.96)</f>
        <v>166.96</v>
      </c>
      <c r="C733" s="2">
        <f t="shared" ca="1" si="2"/>
        <v>-7.8440694081292669E-3</v>
      </c>
    </row>
    <row r="734" spans="1:3">
      <c r="A734" s="3">
        <f ca="1">IFERROR(__xludf.UNSUPPORTED("""COMPUTED_VALUE"""),44526.5416666666)</f>
        <v>44526.541666666599</v>
      </c>
      <c r="B734" s="1">
        <f ca="1">IFERROR(__xludf.UNSUPPORTED("""COMPUTED_VALUE"""),161.93)</f>
        <v>161.93</v>
      </c>
      <c r="C734" s="2">
        <f t="shared" ca="1" si="2"/>
        <v>-3.0126976521322478E-2</v>
      </c>
    </row>
    <row r="735" spans="1:3">
      <c r="A735" s="3">
        <f ca="1">IFERROR(__xludf.UNSUPPORTED("""COMPUTED_VALUE"""),44529.6666666666)</f>
        <v>44529.666666666599</v>
      </c>
      <c r="B735" s="1">
        <f ca="1">IFERROR(__xludf.UNSUPPORTED("""COMPUTED_VALUE"""),161.23)</f>
        <v>161.22999999999999</v>
      </c>
      <c r="C735" s="2">
        <f t="shared" ca="1" si="2"/>
        <v>-4.3228555548694928E-3</v>
      </c>
    </row>
    <row r="736" spans="1:3">
      <c r="A736" s="3">
        <f ca="1">IFERROR(__xludf.UNSUPPORTED("""COMPUTED_VALUE"""),44530.6666666666)</f>
        <v>44530.666666666599</v>
      </c>
      <c r="B736" s="1">
        <f ca="1">IFERROR(__xludf.UNSUPPORTED("""COMPUTED_VALUE"""),158.83)</f>
        <v>158.83000000000001</v>
      </c>
      <c r="C736" s="2">
        <f t="shared" ca="1" si="2"/>
        <v>-1.4885567202133458E-2</v>
      </c>
    </row>
    <row r="737" spans="1:3">
      <c r="A737" s="3">
        <f ca="1">IFERROR(__xludf.UNSUPPORTED("""COMPUTED_VALUE"""),44531.6666666666)</f>
        <v>44531.666666666599</v>
      </c>
      <c r="B737" s="1">
        <f ca="1">IFERROR(__xludf.UNSUPPORTED("""COMPUTED_VALUE"""),157.89)</f>
        <v>157.88999999999999</v>
      </c>
      <c r="C737" s="2">
        <f t="shared" ca="1" si="2"/>
        <v>-5.9182774035133542E-3</v>
      </c>
    </row>
    <row r="738" spans="1:3">
      <c r="A738" s="3">
        <f ca="1">IFERROR(__xludf.UNSUPPORTED("""COMPUTED_VALUE"""),44532.6666666666)</f>
        <v>44532.666666666599</v>
      </c>
      <c r="B738" s="1">
        <f ca="1">IFERROR(__xludf.UNSUPPORTED("""COMPUTED_VALUE"""),161.21)</f>
        <v>161.21</v>
      </c>
      <c r="C738" s="2">
        <f t="shared" ca="1" si="2"/>
        <v>2.1027297485591373E-2</v>
      </c>
    </row>
    <row r="739" spans="1:3">
      <c r="A739" s="3">
        <f ca="1">IFERROR(__xludf.UNSUPPORTED("""COMPUTED_VALUE"""),44533.6666666666)</f>
        <v>44533.666666666599</v>
      </c>
      <c r="B739" s="1">
        <f ca="1">IFERROR(__xludf.UNSUPPORTED("""COMPUTED_VALUE"""),158.29)</f>
        <v>158.29</v>
      </c>
      <c r="C739" s="2">
        <f t="shared" ca="1" si="2"/>
        <v>-1.811302028410158E-2</v>
      </c>
    </row>
    <row r="740" spans="1:3">
      <c r="A740" s="3">
        <f ca="1">IFERROR(__xludf.UNSUPPORTED("""COMPUTED_VALUE"""),44536.6666666666)</f>
        <v>44536.666666666599</v>
      </c>
      <c r="B740" s="1">
        <f ca="1">IFERROR(__xludf.UNSUPPORTED("""COMPUTED_VALUE"""),160.16)</f>
        <v>160.16</v>
      </c>
      <c r="C740" s="2">
        <f t="shared" ca="1" si="2"/>
        <v>1.1813759555246729E-2</v>
      </c>
    </row>
    <row r="741" spans="1:3">
      <c r="A741" s="3">
        <f ca="1">IFERROR(__xludf.UNSUPPORTED("""COMPUTED_VALUE"""),44537.6666666666)</f>
        <v>44537.666666666599</v>
      </c>
      <c r="B741" s="1">
        <f ca="1">IFERROR(__xludf.UNSUPPORTED("""COMPUTED_VALUE"""),162.57)</f>
        <v>162.57</v>
      </c>
      <c r="C741" s="2">
        <f t="shared" ca="1" si="2"/>
        <v>1.5047452547452527E-2</v>
      </c>
    </row>
    <row r="742" spans="1:3">
      <c r="A742" s="3">
        <f ca="1">IFERROR(__xludf.UNSUPPORTED("""COMPUTED_VALUE"""),44538.6666666666)</f>
        <v>44538.666666666599</v>
      </c>
      <c r="B742" s="1">
        <f ca="1">IFERROR(__xludf.UNSUPPORTED("""COMPUTED_VALUE"""),160.71)</f>
        <v>160.71</v>
      </c>
      <c r="C742" s="2">
        <f t="shared" ca="1" si="2"/>
        <v>-1.1441225318324323E-2</v>
      </c>
    </row>
    <row r="743" spans="1:3">
      <c r="A743" s="3">
        <f ca="1">IFERROR(__xludf.UNSUPPORTED("""COMPUTED_VALUE"""),44539.6666666666)</f>
        <v>44539.666666666599</v>
      </c>
      <c r="B743" s="1">
        <f ca="1">IFERROR(__xludf.UNSUPPORTED("""COMPUTED_VALUE"""),160.46)</f>
        <v>160.46</v>
      </c>
      <c r="C743" s="2">
        <f t="shared" ca="1" si="2"/>
        <v>-1.5555970381432394E-3</v>
      </c>
    </row>
    <row r="744" spans="1:3">
      <c r="A744" s="3">
        <f ca="1">IFERROR(__xludf.UNSUPPORTED("""COMPUTED_VALUE"""),44540.6666666666)</f>
        <v>44540.666666666599</v>
      </c>
      <c r="B744" s="1">
        <f ca="1">IFERROR(__xludf.UNSUPPORTED("""COMPUTED_VALUE"""),159.82)</f>
        <v>159.82</v>
      </c>
      <c r="C744" s="2">
        <f t="shared" ca="1" si="2"/>
        <v>-3.9885329677179036E-3</v>
      </c>
    </row>
    <row r="745" spans="1:3">
      <c r="A745" s="3">
        <f ca="1">IFERROR(__xludf.UNSUPPORTED("""COMPUTED_VALUE"""),44543.6666666666)</f>
        <v>44543.666666666599</v>
      </c>
      <c r="B745" s="1">
        <f ca="1">IFERROR(__xludf.UNSUPPORTED("""COMPUTED_VALUE"""),157.92)</f>
        <v>157.91999999999999</v>
      </c>
      <c r="C745" s="2">
        <f t="shared" ca="1" si="2"/>
        <v>-1.1888374421223914E-2</v>
      </c>
    </row>
    <row r="746" spans="1:3">
      <c r="A746" s="3">
        <f ca="1">IFERROR(__xludf.UNSUPPORTED("""COMPUTED_VALUE"""),44544.6666666666)</f>
        <v>44544.666666666599</v>
      </c>
      <c r="B746" s="1">
        <f ca="1">IFERROR(__xludf.UNSUPPORTED("""COMPUTED_VALUE"""),159.13)</f>
        <v>159.13</v>
      </c>
      <c r="C746" s="2">
        <f t="shared" ca="1" si="2"/>
        <v>7.6621073961500004E-3</v>
      </c>
    </row>
    <row r="747" spans="1:3">
      <c r="A747" s="3">
        <f ca="1">IFERROR(__xludf.UNSUPPORTED("""COMPUTED_VALUE"""),44545.6666666666)</f>
        <v>44545.666666666599</v>
      </c>
      <c r="B747" s="1">
        <f ca="1">IFERROR(__xludf.UNSUPPORTED("""COMPUTED_VALUE"""),157.94)</f>
        <v>157.94</v>
      </c>
      <c r="C747" s="2">
        <f t="shared" ca="1" si="2"/>
        <v>-7.4781625086407198E-3</v>
      </c>
    </row>
    <row r="748" spans="1:3">
      <c r="A748" s="3">
        <f ca="1">IFERROR(__xludf.UNSUPPORTED("""COMPUTED_VALUE"""),44546.6666666666)</f>
        <v>44546.666666666599</v>
      </c>
      <c r="B748" s="1">
        <f ca="1">IFERROR(__xludf.UNSUPPORTED("""COMPUTED_VALUE"""),160.41)</f>
        <v>160.41</v>
      </c>
      <c r="C748" s="2">
        <f t="shared" ca="1" si="2"/>
        <v>1.563885019627706E-2</v>
      </c>
    </row>
    <row r="749" spans="1:3">
      <c r="A749" s="3">
        <f ca="1">IFERROR(__xludf.UNSUPPORTED("""COMPUTED_VALUE"""),44547.6666666666)</f>
        <v>44547.666666666599</v>
      </c>
      <c r="B749" s="1">
        <f ca="1">IFERROR(__xludf.UNSUPPORTED("""COMPUTED_VALUE"""),156.76)</f>
        <v>156.76</v>
      </c>
      <c r="C749" s="2">
        <f t="shared" ca="1" si="2"/>
        <v>-2.2754192382021105E-2</v>
      </c>
    </row>
    <row r="750" spans="1:3">
      <c r="A750" s="3">
        <f ca="1">IFERROR(__xludf.UNSUPPORTED("""COMPUTED_VALUE"""),44550.6666666666)</f>
        <v>44550.666666666599</v>
      </c>
      <c r="B750" s="1">
        <f ca="1">IFERROR(__xludf.UNSUPPORTED("""COMPUTED_VALUE"""),153.94)</f>
        <v>153.94</v>
      </c>
      <c r="C750" s="2">
        <f t="shared" ca="1" si="2"/>
        <v>-1.7989282980352087E-2</v>
      </c>
    </row>
    <row r="751" spans="1:3">
      <c r="A751" s="3">
        <f ca="1">IFERROR(__xludf.UNSUPPORTED("""COMPUTED_VALUE"""),44551.6666666666)</f>
        <v>44551.666666666599</v>
      </c>
      <c r="B751" s="1">
        <f ca="1">IFERROR(__xludf.UNSUPPORTED("""COMPUTED_VALUE"""),156.09)</f>
        <v>156.09</v>
      </c>
      <c r="C751" s="2">
        <f t="shared" ca="1" si="2"/>
        <v>1.3966480446927412E-2</v>
      </c>
    </row>
    <row r="752" spans="1:3">
      <c r="A752" s="3">
        <f ca="1">IFERROR(__xludf.UNSUPPORTED("""COMPUTED_VALUE"""),44552.6666666666)</f>
        <v>44552.666666666599</v>
      </c>
      <c r="B752" s="1">
        <f ca="1">IFERROR(__xludf.UNSUPPORTED("""COMPUTED_VALUE"""),156.7)</f>
        <v>156.69999999999999</v>
      </c>
      <c r="C752" s="2">
        <f t="shared" ca="1" si="2"/>
        <v>3.9080017938367944E-3</v>
      </c>
    </row>
    <row r="753" spans="1:3">
      <c r="A753" s="3">
        <f ca="1">IFERROR(__xludf.UNSUPPORTED("""COMPUTED_VALUE"""),44553.6666666666)</f>
        <v>44553.666666666599</v>
      </c>
      <c r="B753" s="1">
        <f ca="1">IFERROR(__xludf.UNSUPPORTED("""COMPUTED_VALUE"""),157.26)</f>
        <v>157.26</v>
      </c>
      <c r="C753" s="2">
        <f t="shared" ca="1" si="2"/>
        <v>3.5737077217613423E-3</v>
      </c>
    </row>
    <row r="754" spans="1:3">
      <c r="A754" s="3">
        <f ca="1">IFERROR(__xludf.UNSUPPORTED("""COMPUTED_VALUE"""),44557.6666666666)</f>
        <v>44557.666666666599</v>
      </c>
      <c r="B754" s="1">
        <f ca="1">IFERROR(__xludf.UNSUPPORTED("""COMPUTED_VALUE"""),158.16)</f>
        <v>158.16</v>
      </c>
      <c r="C754" s="2">
        <f t="shared" ca="1" si="2"/>
        <v>5.7230064860740544E-3</v>
      </c>
    </row>
    <row r="755" spans="1:3">
      <c r="A755" s="3">
        <f ca="1">IFERROR(__xludf.UNSUPPORTED("""COMPUTED_VALUE"""),44558.6666666666)</f>
        <v>44558.666666666599</v>
      </c>
      <c r="B755" s="1">
        <f ca="1">IFERROR(__xludf.UNSUPPORTED("""COMPUTED_VALUE"""),158.64)</f>
        <v>158.63999999999999</v>
      </c>
      <c r="C755" s="2">
        <f t="shared" ca="1" si="2"/>
        <v>3.03490136570555E-3</v>
      </c>
    </row>
    <row r="756" spans="1:3">
      <c r="A756" s="3">
        <f ca="1">IFERROR(__xludf.UNSUPPORTED("""COMPUTED_VALUE"""),44559.6666666666)</f>
        <v>44559.666666666599</v>
      </c>
      <c r="B756" s="1">
        <f ca="1">IFERROR(__xludf.UNSUPPORTED("""COMPUTED_VALUE"""),158.56)</f>
        <v>158.56</v>
      </c>
      <c r="C756" s="2">
        <f t="shared" ca="1" si="2"/>
        <v>-5.0428643469480647E-4</v>
      </c>
    </row>
    <row r="757" spans="1:3">
      <c r="A757" s="3">
        <f ca="1">IFERROR(__xludf.UNSUPPORTED("""COMPUTED_VALUE"""),44560.6666666666)</f>
        <v>44560.666666666599</v>
      </c>
      <c r="B757" s="1">
        <f ca="1">IFERROR(__xludf.UNSUPPORTED("""COMPUTED_VALUE"""),158.48)</f>
        <v>158.47999999999999</v>
      </c>
      <c r="C757" s="2">
        <f t="shared" ca="1" si="2"/>
        <v>-5.0454086781037146E-4</v>
      </c>
    </row>
    <row r="758" spans="1:3">
      <c r="A758" s="3">
        <f ca="1">IFERROR(__xludf.UNSUPPORTED("""COMPUTED_VALUE"""),44561.6666666666)</f>
        <v>44561.666666666599</v>
      </c>
      <c r="B758" s="1">
        <f ca="1">IFERROR(__xludf.UNSUPPORTED("""COMPUTED_VALUE"""),158.35)</f>
        <v>158.35</v>
      </c>
      <c r="C758" s="2">
        <f t="shared" ca="1" si="2"/>
        <v>-8.2029278142349484E-4</v>
      </c>
    </row>
    <row r="759" spans="1:3">
      <c r="A759" s="3">
        <f ca="1">IFERROR(__xludf.UNSUPPORTED("""COMPUTED_VALUE"""),44564.6666666666)</f>
        <v>44564.666666666599</v>
      </c>
      <c r="B759" s="1">
        <f ca="1">IFERROR(__xludf.UNSUPPORTED("""COMPUTED_VALUE"""),161.7)</f>
        <v>161.69999999999999</v>
      </c>
      <c r="C759" s="2">
        <f t="shared" ca="1" si="2"/>
        <v>2.1155667824439499E-2</v>
      </c>
    </row>
    <row r="760" spans="1:3">
      <c r="A760" s="3">
        <f ca="1">IFERROR(__xludf.UNSUPPORTED("""COMPUTED_VALUE"""),44565.6666666666)</f>
        <v>44565.666666666599</v>
      </c>
      <c r="B760" s="1">
        <f ca="1">IFERROR(__xludf.UNSUPPORTED("""COMPUTED_VALUE"""),167.83)</f>
        <v>167.83</v>
      </c>
      <c r="C760" s="2">
        <f t="shared" ca="1" si="2"/>
        <v>3.7909709338280917E-2</v>
      </c>
    </row>
    <row r="761" spans="1:3">
      <c r="A761" s="3">
        <f ca="1">IFERROR(__xludf.UNSUPPORTED("""COMPUTED_VALUE"""),44566.6666666666)</f>
        <v>44566.666666666599</v>
      </c>
      <c r="B761" s="1">
        <f ca="1">IFERROR(__xludf.UNSUPPORTED("""COMPUTED_VALUE"""),163.78)</f>
        <v>163.78</v>
      </c>
      <c r="C761" s="2">
        <f t="shared" ca="1" si="2"/>
        <v>-2.4131561699338683E-2</v>
      </c>
    </row>
    <row r="762" spans="1:3">
      <c r="A762" s="3">
        <f ca="1">IFERROR(__xludf.UNSUPPORTED("""COMPUTED_VALUE"""),44567.6666666666)</f>
        <v>44567.666666666599</v>
      </c>
      <c r="B762" s="1">
        <f ca="1">IFERROR(__xludf.UNSUPPORTED("""COMPUTED_VALUE"""),165.52)</f>
        <v>165.52</v>
      </c>
      <c r="C762" s="2">
        <f t="shared" ca="1" si="2"/>
        <v>1.0624007815362126E-2</v>
      </c>
    </row>
    <row r="763" spans="1:3">
      <c r="A763" s="3">
        <f ca="1">IFERROR(__xludf.UNSUPPORTED("""COMPUTED_VALUE"""),44568.6666666666)</f>
        <v>44568.666666666599</v>
      </c>
      <c r="B763" s="1">
        <f ca="1">IFERROR(__xludf.UNSUPPORTED("""COMPUTED_VALUE"""),167.16)</f>
        <v>167.16</v>
      </c>
      <c r="C763" s="2">
        <f t="shared" ca="1" si="2"/>
        <v>9.9081681971966307E-3</v>
      </c>
    </row>
    <row r="764" spans="1:3">
      <c r="A764" s="3">
        <f ca="1">IFERROR(__xludf.UNSUPPORTED("""COMPUTED_VALUE"""),44571.6666666666)</f>
        <v>44571.666666666599</v>
      </c>
      <c r="B764" s="1">
        <f ca="1">IFERROR(__xludf.UNSUPPORTED("""COMPUTED_VALUE"""),167.32)</f>
        <v>167.32</v>
      </c>
      <c r="C764" s="2">
        <f t="shared" ca="1" si="2"/>
        <v>9.5716678631249457E-4</v>
      </c>
    </row>
    <row r="765" spans="1:3">
      <c r="A765" s="3">
        <f ca="1">IFERROR(__xludf.UNSUPPORTED("""COMPUTED_VALUE"""),44572.6666666666)</f>
        <v>44572.666666666599</v>
      </c>
      <c r="B765" s="1">
        <f ca="1">IFERROR(__xludf.UNSUPPORTED("""COMPUTED_VALUE"""),167.49)</f>
        <v>167.49</v>
      </c>
      <c r="C765" s="2">
        <f t="shared" ca="1" si="2"/>
        <v>1.0160172125269896E-3</v>
      </c>
    </row>
    <row r="766" spans="1:3">
      <c r="A766" s="3">
        <f ca="1">IFERROR(__xludf.UNSUPPORTED("""COMPUTED_VALUE"""),44573.6666666666)</f>
        <v>44573.666666666599</v>
      </c>
      <c r="B766" s="1">
        <f ca="1">IFERROR(__xludf.UNSUPPORTED("""COMPUTED_VALUE"""),168.44)</f>
        <v>168.44</v>
      </c>
      <c r="C766" s="2">
        <f t="shared" ca="1" si="2"/>
        <v>5.6719804167412301E-3</v>
      </c>
    </row>
    <row r="767" spans="1:3">
      <c r="A767" s="3">
        <f ca="1">IFERROR(__xludf.UNSUPPORTED("""COMPUTED_VALUE"""),44574.6666666666)</f>
        <v>44574.666666666599</v>
      </c>
      <c r="B767" s="1">
        <f ca="1">IFERROR(__xludf.UNSUPPORTED("""COMPUTED_VALUE"""),168.23)</f>
        <v>168.23</v>
      </c>
      <c r="C767" s="2">
        <f t="shared" ca="1" si="2"/>
        <v>-1.2467347423415339E-3</v>
      </c>
    </row>
    <row r="768" spans="1:3">
      <c r="A768" s="3">
        <f ca="1">IFERROR(__xludf.UNSUPPORTED("""COMPUTED_VALUE"""),44575.6666666666)</f>
        <v>44575.666666666599</v>
      </c>
      <c r="B768" s="1">
        <f ca="1">IFERROR(__xludf.UNSUPPORTED("""COMPUTED_VALUE"""),157.89)</f>
        <v>157.88999999999999</v>
      </c>
      <c r="C768" s="2">
        <f t="shared" ref="C768:C1022" ca="1" si="3">(B768-B767)/B767</f>
        <v>-6.1463472626761009E-2</v>
      </c>
    </row>
    <row r="769" spans="1:3">
      <c r="A769" s="3">
        <f ca="1">IFERROR(__xludf.UNSUPPORTED("""COMPUTED_VALUE"""),44579.6666666666)</f>
        <v>44579.666666666599</v>
      </c>
      <c r="B769" s="1">
        <f ca="1">IFERROR(__xludf.UNSUPPORTED("""COMPUTED_VALUE"""),151.27)</f>
        <v>151.27000000000001</v>
      </c>
      <c r="C769" s="2">
        <f t="shared" ca="1" si="3"/>
        <v>-4.1927924504401651E-2</v>
      </c>
    </row>
    <row r="770" spans="1:3">
      <c r="A770" s="3">
        <f ca="1">IFERROR(__xludf.UNSUPPORTED("""COMPUTED_VALUE"""),44580.6666666666)</f>
        <v>44580.666666666599</v>
      </c>
      <c r="B770" s="1">
        <f ca="1">IFERROR(__xludf.UNSUPPORTED("""COMPUTED_VALUE"""),148.93)</f>
        <v>148.93</v>
      </c>
      <c r="C770" s="2">
        <f t="shared" ca="1" si="3"/>
        <v>-1.5469028888742006E-2</v>
      </c>
    </row>
    <row r="771" spans="1:3">
      <c r="A771" s="3">
        <f ca="1">IFERROR(__xludf.UNSUPPORTED("""COMPUTED_VALUE"""),44581.6666666666)</f>
        <v>44581.666666666599</v>
      </c>
      <c r="B771" s="1">
        <f ca="1">IFERROR(__xludf.UNSUPPORTED("""COMPUTED_VALUE"""),147.66)</f>
        <v>147.66</v>
      </c>
      <c r="C771" s="2">
        <f t="shared" ca="1" si="3"/>
        <v>-8.5274961391258314E-3</v>
      </c>
    </row>
    <row r="772" spans="1:3">
      <c r="A772" s="3">
        <f ca="1">IFERROR(__xludf.UNSUPPORTED("""COMPUTED_VALUE"""),44582.6666666666)</f>
        <v>44582.666666666599</v>
      </c>
      <c r="B772" s="1">
        <f ca="1">IFERROR(__xludf.UNSUPPORTED("""COMPUTED_VALUE"""),145.08)</f>
        <v>145.08000000000001</v>
      </c>
      <c r="C772" s="2">
        <f t="shared" ca="1" si="3"/>
        <v>-1.7472572125152269E-2</v>
      </c>
    </row>
    <row r="773" spans="1:3">
      <c r="A773" s="3">
        <f ca="1">IFERROR(__xludf.UNSUPPORTED("""COMPUTED_VALUE"""),44585.6666666666)</f>
        <v>44585.666666666599</v>
      </c>
      <c r="B773" s="1">
        <f ca="1">IFERROR(__xludf.UNSUPPORTED("""COMPUTED_VALUE"""),144.95)</f>
        <v>144.94999999999999</v>
      </c>
      <c r="C773" s="2">
        <f t="shared" ca="1" si="3"/>
        <v>-8.9605734767041537E-4</v>
      </c>
    </row>
    <row r="774" spans="1:3">
      <c r="A774" s="3">
        <f ca="1">IFERROR(__xludf.UNSUPPORTED("""COMPUTED_VALUE"""),44586.6666666666)</f>
        <v>44586.666666666599</v>
      </c>
      <c r="B774" s="1">
        <f ca="1">IFERROR(__xludf.UNSUPPORTED("""COMPUTED_VALUE"""),146.53)</f>
        <v>146.53</v>
      </c>
      <c r="C774" s="2">
        <f t="shared" ca="1" si="3"/>
        <v>1.0900310451880045E-2</v>
      </c>
    </row>
    <row r="775" spans="1:3">
      <c r="A775" s="3">
        <f ca="1">IFERROR(__xludf.UNSUPPORTED("""COMPUTED_VALUE"""),44587.6666666666)</f>
        <v>44587.666666666599</v>
      </c>
      <c r="B775" s="1">
        <f ca="1">IFERROR(__xludf.UNSUPPORTED("""COMPUTED_VALUE"""),147.92)</f>
        <v>147.91999999999999</v>
      </c>
      <c r="C775" s="2">
        <f t="shared" ca="1" si="3"/>
        <v>9.486112058963941E-3</v>
      </c>
    </row>
    <row r="776" spans="1:3">
      <c r="A776" s="3">
        <f ca="1">IFERROR(__xludf.UNSUPPORTED("""COMPUTED_VALUE"""),44588.6666666666)</f>
        <v>44588.666666666599</v>
      </c>
      <c r="B776" s="1">
        <f ca="1">IFERROR(__xludf.UNSUPPORTED("""COMPUTED_VALUE"""),145.31)</f>
        <v>145.31</v>
      </c>
      <c r="C776" s="2">
        <f t="shared" ca="1" si="3"/>
        <v>-1.7644672796105904E-2</v>
      </c>
    </row>
    <row r="777" spans="1:3">
      <c r="A777" s="3">
        <f ca="1">IFERROR(__xludf.UNSUPPORTED("""COMPUTED_VALUE"""),44589.6666666666)</f>
        <v>44589.666666666599</v>
      </c>
      <c r="B777" s="1">
        <f ca="1">IFERROR(__xludf.UNSUPPORTED("""COMPUTED_VALUE"""),146.61)</f>
        <v>146.61000000000001</v>
      </c>
      <c r="C777" s="2">
        <f t="shared" ca="1" si="3"/>
        <v>8.946390475535141E-3</v>
      </c>
    </row>
    <row r="778" spans="1:3">
      <c r="A778" s="3">
        <f ca="1">IFERROR(__xludf.UNSUPPORTED("""COMPUTED_VALUE"""),44592.6666666666)</f>
        <v>44592.666666666599</v>
      </c>
      <c r="B778" s="1">
        <f ca="1">IFERROR(__xludf.UNSUPPORTED("""COMPUTED_VALUE"""),148.6)</f>
        <v>148.6</v>
      </c>
      <c r="C778" s="2">
        <f t="shared" ca="1" si="3"/>
        <v>1.357342609644622E-2</v>
      </c>
    </row>
    <row r="779" spans="1:3">
      <c r="A779" s="3">
        <f ca="1">IFERROR(__xludf.UNSUPPORTED("""COMPUTED_VALUE"""),44593.6666666666)</f>
        <v>44593.666666666599</v>
      </c>
      <c r="B779" s="1">
        <f ca="1">IFERROR(__xludf.UNSUPPORTED("""COMPUTED_VALUE"""),151.15)</f>
        <v>151.15</v>
      </c>
      <c r="C779" s="2">
        <f t="shared" ca="1" si="3"/>
        <v>1.7160161507402499E-2</v>
      </c>
    </row>
    <row r="780" spans="1:3">
      <c r="A780" s="3">
        <f ca="1">IFERROR(__xludf.UNSUPPORTED("""COMPUTED_VALUE"""),44594.6666666666)</f>
        <v>44594.666666666599</v>
      </c>
      <c r="B780" s="1">
        <f ca="1">IFERROR(__xludf.UNSUPPORTED("""COMPUTED_VALUE"""),149.94)</f>
        <v>149.94</v>
      </c>
      <c r="C780" s="2">
        <f t="shared" ca="1" si="3"/>
        <v>-8.0052927555409065E-3</v>
      </c>
    </row>
    <row r="781" spans="1:3">
      <c r="A781" s="3">
        <f ca="1">IFERROR(__xludf.UNSUPPORTED("""COMPUTED_VALUE"""),44595.6666666666)</f>
        <v>44595.666666666599</v>
      </c>
      <c r="B781" s="1">
        <f ca="1">IFERROR(__xludf.UNSUPPORTED("""COMPUTED_VALUE"""),148.7)</f>
        <v>148.69999999999999</v>
      </c>
      <c r="C781" s="2">
        <f t="shared" ca="1" si="3"/>
        <v>-8.269974656529339E-3</v>
      </c>
    </row>
    <row r="782" spans="1:3">
      <c r="A782" s="3">
        <f ca="1">IFERROR(__xludf.UNSUPPORTED("""COMPUTED_VALUE"""),44596.6666666666)</f>
        <v>44596.666666666599</v>
      </c>
      <c r="B782" s="1">
        <f ca="1">IFERROR(__xludf.UNSUPPORTED("""COMPUTED_VALUE"""),152.56)</f>
        <v>152.56</v>
      </c>
      <c r="C782" s="2">
        <f t="shared" ca="1" si="3"/>
        <v>2.5958305312710248E-2</v>
      </c>
    </row>
    <row r="783" spans="1:3">
      <c r="A783" s="3">
        <f ca="1">IFERROR(__xludf.UNSUPPORTED("""COMPUTED_VALUE"""),44599.6666666666)</f>
        <v>44599.666666666599</v>
      </c>
      <c r="B783" s="1">
        <f ca="1">IFERROR(__xludf.UNSUPPORTED("""COMPUTED_VALUE"""),153.07)</f>
        <v>153.07</v>
      </c>
      <c r="C783" s="2">
        <f t="shared" ca="1" si="3"/>
        <v>3.3429470372311936E-3</v>
      </c>
    </row>
    <row r="784" spans="1:3">
      <c r="A784" s="3">
        <f ca="1">IFERROR(__xludf.UNSUPPORTED("""COMPUTED_VALUE"""),44600.6666666666)</f>
        <v>44600.666666666599</v>
      </c>
      <c r="B784" s="1">
        <f ca="1">IFERROR(__xludf.UNSUPPORTED("""COMPUTED_VALUE"""),155.95)</f>
        <v>155.94999999999999</v>
      </c>
      <c r="C784" s="2">
        <f t="shared" ca="1" si="3"/>
        <v>1.8814921277846709E-2</v>
      </c>
    </row>
    <row r="785" spans="1:3">
      <c r="A785" s="3">
        <f ca="1">IFERROR(__xludf.UNSUPPORTED("""COMPUTED_VALUE"""),44601.6666666666)</f>
        <v>44601.666666666599</v>
      </c>
      <c r="B785" s="1">
        <f ca="1">IFERROR(__xludf.UNSUPPORTED("""COMPUTED_VALUE"""),156.6)</f>
        <v>156.6</v>
      </c>
      <c r="C785" s="2">
        <f t="shared" ca="1" si="3"/>
        <v>4.1680025649246917E-3</v>
      </c>
    </row>
    <row r="786" spans="1:3">
      <c r="A786" s="3">
        <f ca="1">IFERROR(__xludf.UNSUPPORTED("""COMPUTED_VALUE"""),44602.6666666666)</f>
        <v>44602.666666666599</v>
      </c>
      <c r="B786" s="1">
        <f ca="1">IFERROR(__xludf.UNSUPPORTED("""COMPUTED_VALUE"""),155.95)</f>
        <v>155.94999999999999</v>
      </c>
      <c r="C786" s="2">
        <f t="shared" ca="1" si="3"/>
        <v>-4.150702426564532E-3</v>
      </c>
    </row>
    <row r="787" spans="1:3">
      <c r="A787" s="3">
        <f ca="1">IFERROR(__xludf.UNSUPPORTED("""COMPUTED_VALUE"""),44603.6666666666)</f>
        <v>44603.666666666599</v>
      </c>
      <c r="B787" s="1">
        <f ca="1">IFERROR(__xludf.UNSUPPORTED("""COMPUTED_VALUE"""),153.92)</f>
        <v>153.91999999999999</v>
      </c>
      <c r="C787" s="2">
        <f t="shared" ca="1" si="3"/>
        <v>-1.3016992625841625E-2</v>
      </c>
    </row>
    <row r="788" spans="1:3">
      <c r="A788" s="3">
        <f ca="1">IFERROR(__xludf.UNSUPPORTED("""COMPUTED_VALUE"""),44606.6666666666)</f>
        <v>44606.666666666599</v>
      </c>
      <c r="B788" s="1">
        <f ca="1">IFERROR(__xludf.UNSUPPORTED("""COMPUTED_VALUE"""),152.49)</f>
        <v>152.49</v>
      </c>
      <c r="C788" s="2">
        <f t="shared" ca="1" si="3"/>
        <v>-9.2905405405404005E-3</v>
      </c>
    </row>
    <row r="789" spans="1:3">
      <c r="A789" s="3">
        <f ca="1">IFERROR(__xludf.UNSUPPORTED("""COMPUTED_VALUE"""),44607.6666666666)</f>
        <v>44607.666666666599</v>
      </c>
      <c r="B789" s="1">
        <f ca="1">IFERROR(__xludf.UNSUPPORTED("""COMPUTED_VALUE"""),154.72)</f>
        <v>154.72</v>
      </c>
      <c r="C789" s="2">
        <f t="shared" ca="1" si="3"/>
        <v>1.4623909764574658E-2</v>
      </c>
    </row>
    <row r="790" spans="1:3">
      <c r="A790" s="3">
        <f ca="1">IFERROR(__xludf.UNSUPPORTED("""COMPUTED_VALUE"""),44608.6666666666)</f>
        <v>44608.666666666599</v>
      </c>
      <c r="B790" s="1">
        <f ca="1">IFERROR(__xludf.UNSUPPORTED("""COMPUTED_VALUE"""),155)</f>
        <v>155</v>
      </c>
      <c r="C790" s="2">
        <f t="shared" ca="1" si="3"/>
        <v>1.8097207859358916E-3</v>
      </c>
    </row>
    <row r="791" spans="1:3">
      <c r="A791" s="3">
        <f ca="1">IFERROR(__xludf.UNSUPPORTED("""COMPUTED_VALUE"""),44609.6666666666)</f>
        <v>44609.666666666599</v>
      </c>
      <c r="B791" s="1">
        <f ca="1">IFERROR(__xludf.UNSUPPORTED("""COMPUTED_VALUE"""),151.43)</f>
        <v>151.43</v>
      </c>
      <c r="C791" s="2">
        <f t="shared" ca="1" si="3"/>
        <v>-2.3032258064516083E-2</v>
      </c>
    </row>
    <row r="792" spans="1:3">
      <c r="A792" s="3">
        <f ca="1">IFERROR(__xludf.UNSUPPORTED("""COMPUTED_VALUE"""),44610.6666666666)</f>
        <v>44610.666666666599</v>
      </c>
      <c r="B792" s="1">
        <f ca="1">IFERROR(__xludf.UNSUPPORTED("""COMPUTED_VALUE"""),152.14)</f>
        <v>152.13999999999999</v>
      </c>
      <c r="C792" s="2">
        <f t="shared" ca="1" si="3"/>
        <v>4.6886350128771013E-3</v>
      </c>
    </row>
    <row r="793" spans="1:3">
      <c r="A793" s="3">
        <f ca="1">IFERROR(__xludf.UNSUPPORTED("""COMPUTED_VALUE"""),44614.6666666666)</f>
        <v>44614.666666666599</v>
      </c>
      <c r="B793" s="1">
        <f ca="1">IFERROR(__xludf.UNSUPPORTED("""COMPUTED_VALUE"""),151.87)</f>
        <v>151.87</v>
      </c>
      <c r="C793" s="2">
        <f t="shared" ca="1" si="3"/>
        <v>-1.7746812146705786E-3</v>
      </c>
    </row>
    <row r="794" spans="1:3">
      <c r="A794" s="3">
        <f ca="1">IFERROR(__xludf.UNSUPPORTED("""COMPUTED_VALUE"""),44615.6666666666)</f>
        <v>44615.666666666599</v>
      </c>
      <c r="B794" s="1">
        <f ca="1">IFERROR(__xludf.UNSUPPORTED("""COMPUTED_VALUE"""),148.69)</f>
        <v>148.69</v>
      </c>
      <c r="C794" s="2">
        <f t="shared" ca="1" si="3"/>
        <v>-2.0938960953447071E-2</v>
      </c>
    </row>
    <row r="795" spans="1:3">
      <c r="A795" s="3">
        <f ca="1">IFERROR(__xludf.UNSUPPORTED("""COMPUTED_VALUE"""),44616.6666666666)</f>
        <v>44616.666666666599</v>
      </c>
      <c r="B795" s="1">
        <f ca="1">IFERROR(__xludf.UNSUPPORTED("""COMPUTED_VALUE"""),144.55)</f>
        <v>144.55000000000001</v>
      </c>
      <c r="C795" s="2">
        <f t="shared" ca="1" si="3"/>
        <v>-2.7843163629026745E-2</v>
      </c>
    </row>
    <row r="796" spans="1:3">
      <c r="A796" s="3">
        <f ca="1">IFERROR(__xludf.UNSUPPORTED("""COMPUTED_VALUE"""),44617.6666666666)</f>
        <v>44617.666666666599</v>
      </c>
      <c r="B796" s="1">
        <f ca="1">IFERROR(__xludf.UNSUPPORTED("""COMPUTED_VALUE"""),147.97)</f>
        <v>147.97</v>
      </c>
      <c r="C796" s="2">
        <f t="shared" ca="1" si="3"/>
        <v>2.365963334486328E-2</v>
      </c>
    </row>
    <row r="797" spans="1:3">
      <c r="A797" s="3">
        <f ca="1">IFERROR(__xludf.UNSUPPORTED("""COMPUTED_VALUE"""),44620.6666666666)</f>
        <v>44620.666666666599</v>
      </c>
      <c r="B797" s="1">
        <f ca="1">IFERROR(__xludf.UNSUPPORTED("""COMPUTED_VALUE"""),141.8)</f>
        <v>141.80000000000001</v>
      </c>
      <c r="C797" s="2">
        <f t="shared" ca="1" si="3"/>
        <v>-4.1697641413800009E-2</v>
      </c>
    </row>
    <row r="798" spans="1:3">
      <c r="A798" s="3">
        <f ca="1">IFERROR(__xludf.UNSUPPORTED("""COMPUTED_VALUE"""),44621.6666666666)</f>
        <v>44621.666666666599</v>
      </c>
      <c r="B798" s="1">
        <f ca="1">IFERROR(__xludf.UNSUPPORTED("""COMPUTED_VALUE"""),136.45)</f>
        <v>136.44999999999999</v>
      </c>
      <c r="C798" s="2">
        <f t="shared" ca="1" si="3"/>
        <v>-3.7729196050775897E-2</v>
      </c>
    </row>
    <row r="799" spans="1:3">
      <c r="A799" s="3">
        <f ca="1">IFERROR(__xludf.UNSUPPORTED("""COMPUTED_VALUE"""),44622.6666666666)</f>
        <v>44622.666666666599</v>
      </c>
      <c r="B799" s="1">
        <f ca="1">IFERROR(__xludf.UNSUPPORTED("""COMPUTED_VALUE"""),139.28)</f>
        <v>139.28</v>
      </c>
      <c r="C799" s="2">
        <f t="shared" ca="1" si="3"/>
        <v>2.0740197874679463E-2</v>
      </c>
    </row>
    <row r="800" spans="1:3">
      <c r="A800" s="3">
        <f ca="1">IFERROR(__xludf.UNSUPPORTED("""COMPUTED_VALUE"""),44623.6666666666)</f>
        <v>44623.666666666599</v>
      </c>
      <c r="B800" s="1">
        <f ca="1">IFERROR(__xludf.UNSUPPORTED("""COMPUTED_VALUE"""),138.29)</f>
        <v>138.29</v>
      </c>
      <c r="C800" s="2">
        <f t="shared" ca="1" si="3"/>
        <v>-7.10798391728898E-3</v>
      </c>
    </row>
    <row r="801" spans="1:3">
      <c r="A801" s="3">
        <f ca="1">IFERROR(__xludf.UNSUPPORTED("""COMPUTED_VALUE"""),44624.6666666666)</f>
        <v>44624.666666666599</v>
      </c>
      <c r="B801" s="1">
        <f ca="1">IFERROR(__xludf.UNSUPPORTED("""COMPUTED_VALUE"""),134.4)</f>
        <v>134.4</v>
      </c>
      <c r="C801" s="2">
        <f t="shared" ca="1" si="3"/>
        <v>-2.8129293513630679E-2</v>
      </c>
    </row>
    <row r="802" spans="1:3">
      <c r="A802" s="3">
        <f ca="1">IFERROR(__xludf.UNSUPPORTED("""COMPUTED_VALUE"""),44627.6666666666)</f>
        <v>44627.666666666599</v>
      </c>
      <c r="B802" s="1">
        <f ca="1">IFERROR(__xludf.UNSUPPORTED("""COMPUTED_VALUE"""),129.21)</f>
        <v>129.21</v>
      </c>
      <c r="C802" s="2">
        <f t="shared" ca="1" si="3"/>
        <v>-3.8616071428571409E-2</v>
      </c>
    </row>
    <row r="803" spans="1:3">
      <c r="A803" s="3">
        <f ca="1">IFERROR(__xludf.UNSUPPORTED("""COMPUTED_VALUE"""),44628.6666666666)</f>
        <v>44628.666666666599</v>
      </c>
      <c r="B803" s="1">
        <f ca="1">IFERROR(__xludf.UNSUPPORTED("""COMPUTED_VALUE"""),128.3)</f>
        <v>128.30000000000001</v>
      </c>
      <c r="C803" s="2">
        <f t="shared" ca="1" si="3"/>
        <v>-7.0427985450042295E-3</v>
      </c>
    </row>
    <row r="804" spans="1:3">
      <c r="A804" s="3">
        <f ca="1">IFERROR(__xludf.UNSUPPORTED("""COMPUTED_VALUE"""),44629.6666666666)</f>
        <v>44629.666666666599</v>
      </c>
      <c r="B804" s="1">
        <f ca="1">IFERROR(__xludf.UNSUPPORTED("""COMPUTED_VALUE"""),133.44)</f>
        <v>133.44</v>
      </c>
      <c r="C804" s="2">
        <f t="shared" ca="1" si="3"/>
        <v>4.0062353858144863E-2</v>
      </c>
    </row>
    <row r="805" spans="1:3">
      <c r="A805" s="3">
        <f ca="1">IFERROR(__xludf.UNSUPPORTED("""COMPUTED_VALUE"""),44630.6666666666)</f>
        <v>44630.666666666599</v>
      </c>
      <c r="B805" s="1">
        <f ca="1">IFERROR(__xludf.UNSUPPORTED("""COMPUTED_VALUE"""),131.86)</f>
        <v>131.86000000000001</v>
      </c>
      <c r="C805" s="2">
        <f t="shared" ca="1" si="3"/>
        <v>-1.1840527577937531E-2</v>
      </c>
    </row>
    <row r="806" spans="1:3">
      <c r="A806" s="3">
        <f ca="1">IFERROR(__xludf.UNSUPPORTED("""COMPUTED_VALUE"""),44631.6666666666)</f>
        <v>44631.666666666599</v>
      </c>
      <c r="B806" s="1">
        <f ca="1">IFERROR(__xludf.UNSUPPORTED("""COMPUTED_VALUE"""),128.89)</f>
        <v>128.88999999999999</v>
      </c>
      <c r="C806" s="2">
        <f t="shared" ca="1" si="3"/>
        <v>-2.252388897315355E-2</v>
      </c>
    </row>
    <row r="807" spans="1:3">
      <c r="A807" s="3">
        <f ca="1">IFERROR(__xludf.UNSUPPORTED("""COMPUTED_VALUE"""),44634.6666666666)</f>
        <v>44634.666666666599</v>
      </c>
      <c r="B807" s="1">
        <f ca="1">IFERROR(__xludf.UNSUPPORTED("""COMPUTED_VALUE"""),130.17)</f>
        <v>130.16999999999999</v>
      </c>
      <c r="C807" s="2">
        <f t="shared" ca="1" si="3"/>
        <v>9.9309488711304319E-3</v>
      </c>
    </row>
    <row r="808" spans="1:3">
      <c r="A808" s="3">
        <f ca="1">IFERROR(__xludf.UNSUPPORTED("""COMPUTED_VALUE"""),44635.6666666666)</f>
        <v>44635.666666666599</v>
      </c>
      <c r="B808" s="1">
        <f ca="1">IFERROR(__xludf.UNSUPPORTED("""COMPUTED_VALUE"""),132.48)</f>
        <v>132.47999999999999</v>
      </c>
      <c r="C808" s="2">
        <f t="shared" ca="1" si="3"/>
        <v>1.774602442959209E-2</v>
      </c>
    </row>
    <row r="809" spans="1:3">
      <c r="A809" s="3">
        <f ca="1">IFERROR(__xludf.UNSUPPORTED("""COMPUTED_VALUE"""),44636.6666666666)</f>
        <v>44636.666666666599</v>
      </c>
      <c r="B809" s="1">
        <f ca="1">IFERROR(__xludf.UNSUPPORTED("""COMPUTED_VALUE"""),138.4)</f>
        <v>138.4</v>
      </c>
      <c r="C809" s="2">
        <f t="shared" ca="1" si="3"/>
        <v>4.4685990338164373E-2</v>
      </c>
    </row>
    <row r="810" spans="1:3">
      <c r="A810" s="3">
        <f ca="1">IFERROR(__xludf.UNSUPPORTED("""COMPUTED_VALUE"""),44637.6666666666)</f>
        <v>44637.666666666599</v>
      </c>
      <c r="B810" s="1">
        <f ca="1">IFERROR(__xludf.UNSUPPORTED("""COMPUTED_VALUE"""),140.15)</f>
        <v>140.15</v>
      </c>
      <c r="C810" s="2">
        <f t="shared" ca="1" si="3"/>
        <v>1.264450867052023E-2</v>
      </c>
    </row>
    <row r="811" spans="1:3">
      <c r="A811" s="3">
        <f ca="1">IFERROR(__xludf.UNSUPPORTED("""COMPUTED_VALUE"""),44638.6666666666)</f>
        <v>44638.666666666599</v>
      </c>
      <c r="B811" s="1">
        <f ca="1">IFERROR(__xludf.UNSUPPORTED("""COMPUTED_VALUE"""),140.1)</f>
        <v>140.1</v>
      </c>
      <c r="C811" s="2">
        <f t="shared" ca="1" si="3"/>
        <v>-3.5676061362833653E-4</v>
      </c>
    </row>
    <row r="812" spans="1:3">
      <c r="A812" s="3">
        <f ca="1">IFERROR(__xludf.UNSUPPORTED("""COMPUTED_VALUE"""),44641.6666666666)</f>
        <v>44641.666666666599</v>
      </c>
      <c r="B812" s="1">
        <f ca="1">IFERROR(__xludf.UNSUPPORTED("""COMPUTED_VALUE"""),139.65)</f>
        <v>139.65</v>
      </c>
      <c r="C812" s="2">
        <f t="shared" ca="1" si="3"/>
        <v>-3.2119914346894264E-3</v>
      </c>
    </row>
    <row r="813" spans="1:3">
      <c r="A813" s="3">
        <f ca="1">IFERROR(__xludf.UNSUPPORTED("""COMPUTED_VALUE"""),44642.6666666666)</f>
        <v>44642.666666666599</v>
      </c>
      <c r="B813" s="1">
        <f ca="1">IFERROR(__xludf.UNSUPPORTED("""COMPUTED_VALUE"""),142.62)</f>
        <v>142.62</v>
      </c>
      <c r="C813" s="2">
        <f t="shared" ca="1" si="3"/>
        <v>2.1267454350161107E-2</v>
      </c>
    </row>
    <row r="814" spans="1:3">
      <c r="A814" s="3">
        <f ca="1">IFERROR(__xludf.UNSUPPORTED("""COMPUTED_VALUE"""),44643.6666666666)</f>
        <v>44643.666666666599</v>
      </c>
      <c r="B814" s="1">
        <f ca="1">IFERROR(__xludf.UNSUPPORTED("""COMPUTED_VALUE"""),139.78)</f>
        <v>139.78</v>
      </c>
      <c r="C814" s="2">
        <f t="shared" ca="1" si="3"/>
        <v>-1.9913055672416233E-2</v>
      </c>
    </row>
    <row r="815" spans="1:3">
      <c r="A815" s="3">
        <f ca="1">IFERROR(__xludf.UNSUPPORTED("""COMPUTED_VALUE"""),44644.6666666666)</f>
        <v>44644.666666666599</v>
      </c>
      <c r="B815" s="1">
        <f ca="1">IFERROR(__xludf.UNSUPPORTED("""COMPUTED_VALUE"""),140.69)</f>
        <v>140.69</v>
      </c>
      <c r="C815" s="2">
        <f t="shared" ca="1" si="3"/>
        <v>6.5102303619974005E-3</v>
      </c>
    </row>
    <row r="816" spans="1:3">
      <c r="A816" s="3">
        <f ca="1">IFERROR(__xludf.UNSUPPORTED("""COMPUTED_VALUE"""),44645.6666666666)</f>
        <v>44645.666666666599</v>
      </c>
      <c r="B816" s="1">
        <f ca="1">IFERROR(__xludf.UNSUPPORTED("""COMPUTED_VALUE"""),141.92)</f>
        <v>141.91999999999999</v>
      </c>
      <c r="C816" s="2">
        <f t="shared" ca="1" si="3"/>
        <v>8.7426256308194596E-3</v>
      </c>
    </row>
    <row r="817" spans="1:3">
      <c r="A817" s="3">
        <f ca="1">IFERROR(__xludf.UNSUPPORTED("""COMPUTED_VALUE"""),44648.6666666666)</f>
        <v>44648.666666666599</v>
      </c>
      <c r="B817" s="1">
        <f ca="1">IFERROR(__xludf.UNSUPPORTED("""COMPUTED_VALUE"""),140.87)</f>
        <v>140.87</v>
      </c>
      <c r="C817" s="2">
        <f t="shared" ca="1" si="3"/>
        <v>-7.3985343855692155E-3</v>
      </c>
    </row>
    <row r="818" spans="1:3">
      <c r="A818" s="3">
        <f ca="1">IFERROR(__xludf.UNSUPPORTED("""COMPUTED_VALUE"""),44649.6666666666)</f>
        <v>44649.666666666599</v>
      </c>
      <c r="B818" s="1">
        <f ca="1">IFERROR(__xludf.UNSUPPORTED("""COMPUTED_VALUE"""),141.18)</f>
        <v>141.18</v>
      </c>
      <c r="C818" s="2">
        <f t="shared" ca="1" si="3"/>
        <v>2.2006104919429421E-3</v>
      </c>
    </row>
    <row r="819" spans="1:3">
      <c r="A819" s="3">
        <f ca="1">IFERROR(__xludf.UNSUPPORTED("""COMPUTED_VALUE"""),44650.6666666666)</f>
        <v>44650.666666666599</v>
      </c>
      <c r="B819" s="1">
        <f ca="1">IFERROR(__xludf.UNSUPPORTED("""COMPUTED_VALUE"""),140.54)</f>
        <v>140.54</v>
      </c>
      <c r="C819" s="2">
        <f t="shared" ca="1" si="3"/>
        <v>-4.5332200028333674E-3</v>
      </c>
    </row>
    <row r="820" spans="1:3">
      <c r="A820" s="3">
        <f ca="1">IFERROR(__xludf.UNSUPPORTED("""COMPUTED_VALUE"""),44651.6666666666)</f>
        <v>44651.666666666599</v>
      </c>
      <c r="B820" s="1">
        <f ca="1">IFERROR(__xludf.UNSUPPORTED("""COMPUTED_VALUE"""),136.32)</f>
        <v>136.32</v>
      </c>
      <c r="C820" s="2">
        <f t="shared" ca="1" si="3"/>
        <v>-3.0027038565532939E-2</v>
      </c>
    </row>
    <row r="821" spans="1:3">
      <c r="A821" s="3">
        <f ca="1">IFERROR(__xludf.UNSUPPORTED("""COMPUTED_VALUE"""),44652.6666666666)</f>
        <v>44652.666666666599</v>
      </c>
      <c r="B821" s="1">
        <f ca="1">IFERROR(__xludf.UNSUPPORTED("""COMPUTED_VALUE"""),135.31)</f>
        <v>135.31</v>
      </c>
      <c r="C821" s="2">
        <f t="shared" ca="1" si="3"/>
        <v>-7.4090375586853795E-3</v>
      </c>
    </row>
    <row r="822" spans="1:3">
      <c r="A822" s="3">
        <f ca="1">IFERROR(__xludf.UNSUPPORTED("""COMPUTED_VALUE"""),44655.6666666666)</f>
        <v>44655.666666666599</v>
      </c>
      <c r="B822" s="1">
        <f ca="1">IFERROR(__xludf.UNSUPPORTED("""COMPUTED_VALUE"""),135.91)</f>
        <v>135.91</v>
      </c>
      <c r="C822" s="2">
        <f t="shared" ca="1" si="3"/>
        <v>4.434262064887993E-3</v>
      </c>
    </row>
    <row r="823" spans="1:3">
      <c r="A823" s="3">
        <f ca="1">IFERROR(__xludf.UNSUPPORTED("""COMPUTED_VALUE"""),44656.6666666666)</f>
        <v>44656.666666666599</v>
      </c>
      <c r="B823" s="1">
        <f ca="1">IFERROR(__xludf.UNSUPPORTED("""COMPUTED_VALUE"""),133.34)</f>
        <v>133.34</v>
      </c>
      <c r="C823" s="2">
        <f t="shared" ca="1" si="3"/>
        <v>-1.890957251122061E-2</v>
      </c>
    </row>
    <row r="824" spans="1:3">
      <c r="A824" s="3">
        <f ca="1">IFERROR(__xludf.UNSUPPORTED("""COMPUTED_VALUE"""),44657.6666666666)</f>
        <v>44657.666666666599</v>
      </c>
      <c r="B824" s="1">
        <f ca="1">IFERROR(__xludf.UNSUPPORTED("""COMPUTED_VALUE"""),131.49)</f>
        <v>131.49</v>
      </c>
      <c r="C824" s="2">
        <f t="shared" ca="1" si="3"/>
        <v>-1.3874306284685722E-2</v>
      </c>
    </row>
    <row r="825" spans="1:3">
      <c r="A825" s="3">
        <f ca="1">IFERROR(__xludf.UNSUPPORTED("""COMPUTED_VALUE"""),44658.6666666666)</f>
        <v>44658.666666666599</v>
      </c>
      <c r="B825" s="1">
        <f ca="1">IFERROR(__xludf.UNSUPPORTED("""COMPUTED_VALUE"""),131.09)</f>
        <v>131.09</v>
      </c>
      <c r="C825" s="2">
        <f t="shared" ca="1" si="3"/>
        <v>-3.0420564301468223E-3</v>
      </c>
    </row>
    <row r="826" spans="1:3">
      <c r="A826" s="3">
        <f ca="1">IFERROR(__xludf.UNSUPPORTED("""COMPUTED_VALUE"""),44659.6666666666)</f>
        <v>44659.666666666599</v>
      </c>
      <c r="B826" s="1">
        <f ca="1">IFERROR(__xludf.UNSUPPORTED("""COMPUTED_VALUE"""),133.49)</f>
        <v>133.49</v>
      </c>
      <c r="C826" s="2">
        <f t="shared" ca="1" si="3"/>
        <v>1.8308032649324932E-2</v>
      </c>
    </row>
    <row r="827" spans="1:3">
      <c r="A827" s="3">
        <f ca="1">IFERROR(__xludf.UNSUPPORTED("""COMPUTED_VALUE"""),44662.6666666666)</f>
        <v>44662.666666666599</v>
      </c>
      <c r="B827" s="1">
        <f ca="1">IFERROR(__xludf.UNSUPPORTED("""COMPUTED_VALUE"""),133)</f>
        <v>133</v>
      </c>
      <c r="C827" s="2">
        <f t="shared" ca="1" si="3"/>
        <v>-3.6706869428422282E-3</v>
      </c>
    </row>
    <row r="828" spans="1:3">
      <c r="A828" s="3">
        <f ca="1">IFERROR(__xludf.UNSUPPORTED("""COMPUTED_VALUE"""),44663.6666666666)</f>
        <v>44663.666666666599</v>
      </c>
      <c r="B828" s="1">
        <f ca="1">IFERROR(__xludf.UNSUPPORTED("""COMPUTED_VALUE"""),131.54)</f>
        <v>131.54</v>
      </c>
      <c r="C828" s="2">
        <f t="shared" ca="1" si="3"/>
        <v>-1.0977443609022617E-2</v>
      </c>
    </row>
    <row r="829" spans="1:3">
      <c r="A829" s="3">
        <f ca="1">IFERROR(__xludf.UNSUPPORTED("""COMPUTED_VALUE"""),44664.6666666666)</f>
        <v>44664.666666666599</v>
      </c>
      <c r="B829" s="1">
        <f ca="1">IFERROR(__xludf.UNSUPPORTED("""COMPUTED_VALUE"""),127.3)</f>
        <v>127.3</v>
      </c>
      <c r="C829" s="2">
        <f t="shared" ca="1" si="3"/>
        <v>-3.22335411281739E-2</v>
      </c>
    </row>
    <row r="830" spans="1:3">
      <c r="A830" s="3">
        <f ca="1">IFERROR(__xludf.UNSUPPORTED("""COMPUTED_VALUE"""),44665.6666666666)</f>
        <v>44665.666666666599</v>
      </c>
      <c r="B830" s="1">
        <f ca="1">IFERROR(__xludf.UNSUPPORTED("""COMPUTED_VALUE"""),126.12)</f>
        <v>126.12</v>
      </c>
      <c r="C830" s="2">
        <f t="shared" ca="1" si="3"/>
        <v>-9.2694422623722916E-3</v>
      </c>
    </row>
    <row r="831" spans="1:3">
      <c r="A831" s="3">
        <f ca="1">IFERROR(__xludf.UNSUPPORTED("""COMPUTED_VALUE"""),44669.6666666666)</f>
        <v>44669.666666666599</v>
      </c>
      <c r="B831" s="1">
        <f ca="1">IFERROR(__xludf.UNSUPPORTED("""COMPUTED_VALUE"""),128.46)</f>
        <v>128.46</v>
      </c>
      <c r="C831" s="2">
        <f t="shared" ca="1" si="3"/>
        <v>1.8553758325404405E-2</v>
      </c>
    </row>
    <row r="832" spans="1:3">
      <c r="A832" s="3">
        <f ca="1">IFERROR(__xludf.UNSUPPORTED("""COMPUTED_VALUE"""),44670.6666666666)</f>
        <v>44670.666666666599</v>
      </c>
      <c r="B832" s="1">
        <f ca="1">IFERROR(__xludf.UNSUPPORTED("""COMPUTED_VALUE"""),131.12)</f>
        <v>131.12</v>
      </c>
      <c r="C832" s="2">
        <f t="shared" ca="1" si="3"/>
        <v>2.0706834812392935E-2</v>
      </c>
    </row>
    <row r="833" spans="1:3">
      <c r="A833" s="3">
        <f ca="1">IFERROR(__xludf.UNSUPPORTED("""COMPUTED_VALUE"""),44671.6666666666)</f>
        <v>44671.666666666599</v>
      </c>
      <c r="B833" s="1">
        <f ca="1">IFERROR(__xludf.UNSUPPORTED("""COMPUTED_VALUE"""),131.58)</f>
        <v>131.58000000000001</v>
      </c>
      <c r="C833" s="2">
        <f t="shared" ca="1" si="3"/>
        <v>3.5082367297133003E-3</v>
      </c>
    </row>
    <row r="834" spans="1:3">
      <c r="A834" s="3">
        <f ca="1">IFERROR(__xludf.UNSUPPORTED("""COMPUTED_VALUE"""),44672.6666666666)</f>
        <v>44672.666666666599</v>
      </c>
      <c r="B834" s="1">
        <f ca="1">IFERROR(__xludf.UNSUPPORTED("""COMPUTED_VALUE"""),130.56)</f>
        <v>130.56</v>
      </c>
      <c r="C834" s="2">
        <f t="shared" ca="1" si="3"/>
        <v>-7.7519379844962011E-3</v>
      </c>
    </row>
    <row r="835" spans="1:3">
      <c r="A835" s="3">
        <f ca="1">IFERROR(__xludf.UNSUPPORTED("""COMPUTED_VALUE"""),44673.6666666666)</f>
        <v>44673.666666666599</v>
      </c>
      <c r="B835" s="1">
        <f ca="1">IFERROR(__xludf.UNSUPPORTED("""COMPUTED_VALUE"""),126.81)</f>
        <v>126.81</v>
      </c>
      <c r="C835" s="2">
        <f t="shared" ca="1" si="3"/>
        <v>-2.8722426470588234E-2</v>
      </c>
    </row>
    <row r="836" spans="1:3">
      <c r="A836" s="3">
        <f ca="1">IFERROR(__xludf.UNSUPPORTED("""COMPUTED_VALUE"""),44676.6666666666)</f>
        <v>44676.666666666599</v>
      </c>
      <c r="B836" s="1">
        <f ca="1">IFERROR(__xludf.UNSUPPORTED("""COMPUTED_VALUE"""),126.77)</f>
        <v>126.77</v>
      </c>
      <c r="C836" s="2">
        <f t="shared" ca="1" si="3"/>
        <v>-3.1543253686622702E-4</v>
      </c>
    </row>
    <row r="837" spans="1:3">
      <c r="A837" s="3">
        <f ca="1">IFERROR(__xludf.UNSUPPORTED("""COMPUTED_VALUE"""),44677.6666666666)</f>
        <v>44677.666666666599</v>
      </c>
      <c r="B837" s="1">
        <f ca="1">IFERROR(__xludf.UNSUPPORTED("""COMPUTED_VALUE"""),123.02)</f>
        <v>123.02</v>
      </c>
      <c r="C837" s="2">
        <f t="shared" ca="1" si="3"/>
        <v>-2.9581131182456418E-2</v>
      </c>
    </row>
    <row r="838" spans="1:3">
      <c r="A838" s="3">
        <f ca="1">IFERROR(__xludf.UNSUPPORTED("""COMPUTED_VALUE"""),44678.6666666666)</f>
        <v>44678.666666666599</v>
      </c>
      <c r="B838" s="1">
        <f ca="1">IFERROR(__xludf.UNSUPPORTED("""COMPUTED_VALUE"""),121.42)</f>
        <v>121.42</v>
      </c>
      <c r="C838" s="2">
        <f t="shared" ca="1" si="3"/>
        <v>-1.300601528206791E-2</v>
      </c>
    </row>
    <row r="839" spans="1:3">
      <c r="A839" s="3">
        <f ca="1">IFERROR(__xludf.UNSUPPORTED("""COMPUTED_VALUE"""),44679.6666666666)</f>
        <v>44679.666666666599</v>
      </c>
      <c r="B839" s="1">
        <f ca="1">IFERROR(__xludf.UNSUPPORTED("""COMPUTED_VALUE"""),123.34)</f>
        <v>123.34</v>
      </c>
      <c r="C839" s="2">
        <f t="shared" ca="1" si="3"/>
        <v>1.5812880909240667E-2</v>
      </c>
    </row>
    <row r="840" spans="1:3">
      <c r="A840" s="3">
        <f ca="1">IFERROR(__xludf.UNSUPPORTED("""COMPUTED_VALUE"""),44680.6666666666)</f>
        <v>44680.666666666599</v>
      </c>
      <c r="B840" s="1">
        <f ca="1">IFERROR(__xludf.UNSUPPORTED("""COMPUTED_VALUE"""),119.36)</f>
        <v>119.36</v>
      </c>
      <c r="C840" s="2">
        <f t="shared" ca="1" si="3"/>
        <v>-3.2268526025620269E-2</v>
      </c>
    </row>
    <row r="841" spans="1:3">
      <c r="A841" s="3">
        <f ca="1">IFERROR(__xludf.UNSUPPORTED("""COMPUTED_VALUE"""),44683.6666666666)</f>
        <v>44683.666666666599</v>
      </c>
      <c r="B841" s="1">
        <f ca="1">IFERROR(__xludf.UNSUPPORTED("""COMPUTED_VALUE"""),120.45)</f>
        <v>120.45</v>
      </c>
      <c r="C841" s="2">
        <f t="shared" ca="1" si="3"/>
        <v>9.132037533512093E-3</v>
      </c>
    </row>
    <row r="842" spans="1:3">
      <c r="A842" s="3">
        <f ca="1">IFERROR(__xludf.UNSUPPORTED("""COMPUTED_VALUE"""),44684.6666666666)</f>
        <v>44684.666666666599</v>
      </c>
      <c r="B842" s="1">
        <f ca="1">IFERROR(__xludf.UNSUPPORTED("""COMPUTED_VALUE"""),123.03)</f>
        <v>123.03</v>
      </c>
      <c r="C842" s="2">
        <f t="shared" ca="1" si="3"/>
        <v>2.1419676214196746E-2</v>
      </c>
    </row>
    <row r="843" spans="1:3">
      <c r="A843" s="3">
        <f ca="1">IFERROR(__xludf.UNSUPPORTED("""COMPUTED_VALUE"""),44685.6666666666)</f>
        <v>44685.666666666599</v>
      </c>
      <c r="B843" s="1">
        <f ca="1">IFERROR(__xludf.UNSUPPORTED("""COMPUTED_VALUE"""),127.1)</f>
        <v>127.1</v>
      </c>
      <c r="C843" s="2">
        <f t="shared" ca="1" si="3"/>
        <v>3.3081362269365137E-2</v>
      </c>
    </row>
    <row r="844" spans="1:3">
      <c r="A844" s="3">
        <f ca="1">IFERROR(__xludf.UNSUPPORTED("""COMPUTED_VALUE"""),44686.6666666666)</f>
        <v>44686.666666666599</v>
      </c>
      <c r="B844" s="1">
        <f ca="1">IFERROR(__xludf.UNSUPPORTED("""COMPUTED_VALUE"""),123.92)</f>
        <v>123.92</v>
      </c>
      <c r="C844" s="2">
        <f t="shared" ca="1" si="3"/>
        <v>-2.5019669551534167E-2</v>
      </c>
    </row>
    <row r="845" spans="1:3">
      <c r="A845" s="3">
        <f ca="1">IFERROR(__xludf.UNSUPPORTED("""COMPUTED_VALUE"""),44687.6666666666)</f>
        <v>44687.666666666599</v>
      </c>
      <c r="B845" s="1">
        <f ca="1">IFERROR(__xludf.UNSUPPORTED("""COMPUTED_VALUE"""),123.72)</f>
        <v>123.72</v>
      </c>
      <c r="C845" s="2">
        <f t="shared" ca="1" si="3"/>
        <v>-1.6139444803099003E-3</v>
      </c>
    </row>
    <row r="846" spans="1:3">
      <c r="A846" s="3">
        <f ca="1">IFERROR(__xludf.UNSUPPORTED("""COMPUTED_VALUE"""),44690.6666666666)</f>
        <v>44690.666666666599</v>
      </c>
      <c r="B846" s="1">
        <f ca="1">IFERROR(__xludf.UNSUPPORTED("""COMPUTED_VALUE"""),121.86)</f>
        <v>121.86</v>
      </c>
      <c r="C846" s="2">
        <f t="shared" ca="1" si="3"/>
        <v>-1.503394762366634E-2</v>
      </c>
    </row>
    <row r="847" spans="1:3">
      <c r="A847" s="3">
        <f ca="1">IFERROR(__xludf.UNSUPPORTED("""COMPUTED_VALUE"""),44691.6666666666)</f>
        <v>44691.666666666599</v>
      </c>
      <c r="B847" s="1">
        <f ca="1">IFERROR(__xludf.UNSUPPORTED("""COMPUTED_VALUE"""),118.89)</f>
        <v>118.89</v>
      </c>
      <c r="C847" s="2">
        <f t="shared" ca="1" si="3"/>
        <v>-2.4372230428360404E-2</v>
      </c>
    </row>
    <row r="848" spans="1:3">
      <c r="A848" s="3">
        <f ca="1">IFERROR(__xludf.UNSUPPORTED("""COMPUTED_VALUE"""),44692.6666666666)</f>
        <v>44692.666666666599</v>
      </c>
      <c r="B848" s="1">
        <f ca="1">IFERROR(__xludf.UNSUPPORTED("""COMPUTED_VALUE"""),118.14)</f>
        <v>118.14</v>
      </c>
      <c r="C848" s="2">
        <f t="shared" ca="1" si="3"/>
        <v>-6.3083522583901085E-3</v>
      </c>
    </row>
    <row r="849" spans="1:3">
      <c r="A849" s="3">
        <f ca="1">IFERROR(__xludf.UNSUPPORTED("""COMPUTED_VALUE"""),44693.6666666666)</f>
        <v>44693.666666666599</v>
      </c>
      <c r="B849" s="1">
        <f ca="1">IFERROR(__xludf.UNSUPPORTED("""COMPUTED_VALUE"""),118.04)</f>
        <v>118.04</v>
      </c>
      <c r="C849" s="2">
        <f t="shared" ca="1" si="3"/>
        <v>-8.464533604197928E-4</v>
      </c>
    </row>
    <row r="850" spans="1:3">
      <c r="A850" s="3">
        <f ca="1">IFERROR(__xludf.UNSUPPORTED("""COMPUTED_VALUE"""),44694.6666666666)</f>
        <v>44694.666666666599</v>
      </c>
      <c r="B850" s="1">
        <f ca="1">IFERROR(__xludf.UNSUPPORTED("""COMPUTED_VALUE"""),119.09)</f>
        <v>119.09</v>
      </c>
      <c r="C850" s="2">
        <f t="shared" ca="1" si="3"/>
        <v>8.8952897322941132E-3</v>
      </c>
    </row>
    <row r="851" spans="1:3">
      <c r="A851" s="3">
        <f ca="1">IFERROR(__xludf.UNSUPPORTED("""COMPUTED_VALUE"""),44697.6666666666)</f>
        <v>44697.666666666599</v>
      </c>
      <c r="B851" s="1">
        <f ca="1">IFERROR(__xludf.UNSUPPORTED("""COMPUTED_VALUE"""),118.26)</f>
        <v>118.26</v>
      </c>
      <c r="C851" s="2">
        <f t="shared" ca="1" si="3"/>
        <v>-6.9695188512889266E-3</v>
      </c>
    </row>
    <row r="852" spans="1:3">
      <c r="A852" s="3">
        <f ca="1">IFERROR(__xludf.UNSUPPORTED("""COMPUTED_VALUE"""),44698.6666666666)</f>
        <v>44698.666666666599</v>
      </c>
      <c r="B852" s="1">
        <f ca="1">IFERROR(__xludf.UNSUPPORTED("""COMPUTED_VALUE"""),122.18)</f>
        <v>122.18</v>
      </c>
      <c r="C852" s="2">
        <f t="shared" ca="1" si="3"/>
        <v>3.314730255369526E-2</v>
      </c>
    </row>
    <row r="853" spans="1:3">
      <c r="A853" s="3">
        <f ca="1">IFERROR(__xludf.UNSUPPORTED("""COMPUTED_VALUE"""),44699.6666666666)</f>
        <v>44699.666666666599</v>
      </c>
      <c r="B853" s="1">
        <f ca="1">IFERROR(__xludf.UNSUPPORTED("""COMPUTED_VALUE"""),120.09)</f>
        <v>120.09</v>
      </c>
      <c r="C853" s="2">
        <f t="shared" ca="1" si="3"/>
        <v>-1.7105909314126724E-2</v>
      </c>
    </row>
    <row r="854" spans="1:3">
      <c r="A854" s="3">
        <f ca="1">IFERROR(__xludf.UNSUPPORTED("""COMPUTED_VALUE"""),44700.6666666666)</f>
        <v>44700.666666666599</v>
      </c>
      <c r="B854" s="1">
        <f ca="1">IFERROR(__xludf.UNSUPPORTED("""COMPUTED_VALUE"""),118.31)</f>
        <v>118.31</v>
      </c>
      <c r="C854" s="2">
        <f t="shared" ca="1" si="3"/>
        <v>-1.482221667083022E-2</v>
      </c>
    </row>
    <row r="855" spans="1:3">
      <c r="A855" s="3">
        <f ca="1">IFERROR(__xludf.UNSUPPORTED("""COMPUTED_VALUE"""),44701.6666666666)</f>
        <v>44701.666666666599</v>
      </c>
      <c r="B855" s="1">
        <f ca="1">IFERROR(__xludf.UNSUPPORTED("""COMPUTED_VALUE"""),117.34)</f>
        <v>117.34</v>
      </c>
      <c r="C855" s="2">
        <f t="shared" ca="1" si="3"/>
        <v>-8.1987997633336061E-3</v>
      </c>
    </row>
    <row r="856" spans="1:3">
      <c r="A856" s="3">
        <f ca="1">IFERROR(__xludf.UNSUPPORTED("""COMPUTED_VALUE"""),44704.6666666666)</f>
        <v>44704.666666666599</v>
      </c>
      <c r="B856" s="1">
        <f ca="1">IFERROR(__xludf.UNSUPPORTED("""COMPUTED_VALUE"""),124.6)</f>
        <v>124.6</v>
      </c>
      <c r="C856" s="2">
        <f t="shared" ca="1" si="3"/>
        <v>6.1871484574739989E-2</v>
      </c>
    </row>
    <row r="857" spans="1:3">
      <c r="A857" s="3">
        <f ca="1">IFERROR(__xludf.UNSUPPORTED("""COMPUTED_VALUE"""),44705.6666666666)</f>
        <v>44705.666666666599</v>
      </c>
      <c r="B857" s="1">
        <f ca="1">IFERROR(__xludf.UNSUPPORTED("""COMPUTED_VALUE"""),126.36)</f>
        <v>126.36</v>
      </c>
      <c r="C857" s="2">
        <f t="shared" ca="1" si="3"/>
        <v>1.4125200642054617E-2</v>
      </c>
    </row>
    <row r="858" spans="1:3">
      <c r="A858" s="3">
        <f ca="1">IFERROR(__xludf.UNSUPPORTED("""COMPUTED_VALUE"""),44706.6666666666)</f>
        <v>44706.666666666599</v>
      </c>
      <c r="B858" s="1">
        <f ca="1">IFERROR(__xludf.UNSUPPORTED("""COMPUTED_VALUE"""),127.24)</f>
        <v>127.24</v>
      </c>
      <c r="C858" s="2">
        <f t="shared" ca="1" si="3"/>
        <v>6.9642291864513723E-3</v>
      </c>
    </row>
    <row r="859" spans="1:3">
      <c r="A859" s="3">
        <f ca="1">IFERROR(__xludf.UNSUPPORTED("""COMPUTED_VALUE"""),44707.6666666666)</f>
        <v>44707.666666666599</v>
      </c>
      <c r="B859" s="1">
        <f ca="1">IFERROR(__xludf.UNSUPPORTED("""COMPUTED_VALUE"""),129.44)</f>
        <v>129.44</v>
      </c>
      <c r="C859" s="2">
        <f t="shared" ca="1" si="3"/>
        <v>1.7290160326941237E-2</v>
      </c>
    </row>
    <row r="860" spans="1:3">
      <c r="A860" s="3">
        <f ca="1">IFERROR(__xludf.UNSUPPORTED("""COMPUTED_VALUE"""),44708.6666666666)</f>
        <v>44708.666666666599</v>
      </c>
      <c r="B860" s="1">
        <f ca="1">IFERROR(__xludf.UNSUPPORTED("""COMPUTED_VALUE"""),131.27)</f>
        <v>131.27000000000001</v>
      </c>
      <c r="C860" s="2">
        <f t="shared" ca="1" si="3"/>
        <v>1.4137824474660171E-2</v>
      </c>
    </row>
    <row r="861" spans="1:3">
      <c r="A861" s="3">
        <f ca="1">IFERROR(__xludf.UNSUPPORTED("""COMPUTED_VALUE"""),44712.6666666666)</f>
        <v>44712.666666666599</v>
      </c>
      <c r="B861" s="1">
        <f ca="1">IFERROR(__xludf.UNSUPPORTED("""COMPUTED_VALUE"""),132.23)</f>
        <v>132.22999999999999</v>
      </c>
      <c r="C861" s="2">
        <f t="shared" ca="1" si="3"/>
        <v>7.3131713262739352E-3</v>
      </c>
    </row>
    <row r="862" spans="1:3">
      <c r="A862" s="3">
        <f ca="1">IFERROR(__xludf.UNSUPPORTED("""COMPUTED_VALUE"""),44713.6666666666)</f>
        <v>44713.666666666599</v>
      </c>
      <c r="B862" s="1">
        <f ca="1">IFERROR(__xludf.UNSUPPORTED("""COMPUTED_VALUE"""),129.91)</f>
        <v>129.91</v>
      </c>
      <c r="C862" s="2">
        <f t="shared" ca="1" si="3"/>
        <v>-1.7545186417605638E-2</v>
      </c>
    </row>
    <row r="863" spans="1:3">
      <c r="A863" s="3">
        <f ca="1">IFERROR(__xludf.UNSUPPORTED("""COMPUTED_VALUE"""),44714.6666666666)</f>
        <v>44714.666666666599</v>
      </c>
      <c r="B863" s="1">
        <f ca="1">IFERROR(__xludf.UNSUPPORTED("""COMPUTED_VALUE"""),132)</f>
        <v>132</v>
      </c>
      <c r="C863" s="2">
        <f t="shared" ca="1" si="3"/>
        <v>1.6088060965283684E-2</v>
      </c>
    </row>
    <row r="864" spans="1:3">
      <c r="A864" s="3">
        <f ca="1">IFERROR(__xludf.UNSUPPORTED("""COMPUTED_VALUE"""),44715.6666666666)</f>
        <v>44715.666666666599</v>
      </c>
      <c r="B864" s="1">
        <f ca="1">IFERROR(__xludf.UNSUPPORTED("""COMPUTED_VALUE"""),130.16)</f>
        <v>130.16</v>
      </c>
      <c r="C864" s="2">
        <f t="shared" ca="1" si="3"/>
        <v>-1.3939393939393965E-2</v>
      </c>
    </row>
    <row r="865" spans="1:3">
      <c r="A865" s="3">
        <f ca="1">IFERROR(__xludf.UNSUPPORTED("""COMPUTED_VALUE"""),44718.6666666666)</f>
        <v>44718.666666666599</v>
      </c>
      <c r="B865" s="1">
        <f ca="1">IFERROR(__xludf.UNSUPPORTED("""COMPUTED_VALUE"""),129.73)</f>
        <v>129.72999999999999</v>
      </c>
      <c r="C865" s="2">
        <f t="shared" ca="1" si="3"/>
        <v>-3.303626306084871E-3</v>
      </c>
    </row>
    <row r="866" spans="1:3">
      <c r="A866" s="3">
        <f ca="1">IFERROR(__xludf.UNSUPPORTED("""COMPUTED_VALUE"""),44719.6666666666)</f>
        <v>44719.666666666599</v>
      </c>
      <c r="B866" s="1">
        <f ca="1">IFERROR(__xludf.UNSUPPORTED("""COMPUTED_VALUE"""),130.07)</f>
        <v>130.07</v>
      </c>
      <c r="C866" s="2">
        <f t="shared" ca="1" si="3"/>
        <v>2.6208278732752907E-3</v>
      </c>
    </row>
    <row r="867" spans="1:3">
      <c r="A867" s="3">
        <f ca="1">IFERROR(__xludf.UNSUPPORTED("""COMPUTED_VALUE"""),44720.6666666666)</f>
        <v>44720.666666666599</v>
      </c>
      <c r="B867" s="1">
        <f ca="1">IFERROR(__xludf.UNSUPPORTED("""COMPUTED_VALUE"""),128)</f>
        <v>128</v>
      </c>
      <c r="C867" s="2">
        <f t="shared" ca="1" si="3"/>
        <v>-1.5914507572845338E-2</v>
      </c>
    </row>
    <row r="868" spans="1:3">
      <c r="A868" s="3">
        <f ca="1">IFERROR(__xludf.UNSUPPORTED("""COMPUTED_VALUE"""),44721.6666666666)</f>
        <v>44721.666666666599</v>
      </c>
      <c r="B868" s="1">
        <f ca="1">IFERROR(__xludf.UNSUPPORTED("""COMPUTED_VALUE"""),125.31)</f>
        <v>125.31</v>
      </c>
      <c r="C868" s="2">
        <f t="shared" ca="1" si="3"/>
        <v>-2.1015624999999982E-2</v>
      </c>
    </row>
    <row r="869" spans="1:3">
      <c r="A869" s="3">
        <f ca="1">IFERROR(__xludf.UNSUPPORTED("""COMPUTED_VALUE"""),44722.6666666666)</f>
        <v>44722.666666666599</v>
      </c>
      <c r="B869" s="1">
        <f ca="1">IFERROR(__xludf.UNSUPPORTED("""COMPUTED_VALUE"""),119.55)</f>
        <v>119.55</v>
      </c>
      <c r="C869" s="2">
        <f t="shared" ca="1" si="3"/>
        <v>-4.5966004309312941E-2</v>
      </c>
    </row>
    <row r="870" spans="1:3">
      <c r="A870" s="3">
        <f ca="1">IFERROR(__xludf.UNSUPPORTED("""COMPUTED_VALUE"""),44725.6666666666)</f>
        <v>44725.666666666599</v>
      </c>
      <c r="B870" s="1">
        <f ca="1">IFERROR(__xludf.UNSUPPORTED("""COMPUTED_VALUE"""),115.99)</f>
        <v>115.99</v>
      </c>
      <c r="C870" s="2">
        <f t="shared" ca="1" si="3"/>
        <v>-2.9778335424508594E-2</v>
      </c>
    </row>
    <row r="871" spans="1:3">
      <c r="A871" s="3">
        <f ca="1">IFERROR(__xludf.UNSUPPORTED("""COMPUTED_VALUE"""),44726.6666666666)</f>
        <v>44726.666666666599</v>
      </c>
      <c r="B871" s="1">
        <f ca="1">IFERROR(__xludf.UNSUPPORTED("""COMPUTED_VALUE"""),114.06)</f>
        <v>114.06</v>
      </c>
      <c r="C871" s="2">
        <f t="shared" ca="1" si="3"/>
        <v>-1.6639365462539812E-2</v>
      </c>
    </row>
    <row r="872" spans="1:3">
      <c r="A872" s="3">
        <f ca="1">IFERROR(__xludf.UNSUPPORTED("""COMPUTED_VALUE"""),44727.6666666666)</f>
        <v>44727.666666666599</v>
      </c>
      <c r="B872" s="1">
        <f ca="1">IFERROR(__xludf.UNSUPPORTED("""COMPUTED_VALUE"""),115.41)</f>
        <v>115.41</v>
      </c>
      <c r="C872" s="2">
        <f t="shared" ca="1" si="3"/>
        <v>1.1835875854813206E-2</v>
      </c>
    </row>
    <row r="873" spans="1:3">
      <c r="A873" s="3">
        <f ca="1">IFERROR(__xludf.UNSUPPORTED("""COMPUTED_VALUE"""),44728.6666666666)</f>
        <v>44728.666666666599</v>
      </c>
      <c r="B873" s="1">
        <f ca="1">IFERROR(__xludf.UNSUPPORTED("""COMPUTED_VALUE"""),113.43)</f>
        <v>113.43</v>
      </c>
      <c r="C873" s="2">
        <f t="shared" ca="1" si="3"/>
        <v>-1.7156225630361233E-2</v>
      </c>
    </row>
    <row r="874" spans="1:3">
      <c r="A874" s="3">
        <f ca="1">IFERROR(__xludf.UNSUPPORTED("""COMPUTED_VALUE"""),44729.6666666666)</f>
        <v>44729.666666666599</v>
      </c>
      <c r="B874" s="1">
        <f ca="1">IFERROR(__xludf.UNSUPPORTED("""COMPUTED_VALUE"""),113.03)</f>
        <v>113.03</v>
      </c>
      <c r="C874" s="2">
        <f t="shared" ca="1" si="3"/>
        <v>-3.5264039495724736E-3</v>
      </c>
    </row>
    <row r="875" spans="1:3">
      <c r="A875" s="3">
        <f ca="1">IFERROR(__xludf.UNSUPPORTED("""COMPUTED_VALUE"""),44733.6666666666)</f>
        <v>44733.666666666599</v>
      </c>
      <c r="B875" s="1">
        <f ca="1">IFERROR(__xludf.UNSUPPORTED("""COMPUTED_VALUE"""),115.83)</f>
        <v>115.83</v>
      </c>
      <c r="C875" s="2">
        <f t="shared" ca="1" si="3"/>
        <v>2.4772184375829401E-2</v>
      </c>
    </row>
    <row r="876" spans="1:3">
      <c r="A876" s="3">
        <f ca="1">IFERROR(__xludf.UNSUPPORTED("""COMPUTED_VALUE"""),44734.6666666666)</f>
        <v>44734.666666666599</v>
      </c>
      <c r="B876" s="1">
        <f ca="1">IFERROR(__xludf.UNSUPPORTED("""COMPUTED_VALUE"""),115.18)</f>
        <v>115.18</v>
      </c>
      <c r="C876" s="2">
        <f t="shared" ca="1" si="3"/>
        <v>-5.6116722783388718E-3</v>
      </c>
    </row>
    <row r="877" spans="1:3">
      <c r="A877" s="3">
        <f ca="1">IFERROR(__xludf.UNSUPPORTED("""COMPUTED_VALUE"""),44735.6666666666)</f>
        <v>44735.666666666599</v>
      </c>
      <c r="B877" s="1">
        <f ca="1">IFERROR(__xludf.UNSUPPORTED("""COMPUTED_VALUE"""),113.92)</f>
        <v>113.92</v>
      </c>
      <c r="C877" s="2">
        <f t="shared" ca="1" si="3"/>
        <v>-1.093939920125026E-2</v>
      </c>
    </row>
    <row r="878" spans="1:3">
      <c r="A878" s="3">
        <f ca="1">IFERROR(__xludf.UNSUPPORTED("""COMPUTED_VALUE"""),44736.6666666666)</f>
        <v>44736.666666666599</v>
      </c>
      <c r="B878" s="1">
        <f ca="1">IFERROR(__xludf.UNSUPPORTED("""COMPUTED_VALUE"""),117.32)</f>
        <v>117.32</v>
      </c>
      <c r="C878" s="2">
        <f t="shared" ca="1" si="3"/>
        <v>2.9845505617977452E-2</v>
      </c>
    </row>
    <row r="879" spans="1:3">
      <c r="A879" s="3">
        <f ca="1">IFERROR(__xludf.UNSUPPORTED("""COMPUTED_VALUE"""),44739.6666666666)</f>
        <v>44739.666666666599</v>
      </c>
      <c r="B879" s="1">
        <f ca="1">IFERROR(__xludf.UNSUPPORTED("""COMPUTED_VALUE"""),116.38)</f>
        <v>116.38</v>
      </c>
      <c r="C879" s="2">
        <f t="shared" ca="1" si="3"/>
        <v>-8.0122741220593052E-3</v>
      </c>
    </row>
    <row r="880" spans="1:3">
      <c r="A880" s="3">
        <f ca="1">IFERROR(__xludf.UNSUPPORTED("""COMPUTED_VALUE"""),44740.6666666666)</f>
        <v>44740.666666666599</v>
      </c>
      <c r="B880" s="1">
        <f ca="1">IFERROR(__xludf.UNSUPPORTED("""COMPUTED_VALUE"""),115.82)</f>
        <v>115.82</v>
      </c>
      <c r="C880" s="2">
        <f t="shared" ca="1" si="3"/>
        <v>-4.8118233373432061E-3</v>
      </c>
    </row>
    <row r="881" spans="1:3">
      <c r="A881" s="3">
        <f ca="1">IFERROR(__xludf.UNSUPPORTED("""COMPUTED_VALUE"""),44741.6666666666)</f>
        <v>44741.666666666599</v>
      </c>
      <c r="B881" s="1">
        <f ca="1">IFERROR(__xludf.UNSUPPORTED("""COMPUTED_VALUE"""),115.3)</f>
        <v>115.3</v>
      </c>
      <c r="C881" s="2">
        <f t="shared" ca="1" si="3"/>
        <v>-4.4897254360213787E-3</v>
      </c>
    </row>
    <row r="882" spans="1:3">
      <c r="A882" s="3">
        <f ca="1">IFERROR(__xludf.UNSUPPORTED("""COMPUTED_VALUE"""),44742.6666666666)</f>
        <v>44742.666666666599</v>
      </c>
      <c r="B882" s="1">
        <f ca="1">IFERROR(__xludf.UNSUPPORTED("""COMPUTED_VALUE"""),112.61)</f>
        <v>112.61</v>
      </c>
      <c r="C882" s="2">
        <f t="shared" ca="1" si="3"/>
        <v>-2.3330442324371186E-2</v>
      </c>
    </row>
    <row r="883" spans="1:3">
      <c r="A883" s="3">
        <f ca="1">IFERROR(__xludf.UNSUPPORTED("""COMPUTED_VALUE"""),44743.6666666666)</f>
        <v>44743.666666666599</v>
      </c>
      <c r="B883" s="1">
        <f ca="1">IFERROR(__xludf.UNSUPPORTED("""COMPUTED_VALUE"""),114.05)</f>
        <v>114.05</v>
      </c>
      <c r="C883" s="2">
        <f t="shared" ca="1" si="3"/>
        <v>1.2787496669922722E-2</v>
      </c>
    </row>
    <row r="884" spans="1:3">
      <c r="A884" s="3">
        <f ca="1">IFERROR(__xludf.UNSUPPORTED("""COMPUTED_VALUE"""),44747.6666666666)</f>
        <v>44747.666666666599</v>
      </c>
      <c r="B884" s="1">
        <f ca="1">IFERROR(__xludf.UNSUPPORTED("""COMPUTED_VALUE"""),112.62)</f>
        <v>112.62</v>
      </c>
      <c r="C884" s="2">
        <f t="shared" ca="1" si="3"/>
        <v>-1.2538360368259472E-2</v>
      </c>
    </row>
    <row r="885" spans="1:3">
      <c r="A885" s="3">
        <f ca="1">IFERROR(__xludf.UNSUPPORTED("""COMPUTED_VALUE"""),44748.6666666666)</f>
        <v>44748.666666666599</v>
      </c>
      <c r="B885" s="1">
        <f ca="1">IFERROR(__xludf.UNSUPPORTED("""COMPUTED_VALUE"""),111.89)</f>
        <v>111.89</v>
      </c>
      <c r="C885" s="2">
        <f t="shared" ca="1" si="3"/>
        <v>-6.4819747824543059E-3</v>
      </c>
    </row>
    <row r="886" spans="1:3">
      <c r="A886" s="3">
        <f ca="1">IFERROR(__xludf.UNSUPPORTED("""COMPUTED_VALUE"""),44749.6666666666)</f>
        <v>44749.666666666599</v>
      </c>
      <c r="B886" s="1">
        <f ca="1">IFERROR(__xludf.UNSUPPORTED("""COMPUTED_VALUE"""),114.72)</f>
        <v>114.72</v>
      </c>
      <c r="C886" s="2">
        <f t="shared" ca="1" si="3"/>
        <v>2.5292698185718099E-2</v>
      </c>
    </row>
    <row r="887" spans="1:3">
      <c r="A887" s="3">
        <f ca="1">IFERROR(__xludf.UNSUPPORTED("""COMPUTED_VALUE"""),44750.6666666666)</f>
        <v>44750.666666666599</v>
      </c>
      <c r="B887" s="1">
        <f ca="1">IFERROR(__xludf.UNSUPPORTED("""COMPUTED_VALUE"""),114.36)</f>
        <v>114.36</v>
      </c>
      <c r="C887" s="2">
        <f t="shared" ca="1" si="3"/>
        <v>-3.1380753138075266E-3</v>
      </c>
    </row>
    <row r="888" spans="1:3">
      <c r="A888" s="3">
        <f ca="1">IFERROR(__xludf.UNSUPPORTED("""COMPUTED_VALUE"""),44753.6666666666)</f>
        <v>44753.666666666599</v>
      </c>
      <c r="B888" s="1">
        <f ca="1">IFERROR(__xludf.UNSUPPORTED("""COMPUTED_VALUE"""),112.86)</f>
        <v>112.86</v>
      </c>
      <c r="C888" s="2">
        <f t="shared" ca="1" si="3"/>
        <v>-1.3116474291710388E-2</v>
      </c>
    </row>
    <row r="889" spans="1:3">
      <c r="A889" s="3">
        <f ca="1">IFERROR(__xludf.UNSUPPORTED("""COMPUTED_VALUE"""),44754.6666666666)</f>
        <v>44754.666666666599</v>
      </c>
      <c r="B889" s="1">
        <f ca="1">IFERROR(__xludf.UNSUPPORTED("""COMPUTED_VALUE"""),112.97)</f>
        <v>112.97</v>
      </c>
      <c r="C889" s="2">
        <f t="shared" ca="1" si="3"/>
        <v>9.7465886939570646E-4</v>
      </c>
    </row>
    <row r="890" spans="1:3">
      <c r="A890" s="3">
        <f ca="1">IFERROR(__xludf.UNSUPPORTED("""COMPUTED_VALUE"""),44755.6666666666)</f>
        <v>44755.666666666599</v>
      </c>
      <c r="B890" s="1">
        <f ca="1">IFERROR(__xludf.UNSUPPORTED("""COMPUTED_VALUE"""),111.91)</f>
        <v>111.91</v>
      </c>
      <c r="C890" s="2">
        <f t="shared" ca="1" si="3"/>
        <v>-9.3830220412499093E-3</v>
      </c>
    </row>
    <row r="891" spans="1:3">
      <c r="A891" s="3">
        <f ca="1">IFERROR(__xludf.UNSUPPORTED("""COMPUTED_VALUE"""),44756.6666666666)</f>
        <v>44756.666666666599</v>
      </c>
      <c r="B891" s="1">
        <f ca="1">IFERROR(__xludf.UNSUPPORTED("""COMPUTED_VALUE"""),108)</f>
        <v>108</v>
      </c>
      <c r="C891" s="2">
        <f t="shared" ca="1" si="3"/>
        <v>-3.4938790099186816E-2</v>
      </c>
    </row>
    <row r="892" spans="1:3">
      <c r="A892" s="3">
        <f ca="1">IFERROR(__xludf.UNSUPPORTED("""COMPUTED_VALUE"""),44757.6666666666)</f>
        <v>44757.666666666599</v>
      </c>
      <c r="B892" s="1">
        <f ca="1">IFERROR(__xludf.UNSUPPORTED("""COMPUTED_VALUE"""),112.95)</f>
        <v>112.95</v>
      </c>
      <c r="C892" s="2">
        <f t="shared" ca="1" si="3"/>
        <v>4.5833333333333358E-2</v>
      </c>
    </row>
    <row r="893" spans="1:3">
      <c r="A893" s="3">
        <f ca="1">IFERROR(__xludf.UNSUPPORTED("""COMPUTED_VALUE"""),44760.6666666666)</f>
        <v>44760.666666666599</v>
      </c>
      <c r="B893" s="1">
        <f ca="1">IFERROR(__xludf.UNSUPPORTED("""COMPUTED_VALUE"""),111.79)</f>
        <v>111.79</v>
      </c>
      <c r="C893" s="2">
        <f t="shared" ca="1" si="3"/>
        <v>-1.0270030987162431E-2</v>
      </c>
    </row>
    <row r="894" spans="1:3">
      <c r="A894" s="3">
        <f ca="1">IFERROR(__xludf.UNSUPPORTED("""COMPUTED_VALUE"""),44761.6666666666)</f>
        <v>44761.666666666599</v>
      </c>
      <c r="B894" s="1">
        <f ca="1">IFERROR(__xludf.UNSUPPORTED("""COMPUTED_VALUE"""),114.56)</f>
        <v>114.56</v>
      </c>
      <c r="C894" s="2">
        <f t="shared" ca="1" si="3"/>
        <v>2.477860273727521E-2</v>
      </c>
    </row>
    <row r="895" spans="1:3">
      <c r="A895" s="3">
        <f ca="1">IFERROR(__xludf.UNSUPPORTED("""COMPUTED_VALUE"""),44762.6666666666)</f>
        <v>44762.666666666599</v>
      </c>
      <c r="B895" s="1">
        <f ca="1">IFERROR(__xludf.UNSUPPORTED("""COMPUTED_VALUE"""),114.54)</f>
        <v>114.54</v>
      </c>
      <c r="C895" s="2">
        <f t="shared" ca="1" si="3"/>
        <v>-1.7458100558655744E-4</v>
      </c>
    </row>
    <row r="896" spans="1:3">
      <c r="A896" s="3">
        <f ca="1">IFERROR(__xludf.UNSUPPORTED("""COMPUTED_VALUE"""),44763.6666666666)</f>
        <v>44763.666666666599</v>
      </c>
      <c r="B896" s="1">
        <f ca="1">IFERROR(__xludf.UNSUPPORTED("""COMPUTED_VALUE"""),115.32)</f>
        <v>115.32</v>
      </c>
      <c r="C896" s="2">
        <f t="shared" ca="1" si="3"/>
        <v>6.8098480880040765E-3</v>
      </c>
    </row>
    <row r="897" spans="1:3">
      <c r="A897" s="3">
        <f ca="1">IFERROR(__xludf.UNSUPPORTED("""COMPUTED_VALUE"""),44764.6666666666)</f>
        <v>44764.666666666599</v>
      </c>
      <c r="B897" s="1">
        <f ca="1">IFERROR(__xludf.UNSUPPORTED("""COMPUTED_VALUE"""),114.76)</f>
        <v>114.76</v>
      </c>
      <c r="C897" s="2">
        <f t="shared" ca="1" si="3"/>
        <v>-4.8560527228580308E-3</v>
      </c>
    </row>
    <row r="898" spans="1:3">
      <c r="A898" s="3">
        <f ca="1">IFERROR(__xludf.UNSUPPORTED("""COMPUTED_VALUE"""),44767.6666666666)</f>
        <v>44767.666666666599</v>
      </c>
      <c r="B898" s="1">
        <f ca="1">IFERROR(__xludf.UNSUPPORTED("""COMPUTED_VALUE"""),115.22)</f>
        <v>115.22</v>
      </c>
      <c r="C898" s="2">
        <f t="shared" ca="1" si="3"/>
        <v>4.0083652840710504E-3</v>
      </c>
    </row>
    <row r="899" spans="1:3">
      <c r="A899" s="3">
        <f ca="1">IFERROR(__xludf.UNSUPPORTED("""COMPUTED_VALUE"""),44768.6666666666)</f>
        <v>44768.666666666599</v>
      </c>
      <c r="B899" s="1">
        <f ca="1">IFERROR(__xludf.UNSUPPORTED("""COMPUTED_VALUE"""),113.42)</f>
        <v>113.42</v>
      </c>
      <c r="C899" s="2">
        <f t="shared" ca="1" si="3"/>
        <v>-1.5622287797257396E-2</v>
      </c>
    </row>
    <row r="900" spans="1:3">
      <c r="A900" s="3">
        <f ca="1">IFERROR(__xludf.UNSUPPORTED("""COMPUTED_VALUE"""),44769.6666666666)</f>
        <v>44769.666666666599</v>
      </c>
      <c r="B900" s="1">
        <f ca="1">IFERROR(__xludf.UNSUPPORTED("""COMPUTED_VALUE"""),115.24)</f>
        <v>115.24</v>
      </c>
      <c r="C900" s="2">
        <f t="shared" ca="1" si="3"/>
        <v>1.6046552636219302E-2</v>
      </c>
    </row>
    <row r="901" spans="1:3">
      <c r="A901" s="3">
        <f ca="1">IFERROR(__xludf.UNSUPPORTED("""COMPUTED_VALUE"""),44770.6666666666)</f>
        <v>44770.666666666599</v>
      </c>
      <c r="B901" s="1">
        <f ca="1">IFERROR(__xludf.UNSUPPORTED("""COMPUTED_VALUE"""),114.81)</f>
        <v>114.81</v>
      </c>
      <c r="C901" s="2">
        <f t="shared" ca="1" si="3"/>
        <v>-3.7313432835820257E-3</v>
      </c>
    </row>
    <row r="902" spans="1:3">
      <c r="A902" s="3">
        <f ca="1">IFERROR(__xludf.UNSUPPORTED("""COMPUTED_VALUE"""),44771.6666666666)</f>
        <v>44771.666666666599</v>
      </c>
      <c r="B902" s="1">
        <f ca="1">IFERROR(__xludf.UNSUPPORTED("""COMPUTED_VALUE"""),115.36)</f>
        <v>115.36</v>
      </c>
      <c r="C902" s="2">
        <f t="shared" ca="1" si="3"/>
        <v>4.7905234735649959E-3</v>
      </c>
    </row>
    <row r="903" spans="1:3">
      <c r="A903" s="3">
        <f ca="1">IFERROR(__xludf.UNSUPPORTED("""COMPUTED_VALUE"""),44774.6666666666)</f>
        <v>44774.666666666599</v>
      </c>
      <c r="B903" s="1">
        <f ca="1">IFERROR(__xludf.UNSUPPORTED("""COMPUTED_VALUE"""),114.21)</f>
        <v>114.21</v>
      </c>
      <c r="C903" s="2">
        <f t="shared" ca="1" si="3"/>
        <v>-9.9687933425797997E-3</v>
      </c>
    </row>
    <row r="904" spans="1:3">
      <c r="A904" s="3">
        <f ca="1">IFERROR(__xludf.UNSUPPORTED("""COMPUTED_VALUE"""),44775.6666666666)</f>
        <v>44775.666666666599</v>
      </c>
      <c r="B904" s="1">
        <f ca="1">IFERROR(__xludf.UNSUPPORTED("""COMPUTED_VALUE"""),112.43)</f>
        <v>112.43</v>
      </c>
      <c r="C904" s="2">
        <f t="shared" ca="1" si="3"/>
        <v>-1.5585325277996559E-2</v>
      </c>
    </row>
    <row r="905" spans="1:3">
      <c r="A905" s="3">
        <f ca="1">IFERROR(__xludf.UNSUPPORTED("""COMPUTED_VALUE"""),44776.6666666666)</f>
        <v>44776.666666666599</v>
      </c>
      <c r="B905" s="1">
        <f ca="1">IFERROR(__xludf.UNSUPPORTED("""COMPUTED_VALUE"""),113.61)</f>
        <v>113.61</v>
      </c>
      <c r="C905" s="2">
        <f t="shared" ca="1" si="3"/>
        <v>1.0495419372053656E-2</v>
      </c>
    </row>
    <row r="906" spans="1:3">
      <c r="A906" s="3">
        <f ca="1">IFERROR(__xludf.UNSUPPORTED("""COMPUTED_VALUE"""),44777.6666666666)</f>
        <v>44777.666666666599</v>
      </c>
      <c r="B906" s="1">
        <f ca="1">IFERROR(__xludf.UNSUPPORTED("""COMPUTED_VALUE"""),112.36)</f>
        <v>112.36</v>
      </c>
      <c r="C906" s="2">
        <f t="shared" ca="1" si="3"/>
        <v>-1.1002552592201391E-2</v>
      </c>
    </row>
    <row r="907" spans="1:3">
      <c r="A907" s="3">
        <f ca="1">IFERROR(__xludf.UNSUPPORTED("""COMPUTED_VALUE"""),44778.6666666666)</f>
        <v>44778.666666666599</v>
      </c>
      <c r="B907" s="1">
        <f ca="1">IFERROR(__xludf.UNSUPPORTED("""COMPUTED_VALUE"""),115.76)</f>
        <v>115.76</v>
      </c>
      <c r="C907" s="2">
        <f t="shared" ca="1" si="3"/>
        <v>3.025987896048421E-2</v>
      </c>
    </row>
    <row r="908" spans="1:3">
      <c r="A908" s="3">
        <f ca="1">IFERROR(__xludf.UNSUPPORTED("""COMPUTED_VALUE"""),44781.6666666666)</f>
        <v>44781.666666666599</v>
      </c>
      <c r="B908" s="1">
        <f ca="1">IFERROR(__xludf.UNSUPPORTED("""COMPUTED_VALUE"""),114.35)</f>
        <v>114.35</v>
      </c>
      <c r="C908" s="2">
        <f t="shared" ca="1" si="3"/>
        <v>-1.2180373185901958E-2</v>
      </c>
    </row>
    <row r="909" spans="1:3">
      <c r="A909" s="3">
        <f ca="1">IFERROR(__xludf.UNSUPPORTED("""COMPUTED_VALUE"""),44782.6666666666)</f>
        <v>44782.666666666599</v>
      </c>
      <c r="B909" s="1">
        <f ca="1">IFERROR(__xludf.UNSUPPORTED("""COMPUTED_VALUE"""),115.38)</f>
        <v>115.38</v>
      </c>
      <c r="C909" s="2">
        <f t="shared" ca="1" si="3"/>
        <v>9.0074333187582095E-3</v>
      </c>
    </row>
    <row r="910" spans="1:3">
      <c r="A910" s="3">
        <f ca="1">IFERROR(__xludf.UNSUPPORTED("""COMPUTED_VALUE"""),44783.6666666666)</f>
        <v>44783.666666666599</v>
      </c>
      <c r="B910" s="1">
        <f ca="1">IFERROR(__xludf.UNSUPPORTED("""COMPUTED_VALUE"""),118.39)</f>
        <v>118.39</v>
      </c>
      <c r="C910" s="2">
        <f t="shared" ca="1" si="3"/>
        <v>2.6087710175073716E-2</v>
      </c>
    </row>
    <row r="911" spans="1:3">
      <c r="A911" s="3">
        <f ca="1">IFERROR(__xludf.UNSUPPORTED("""COMPUTED_VALUE"""),44784.6666666666)</f>
        <v>44784.666666666599</v>
      </c>
      <c r="B911" s="1">
        <f ca="1">IFERROR(__xludf.UNSUPPORTED("""COMPUTED_VALUE"""),120.14)</f>
        <v>120.14</v>
      </c>
      <c r="C911" s="2">
        <f t="shared" ca="1" si="3"/>
        <v>1.4781653855899992E-2</v>
      </c>
    </row>
    <row r="912" spans="1:3">
      <c r="A912" s="3">
        <f ca="1">IFERROR(__xludf.UNSUPPORTED("""COMPUTED_VALUE"""),44785.6666666666)</f>
        <v>44785.666666666599</v>
      </c>
      <c r="B912" s="1">
        <f ca="1">IFERROR(__xludf.UNSUPPORTED("""COMPUTED_VALUE"""),122.13)</f>
        <v>122.13</v>
      </c>
      <c r="C912" s="2">
        <f t="shared" ca="1" si="3"/>
        <v>1.6564008656567295E-2</v>
      </c>
    </row>
    <row r="913" spans="1:3">
      <c r="A913" s="3">
        <f ca="1">IFERROR(__xludf.UNSUPPORTED("""COMPUTED_VALUE"""),44788.6666666666)</f>
        <v>44788.666666666599</v>
      </c>
      <c r="B913" s="1">
        <f ca="1">IFERROR(__xludf.UNSUPPORTED("""COMPUTED_VALUE"""),122.46)</f>
        <v>122.46</v>
      </c>
      <c r="C913" s="2">
        <f t="shared" ca="1" si="3"/>
        <v>2.7020388111029092E-3</v>
      </c>
    </row>
    <row r="914" spans="1:3">
      <c r="A914" s="3">
        <f ca="1">IFERROR(__xludf.UNSUPPORTED("""COMPUTED_VALUE"""),44789.6666666666)</f>
        <v>44789.666666666599</v>
      </c>
      <c r="B914" s="1">
        <f ca="1">IFERROR(__xludf.UNSUPPORTED("""COMPUTED_VALUE"""),123.63)</f>
        <v>123.63</v>
      </c>
      <c r="C914" s="2">
        <f t="shared" ca="1" si="3"/>
        <v>9.5541401273885503E-3</v>
      </c>
    </row>
    <row r="915" spans="1:3">
      <c r="A915" s="3">
        <f ca="1">IFERROR(__xludf.UNSUPPORTED("""COMPUTED_VALUE"""),44790.6666666666)</f>
        <v>44790.666666666599</v>
      </c>
      <c r="B915" s="1">
        <f ca="1">IFERROR(__xludf.UNSUPPORTED("""COMPUTED_VALUE"""),122.59)</f>
        <v>122.59</v>
      </c>
      <c r="C915" s="2">
        <f t="shared" ca="1" si="3"/>
        <v>-8.4121976866455717E-3</v>
      </c>
    </row>
    <row r="916" spans="1:3">
      <c r="A916" s="3">
        <f ca="1">IFERROR(__xludf.UNSUPPORTED("""COMPUTED_VALUE"""),44791.6666666666)</f>
        <v>44791.666666666599</v>
      </c>
      <c r="B916" s="1">
        <f ca="1">IFERROR(__xludf.UNSUPPORTED("""COMPUTED_VALUE"""),121.64)</f>
        <v>121.64</v>
      </c>
      <c r="C916" s="2">
        <f t="shared" ca="1" si="3"/>
        <v>-7.7494085977649306E-3</v>
      </c>
    </row>
    <row r="917" spans="1:3">
      <c r="A917" s="3">
        <f ca="1">IFERROR(__xludf.UNSUPPORTED("""COMPUTED_VALUE"""),44792.6666666666)</f>
        <v>44792.666666666599</v>
      </c>
      <c r="B917" s="1">
        <f ca="1">IFERROR(__xludf.UNSUPPORTED("""COMPUTED_VALUE"""),118.63)</f>
        <v>118.63</v>
      </c>
      <c r="C917" s="2">
        <f t="shared" ca="1" si="3"/>
        <v>-2.4745149621834963E-2</v>
      </c>
    </row>
    <row r="918" spans="1:3">
      <c r="A918" s="3">
        <f ca="1">IFERROR(__xludf.UNSUPPORTED("""COMPUTED_VALUE"""),44795.6666666666)</f>
        <v>44795.666666666599</v>
      </c>
      <c r="B918" s="1">
        <f ca="1">IFERROR(__xludf.UNSUPPORTED("""COMPUTED_VALUE"""),116.67)</f>
        <v>116.67</v>
      </c>
      <c r="C918" s="2">
        <f t="shared" ca="1" si="3"/>
        <v>-1.6521959032285205E-2</v>
      </c>
    </row>
    <row r="919" spans="1:3">
      <c r="A919" s="3">
        <f ca="1">IFERROR(__xludf.UNSUPPORTED("""COMPUTED_VALUE"""),44796.6666666666)</f>
        <v>44796.666666666599</v>
      </c>
      <c r="B919" s="1">
        <f ca="1">IFERROR(__xludf.UNSUPPORTED("""COMPUTED_VALUE"""),115.52)</f>
        <v>115.52</v>
      </c>
      <c r="C919" s="2">
        <f t="shared" ca="1" si="3"/>
        <v>-9.8568612325362626E-3</v>
      </c>
    </row>
    <row r="920" spans="1:3">
      <c r="A920" s="3">
        <f ca="1">IFERROR(__xludf.UNSUPPORTED("""COMPUTED_VALUE"""),44797.6666666666)</f>
        <v>44797.666666666599</v>
      </c>
      <c r="B920" s="1">
        <f ca="1">IFERROR(__xludf.UNSUPPORTED("""COMPUTED_VALUE"""),115.8)</f>
        <v>115.8</v>
      </c>
      <c r="C920" s="2">
        <f t="shared" ca="1" si="3"/>
        <v>2.4238227146814503E-3</v>
      </c>
    </row>
    <row r="921" spans="1:3">
      <c r="A921" s="3">
        <f ca="1">IFERROR(__xludf.UNSUPPORTED("""COMPUTED_VALUE"""),44798.6666666666)</f>
        <v>44798.666666666599</v>
      </c>
      <c r="B921" s="1">
        <f ca="1">IFERROR(__xludf.UNSUPPORTED("""COMPUTED_VALUE"""),118.55)</f>
        <v>118.55</v>
      </c>
      <c r="C921" s="2">
        <f t="shared" ca="1" si="3"/>
        <v>2.3747841105354061E-2</v>
      </c>
    </row>
    <row r="922" spans="1:3">
      <c r="A922" s="3">
        <f ca="1">IFERROR(__xludf.UNSUPPORTED("""COMPUTED_VALUE"""),44799.6666666666)</f>
        <v>44799.666666666599</v>
      </c>
      <c r="B922" s="1">
        <f ca="1">IFERROR(__xludf.UNSUPPORTED("""COMPUTED_VALUE"""),114.67)</f>
        <v>114.67</v>
      </c>
      <c r="C922" s="2">
        <f t="shared" ca="1" si="3"/>
        <v>-3.2728806410797097E-2</v>
      </c>
    </row>
    <row r="923" spans="1:3">
      <c r="A923" s="3">
        <f ca="1">IFERROR(__xludf.UNSUPPORTED("""COMPUTED_VALUE"""),44802.6666666666)</f>
        <v>44802.666666666599</v>
      </c>
      <c r="B923" s="1">
        <f ca="1">IFERROR(__xludf.UNSUPPORTED("""COMPUTED_VALUE"""),114.39)</f>
        <v>114.39</v>
      </c>
      <c r="C923" s="2">
        <f t="shared" ca="1" si="3"/>
        <v>-2.4417894828638802E-3</v>
      </c>
    </row>
    <row r="924" spans="1:3">
      <c r="A924" s="3">
        <f ca="1">IFERROR(__xludf.UNSUPPORTED("""COMPUTED_VALUE"""),44803.6666666666)</f>
        <v>44803.666666666599</v>
      </c>
      <c r="B924" s="1">
        <f ca="1">IFERROR(__xludf.UNSUPPORTED("""COMPUTED_VALUE"""),114.41)</f>
        <v>114.41</v>
      </c>
      <c r="C924" s="2">
        <f t="shared" ca="1" si="3"/>
        <v>1.748404580819654E-4</v>
      </c>
    </row>
    <row r="925" spans="1:3">
      <c r="A925" s="3">
        <f ca="1">IFERROR(__xludf.UNSUPPORTED("""COMPUTED_VALUE"""),44804.6666666666)</f>
        <v>44804.666666666599</v>
      </c>
      <c r="B925" s="1">
        <f ca="1">IFERROR(__xludf.UNSUPPORTED("""COMPUTED_VALUE"""),113.73)</f>
        <v>113.73</v>
      </c>
      <c r="C925" s="2">
        <f t="shared" ca="1" si="3"/>
        <v>-5.943536404160411E-3</v>
      </c>
    </row>
    <row r="926" spans="1:3">
      <c r="A926" s="3">
        <f ca="1">IFERROR(__xludf.UNSUPPORTED("""COMPUTED_VALUE"""),44805.6666666666)</f>
        <v>44805.666666666599</v>
      </c>
      <c r="B926" s="1">
        <f ca="1">IFERROR(__xludf.UNSUPPORTED("""COMPUTED_VALUE"""),114.51)</f>
        <v>114.51</v>
      </c>
      <c r="C926" s="2">
        <f t="shared" ca="1" si="3"/>
        <v>6.8583487206541911E-3</v>
      </c>
    </row>
    <row r="927" spans="1:3">
      <c r="A927" s="3">
        <f ca="1">IFERROR(__xludf.UNSUPPORTED("""COMPUTED_VALUE"""),44806.6666666666)</f>
        <v>44806.666666666599</v>
      </c>
      <c r="B927" s="1">
        <f ca="1">IFERROR(__xludf.UNSUPPORTED("""COMPUTED_VALUE"""),113.71)</f>
        <v>113.71</v>
      </c>
      <c r="C927" s="2">
        <f t="shared" ca="1" si="3"/>
        <v>-6.9862894070387852E-3</v>
      </c>
    </row>
    <row r="928" spans="1:3">
      <c r="A928" s="3">
        <f ca="1">IFERROR(__xludf.UNSUPPORTED("""COMPUTED_VALUE"""),44810.6666666666)</f>
        <v>44810.666666666599</v>
      </c>
      <c r="B928" s="1">
        <f ca="1">IFERROR(__xludf.UNSUPPORTED("""COMPUTED_VALUE"""),113.74)</f>
        <v>113.74</v>
      </c>
      <c r="C928" s="2">
        <f t="shared" ca="1" si="3"/>
        <v>2.6382903878287869E-4</v>
      </c>
    </row>
    <row r="929" spans="1:3">
      <c r="A929" s="3">
        <f ca="1">IFERROR(__xludf.UNSUPPORTED("""COMPUTED_VALUE"""),44811.6666666666)</f>
        <v>44811.666666666599</v>
      </c>
      <c r="B929" s="1">
        <f ca="1">IFERROR(__xludf.UNSUPPORTED("""COMPUTED_VALUE"""),115.9)</f>
        <v>115.9</v>
      </c>
      <c r="C929" s="2">
        <f t="shared" ca="1" si="3"/>
        <v>1.8990680499384658E-2</v>
      </c>
    </row>
    <row r="930" spans="1:3">
      <c r="A930" s="3">
        <f ca="1">IFERROR(__xludf.UNSUPPORTED("""COMPUTED_VALUE"""),44812.6666666666)</f>
        <v>44812.666666666599</v>
      </c>
      <c r="B930" s="1">
        <f ca="1">IFERROR(__xludf.UNSUPPORTED("""COMPUTED_VALUE"""),118.6)</f>
        <v>118.6</v>
      </c>
      <c r="C930" s="2">
        <f t="shared" ca="1" si="3"/>
        <v>2.3295944779982643E-2</v>
      </c>
    </row>
    <row r="931" spans="1:3">
      <c r="A931" s="3">
        <f ca="1">IFERROR(__xludf.UNSUPPORTED("""COMPUTED_VALUE"""),44813.6666666666)</f>
        <v>44813.666666666599</v>
      </c>
      <c r="B931" s="1">
        <f ca="1">IFERROR(__xludf.UNSUPPORTED("""COMPUTED_VALUE"""),119.17)</f>
        <v>119.17</v>
      </c>
      <c r="C931" s="2">
        <f t="shared" ca="1" si="3"/>
        <v>4.8060708263069768E-3</v>
      </c>
    </row>
    <row r="932" spans="1:3">
      <c r="A932" s="3">
        <f ca="1">IFERROR(__xludf.UNSUPPORTED("""COMPUTED_VALUE"""),44816.6666666666)</f>
        <v>44816.666666666599</v>
      </c>
      <c r="B932" s="1">
        <f ca="1">IFERROR(__xludf.UNSUPPORTED("""COMPUTED_VALUE"""),120.58)</f>
        <v>120.58</v>
      </c>
      <c r="C932" s="2">
        <f t="shared" ca="1" si="3"/>
        <v>1.1831836871695868E-2</v>
      </c>
    </row>
    <row r="933" spans="1:3">
      <c r="A933" s="3">
        <f ca="1">IFERROR(__xludf.UNSUPPORTED("""COMPUTED_VALUE"""),44817.6666666666)</f>
        <v>44817.666666666599</v>
      </c>
      <c r="B933" s="1">
        <f ca="1">IFERROR(__xludf.UNSUPPORTED("""COMPUTED_VALUE"""),116.39)</f>
        <v>116.39</v>
      </c>
      <c r="C933" s="2">
        <f t="shared" ca="1" si="3"/>
        <v>-3.4748714546359243E-2</v>
      </c>
    </row>
    <row r="934" spans="1:3">
      <c r="A934" s="3">
        <f ca="1">IFERROR(__xludf.UNSUPPORTED("""COMPUTED_VALUE"""),44818.6666666666)</f>
        <v>44818.666666666599</v>
      </c>
      <c r="B934" s="1">
        <f ca="1">IFERROR(__xludf.UNSUPPORTED("""COMPUTED_VALUE"""),116.12)</f>
        <v>116.12</v>
      </c>
      <c r="C934" s="2">
        <f t="shared" ca="1" si="3"/>
        <v>-2.3197869232751611E-3</v>
      </c>
    </row>
    <row r="935" spans="1:3">
      <c r="A935" s="3">
        <f ca="1">IFERROR(__xludf.UNSUPPORTED("""COMPUTED_VALUE"""),44819.6666666666)</f>
        <v>44819.666666666599</v>
      </c>
      <c r="B935" s="1">
        <f ca="1">IFERROR(__xludf.UNSUPPORTED("""COMPUTED_VALUE"""),117.87)</f>
        <v>117.87</v>
      </c>
      <c r="C935" s="2">
        <f t="shared" ca="1" si="3"/>
        <v>1.5070616603513606E-2</v>
      </c>
    </row>
    <row r="936" spans="1:3">
      <c r="A936" s="3">
        <f ca="1">IFERROR(__xludf.UNSUPPORTED("""COMPUTED_VALUE"""),44820.6666666666)</f>
        <v>44820.666666666599</v>
      </c>
      <c r="B936" s="1">
        <f ca="1">IFERROR(__xludf.UNSUPPORTED("""COMPUTED_VALUE"""),117.08)</f>
        <v>117.08</v>
      </c>
      <c r="C936" s="2">
        <f t="shared" ca="1" si="3"/>
        <v>-6.7022991431238332E-3</v>
      </c>
    </row>
    <row r="937" spans="1:3">
      <c r="A937" s="3">
        <f ca="1">IFERROR(__xludf.UNSUPPORTED("""COMPUTED_VALUE"""),44823.6666666666)</f>
        <v>44823.666666666599</v>
      </c>
      <c r="B937" s="1">
        <f ca="1">IFERROR(__xludf.UNSUPPORTED("""COMPUTED_VALUE"""),118.16)</f>
        <v>118.16</v>
      </c>
      <c r="C937" s="2">
        <f t="shared" ca="1" si="3"/>
        <v>9.2244619063887798E-3</v>
      </c>
    </row>
    <row r="938" spans="1:3">
      <c r="A938" s="3">
        <f ca="1">IFERROR(__xludf.UNSUPPORTED("""COMPUTED_VALUE"""),44824.6666666666)</f>
        <v>44824.666666666599</v>
      </c>
      <c r="B938" s="1">
        <f ca="1">IFERROR(__xludf.UNSUPPORTED("""COMPUTED_VALUE"""),115.83)</f>
        <v>115.83</v>
      </c>
      <c r="C938" s="2">
        <f t="shared" ca="1" si="3"/>
        <v>-1.9719025050778591E-2</v>
      </c>
    </row>
    <row r="939" spans="1:3">
      <c r="A939" s="3">
        <f ca="1">IFERROR(__xludf.UNSUPPORTED("""COMPUTED_VALUE"""),44825.6666666666)</f>
        <v>44825.666666666599</v>
      </c>
      <c r="B939" s="1">
        <f ca="1">IFERROR(__xludf.UNSUPPORTED("""COMPUTED_VALUE"""),112.49)</f>
        <v>112.49</v>
      </c>
      <c r="C939" s="2">
        <f t="shared" ca="1" si="3"/>
        <v>-2.8835362168695533E-2</v>
      </c>
    </row>
    <row r="940" spans="1:3">
      <c r="A940" s="3">
        <f ca="1">IFERROR(__xludf.UNSUPPORTED("""COMPUTED_VALUE"""),44826.6666666666)</f>
        <v>44826.666666666599</v>
      </c>
      <c r="B940" s="1">
        <f ca="1">IFERROR(__xludf.UNSUPPORTED("""COMPUTED_VALUE"""),111.21)</f>
        <v>111.21</v>
      </c>
      <c r="C940" s="2">
        <f t="shared" ca="1" si="3"/>
        <v>-1.1378789225708962E-2</v>
      </c>
    </row>
    <row r="941" spans="1:3">
      <c r="A941" s="3">
        <f ca="1">IFERROR(__xludf.UNSUPPORTED("""COMPUTED_VALUE"""),44827.6666666666)</f>
        <v>44827.666666666599</v>
      </c>
      <c r="B941" s="1">
        <f ca="1">IFERROR(__xludf.UNSUPPORTED("""COMPUTED_VALUE"""),109.14)</f>
        <v>109.14</v>
      </c>
      <c r="C941" s="2">
        <f t="shared" ca="1" si="3"/>
        <v>-1.8613434043701044E-2</v>
      </c>
    </row>
    <row r="942" spans="1:3">
      <c r="A942" s="3">
        <f ca="1">IFERROR(__xludf.UNSUPPORTED("""COMPUTED_VALUE"""),44830.6666666666)</f>
        <v>44830.666666666599</v>
      </c>
      <c r="B942" s="1">
        <f ca="1">IFERROR(__xludf.UNSUPPORTED("""COMPUTED_VALUE"""),106.79)</f>
        <v>106.79</v>
      </c>
      <c r="C942" s="2">
        <f t="shared" ca="1" si="3"/>
        <v>-2.1531977276892014E-2</v>
      </c>
    </row>
    <row r="943" spans="1:3">
      <c r="A943" s="3">
        <f ca="1">IFERROR(__xludf.UNSUPPORTED("""COMPUTED_VALUE"""),44831.6666666666)</f>
        <v>44831.666666666599</v>
      </c>
      <c r="B943" s="1">
        <f ca="1">IFERROR(__xludf.UNSUPPORTED("""COMPUTED_VALUE"""),105.85)</f>
        <v>105.85</v>
      </c>
      <c r="C943" s="2">
        <f t="shared" ca="1" si="3"/>
        <v>-8.8023223148235973E-3</v>
      </c>
    </row>
    <row r="944" spans="1:3">
      <c r="A944" s="3">
        <f ca="1">IFERROR(__xludf.UNSUPPORTED("""COMPUTED_VALUE"""),44832.6666666666)</f>
        <v>44832.666666666599</v>
      </c>
      <c r="B944" s="1">
        <f ca="1">IFERROR(__xludf.UNSUPPORTED("""COMPUTED_VALUE"""),107.99)</f>
        <v>107.99</v>
      </c>
      <c r="C944" s="2">
        <f t="shared" ca="1" si="3"/>
        <v>2.0217288615965997E-2</v>
      </c>
    </row>
    <row r="945" spans="1:3">
      <c r="A945" s="3">
        <f ca="1">IFERROR(__xludf.UNSUPPORTED("""COMPUTED_VALUE"""),44833.6666666666)</f>
        <v>44833.666666666599</v>
      </c>
      <c r="B945" s="1">
        <f ca="1">IFERROR(__xludf.UNSUPPORTED("""COMPUTED_VALUE"""),106.16)</f>
        <v>106.16</v>
      </c>
      <c r="C945" s="2">
        <f t="shared" ca="1" si="3"/>
        <v>-1.6946013519770334E-2</v>
      </c>
    </row>
    <row r="946" spans="1:3">
      <c r="A946" s="3">
        <f ca="1">IFERROR(__xludf.UNSUPPORTED("""COMPUTED_VALUE"""),44834.6666666666)</f>
        <v>44834.666666666599</v>
      </c>
      <c r="B946" s="1">
        <f ca="1">IFERROR(__xludf.UNSUPPORTED("""COMPUTED_VALUE"""),104.5)</f>
        <v>104.5</v>
      </c>
      <c r="C946" s="2">
        <f t="shared" ca="1" si="3"/>
        <v>-1.5636774679728679E-2</v>
      </c>
    </row>
    <row r="947" spans="1:3">
      <c r="A947" s="3">
        <f ca="1">IFERROR(__xludf.UNSUPPORTED("""COMPUTED_VALUE"""),44837.6666666666)</f>
        <v>44837.666666666599</v>
      </c>
      <c r="B947" s="1">
        <f ca="1">IFERROR(__xludf.UNSUPPORTED("""COMPUTED_VALUE"""),107.73)</f>
        <v>107.73</v>
      </c>
      <c r="C947" s="2">
        <f t="shared" ca="1" si="3"/>
        <v>3.0909090909090949E-2</v>
      </c>
    </row>
    <row r="948" spans="1:3">
      <c r="A948" s="3">
        <f ca="1">IFERROR(__xludf.UNSUPPORTED("""COMPUTED_VALUE"""),44838.6666666666)</f>
        <v>44838.666666666599</v>
      </c>
      <c r="B948" s="1">
        <f ca="1">IFERROR(__xludf.UNSUPPORTED("""COMPUTED_VALUE"""),112.77)</f>
        <v>112.77</v>
      </c>
      <c r="C948" s="2">
        <f t="shared" ca="1" si="3"/>
        <v>4.6783625730994073E-2</v>
      </c>
    </row>
    <row r="949" spans="1:3">
      <c r="A949" s="3">
        <f ca="1">IFERROR(__xludf.UNSUPPORTED("""COMPUTED_VALUE"""),44839.6666666666)</f>
        <v>44839.666666666599</v>
      </c>
      <c r="B949" s="1">
        <f ca="1">IFERROR(__xludf.UNSUPPORTED("""COMPUTED_VALUE"""),110.39)</f>
        <v>110.39</v>
      </c>
      <c r="C949" s="2">
        <f t="shared" ca="1" si="3"/>
        <v>-2.1104903786467993E-2</v>
      </c>
    </row>
    <row r="950" spans="1:3">
      <c r="A950" s="3">
        <f ca="1">IFERROR(__xludf.UNSUPPORTED("""COMPUTED_VALUE"""),44840.6666666666)</f>
        <v>44840.666666666599</v>
      </c>
      <c r="B950" s="1">
        <f ca="1">IFERROR(__xludf.UNSUPPORTED("""COMPUTED_VALUE"""),108.14)</f>
        <v>108.14</v>
      </c>
      <c r="C950" s="2">
        <f t="shared" ca="1" si="3"/>
        <v>-2.0382281003714104E-2</v>
      </c>
    </row>
    <row r="951" spans="1:3">
      <c r="A951" s="3">
        <f ca="1">IFERROR(__xludf.UNSUPPORTED("""COMPUTED_VALUE"""),44841.6666666666)</f>
        <v>44841.666666666599</v>
      </c>
      <c r="B951" s="1">
        <f ca="1">IFERROR(__xludf.UNSUPPORTED("""COMPUTED_VALUE"""),105.98)</f>
        <v>105.98</v>
      </c>
      <c r="C951" s="2">
        <f t="shared" ca="1" si="3"/>
        <v>-1.9974107638246686E-2</v>
      </c>
    </row>
    <row r="952" spans="1:3">
      <c r="A952" s="3">
        <f ca="1">IFERROR(__xludf.UNSUPPORTED("""COMPUTED_VALUE"""),44844.6666666666)</f>
        <v>44844.666666666599</v>
      </c>
      <c r="B952" s="1">
        <f ca="1">IFERROR(__xludf.UNSUPPORTED("""COMPUTED_VALUE"""),104.99)</f>
        <v>104.99</v>
      </c>
      <c r="C952" s="2">
        <f t="shared" ca="1" si="3"/>
        <v>-9.341385167012729E-3</v>
      </c>
    </row>
    <row r="953" spans="1:3">
      <c r="A953" s="3">
        <f ca="1">IFERROR(__xludf.UNSUPPORTED("""COMPUTED_VALUE"""),44845.6666666666)</f>
        <v>44845.666666666599</v>
      </c>
      <c r="B953" s="1">
        <f ca="1">IFERROR(__xludf.UNSUPPORTED("""COMPUTED_VALUE"""),101.96)</f>
        <v>101.96</v>
      </c>
      <c r="C953" s="2">
        <f t="shared" ca="1" si="3"/>
        <v>-2.8859891418230321E-2</v>
      </c>
    </row>
    <row r="954" spans="1:3">
      <c r="A954" s="3">
        <f ca="1">IFERROR(__xludf.UNSUPPORTED("""COMPUTED_VALUE"""),44846.6666666666)</f>
        <v>44846.666666666599</v>
      </c>
      <c r="B954" s="1">
        <f ca="1">IFERROR(__xludf.UNSUPPORTED("""COMPUTED_VALUE"""),103.61)</f>
        <v>103.61</v>
      </c>
      <c r="C954" s="2">
        <f t="shared" ca="1" si="3"/>
        <v>1.6182816790898447E-2</v>
      </c>
    </row>
    <row r="955" spans="1:3">
      <c r="A955" s="3">
        <f ca="1">IFERROR(__xludf.UNSUPPORTED("""COMPUTED_VALUE"""),44847.6666666666)</f>
        <v>44847.666666666599</v>
      </c>
      <c r="B955" s="1">
        <f ca="1">IFERROR(__xludf.UNSUPPORTED("""COMPUTED_VALUE"""),109.37)</f>
        <v>109.37</v>
      </c>
      <c r="C955" s="2">
        <f t="shared" ca="1" si="3"/>
        <v>5.5593089470128414E-2</v>
      </c>
    </row>
    <row r="956" spans="1:3">
      <c r="A956" s="3">
        <f ca="1">IFERROR(__xludf.UNSUPPORTED("""COMPUTED_VALUE"""),44848.6666666666)</f>
        <v>44848.666666666599</v>
      </c>
      <c r="B956" s="1">
        <f ca="1">IFERROR(__xludf.UNSUPPORTED("""COMPUTED_VALUE"""),111.19)</f>
        <v>111.19</v>
      </c>
      <c r="C956" s="2">
        <f t="shared" ca="1" si="3"/>
        <v>1.6640760720490016E-2</v>
      </c>
    </row>
    <row r="957" spans="1:3">
      <c r="A957" s="3">
        <f ca="1">IFERROR(__xludf.UNSUPPORTED("""COMPUTED_VALUE"""),44851.6666666666)</f>
        <v>44851.666666666599</v>
      </c>
      <c r="B957" s="1">
        <f ca="1">IFERROR(__xludf.UNSUPPORTED("""COMPUTED_VALUE"""),115.86)</f>
        <v>115.86</v>
      </c>
      <c r="C957" s="2">
        <f t="shared" ca="1" si="3"/>
        <v>4.200017987229069E-2</v>
      </c>
    </row>
    <row r="958" spans="1:3">
      <c r="A958" s="3">
        <f ca="1">IFERROR(__xludf.UNSUPPORTED("""COMPUTED_VALUE"""),44852.6666666666)</f>
        <v>44852.666666666599</v>
      </c>
      <c r="B958" s="1">
        <f ca="1">IFERROR(__xludf.UNSUPPORTED("""COMPUTED_VALUE"""),118.84)</f>
        <v>118.84</v>
      </c>
      <c r="C958" s="2">
        <f t="shared" ca="1" si="3"/>
        <v>2.5720697393405868E-2</v>
      </c>
    </row>
    <row r="959" spans="1:3">
      <c r="A959" s="3">
        <f ca="1">IFERROR(__xludf.UNSUPPORTED("""COMPUTED_VALUE"""),44853.6666666666)</f>
        <v>44853.666666666599</v>
      </c>
      <c r="B959" s="1">
        <f ca="1">IFERROR(__xludf.UNSUPPORTED("""COMPUTED_VALUE"""),116.51)</f>
        <v>116.51</v>
      </c>
      <c r="C959" s="2">
        <f t="shared" ca="1" si="3"/>
        <v>-1.960619320094243E-2</v>
      </c>
    </row>
    <row r="960" spans="1:3">
      <c r="A960" s="3">
        <f ca="1">IFERROR(__xludf.UNSUPPORTED("""COMPUTED_VALUE"""),44854.6666666666)</f>
        <v>44854.666666666599</v>
      </c>
      <c r="B960" s="1">
        <f ca="1">IFERROR(__xludf.UNSUPPORTED("""COMPUTED_VALUE"""),116.13)</f>
        <v>116.13</v>
      </c>
      <c r="C960" s="2">
        <f t="shared" ca="1" si="3"/>
        <v>-3.2615226160845391E-3</v>
      </c>
    </row>
    <row r="961" spans="1:3">
      <c r="A961" s="3">
        <f ca="1">IFERROR(__xludf.UNSUPPORTED("""COMPUTED_VALUE"""),44855.6666666666)</f>
        <v>44855.666666666599</v>
      </c>
      <c r="B961" s="1">
        <f ca="1">IFERROR(__xludf.UNSUPPORTED("""COMPUTED_VALUE"""),122.23)</f>
        <v>122.23</v>
      </c>
      <c r="C961" s="2">
        <f t="shared" ca="1" si="3"/>
        <v>5.2527340049944103E-2</v>
      </c>
    </row>
    <row r="962" spans="1:3">
      <c r="A962" s="3">
        <f ca="1">IFERROR(__xludf.UNSUPPORTED("""COMPUTED_VALUE"""),44858.6666666666)</f>
        <v>44858.666666666599</v>
      </c>
      <c r="B962" s="1">
        <f ca="1">IFERROR(__xludf.UNSUPPORTED("""COMPUTED_VALUE"""),122.38)</f>
        <v>122.38</v>
      </c>
      <c r="C962" s="2">
        <f t="shared" ca="1" si="3"/>
        <v>1.2271946330687348E-3</v>
      </c>
    </row>
    <row r="963" spans="1:3">
      <c r="A963" s="3">
        <f ca="1">IFERROR(__xludf.UNSUPPORTED("""COMPUTED_VALUE"""),44859.6666666666)</f>
        <v>44859.666666666599</v>
      </c>
      <c r="B963" s="1">
        <f ca="1">IFERROR(__xludf.UNSUPPORTED("""COMPUTED_VALUE"""),122.7)</f>
        <v>122.7</v>
      </c>
      <c r="C963" s="2">
        <f t="shared" ca="1" si="3"/>
        <v>2.614806340905437E-3</v>
      </c>
    </row>
    <row r="964" spans="1:3">
      <c r="A964" s="3">
        <f ca="1">IFERROR(__xludf.UNSUPPORTED("""COMPUTED_VALUE"""),44860.6666666666)</f>
        <v>44860.666666666599</v>
      </c>
      <c r="B964" s="1">
        <f ca="1">IFERROR(__xludf.UNSUPPORTED("""COMPUTED_VALUE"""),124.11)</f>
        <v>124.11</v>
      </c>
      <c r="C964" s="2">
        <f t="shared" ca="1" si="3"/>
        <v>1.1491442542787259E-2</v>
      </c>
    </row>
    <row r="965" spans="1:3">
      <c r="A965" s="3">
        <f ca="1">IFERROR(__xludf.UNSUPPORTED("""COMPUTED_VALUE"""),44861.6666666666)</f>
        <v>44861.666666666599</v>
      </c>
      <c r="B965" s="1">
        <f ca="1">IFERROR(__xludf.UNSUPPORTED("""COMPUTED_VALUE"""),124.6)</f>
        <v>124.6</v>
      </c>
      <c r="C965" s="2">
        <f t="shared" ca="1" si="3"/>
        <v>3.9481105470952774E-3</v>
      </c>
    </row>
    <row r="966" spans="1:3">
      <c r="A966" s="3">
        <f ca="1">IFERROR(__xludf.UNSUPPORTED("""COMPUTED_VALUE"""),44862.6666666666)</f>
        <v>44862.666666666599</v>
      </c>
      <c r="B966" s="1">
        <f ca="1">IFERROR(__xludf.UNSUPPORTED("""COMPUTED_VALUE"""),126.08)</f>
        <v>126.08</v>
      </c>
      <c r="C966" s="2">
        <f t="shared" ca="1" si="3"/>
        <v>1.1878009630818653E-2</v>
      </c>
    </row>
    <row r="967" spans="1:3">
      <c r="A967" s="3">
        <f ca="1">IFERROR(__xludf.UNSUPPORTED("""COMPUTED_VALUE"""),44865.6666666666)</f>
        <v>44865.666666666599</v>
      </c>
      <c r="B967" s="1">
        <f ca="1">IFERROR(__xludf.UNSUPPORTED("""COMPUTED_VALUE"""),125.88)</f>
        <v>125.88</v>
      </c>
      <c r="C967" s="2">
        <f t="shared" ca="1" si="3"/>
        <v>-1.5862944162436774E-3</v>
      </c>
    </row>
    <row r="968" spans="1:3">
      <c r="A968" s="3">
        <f ca="1">IFERROR(__xludf.UNSUPPORTED("""COMPUTED_VALUE"""),44866.6666666666)</f>
        <v>44866.666666666599</v>
      </c>
      <c r="B968" s="1">
        <f ca="1">IFERROR(__xludf.UNSUPPORTED("""COMPUTED_VALUE"""),128.15)</f>
        <v>128.15</v>
      </c>
      <c r="C968" s="2">
        <f t="shared" ca="1" si="3"/>
        <v>1.8033047346679459E-2</v>
      </c>
    </row>
    <row r="969" spans="1:3">
      <c r="A969" s="3">
        <f ca="1">IFERROR(__xludf.UNSUPPORTED("""COMPUTED_VALUE"""),44867.6666666666)</f>
        <v>44867.666666666599</v>
      </c>
      <c r="B969" s="1">
        <f ca="1">IFERROR(__xludf.UNSUPPORTED("""COMPUTED_VALUE"""),126.97)</f>
        <v>126.97</v>
      </c>
      <c r="C969" s="2">
        <f t="shared" ca="1" si="3"/>
        <v>-9.2079594225517505E-3</v>
      </c>
    </row>
    <row r="970" spans="1:3">
      <c r="A970" s="3">
        <f ca="1">IFERROR(__xludf.UNSUPPORTED("""COMPUTED_VALUE"""),44868.6666666666)</f>
        <v>44868.666666666599</v>
      </c>
      <c r="B970" s="1">
        <f ca="1">IFERROR(__xludf.UNSUPPORTED("""COMPUTED_VALUE"""),127.2)</f>
        <v>127.2</v>
      </c>
      <c r="C970" s="2">
        <f t="shared" ca="1" si="3"/>
        <v>1.8114515239820743E-3</v>
      </c>
    </row>
    <row r="971" spans="1:3">
      <c r="A971" s="3">
        <f ca="1">IFERROR(__xludf.UNSUPPORTED("""COMPUTED_VALUE"""),44869.6666666666)</f>
        <v>44869.666666666599</v>
      </c>
      <c r="B971" s="1">
        <f ca="1">IFERROR(__xludf.UNSUPPORTED("""COMPUTED_VALUE"""),130.68)</f>
        <v>130.68</v>
      </c>
      <c r="C971" s="2">
        <f t="shared" ca="1" si="3"/>
        <v>2.7358490566037768E-2</v>
      </c>
    </row>
    <row r="972" spans="1:3">
      <c r="A972" s="3">
        <f ca="1">IFERROR(__xludf.UNSUPPORTED("""COMPUTED_VALUE"""),44872.6666666666)</f>
        <v>44872.666666666599</v>
      </c>
      <c r="B972" s="1">
        <f ca="1">IFERROR(__xludf.UNSUPPORTED("""COMPUTED_VALUE"""),131.37)</f>
        <v>131.37</v>
      </c>
      <c r="C972" s="2">
        <f t="shared" ca="1" si="3"/>
        <v>5.2800734618916262E-3</v>
      </c>
    </row>
    <row r="973" spans="1:3">
      <c r="A973" s="3">
        <f ca="1">IFERROR(__xludf.UNSUPPORTED("""COMPUTED_VALUE"""),44873.6666666666)</f>
        <v>44873.666666666599</v>
      </c>
      <c r="B973" s="1">
        <f ca="1">IFERROR(__xludf.UNSUPPORTED("""COMPUTED_VALUE"""),131.45)</f>
        <v>131.44999999999999</v>
      </c>
      <c r="C973" s="2">
        <f t="shared" ca="1" si="3"/>
        <v>6.0896703965885733E-4</v>
      </c>
    </row>
    <row r="974" spans="1:3">
      <c r="A974" s="3">
        <f ca="1">IFERROR(__xludf.UNSUPPORTED("""COMPUTED_VALUE"""),44874.6666666666)</f>
        <v>44874.666666666599</v>
      </c>
      <c r="B974" s="1">
        <f ca="1">IFERROR(__xludf.UNSUPPORTED("""COMPUTED_VALUE"""),129.74)</f>
        <v>129.74</v>
      </c>
      <c r="C974" s="2">
        <f t="shared" ca="1" si="3"/>
        <v>-1.3008748573601975E-2</v>
      </c>
    </row>
    <row r="975" spans="1:3">
      <c r="A975" s="3">
        <f ca="1">IFERROR(__xludf.UNSUPPORTED("""COMPUTED_VALUE"""),44875.6666666666)</f>
        <v>44875.666666666599</v>
      </c>
      <c r="B975" s="1">
        <f ca="1">IFERROR(__xludf.UNSUPPORTED("""COMPUTED_VALUE"""),135.08)</f>
        <v>135.08000000000001</v>
      </c>
      <c r="C975" s="2">
        <f t="shared" ca="1" si="3"/>
        <v>4.1159241560043185E-2</v>
      </c>
    </row>
    <row r="976" spans="1:3">
      <c r="A976" s="3">
        <f ca="1">IFERROR(__xludf.UNSUPPORTED("""COMPUTED_VALUE"""),44876.6666666666)</f>
        <v>44876.666666666599</v>
      </c>
      <c r="B976" s="1">
        <f ca="1">IFERROR(__xludf.UNSUPPORTED("""COMPUTED_VALUE"""),135.3)</f>
        <v>135.30000000000001</v>
      </c>
      <c r="C976" s="2">
        <f t="shared" ca="1" si="3"/>
        <v>1.6286644951139979E-3</v>
      </c>
    </row>
    <row r="977" spans="1:3">
      <c r="A977" s="3">
        <f ca="1">IFERROR(__xludf.UNSUPPORTED("""COMPUTED_VALUE"""),44879.6666666666)</f>
        <v>44879.666666666599</v>
      </c>
      <c r="B977" s="1">
        <f ca="1">IFERROR(__xludf.UNSUPPORTED("""COMPUTED_VALUE"""),133.91)</f>
        <v>133.91</v>
      </c>
      <c r="C977" s="2">
        <f t="shared" ca="1" si="3"/>
        <v>-1.0273466371027455E-2</v>
      </c>
    </row>
    <row r="978" spans="1:3">
      <c r="A978" s="3">
        <f ca="1">IFERROR(__xludf.UNSUPPORTED("""COMPUTED_VALUE"""),44880.6666666666)</f>
        <v>44880.666666666599</v>
      </c>
      <c r="B978" s="1">
        <f ca="1">IFERROR(__xludf.UNSUPPORTED("""COMPUTED_VALUE"""),132.94)</f>
        <v>132.94</v>
      </c>
      <c r="C978" s="2">
        <f t="shared" ca="1" si="3"/>
        <v>-7.2436711223956302E-3</v>
      </c>
    </row>
    <row r="979" spans="1:3">
      <c r="A979" s="3">
        <f ca="1">IFERROR(__xludf.UNSUPPORTED("""COMPUTED_VALUE"""),44881.6666666666)</f>
        <v>44881.666666666599</v>
      </c>
      <c r="B979" s="1">
        <f ca="1">IFERROR(__xludf.UNSUPPORTED("""COMPUTED_VALUE"""),133.12)</f>
        <v>133.12</v>
      </c>
      <c r="C979" s="2">
        <f t="shared" ca="1" si="3"/>
        <v>1.3539942831353002E-3</v>
      </c>
    </row>
    <row r="980" spans="1:3">
      <c r="A980" s="3">
        <f ca="1">IFERROR(__xludf.UNSUPPORTED("""COMPUTED_VALUE"""),44882.6666666666)</f>
        <v>44882.666666666599</v>
      </c>
      <c r="B980" s="1">
        <f ca="1">IFERROR(__xludf.UNSUPPORTED("""COMPUTED_VALUE"""),132.54)</f>
        <v>132.54</v>
      </c>
      <c r="C980" s="2">
        <f t="shared" ca="1" si="3"/>
        <v>-4.3569711538462477E-3</v>
      </c>
    </row>
    <row r="981" spans="1:3">
      <c r="A981" s="3">
        <f ca="1">IFERROR(__xludf.UNSUPPORTED("""COMPUTED_VALUE"""),44883.6666666666)</f>
        <v>44883.666666666599</v>
      </c>
      <c r="B981" s="1">
        <f ca="1">IFERROR(__xludf.UNSUPPORTED("""COMPUTED_VALUE"""),133.84)</f>
        <v>133.84</v>
      </c>
      <c r="C981" s="2">
        <f t="shared" ca="1" si="3"/>
        <v>9.8083597404557982E-3</v>
      </c>
    </row>
    <row r="982" spans="1:3">
      <c r="A982" s="3">
        <f ca="1">IFERROR(__xludf.UNSUPPORTED("""COMPUTED_VALUE"""),44886.6666666666)</f>
        <v>44886.666666666599</v>
      </c>
      <c r="B982" s="1">
        <f ca="1">IFERROR(__xludf.UNSUPPORTED("""COMPUTED_VALUE"""),133.05)</f>
        <v>133.05000000000001</v>
      </c>
      <c r="C982" s="2">
        <f t="shared" ca="1" si="3"/>
        <v>-5.9025702331141064E-3</v>
      </c>
    </row>
    <row r="983" spans="1:3">
      <c r="A983" s="3">
        <f ca="1">IFERROR(__xludf.UNSUPPORTED("""COMPUTED_VALUE"""),44887.6666666666)</f>
        <v>44887.666666666599</v>
      </c>
      <c r="B983" s="1">
        <f ca="1">IFERROR(__xludf.UNSUPPORTED("""COMPUTED_VALUE"""),135.04)</f>
        <v>135.04</v>
      </c>
      <c r="C983" s="2">
        <f t="shared" ca="1" si="3"/>
        <v>1.495678316422383E-2</v>
      </c>
    </row>
    <row r="984" spans="1:3">
      <c r="A984" s="3">
        <f ca="1">IFERROR(__xludf.UNSUPPORTED("""COMPUTED_VALUE"""),44888.6666666666)</f>
        <v>44888.666666666599</v>
      </c>
      <c r="B984" s="1">
        <f ca="1">IFERROR(__xludf.UNSUPPORTED("""COMPUTED_VALUE"""),136.48)</f>
        <v>136.47999999999999</v>
      </c>
      <c r="C984" s="2">
        <f t="shared" ca="1" si="3"/>
        <v>1.0663507109004723E-2</v>
      </c>
    </row>
    <row r="985" spans="1:3">
      <c r="A985" s="3">
        <f ca="1">IFERROR(__xludf.UNSUPPORTED("""COMPUTED_VALUE"""),44890.5416666666)</f>
        <v>44890.541666666599</v>
      </c>
      <c r="B985" s="1">
        <f ca="1">IFERROR(__xludf.UNSUPPORTED("""COMPUTED_VALUE"""),136.74)</f>
        <v>136.74</v>
      </c>
      <c r="C985" s="2">
        <f t="shared" ca="1" si="3"/>
        <v>1.9050410316531312E-3</v>
      </c>
    </row>
    <row r="986" spans="1:3">
      <c r="A986" s="3">
        <f ca="1">IFERROR(__xludf.UNSUPPORTED("""COMPUTED_VALUE"""),44893.6666666666)</f>
        <v>44893.666666666599</v>
      </c>
      <c r="B986" s="1">
        <f ca="1">IFERROR(__xludf.UNSUPPORTED("""COMPUTED_VALUE"""),134.35)</f>
        <v>134.35</v>
      </c>
      <c r="C986" s="2">
        <f t="shared" ca="1" si="3"/>
        <v>-1.7478426210326272E-2</v>
      </c>
    </row>
    <row r="987" spans="1:3">
      <c r="A987" s="3">
        <f ca="1">IFERROR(__xludf.UNSUPPORTED("""COMPUTED_VALUE"""),44894.6666666666)</f>
        <v>44894.666666666599</v>
      </c>
      <c r="B987" s="1">
        <f ca="1">IFERROR(__xludf.UNSUPPORTED("""COMPUTED_VALUE"""),136.56)</f>
        <v>136.56</v>
      </c>
      <c r="C987" s="2">
        <f t="shared" ca="1" si="3"/>
        <v>1.64495720133979E-2</v>
      </c>
    </row>
    <row r="988" spans="1:3">
      <c r="A988" s="3">
        <f ca="1">IFERROR(__xludf.UNSUPPORTED("""COMPUTED_VALUE"""),44895.6666666666)</f>
        <v>44895.666666666599</v>
      </c>
      <c r="B988" s="1">
        <f ca="1">IFERROR(__xludf.UNSUPPORTED("""COMPUTED_VALUE"""),138.18)</f>
        <v>138.18</v>
      </c>
      <c r="C988" s="2">
        <f t="shared" ca="1" si="3"/>
        <v>1.1862917398945551E-2</v>
      </c>
    </row>
    <row r="989" spans="1:3">
      <c r="A989" s="3">
        <f ca="1">IFERROR(__xludf.UNSUPPORTED("""COMPUTED_VALUE"""),44896.6666666666)</f>
        <v>44896.666666666599</v>
      </c>
      <c r="B989" s="1">
        <f ca="1">IFERROR(__xludf.UNSUPPORTED("""COMPUTED_VALUE"""),136.24)</f>
        <v>136.24</v>
      </c>
      <c r="C989" s="2">
        <f t="shared" ca="1" si="3"/>
        <v>-1.4039658416558095E-2</v>
      </c>
    </row>
    <row r="990" spans="1:3">
      <c r="A990" s="3">
        <f ca="1">IFERROR(__xludf.UNSUPPORTED("""COMPUTED_VALUE"""),44897.6666666666)</f>
        <v>44897.666666666599</v>
      </c>
      <c r="B990" s="1">
        <f ca="1">IFERROR(__xludf.UNSUPPORTED("""COMPUTED_VALUE"""),135.16)</f>
        <v>135.16</v>
      </c>
      <c r="C990" s="2">
        <f t="shared" ca="1" si="3"/>
        <v>-7.9271873165003854E-3</v>
      </c>
    </row>
    <row r="991" spans="1:3">
      <c r="A991" s="3">
        <f ca="1">IFERROR(__xludf.UNSUPPORTED("""COMPUTED_VALUE"""),44900.6666666666)</f>
        <v>44900.666666666599</v>
      </c>
      <c r="B991" s="1">
        <f ca="1">IFERROR(__xludf.UNSUPPORTED("""COMPUTED_VALUE"""),131.37)</f>
        <v>131.37</v>
      </c>
      <c r="C991" s="2">
        <f t="shared" ca="1" si="3"/>
        <v>-2.8040840485350636E-2</v>
      </c>
    </row>
    <row r="992" spans="1:3">
      <c r="A992" s="3">
        <f ca="1">IFERROR(__xludf.UNSUPPORTED("""COMPUTED_VALUE"""),44901.6666666666)</f>
        <v>44901.666666666599</v>
      </c>
      <c r="B992" s="1">
        <f ca="1">IFERROR(__xludf.UNSUPPORTED("""COMPUTED_VALUE"""),131.59)</f>
        <v>131.59</v>
      </c>
      <c r="C992" s="2">
        <f t="shared" ca="1" si="3"/>
        <v>1.6746593590621821E-3</v>
      </c>
    </row>
    <row r="993" spans="1:3">
      <c r="A993" s="3">
        <f ca="1">IFERROR(__xludf.UNSUPPORTED("""COMPUTED_VALUE"""),44902.6666666666)</f>
        <v>44902.666666666599</v>
      </c>
      <c r="B993" s="1">
        <f ca="1">IFERROR(__xludf.UNSUPPORTED("""COMPUTED_VALUE"""),131.5)</f>
        <v>131.5</v>
      </c>
      <c r="C993" s="2">
        <f t="shared" ca="1" si="3"/>
        <v>-6.8394254882592448E-4</v>
      </c>
    </row>
    <row r="994" spans="1:3">
      <c r="A994" s="3">
        <f ca="1">IFERROR(__xludf.UNSUPPORTED("""COMPUTED_VALUE"""),44903.6666666666)</f>
        <v>44903.666666666599</v>
      </c>
      <c r="B994" s="1">
        <f ca="1">IFERROR(__xludf.UNSUPPORTED("""COMPUTED_VALUE"""),132.88)</f>
        <v>132.88</v>
      </c>
      <c r="C994" s="2">
        <f t="shared" ca="1" si="3"/>
        <v>1.0494296577946734E-2</v>
      </c>
    </row>
    <row r="995" spans="1:3">
      <c r="A995" s="3">
        <f ca="1">IFERROR(__xludf.UNSUPPORTED("""COMPUTED_VALUE"""),44904.6666666666)</f>
        <v>44904.666666666599</v>
      </c>
      <c r="B995" s="1">
        <f ca="1">IFERROR(__xludf.UNSUPPORTED("""COMPUTED_VALUE"""),132.16)</f>
        <v>132.16</v>
      </c>
      <c r="C995" s="2">
        <f t="shared" ca="1" si="3"/>
        <v>-5.4184226369656746E-3</v>
      </c>
    </row>
    <row r="996" spans="1:3">
      <c r="A996" s="3">
        <f ca="1">IFERROR(__xludf.UNSUPPORTED("""COMPUTED_VALUE"""),44907.6666666666)</f>
        <v>44907.666666666599</v>
      </c>
      <c r="B996" s="1">
        <f ca="1">IFERROR(__xludf.UNSUPPORTED("""COMPUTED_VALUE"""),134.21)</f>
        <v>134.21</v>
      </c>
      <c r="C996" s="2">
        <f t="shared" ca="1" si="3"/>
        <v>1.551150121065384E-2</v>
      </c>
    </row>
    <row r="997" spans="1:3">
      <c r="A997" s="3">
        <f ca="1">IFERROR(__xludf.UNSUPPORTED("""COMPUTED_VALUE"""),44908.6666666666)</f>
        <v>44908.666666666599</v>
      </c>
      <c r="B997" s="1">
        <f ca="1">IFERROR(__xludf.UNSUPPORTED("""COMPUTED_VALUE"""),134.08)</f>
        <v>134.08000000000001</v>
      </c>
      <c r="C997" s="2">
        <f t="shared" ca="1" si="3"/>
        <v>-9.6863124953427797E-4</v>
      </c>
    </row>
    <row r="998" spans="1:3">
      <c r="A998" s="3">
        <f ca="1">IFERROR(__xludf.UNSUPPORTED("""COMPUTED_VALUE"""),44909.6666666666)</f>
        <v>44909.666666666599</v>
      </c>
      <c r="B998" s="1">
        <f ca="1">IFERROR(__xludf.UNSUPPORTED("""COMPUTED_VALUE"""),133.41)</f>
        <v>133.41</v>
      </c>
      <c r="C998" s="2">
        <f t="shared" ca="1" si="3"/>
        <v>-4.9970167064440326E-3</v>
      </c>
    </row>
    <row r="999" spans="1:3">
      <c r="A999" s="3">
        <f ca="1">IFERROR(__xludf.UNSUPPORTED("""COMPUTED_VALUE"""),44910.6666666666)</f>
        <v>44910.666666666599</v>
      </c>
      <c r="B999" s="1">
        <f ca="1">IFERROR(__xludf.UNSUPPORTED("""COMPUTED_VALUE"""),130.1)</f>
        <v>130.1</v>
      </c>
      <c r="C999" s="2">
        <f t="shared" ca="1" si="3"/>
        <v>-2.4810733828048888E-2</v>
      </c>
    </row>
    <row r="1000" spans="1:3">
      <c r="A1000" s="3">
        <f ca="1">IFERROR(__xludf.UNSUPPORTED("""COMPUTED_VALUE"""),44911.6666666666)</f>
        <v>44911.666666666599</v>
      </c>
      <c r="B1000" s="1">
        <f ca="1">IFERROR(__xludf.UNSUPPORTED("""COMPUTED_VALUE"""),129.29)</f>
        <v>129.29</v>
      </c>
      <c r="C1000" s="2">
        <f t="shared" ca="1" si="3"/>
        <v>-6.2259800153728079E-3</v>
      </c>
    </row>
    <row r="1001" spans="1:3">
      <c r="A1001" s="3">
        <f ca="1">IFERROR(__xludf.UNSUPPORTED("""COMPUTED_VALUE"""),44914.6666666666)</f>
        <v>44914.666666666599</v>
      </c>
      <c r="B1001" s="1">
        <f ca="1">IFERROR(__xludf.UNSUPPORTED("""COMPUTED_VALUE"""),130.06)</f>
        <v>130.06</v>
      </c>
      <c r="C1001" s="2">
        <f t="shared" ca="1" si="3"/>
        <v>5.9556036816459917E-3</v>
      </c>
    </row>
    <row r="1002" spans="1:3">
      <c r="A1002" s="3">
        <f ca="1">IFERROR(__xludf.UNSUPPORTED("""COMPUTED_VALUE"""),44915.6666666666)</f>
        <v>44915.666666666599</v>
      </c>
      <c r="B1002" s="1">
        <f ca="1">IFERROR(__xludf.UNSUPPORTED("""COMPUTED_VALUE"""),130.69)</f>
        <v>130.69</v>
      </c>
      <c r="C1002" s="2">
        <f t="shared" ca="1" si="3"/>
        <v>4.8439181916038404E-3</v>
      </c>
    </row>
    <row r="1003" spans="1:3">
      <c r="A1003" s="3">
        <f ca="1">IFERROR(__xludf.UNSUPPORTED("""COMPUTED_VALUE"""),44916.6666666666)</f>
        <v>44916.666666666599</v>
      </c>
      <c r="B1003" s="1">
        <f ca="1">IFERROR(__xludf.UNSUPPORTED("""COMPUTED_VALUE"""),132.16)</f>
        <v>132.16</v>
      </c>
      <c r="C1003" s="2">
        <f t="shared" ca="1" si="3"/>
        <v>1.1247991430101759E-2</v>
      </c>
    </row>
    <row r="1004" spans="1:3">
      <c r="A1004" s="3">
        <f ca="1">IFERROR(__xludf.UNSUPPORTED("""COMPUTED_VALUE"""),44917.6666666666)</f>
        <v>44917.666666666599</v>
      </c>
      <c r="B1004" s="1">
        <f ca="1">IFERROR(__xludf.UNSUPPORTED("""COMPUTED_VALUE"""),130.66)</f>
        <v>130.66</v>
      </c>
      <c r="C1004" s="2">
        <f t="shared" ca="1" si="3"/>
        <v>-1.1349878934624698E-2</v>
      </c>
    </row>
    <row r="1005" spans="1:3">
      <c r="A1005" s="3">
        <f ca="1">IFERROR(__xludf.UNSUPPORTED("""COMPUTED_VALUE"""),44918.6666666666)</f>
        <v>44918.666666666599</v>
      </c>
      <c r="B1005" s="1">
        <f ca="1">IFERROR(__xludf.UNSUPPORTED("""COMPUTED_VALUE"""),131.28)</f>
        <v>131.28</v>
      </c>
      <c r="C1005" s="2">
        <f t="shared" ca="1" si="3"/>
        <v>4.7451400581662679E-3</v>
      </c>
    </row>
    <row r="1006" spans="1:3">
      <c r="A1006" s="3">
        <f ca="1">IFERROR(__xludf.UNSUPPORTED("""COMPUTED_VALUE"""),44922.6666666666)</f>
        <v>44922.666666666599</v>
      </c>
      <c r="B1006" s="1">
        <f ca="1">IFERROR(__xludf.UNSUPPORTED("""COMPUTED_VALUE"""),131.74)</f>
        <v>131.74</v>
      </c>
      <c r="C1006" s="2">
        <f t="shared" ca="1" si="3"/>
        <v>3.5039609993906761E-3</v>
      </c>
    </row>
    <row r="1007" spans="1:3">
      <c r="A1007" s="3">
        <f ca="1">IFERROR(__xludf.UNSUPPORTED("""COMPUTED_VALUE"""),44923.6666666666)</f>
        <v>44923.666666666599</v>
      </c>
      <c r="B1007" s="1">
        <f ca="1">IFERROR(__xludf.UNSUPPORTED("""COMPUTED_VALUE"""),132.46)</f>
        <v>132.46</v>
      </c>
      <c r="C1007" s="2">
        <f t="shared" ca="1" si="3"/>
        <v>5.4653104599969547E-3</v>
      </c>
    </row>
    <row r="1008" spans="1:3">
      <c r="A1008" s="3">
        <f ca="1">IFERROR(__xludf.UNSUPPORTED("""COMPUTED_VALUE"""),44924.6666666666)</f>
        <v>44924.666666666599</v>
      </c>
      <c r="B1008" s="1">
        <f ca="1">IFERROR(__xludf.UNSUPPORTED("""COMPUTED_VALUE"""),133.22)</f>
        <v>133.22</v>
      </c>
      <c r="C1008" s="2">
        <f t="shared" ca="1" si="3"/>
        <v>5.7375811565755011E-3</v>
      </c>
    </row>
    <row r="1009" spans="1:3">
      <c r="A1009" s="3">
        <f ca="1">IFERROR(__xludf.UNSUPPORTED("""COMPUTED_VALUE"""),44925.6666666666)</f>
        <v>44925.666666666599</v>
      </c>
      <c r="B1009" s="1">
        <f ca="1">IFERROR(__xludf.UNSUPPORTED("""COMPUTED_VALUE"""),134.1)</f>
        <v>134.1</v>
      </c>
      <c r="C1009" s="2">
        <f t="shared" ca="1" si="3"/>
        <v>6.6056147725566394E-3</v>
      </c>
    </row>
    <row r="1010" spans="1:3">
      <c r="A1010" s="3">
        <f ca="1">IFERROR(__xludf.UNSUPPORTED("""COMPUTED_VALUE"""),44929.6666666666)</f>
        <v>44929.666666666599</v>
      </c>
      <c r="B1010" s="1">
        <f ca="1">IFERROR(__xludf.UNSUPPORTED("""COMPUTED_VALUE"""),135.12)</f>
        <v>135.12</v>
      </c>
      <c r="C1010" s="2">
        <f t="shared" ca="1" si="3"/>
        <v>7.6062639821029851E-3</v>
      </c>
    </row>
    <row r="1011" spans="1:3">
      <c r="A1011" s="3">
        <f ca="1">IFERROR(__xludf.UNSUPPORTED("""COMPUTED_VALUE"""),44930.6666666666)</f>
        <v>44930.666666666599</v>
      </c>
      <c r="B1011" s="1">
        <f ca="1">IFERROR(__xludf.UNSUPPORTED("""COMPUTED_VALUE"""),136.38)</f>
        <v>136.38</v>
      </c>
      <c r="C1011" s="2">
        <f t="shared" ca="1" si="3"/>
        <v>9.3250444049732886E-3</v>
      </c>
    </row>
    <row r="1012" spans="1:3">
      <c r="A1012" s="3">
        <f ca="1">IFERROR(__xludf.UNSUPPORTED("""COMPUTED_VALUE"""),44931.6666666666)</f>
        <v>44931.666666666599</v>
      </c>
      <c r="B1012" s="1">
        <f ca="1">IFERROR(__xludf.UNSUPPORTED("""COMPUTED_VALUE"""),135.35)</f>
        <v>135.35</v>
      </c>
      <c r="C1012" s="2">
        <f t="shared" ca="1" si="3"/>
        <v>-7.5524270420882916E-3</v>
      </c>
    </row>
    <row r="1013" spans="1:3">
      <c r="A1013" s="3">
        <f ca="1">IFERROR(__xludf.UNSUPPORTED("""COMPUTED_VALUE"""),44932.6666666666)</f>
        <v>44932.666666666599</v>
      </c>
      <c r="B1013" s="1">
        <f ca="1">IFERROR(__xludf.UNSUPPORTED("""COMPUTED_VALUE"""),137.94)</f>
        <v>137.94</v>
      </c>
      <c r="C1013" s="2">
        <f t="shared" ca="1" si="3"/>
        <v>1.913557443664576E-2</v>
      </c>
    </row>
    <row r="1014" spans="1:3">
      <c r="A1014" s="3">
        <f ca="1">IFERROR(__xludf.UNSUPPORTED("""COMPUTED_VALUE"""),44935.6666666666)</f>
        <v>44935.666666666599</v>
      </c>
      <c r="B1014" s="1">
        <f ca="1">IFERROR(__xludf.UNSUPPORTED("""COMPUTED_VALUE"""),137.37)</f>
        <v>137.37</v>
      </c>
      <c r="C1014" s="2">
        <f t="shared" ca="1" si="3"/>
        <v>-4.1322314049586284E-3</v>
      </c>
    </row>
    <row r="1015" spans="1:3">
      <c r="A1015" s="3">
        <f ca="1">IFERROR(__xludf.UNSUPPORTED("""COMPUTED_VALUE"""),44936.6666666666)</f>
        <v>44936.666666666599</v>
      </c>
      <c r="B1015" s="1">
        <f ca="1">IFERROR(__xludf.UNSUPPORTED("""COMPUTED_VALUE"""),138.6)</f>
        <v>138.6</v>
      </c>
      <c r="C1015" s="2">
        <f t="shared" ca="1" si="3"/>
        <v>8.9539200698841789E-3</v>
      </c>
    </row>
    <row r="1016" spans="1:3">
      <c r="A1016" s="3">
        <f ca="1">IFERROR(__xludf.UNSUPPORTED("""COMPUTED_VALUE"""),44937.6666666666)</f>
        <v>44937.666666666599</v>
      </c>
      <c r="B1016" s="1">
        <f ca="1">IFERROR(__xludf.UNSUPPORTED("""COMPUTED_VALUE"""),139.63)</f>
        <v>139.63</v>
      </c>
      <c r="C1016" s="2">
        <f t="shared" ca="1" si="3"/>
        <v>7.4314574314574399E-3</v>
      </c>
    </row>
    <row r="1017" spans="1:3">
      <c r="A1017" s="3">
        <f ca="1">IFERROR(__xludf.UNSUPPORTED("""COMPUTED_VALUE"""),44938.6666666666)</f>
        <v>44938.666666666599</v>
      </c>
      <c r="B1017" s="1">
        <f ca="1">IFERROR(__xludf.UNSUPPORTED("""COMPUTED_VALUE"""),139.49)</f>
        <v>139.49</v>
      </c>
      <c r="C1017" s="2">
        <f t="shared" ca="1" si="3"/>
        <v>-1.0026498603451003E-3</v>
      </c>
    </row>
    <row r="1018" spans="1:3">
      <c r="A1018" s="3">
        <f ca="1">IFERROR(__xludf.UNSUPPORTED("""COMPUTED_VALUE"""),44939.6666666666)</f>
        <v>44939.666666666599</v>
      </c>
      <c r="B1018" s="1">
        <f ca="1">IFERROR(__xludf.UNSUPPORTED("""COMPUTED_VALUE"""),143.01)</f>
        <v>143.01</v>
      </c>
      <c r="C1018" s="2">
        <f t="shared" ca="1" si="3"/>
        <v>2.523478385547338E-2</v>
      </c>
    </row>
    <row r="1019" spans="1:3">
      <c r="A1019" s="3">
        <f ca="1">IFERROR(__xludf.UNSUPPORTED("""COMPUTED_VALUE"""),44943.6666666666)</f>
        <v>44943.666666666599</v>
      </c>
      <c r="B1019" s="1">
        <f ca="1">IFERROR(__xludf.UNSUPPORTED("""COMPUTED_VALUE"""),140.8)</f>
        <v>140.80000000000001</v>
      </c>
      <c r="C1019" s="2">
        <f t="shared" ca="1" si="3"/>
        <v>-1.5453464792671699E-2</v>
      </c>
    </row>
    <row r="1020" spans="1:3">
      <c r="A1020" s="3">
        <f ca="1">IFERROR(__xludf.UNSUPPORTED("""COMPUTED_VALUE"""),44944.6666666666)</f>
        <v>44944.666666666599</v>
      </c>
      <c r="B1020" s="1">
        <f ca="1">IFERROR(__xludf.UNSUPPORTED("""COMPUTED_VALUE"""),136.57)</f>
        <v>136.57</v>
      </c>
      <c r="C1020" s="2">
        <f t="shared" ca="1" si="3"/>
        <v>-3.0042613636363763E-2</v>
      </c>
    </row>
    <row r="1021" spans="1:3">
      <c r="A1021" s="3">
        <f ca="1">IFERROR(__xludf.UNSUPPORTED("""COMPUTED_VALUE"""),44945.6666666666)</f>
        <v>44945.666666666599</v>
      </c>
      <c r="B1021" s="1">
        <f ca="1">IFERROR(__xludf.UNSUPPORTED("""COMPUTED_VALUE"""),134.75)</f>
        <v>134.75</v>
      </c>
      <c r="C1021" s="2">
        <f t="shared" ca="1" si="3"/>
        <v>-1.3326499231163457E-2</v>
      </c>
    </row>
    <row r="1022" spans="1:3">
      <c r="A1022" s="3">
        <f ca="1">IFERROR(__xludf.UNSUPPORTED("""COMPUTED_VALUE"""),44946.6666666666)</f>
        <v>44946.666666666599</v>
      </c>
      <c r="B1022" s="1">
        <f ca="1">IFERROR(__xludf.UNSUPPORTED("""COMPUTED_VALUE"""),135.08)</f>
        <v>135.08000000000001</v>
      </c>
      <c r="C1022" s="2">
        <f t="shared" ca="1" si="3"/>
        <v>2.4489795918368274E-3</v>
      </c>
    </row>
    <row r="1023" spans="1:3">
      <c r="A1023" s="3">
        <f ca="1">IFERROR(__xludf.UNSUPPORTED("""COMPUTED_VALUE"""),44949.6666666666)</f>
        <v>44949.666666666599</v>
      </c>
      <c r="B1023" s="1">
        <f ca="1">IFERROR(__xludf.UNSUPPORTED("""COMPUTED_VALUE"""),137.27)</f>
        <v>137.27000000000001</v>
      </c>
      <c r="C1023" s="2">
        <f t="shared" ref="C1023:C1277" ca="1" si="4">(B1023-B1022)/B1022</f>
        <v>1.6212614746816682E-2</v>
      </c>
    </row>
    <row r="1024" spans="1:3">
      <c r="A1024" s="3">
        <f ca="1">IFERROR(__xludf.UNSUPPORTED("""COMPUTED_VALUE"""),44950.6666666666)</f>
        <v>44950.666666666599</v>
      </c>
      <c r="B1024" s="1">
        <f ca="1">IFERROR(__xludf.UNSUPPORTED("""COMPUTED_VALUE"""),138.45)</f>
        <v>138.44999999999999</v>
      </c>
      <c r="C1024" s="2">
        <f t="shared" ca="1" si="4"/>
        <v>8.5961972754423997E-3</v>
      </c>
    </row>
    <row r="1025" spans="1:3">
      <c r="A1025" s="3">
        <f ca="1">IFERROR(__xludf.UNSUPPORTED("""COMPUTED_VALUE"""),44951.6666666666)</f>
        <v>44951.666666666599</v>
      </c>
      <c r="B1025" s="1">
        <f ca="1">IFERROR(__xludf.UNSUPPORTED("""COMPUTED_VALUE"""),139.12)</f>
        <v>139.12</v>
      </c>
      <c r="C1025" s="2">
        <f t="shared" ca="1" si="4"/>
        <v>4.8392921632359406E-3</v>
      </c>
    </row>
    <row r="1026" spans="1:3">
      <c r="A1026" s="3">
        <f ca="1">IFERROR(__xludf.UNSUPPORTED("""COMPUTED_VALUE"""),44952.6666666666)</f>
        <v>44952.666666666599</v>
      </c>
      <c r="B1026" s="1">
        <f ca="1">IFERROR(__xludf.UNSUPPORTED("""COMPUTED_VALUE"""),139.98)</f>
        <v>139.97999999999999</v>
      </c>
      <c r="C1026" s="2">
        <f t="shared" ca="1" si="4"/>
        <v>6.1817136285220323E-3</v>
      </c>
    </row>
    <row r="1027" spans="1:3">
      <c r="A1027" s="3">
        <f ca="1">IFERROR(__xludf.UNSUPPORTED("""COMPUTED_VALUE"""),44953.6666666666)</f>
        <v>44953.666666666599</v>
      </c>
      <c r="B1027" s="1">
        <f ca="1">IFERROR(__xludf.UNSUPPORTED("""COMPUTED_VALUE"""),140.32)</f>
        <v>140.32</v>
      </c>
      <c r="C1027" s="2">
        <f t="shared" ca="1" si="4"/>
        <v>2.4289184169167268E-3</v>
      </c>
    </row>
    <row r="1028" spans="1:3">
      <c r="A1028" s="3">
        <f ca="1">IFERROR(__xludf.UNSUPPORTED("""COMPUTED_VALUE"""),44956.6666666666)</f>
        <v>44956.666666666599</v>
      </c>
      <c r="B1028" s="1">
        <f ca="1">IFERROR(__xludf.UNSUPPORTED("""COMPUTED_VALUE"""),139.13)</f>
        <v>139.13</v>
      </c>
      <c r="C1028" s="2">
        <f t="shared" ca="1" si="4"/>
        <v>-8.4806157354617856E-3</v>
      </c>
    </row>
    <row r="1029" spans="1:3">
      <c r="A1029" s="3">
        <f ca="1">IFERROR(__xludf.UNSUPPORTED("""COMPUTED_VALUE"""),44957.6666666666)</f>
        <v>44957.666666666599</v>
      </c>
      <c r="B1029" s="1">
        <f ca="1">IFERROR(__xludf.UNSUPPORTED("""COMPUTED_VALUE"""),139.96)</f>
        <v>139.96</v>
      </c>
      <c r="C1029" s="2">
        <f t="shared" ca="1" si="4"/>
        <v>5.9656436426364732E-3</v>
      </c>
    </row>
    <row r="1030" spans="1:3">
      <c r="A1030" s="3">
        <f ca="1">IFERROR(__xludf.UNSUPPORTED("""COMPUTED_VALUE"""),44958.6666666666)</f>
        <v>44958.666666666599</v>
      </c>
      <c r="B1030" s="1">
        <f ca="1">IFERROR(__xludf.UNSUPPORTED("""COMPUTED_VALUE"""),139.59)</f>
        <v>139.59</v>
      </c>
      <c r="C1030" s="2">
        <f t="shared" ca="1" si="4"/>
        <v>-2.6436124607030903E-3</v>
      </c>
    </row>
    <row r="1031" spans="1:3">
      <c r="A1031" s="3">
        <f ca="1">IFERROR(__xludf.UNSUPPORTED("""COMPUTED_VALUE"""),44959.6666666666)</f>
        <v>44959.666666666599</v>
      </c>
      <c r="B1031" s="1">
        <f ca="1">IFERROR(__xludf.UNSUPPORTED("""COMPUTED_VALUE"""),138.94)</f>
        <v>138.94</v>
      </c>
      <c r="C1031" s="2">
        <f t="shared" ca="1" si="4"/>
        <v>-4.6564940181961865E-3</v>
      </c>
    </row>
    <row r="1032" spans="1:3">
      <c r="A1032" s="3">
        <f ca="1">IFERROR(__xludf.UNSUPPORTED("""COMPUTED_VALUE"""),44960.6666666666)</f>
        <v>44960.666666666599</v>
      </c>
      <c r="B1032" s="1">
        <f ca="1">IFERROR(__xludf.UNSUPPORTED("""COMPUTED_VALUE"""),141.09)</f>
        <v>141.09</v>
      </c>
      <c r="C1032" s="2">
        <f t="shared" ca="1" si="4"/>
        <v>1.5474305455592384E-2</v>
      </c>
    </row>
    <row r="1033" spans="1:3">
      <c r="A1033" s="3">
        <f ca="1">IFERROR(__xludf.UNSUPPORTED("""COMPUTED_VALUE"""),44963.6666666666)</f>
        <v>44963.666666666599</v>
      </c>
      <c r="B1033" s="1">
        <f ca="1">IFERROR(__xludf.UNSUPPORTED("""COMPUTED_VALUE"""),141.92)</f>
        <v>141.91999999999999</v>
      </c>
      <c r="C1033" s="2">
        <f t="shared" ca="1" si="4"/>
        <v>5.8827698632077687E-3</v>
      </c>
    </row>
    <row r="1034" spans="1:3">
      <c r="A1034" s="3">
        <f ca="1">IFERROR(__xludf.UNSUPPORTED("""COMPUTED_VALUE"""),44964.6666666666)</f>
        <v>44964.666666666599</v>
      </c>
      <c r="B1034" s="1">
        <f ca="1">IFERROR(__xludf.UNSUPPORTED("""COMPUTED_VALUE"""),143.65)</f>
        <v>143.65</v>
      </c>
      <c r="C1034" s="2">
        <f t="shared" ca="1" si="4"/>
        <v>1.2189966178128652E-2</v>
      </c>
    </row>
    <row r="1035" spans="1:3">
      <c r="A1035" s="3">
        <f ca="1">IFERROR(__xludf.UNSUPPORTED("""COMPUTED_VALUE"""),44965.6666666666)</f>
        <v>44965.666666666599</v>
      </c>
      <c r="B1035" s="1">
        <f ca="1">IFERROR(__xludf.UNSUPPORTED("""COMPUTED_VALUE"""),142.64)</f>
        <v>142.63999999999999</v>
      </c>
      <c r="C1035" s="2">
        <f t="shared" ca="1" si="4"/>
        <v>-7.0309780717021878E-3</v>
      </c>
    </row>
    <row r="1036" spans="1:3">
      <c r="A1036" s="3">
        <f ca="1">IFERROR(__xludf.UNSUPPORTED("""COMPUTED_VALUE"""),44966.6666666666)</f>
        <v>44966.666666666599</v>
      </c>
      <c r="B1036" s="1">
        <f ca="1">IFERROR(__xludf.UNSUPPORTED("""COMPUTED_VALUE"""),140.42)</f>
        <v>140.41999999999999</v>
      </c>
      <c r="C1036" s="2">
        <f t="shared" ca="1" si="4"/>
        <v>-1.5563656758272568E-2</v>
      </c>
    </row>
    <row r="1037" spans="1:3">
      <c r="A1037" s="3">
        <f ca="1">IFERROR(__xludf.UNSUPPORTED("""COMPUTED_VALUE"""),44967.6666666666)</f>
        <v>44967.666666666599</v>
      </c>
      <c r="B1037" s="1">
        <f ca="1">IFERROR(__xludf.UNSUPPORTED("""COMPUTED_VALUE"""),141.04)</f>
        <v>141.04</v>
      </c>
      <c r="C1037" s="2">
        <f t="shared" ca="1" si="4"/>
        <v>4.4153254522148171E-3</v>
      </c>
    </row>
    <row r="1038" spans="1:3">
      <c r="A1038" s="3">
        <f ca="1">IFERROR(__xludf.UNSUPPORTED("""COMPUTED_VALUE"""),44970.6666666666)</f>
        <v>44970.666666666599</v>
      </c>
      <c r="B1038" s="1">
        <f ca="1">IFERROR(__xludf.UNSUPPORTED("""COMPUTED_VALUE"""),142.57)</f>
        <v>142.57</v>
      </c>
      <c r="C1038" s="2">
        <f t="shared" ca="1" si="4"/>
        <v>1.0847986386840621E-2</v>
      </c>
    </row>
    <row r="1039" spans="1:3">
      <c r="A1039" s="3">
        <f ca="1">IFERROR(__xludf.UNSUPPORTED("""COMPUTED_VALUE"""),44971.6666666666)</f>
        <v>44971.666666666599</v>
      </c>
      <c r="B1039" s="1">
        <f ca="1">IFERROR(__xludf.UNSUPPORTED("""COMPUTED_VALUE"""),143.2)</f>
        <v>143.19999999999999</v>
      </c>
      <c r="C1039" s="2">
        <f t="shared" ca="1" si="4"/>
        <v>4.4188819527249453E-3</v>
      </c>
    </row>
    <row r="1040" spans="1:3">
      <c r="A1040" s="3">
        <f ca="1">IFERROR(__xludf.UNSUPPORTED("""COMPUTED_VALUE"""),44972.6666666666)</f>
        <v>44972.666666666599</v>
      </c>
      <c r="B1040" s="1">
        <f ca="1">IFERROR(__xludf.UNSUPPORTED("""COMPUTED_VALUE"""),143.8)</f>
        <v>143.80000000000001</v>
      </c>
      <c r="C1040" s="2">
        <f t="shared" ca="1" si="4"/>
        <v>4.1899441340783718E-3</v>
      </c>
    </row>
    <row r="1041" spans="1:3">
      <c r="A1041" s="3">
        <f ca="1">IFERROR(__xludf.UNSUPPORTED("""COMPUTED_VALUE"""),44973.6666666666)</f>
        <v>44973.666666666599</v>
      </c>
      <c r="B1041" s="1">
        <f ca="1">IFERROR(__xludf.UNSUPPORTED("""COMPUTED_VALUE"""),141.82)</f>
        <v>141.82</v>
      </c>
      <c r="C1041" s="2">
        <f t="shared" ca="1" si="4"/>
        <v>-1.3769123783032114E-2</v>
      </c>
    </row>
    <row r="1042" spans="1:3">
      <c r="A1042" s="3">
        <f ca="1">IFERROR(__xludf.UNSUPPORTED("""COMPUTED_VALUE"""),44974.6666666666)</f>
        <v>44974.666666666599</v>
      </c>
      <c r="B1042" s="1">
        <f ca="1">IFERROR(__xludf.UNSUPPORTED("""COMPUTED_VALUE"""),142.24)</f>
        <v>142.24</v>
      </c>
      <c r="C1042" s="2">
        <f t="shared" ca="1" si="4"/>
        <v>2.9615004935835279E-3</v>
      </c>
    </row>
    <row r="1043" spans="1:3">
      <c r="A1043" s="3">
        <f ca="1">IFERROR(__xludf.UNSUPPORTED("""COMPUTED_VALUE"""),44978.6666666666)</f>
        <v>44978.666666666599</v>
      </c>
      <c r="B1043" s="1">
        <f ca="1">IFERROR(__xludf.UNSUPPORTED("""COMPUTED_VALUE"""),139.63)</f>
        <v>139.63</v>
      </c>
      <c r="C1043" s="2">
        <f t="shared" ca="1" si="4"/>
        <v>-1.8349268841394921E-2</v>
      </c>
    </row>
    <row r="1044" spans="1:3">
      <c r="A1044" s="3">
        <f ca="1">IFERROR(__xludf.UNSUPPORTED("""COMPUTED_VALUE"""),44979.6666666666)</f>
        <v>44979.666666666599</v>
      </c>
      <c r="B1044" s="1">
        <f ca="1">IFERROR(__xludf.UNSUPPORTED("""COMPUTED_VALUE"""),138.56)</f>
        <v>138.56</v>
      </c>
      <c r="C1044" s="2">
        <f t="shared" ca="1" si="4"/>
        <v>-7.6631096469239645E-3</v>
      </c>
    </row>
    <row r="1045" spans="1:3">
      <c r="A1045" s="3">
        <f ca="1">IFERROR(__xludf.UNSUPPORTED("""COMPUTED_VALUE"""),44980.6666666666)</f>
        <v>44980.666666666599</v>
      </c>
      <c r="B1045" s="1">
        <f ca="1">IFERROR(__xludf.UNSUPPORTED("""COMPUTED_VALUE"""),139.67)</f>
        <v>139.66999999999999</v>
      </c>
      <c r="C1045" s="2">
        <f t="shared" ca="1" si="4"/>
        <v>8.0109699769052058E-3</v>
      </c>
    </row>
    <row r="1046" spans="1:3">
      <c r="A1046" s="3">
        <f ca="1">IFERROR(__xludf.UNSUPPORTED("""COMPUTED_VALUE"""),44981.6666666666)</f>
        <v>44981.666666666599</v>
      </c>
      <c r="B1046" s="1">
        <f ca="1">IFERROR(__xludf.UNSUPPORTED("""COMPUTED_VALUE"""),140.93)</f>
        <v>140.93</v>
      </c>
      <c r="C1046" s="2">
        <f t="shared" ca="1" si="4"/>
        <v>9.0212644089641258E-3</v>
      </c>
    </row>
    <row r="1047" spans="1:3">
      <c r="A1047" s="3">
        <f ca="1">IFERROR(__xludf.UNSUPPORTED("""COMPUTED_VALUE"""),44984.6666666666)</f>
        <v>44984.666666666599</v>
      </c>
      <c r="B1047" s="1">
        <f ca="1">IFERROR(__xludf.UNSUPPORTED("""COMPUTED_VALUE"""),142.16)</f>
        <v>142.16</v>
      </c>
      <c r="C1047" s="2">
        <f t="shared" ca="1" si="4"/>
        <v>8.7277371744837132E-3</v>
      </c>
    </row>
    <row r="1048" spans="1:3">
      <c r="A1048" s="3">
        <f ca="1">IFERROR(__xludf.UNSUPPORTED("""COMPUTED_VALUE"""),44985.6666666666)</f>
        <v>44985.666666666599</v>
      </c>
      <c r="B1048" s="1">
        <f ca="1">IFERROR(__xludf.UNSUPPORTED("""COMPUTED_VALUE"""),143.35)</f>
        <v>143.35</v>
      </c>
      <c r="C1048" s="2">
        <f t="shared" ca="1" si="4"/>
        <v>8.3708497467641935E-3</v>
      </c>
    </row>
    <row r="1049" spans="1:3">
      <c r="A1049" s="3">
        <f ca="1">IFERROR(__xludf.UNSUPPORTED("""COMPUTED_VALUE"""),44986.6666666666)</f>
        <v>44986.666666666599</v>
      </c>
      <c r="B1049" s="1">
        <f ca="1">IFERROR(__xludf.UNSUPPORTED("""COMPUTED_VALUE"""),142.55)</f>
        <v>142.55000000000001</v>
      </c>
      <c r="C1049" s="2">
        <f t="shared" ca="1" si="4"/>
        <v>-5.5807464248342027E-3</v>
      </c>
    </row>
    <row r="1050" spans="1:3">
      <c r="A1050" s="3">
        <f ca="1">IFERROR(__xludf.UNSUPPORTED("""COMPUTED_VALUE"""),44987.6666666666)</f>
        <v>44987.666666666599</v>
      </c>
      <c r="B1050" s="1">
        <f ca="1">IFERROR(__xludf.UNSUPPORTED("""COMPUTED_VALUE"""),141.07)</f>
        <v>141.07</v>
      </c>
      <c r="C1050" s="2">
        <f t="shared" ca="1" si="4"/>
        <v>-1.0382321992283536E-2</v>
      </c>
    </row>
    <row r="1051" spans="1:3">
      <c r="A1051" s="3">
        <f ca="1">IFERROR(__xludf.UNSUPPORTED("""COMPUTED_VALUE"""),44988.6666666666)</f>
        <v>44988.666666666599</v>
      </c>
      <c r="B1051" s="1">
        <f ca="1">IFERROR(__xludf.UNSUPPORTED("""COMPUTED_VALUE"""),143.66)</f>
        <v>143.66</v>
      </c>
      <c r="C1051" s="2">
        <f t="shared" ca="1" si="4"/>
        <v>1.8359679591692091E-2</v>
      </c>
    </row>
    <row r="1052" spans="1:3">
      <c r="A1052" s="3">
        <f ca="1">IFERROR(__xludf.UNSUPPORTED("""COMPUTED_VALUE"""),44991.6666666666)</f>
        <v>44991.666666666599</v>
      </c>
      <c r="B1052" s="1">
        <f ca="1">IFERROR(__xludf.UNSUPPORTED("""COMPUTED_VALUE"""),142.82)</f>
        <v>142.82</v>
      </c>
      <c r="C1052" s="2">
        <f t="shared" ca="1" si="4"/>
        <v>-5.8471390783795306E-3</v>
      </c>
    </row>
    <row r="1053" spans="1:3">
      <c r="A1053" s="3">
        <f ca="1">IFERROR(__xludf.UNSUPPORTED("""COMPUTED_VALUE"""),44992.6666666666)</f>
        <v>44992.666666666599</v>
      </c>
      <c r="B1053" s="1">
        <f ca="1">IFERROR(__xludf.UNSUPPORTED("""COMPUTED_VALUE"""),138.62)</f>
        <v>138.62</v>
      </c>
      <c r="C1053" s="2">
        <f t="shared" ca="1" si="4"/>
        <v>-2.9407645987956789E-2</v>
      </c>
    </row>
    <row r="1054" spans="1:3">
      <c r="A1054" s="3">
        <f ca="1">IFERROR(__xludf.UNSUPPORTED("""COMPUTED_VALUE"""),44993.6666666666)</f>
        <v>44993.666666666599</v>
      </c>
      <c r="B1054" s="1">
        <f ca="1">IFERROR(__xludf.UNSUPPORTED("""COMPUTED_VALUE"""),137.8)</f>
        <v>137.80000000000001</v>
      </c>
      <c r="C1054" s="2">
        <f t="shared" ca="1" si="4"/>
        <v>-5.9154523156831132E-3</v>
      </c>
    </row>
    <row r="1055" spans="1:3">
      <c r="A1055" s="3">
        <f ca="1">IFERROR(__xludf.UNSUPPORTED("""COMPUTED_VALUE"""),44994.6666666666)</f>
        <v>44994.666666666599</v>
      </c>
      <c r="B1055" s="1">
        <f ca="1">IFERROR(__xludf.UNSUPPORTED("""COMPUTED_VALUE"""),130.34)</f>
        <v>130.34</v>
      </c>
      <c r="C1055" s="2">
        <f t="shared" ca="1" si="4"/>
        <v>-5.4136429608127777E-2</v>
      </c>
    </row>
    <row r="1056" spans="1:3">
      <c r="A1056" s="3">
        <f ca="1">IFERROR(__xludf.UNSUPPORTED("""COMPUTED_VALUE"""),44995.6666666666)</f>
        <v>44995.666666666599</v>
      </c>
      <c r="B1056" s="1">
        <f ca="1">IFERROR(__xludf.UNSUPPORTED("""COMPUTED_VALUE"""),133.65)</f>
        <v>133.65</v>
      </c>
      <c r="C1056" s="2">
        <f t="shared" ca="1" si="4"/>
        <v>2.5395120454196733E-2</v>
      </c>
    </row>
    <row r="1057" spans="1:3">
      <c r="A1057" s="3">
        <f ca="1">IFERROR(__xludf.UNSUPPORTED("""COMPUTED_VALUE"""),44998.6666666666)</f>
        <v>44998.666666666599</v>
      </c>
      <c r="B1057" s="1">
        <f ca="1">IFERROR(__xludf.UNSUPPORTED("""COMPUTED_VALUE"""),131.25)</f>
        <v>131.25</v>
      </c>
      <c r="C1057" s="2">
        <f t="shared" ca="1" si="4"/>
        <v>-1.7957351290684667E-2</v>
      </c>
    </row>
    <row r="1058" spans="1:3">
      <c r="A1058" s="3">
        <f ca="1">IFERROR(__xludf.UNSUPPORTED("""COMPUTED_VALUE"""),44999.6666666666)</f>
        <v>44999.666666666599</v>
      </c>
      <c r="B1058" s="1">
        <f ca="1">IFERROR(__xludf.UNSUPPORTED("""COMPUTED_VALUE"""),134.62)</f>
        <v>134.62</v>
      </c>
      <c r="C1058" s="2">
        <f t="shared" ca="1" si="4"/>
        <v>2.5676190476190512E-2</v>
      </c>
    </row>
    <row r="1059" spans="1:3">
      <c r="A1059" s="3">
        <f ca="1">IFERROR(__xludf.UNSUPPORTED("""COMPUTED_VALUE"""),45000.6666666666)</f>
        <v>45000.666666666599</v>
      </c>
      <c r="B1059" s="1">
        <f ca="1">IFERROR(__xludf.UNSUPPORTED("""COMPUTED_VALUE"""),128.26)</f>
        <v>128.26</v>
      </c>
      <c r="C1059" s="2">
        <f t="shared" ca="1" si="4"/>
        <v>-4.7244094488189073E-2</v>
      </c>
    </row>
    <row r="1060" spans="1:3">
      <c r="A1060" s="3">
        <f ca="1">IFERROR(__xludf.UNSUPPORTED("""COMPUTED_VALUE"""),45001.6666666666)</f>
        <v>45001.666666666599</v>
      </c>
      <c r="B1060" s="1">
        <f ca="1">IFERROR(__xludf.UNSUPPORTED("""COMPUTED_VALUE"""),130.75)</f>
        <v>130.75</v>
      </c>
      <c r="C1060" s="2">
        <f t="shared" ca="1" si="4"/>
        <v>1.9413690940277634E-2</v>
      </c>
    </row>
    <row r="1061" spans="1:3">
      <c r="A1061" s="3">
        <f ca="1">IFERROR(__xludf.UNSUPPORTED("""COMPUTED_VALUE"""),45002.6666666666)</f>
        <v>45002.666666666599</v>
      </c>
      <c r="B1061" s="1">
        <f ca="1">IFERROR(__xludf.UNSUPPORTED("""COMPUTED_VALUE"""),125.81)</f>
        <v>125.81</v>
      </c>
      <c r="C1061" s="2">
        <f t="shared" ca="1" si="4"/>
        <v>-3.7782026768642431E-2</v>
      </c>
    </row>
    <row r="1062" spans="1:3">
      <c r="A1062" s="3">
        <f ca="1">IFERROR(__xludf.UNSUPPORTED("""COMPUTED_VALUE"""),45005.6666666666)</f>
        <v>45005.666666666599</v>
      </c>
      <c r="B1062" s="1">
        <f ca="1">IFERROR(__xludf.UNSUPPORTED("""COMPUTED_VALUE"""),127.14)</f>
        <v>127.14</v>
      </c>
      <c r="C1062" s="2">
        <f t="shared" ca="1" si="4"/>
        <v>1.0571496701375076E-2</v>
      </c>
    </row>
    <row r="1063" spans="1:3">
      <c r="A1063" s="3">
        <f ca="1">IFERROR(__xludf.UNSUPPORTED("""COMPUTED_VALUE"""),45006.6666666666)</f>
        <v>45006.666666666599</v>
      </c>
      <c r="B1063" s="1">
        <f ca="1">IFERROR(__xludf.UNSUPPORTED("""COMPUTED_VALUE"""),130.55)</f>
        <v>130.55000000000001</v>
      </c>
      <c r="C1063" s="2">
        <f t="shared" ca="1" si="4"/>
        <v>2.6820827434324453E-2</v>
      </c>
    </row>
    <row r="1064" spans="1:3">
      <c r="A1064" s="3">
        <f ca="1">IFERROR(__xludf.UNSUPPORTED("""COMPUTED_VALUE"""),45007.6666666666)</f>
        <v>45007.666666666599</v>
      </c>
      <c r="B1064" s="1">
        <f ca="1">IFERROR(__xludf.UNSUPPORTED("""COMPUTED_VALUE"""),127.18)</f>
        <v>127.18</v>
      </c>
      <c r="C1064" s="2">
        <f t="shared" ca="1" si="4"/>
        <v>-2.5813864419762574E-2</v>
      </c>
    </row>
    <row r="1065" spans="1:3">
      <c r="A1065" s="3">
        <f ca="1">IFERROR(__xludf.UNSUPPORTED("""COMPUTED_VALUE"""),45008.6666666666)</f>
        <v>45008.666666666599</v>
      </c>
      <c r="B1065" s="1">
        <f ca="1">IFERROR(__xludf.UNSUPPORTED("""COMPUTED_VALUE"""),126.84)</f>
        <v>126.84</v>
      </c>
      <c r="C1065" s="2">
        <f t="shared" ca="1" si="4"/>
        <v>-2.6733763170310064E-3</v>
      </c>
    </row>
    <row r="1066" spans="1:3">
      <c r="A1066" s="3">
        <f ca="1">IFERROR(__xludf.UNSUPPORTED("""COMPUTED_VALUE"""),45009.6666666666)</f>
        <v>45009.666666666599</v>
      </c>
      <c r="B1066" s="1">
        <f ca="1">IFERROR(__xludf.UNSUPPORTED("""COMPUTED_VALUE"""),124.91)</f>
        <v>124.91</v>
      </c>
      <c r="C1066" s="2">
        <f t="shared" ca="1" si="4"/>
        <v>-1.5216020182907653E-2</v>
      </c>
    </row>
    <row r="1067" spans="1:3">
      <c r="A1067" s="3">
        <f ca="1">IFERROR(__xludf.UNSUPPORTED("""COMPUTED_VALUE"""),45012.6666666666)</f>
        <v>45012.666666666599</v>
      </c>
      <c r="B1067" s="1">
        <f ca="1">IFERROR(__xludf.UNSUPPORTED("""COMPUTED_VALUE"""),128.49)</f>
        <v>128.49</v>
      </c>
      <c r="C1067" s="2">
        <f t="shared" ca="1" si="4"/>
        <v>2.8660635657673624E-2</v>
      </c>
    </row>
    <row r="1068" spans="1:3">
      <c r="A1068" s="3">
        <f ca="1">IFERROR(__xludf.UNSUPPORTED("""COMPUTED_VALUE"""),45013.6666666666)</f>
        <v>45013.666666666599</v>
      </c>
      <c r="B1068" s="1">
        <f ca="1">IFERROR(__xludf.UNSUPPORTED("""COMPUTED_VALUE"""),128.88)</f>
        <v>128.88</v>
      </c>
      <c r="C1068" s="2">
        <f t="shared" ca="1" si="4"/>
        <v>3.0352556619191091E-3</v>
      </c>
    </row>
    <row r="1069" spans="1:3">
      <c r="A1069" s="3">
        <f ca="1">IFERROR(__xludf.UNSUPPORTED("""COMPUTED_VALUE"""),45014.6666666666)</f>
        <v>45014.666666666599</v>
      </c>
      <c r="B1069" s="1">
        <f ca="1">IFERROR(__xludf.UNSUPPORTED("""COMPUTED_VALUE"""),129.14)</f>
        <v>129.13999999999999</v>
      </c>
      <c r="C1069" s="2">
        <f t="shared" ca="1" si="4"/>
        <v>2.0173805090005501E-3</v>
      </c>
    </row>
    <row r="1070" spans="1:3">
      <c r="A1070" s="3">
        <f ca="1">IFERROR(__xludf.UNSUPPORTED("""COMPUTED_VALUE"""),45015.6666666666)</f>
        <v>45015.666666666599</v>
      </c>
      <c r="B1070" s="1">
        <f ca="1">IFERROR(__xludf.UNSUPPORTED("""COMPUTED_VALUE"""),128.75)</f>
        <v>128.75</v>
      </c>
      <c r="C1070" s="2">
        <f t="shared" ca="1" si="4"/>
        <v>-3.0199783181042777E-3</v>
      </c>
    </row>
    <row r="1071" spans="1:3">
      <c r="A1071" s="3">
        <f ca="1">IFERROR(__xludf.UNSUPPORTED("""COMPUTED_VALUE"""),45016.6666666666)</f>
        <v>45016.666666666599</v>
      </c>
      <c r="B1071" s="1">
        <f ca="1">IFERROR(__xludf.UNSUPPORTED("""COMPUTED_VALUE"""),130.31)</f>
        <v>130.31</v>
      </c>
      <c r="C1071" s="2">
        <f t="shared" ca="1" si="4"/>
        <v>1.2116504854368949E-2</v>
      </c>
    </row>
    <row r="1072" spans="1:3">
      <c r="A1072" s="3">
        <f ca="1">IFERROR(__xludf.UNSUPPORTED("""COMPUTED_VALUE"""),45019.6666666666)</f>
        <v>45019.666666666599</v>
      </c>
      <c r="B1072" s="1">
        <f ca="1">IFERROR(__xludf.UNSUPPORTED("""COMPUTED_VALUE"""),130.16)</f>
        <v>130.16</v>
      </c>
      <c r="C1072" s="2">
        <f t="shared" ca="1" si="4"/>
        <v>-1.1511012201673369E-3</v>
      </c>
    </row>
    <row r="1073" spans="1:3">
      <c r="A1073" s="3">
        <f ca="1">IFERROR(__xludf.UNSUPPORTED("""COMPUTED_VALUE"""),45020.6666666666)</f>
        <v>45020.666666666599</v>
      </c>
      <c r="B1073" s="1">
        <f ca="1">IFERROR(__xludf.UNSUPPORTED("""COMPUTED_VALUE"""),128.42)</f>
        <v>128.41999999999999</v>
      </c>
      <c r="C1073" s="2">
        <f t="shared" ca="1" si="4"/>
        <v>-1.3368162261831662E-2</v>
      </c>
    </row>
    <row r="1074" spans="1:3">
      <c r="A1074" s="3">
        <f ca="1">IFERROR(__xludf.UNSUPPORTED("""COMPUTED_VALUE"""),45021.6666666666)</f>
        <v>45021.666666666599</v>
      </c>
      <c r="B1074" s="1">
        <f ca="1">IFERROR(__xludf.UNSUPPORTED("""COMPUTED_VALUE"""),127.61)</f>
        <v>127.61</v>
      </c>
      <c r="C1074" s="2">
        <f t="shared" ca="1" si="4"/>
        <v>-6.3074287494158865E-3</v>
      </c>
    </row>
    <row r="1075" spans="1:3">
      <c r="A1075" s="3">
        <f ca="1">IFERROR(__xludf.UNSUPPORTED("""COMPUTED_VALUE"""),45022.6666666666)</f>
        <v>45022.666666666599</v>
      </c>
      <c r="B1075" s="1">
        <f ca="1">IFERROR(__xludf.UNSUPPORTED("""COMPUTED_VALUE"""),127.47)</f>
        <v>127.47</v>
      </c>
      <c r="C1075" s="2">
        <f t="shared" ca="1" si="4"/>
        <v>-1.0970927043335206E-3</v>
      </c>
    </row>
    <row r="1076" spans="1:3">
      <c r="A1076" s="3">
        <f ca="1">IFERROR(__xludf.UNSUPPORTED("""COMPUTED_VALUE"""),45026.6666666666)</f>
        <v>45026.666666666599</v>
      </c>
      <c r="B1076" s="1">
        <f ca="1">IFERROR(__xludf.UNSUPPORTED("""COMPUTED_VALUE"""),127.89)</f>
        <v>127.89</v>
      </c>
      <c r="C1076" s="2">
        <f t="shared" ca="1" si="4"/>
        <v>3.2948929159802441E-3</v>
      </c>
    </row>
    <row r="1077" spans="1:3">
      <c r="A1077" s="3">
        <f ca="1">IFERROR(__xludf.UNSUPPORTED("""COMPUTED_VALUE"""),45027.6666666666)</f>
        <v>45027.666666666599</v>
      </c>
      <c r="B1077" s="1">
        <f ca="1">IFERROR(__xludf.UNSUPPORTED("""COMPUTED_VALUE"""),128.52)</f>
        <v>128.52000000000001</v>
      </c>
      <c r="C1077" s="2">
        <f t="shared" ca="1" si="4"/>
        <v>4.926108374384312E-3</v>
      </c>
    </row>
    <row r="1078" spans="1:3">
      <c r="A1078" s="3">
        <f ca="1">IFERROR(__xludf.UNSUPPORTED("""COMPUTED_VALUE"""),45028.6666666666)</f>
        <v>45028.666666666599</v>
      </c>
      <c r="B1078" s="1">
        <f ca="1">IFERROR(__xludf.UNSUPPORTED("""COMPUTED_VALUE"""),128.5)</f>
        <v>128.5</v>
      </c>
      <c r="C1078" s="2">
        <f t="shared" ca="1" si="4"/>
        <v>-1.5561780267670579E-4</v>
      </c>
    </row>
    <row r="1079" spans="1:3">
      <c r="A1079" s="3">
        <f ca="1">IFERROR(__xludf.UNSUPPORTED("""COMPUTED_VALUE"""),45029.6666666666)</f>
        <v>45029.666666666599</v>
      </c>
      <c r="B1079" s="1">
        <f ca="1">IFERROR(__xludf.UNSUPPORTED("""COMPUTED_VALUE"""),128.99)</f>
        <v>128.99</v>
      </c>
      <c r="C1079" s="2">
        <f t="shared" ca="1" si="4"/>
        <v>3.8132295719845066E-3</v>
      </c>
    </row>
    <row r="1080" spans="1:3">
      <c r="A1080" s="3">
        <f ca="1">IFERROR(__xludf.UNSUPPORTED("""COMPUTED_VALUE"""),45030.6666666666)</f>
        <v>45030.666666666599</v>
      </c>
      <c r="B1080" s="1">
        <f ca="1">IFERROR(__xludf.UNSUPPORTED("""COMPUTED_VALUE"""),138.73)</f>
        <v>138.72999999999999</v>
      </c>
      <c r="C1080" s="2">
        <f t="shared" ca="1" si="4"/>
        <v>7.5509729436390269E-2</v>
      </c>
    </row>
    <row r="1081" spans="1:3">
      <c r="A1081" s="3">
        <f ca="1">IFERROR(__xludf.UNSUPPORTED("""COMPUTED_VALUE"""),45033.6666666666)</f>
        <v>45033.666666666599</v>
      </c>
      <c r="B1081" s="1">
        <f ca="1">IFERROR(__xludf.UNSUPPORTED("""COMPUTED_VALUE"""),139.83)</f>
        <v>139.83000000000001</v>
      </c>
      <c r="C1081" s="2">
        <f t="shared" ca="1" si="4"/>
        <v>7.9290708570606411E-3</v>
      </c>
    </row>
    <row r="1082" spans="1:3">
      <c r="A1082" s="3">
        <f ca="1">IFERROR(__xludf.UNSUPPORTED("""COMPUTED_VALUE"""),45034.6666666666)</f>
        <v>45034.666666666599</v>
      </c>
      <c r="B1082" s="1">
        <f ca="1">IFERROR(__xludf.UNSUPPORTED("""COMPUTED_VALUE"""),141.4)</f>
        <v>141.4</v>
      </c>
      <c r="C1082" s="2">
        <f t="shared" ca="1" si="4"/>
        <v>1.1227919616677344E-2</v>
      </c>
    </row>
    <row r="1083" spans="1:3">
      <c r="A1083" s="3">
        <f ca="1">IFERROR(__xludf.UNSUPPORTED("""COMPUTED_VALUE"""),45035.6666666666)</f>
        <v>45035.666666666599</v>
      </c>
      <c r="B1083" s="1">
        <f ca="1">IFERROR(__xludf.UNSUPPORTED("""COMPUTED_VALUE"""),141.22)</f>
        <v>141.22</v>
      </c>
      <c r="C1083" s="2">
        <f t="shared" ca="1" si="4"/>
        <v>-1.2729844413013212E-3</v>
      </c>
    </row>
    <row r="1084" spans="1:3">
      <c r="A1084" s="3">
        <f ca="1">IFERROR(__xludf.UNSUPPORTED("""COMPUTED_VALUE"""),45036.6666666666)</f>
        <v>45036.666666666599</v>
      </c>
      <c r="B1084" s="1">
        <f ca="1">IFERROR(__xludf.UNSUPPORTED("""COMPUTED_VALUE"""),140.81)</f>
        <v>140.81</v>
      </c>
      <c r="C1084" s="2">
        <f t="shared" ca="1" si="4"/>
        <v>-2.9032714912901616E-3</v>
      </c>
    </row>
    <row r="1085" spans="1:3">
      <c r="A1085" s="3">
        <f ca="1">IFERROR(__xludf.UNSUPPORTED("""COMPUTED_VALUE"""),45037.6666666666)</f>
        <v>45037.666666666599</v>
      </c>
      <c r="B1085" s="1">
        <f ca="1">IFERROR(__xludf.UNSUPPORTED("""COMPUTED_VALUE"""),140.54)</f>
        <v>140.54</v>
      </c>
      <c r="C1085" s="2">
        <f t="shared" ca="1" si="4"/>
        <v>-1.9174774518855922E-3</v>
      </c>
    </row>
    <row r="1086" spans="1:3">
      <c r="A1086" s="3">
        <f ca="1">IFERROR(__xludf.UNSUPPORTED("""COMPUTED_VALUE"""),45040.6666666666)</f>
        <v>45040.666666666599</v>
      </c>
      <c r="B1086" s="1">
        <f ca="1">IFERROR(__xludf.UNSUPPORTED("""COMPUTED_VALUE"""),140.73)</f>
        <v>140.72999999999999</v>
      </c>
      <c r="C1086" s="2">
        <f t="shared" ca="1" si="4"/>
        <v>1.3519282766472017E-3</v>
      </c>
    </row>
    <row r="1087" spans="1:3">
      <c r="A1087" s="3">
        <f ca="1">IFERROR(__xludf.UNSUPPORTED("""COMPUTED_VALUE"""),45041.6666666666)</f>
        <v>45041.666666666599</v>
      </c>
      <c r="B1087" s="1">
        <f ca="1">IFERROR(__xludf.UNSUPPORTED("""COMPUTED_VALUE"""),137.67)</f>
        <v>137.66999999999999</v>
      </c>
      <c r="C1087" s="2">
        <f t="shared" ca="1" si="4"/>
        <v>-2.1743764655723745E-2</v>
      </c>
    </row>
    <row r="1088" spans="1:3">
      <c r="A1088" s="3">
        <f ca="1">IFERROR(__xludf.UNSUPPORTED("""COMPUTED_VALUE"""),45042.6666666666)</f>
        <v>45042.666666666599</v>
      </c>
      <c r="B1088" s="1">
        <f ca="1">IFERROR(__xludf.UNSUPPORTED("""COMPUTED_VALUE"""),135.23)</f>
        <v>135.22999999999999</v>
      </c>
      <c r="C1088" s="2">
        <f t="shared" ca="1" si="4"/>
        <v>-1.7723541802861901E-2</v>
      </c>
    </row>
    <row r="1089" spans="1:3">
      <c r="A1089" s="3">
        <f ca="1">IFERROR(__xludf.UNSUPPORTED("""COMPUTED_VALUE"""),45043.6666666666)</f>
        <v>45043.666666666599</v>
      </c>
      <c r="B1089" s="1">
        <f ca="1">IFERROR(__xludf.UNSUPPORTED("""COMPUTED_VALUE"""),137.05)</f>
        <v>137.05000000000001</v>
      </c>
      <c r="C1089" s="2">
        <f t="shared" ca="1" si="4"/>
        <v>1.3458552096428468E-2</v>
      </c>
    </row>
    <row r="1090" spans="1:3">
      <c r="A1090" s="3">
        <f ca="1">IFERROR(__xludf.UNSUPPORTED("""COMPUTED_VALUE"""),45044.6666666666)</f>
        <v>45044.666666666599</v>
      </c>
      <c r="B1090" s="1">
        <f ca="1">IFERROR(__xludf.UNSUPPORTED("""COMPUTED_VALUE"""),138.24)</f>
        <v>138.24</v>
      </c>
      <c r="C1090" s="2">
        <f t="shared" ca="1" si="4"/>
        <v>8.6829624224735325E-3</v>
      </c>
    </row>
    <row r="1091" spans="1:3">
      <c r="A1091" s="3">
        <f ca="1">IFERROR(__xludf.UNSUPPORTED("""COMPUTED_VALUE"""),45047.6666666666)</f>
        <v>45047.666666666599</v>
      </c>
      <c r="B1091" s="1">
        <f ca="1">IFERROR(__xludf.UNSUPPORTED("""COMPUTED_VALUE"""),141.2)</f>
        <v>141.19999999999999</v>
      </c>
      <c r="C1091" s="2">
        <f t="shared" ca="1" si="4"/>
        <v>2.1412037037036889E-2</v>
      </c>
    </row>
    <row r="1092" spans="1:3">
      <c r="A1092" s="3">
        <f ca="1">IFERROR(__xludf.UNSUPPORTED("""COMPUTED_VALUE"""),45048.6666666666)</f>
        <v>45048.666666666599</v>
      </c>
      <c r="B1092" s="1">
        <f ca="1">IFERROR(__xludf.UNSUPPORTED("""COMPUTED_VALUE"""),138.92)</f>
        <v>138.91999999999999</v>
      </c>
      <c r="C1092" s="2">
        <f t="shared" ca="1" si="4"/>
        <v>-1.6147308781869697E-2</v>
      </c>
    </row>
    <row r="1093" spans="1:3">
      <c r="A1093" s="3">
        <f ca="1">IFERROR(__xludf.UNSUPPORTED("""COMPUTED_VALUE"""),45049.6666666666)</f>
        <v>45049.666666666599</v>
      </c>
      <c r="B1093" s="1">
        <f ca="1">IFERROR(__xludf.UNSUPPORTED("""COMPUTED_VALUE"""),135.98)</f>
        <v>135.97999999999999</v>
      </c>
      <c r="C1093" s="2">
        <f t="shared" ca="1" si="4"/>
        <v>-2.1163259429887692E-2</v>
      </c>
    </row>
    <row r="1094" spans="1:3">
      <c r="A1094" s="3">
        <f ca="1">IFERROR(__xludf.UNSUPPORTED("""COMPUTED_VALUE"""),45050.6666666666)</f>
        <v>45050.666666666599</v>
      </c>
      <c r="B1094" s="1">
        <f ca="1">IFERROR(__xludf.UNSUPPORTED("""COMPUTED_VALUE"""),134.12)</f>
        <v>134.12</v>
      </c>
      <c r="C1094" s="2">
        <f t="shared" ca="1" si="4"/>
        <v>-1.3678482129724851E-2</v>
      </c>
    </row>
    <row r="1095" spans="1:3">
      <c r="A1095" s="3">
        <f ca="1">IFERROR(__xludf.UNSUPPORTED("""COMPUTED_VALUE"""),45051.6666666666)</f>
        <v>45051.666666666599</v>
      </c>
      <c r="B1095" s="1">
        <f ca="1">IFERROR(__xludf.UNSUPPORTED("""COMPUTED_VALUE"""),136.74)</f>
        <v>136.74</v>
      </c>
      <c r="C1095" s="2">
        <f t="shared" ca="1" si="4"/>
        <v>1.9534745004473639E-2</v>
      </c>
    </row>
    <row r="1096" spans="1:3">
      <c r="A1096" s="3">
        <f ca="1">IFERROR(__xludf.UNSUPPORTED("""COMPUTED_VALUE"""),45054.6666666666)</f>
        <v>45054.666666666599</v>
      </c>
      <c r="B1096" s="1">
        <f ca="1">IFERROR(__xludf.UNSUPPORTED("""COMPUTED_VALUE"""),137.07)</f>
        <v>137.07</v>
      </c>
      <c r="C1096" s="2">
        <f t="shared" ca="1" si="4"/>
        <v>2.4133391838524502E-3</v>
      </c>
    </row>
    <row r="1097" spans="1:3">
      <c r="A1097" s="3">
        <f ca="1">IFERROR(__xludf.UNSUPPORTED("""COMPUTED_VALUE"""),45055.6666666666)</f>
        <v>45055.666666666599</v>
      </c>
      <c r="B1097" s="1">
        <f ca="1">IFERROR(__xludf.UNSUPPORTED("""COMPUTED_VALUE"""),136.41)</f>
        <v>136.41</v>
      </c>
      <c r="C1097" s="2">
        <f t="shared" ca="1" si="4"/>
        <v>-4.8150579995622431E-3</v>
      </c>
    </row>
    <row r="1098" spans="1:3">
      <c r="A1098" s="3">
        <f ca="1">IFERROR(__xludf.UNSUPPORTED("""COMPUTED_VALUE"""),45056.6666666666)</f>
        <v>45056.666666666599</v>
      </c>
      <c r="B1098" s="1">
        <f ca="1">IFERROR(__xludf.UNSUPPORTED("""COMPUTED_VALUE"""),136.48)</f>
        <v>136.47999999999999</v>
      </c>
      <c r="C1098" s="2">
        <f t="shared" ca="1" si="4"/>
        <v>5.1315885932111415E-4</v>
      </c>
    </row>
    <row r="1099" spans="1:3">
      <c r="A1099" s="3">
        <f ca="1">IFERROR(__xludf.UNSUPPORTED("""COMPUTED_VALUE"""),45057.6666666666)</f>
        <v>45057.666666666599</v>
      </c>
      <c r="B1099" s="1">
        <f ca="1">IFERROR(__xludf.UNSUPPORTED("""COMPUTED_VALUE"""),136.05)</f>
        <v>136.05000000000001</v>
      </c>
      <c r="C1099" s="2">
        <f t="shared" ca="1" si="4"/>
        <v>-3.1506447831182475E-3</v>
      </c>
    </row>
    <row r="1100" spans="1:3">
      <c r="A1100" s="3">
        <f ca="1">IFERROR(__xludf.UNSUPPORTED("""COMPUTED_VALUE"""),45058.6666666666)</f>
        <v>45058.666666666599</v>
      </c>
      <c r="B1100" s="1">
        <f ca="1">IFERROR(__xludf.UNSUPPORTED("""COMPUTED_VALUE"""),134.1)</f>
        <v>134.1</v>
      </c>
      <c r="C1100" s="2">
        <f t="shared" ca="1" si="4"/>
        <v>-1.4332965821389319E-2</v>
      </c>
    </row>
    <row r="1101" spans="1:3">
      <c r="A1101" s="3">
        <f ca="1">IFERROR(__xludf.UNSUPPORTED("""COMPUTED_VALUE"""),45061.6666666666)</f>
        <v>45061.666666666599</v>
      </c>
      <c r="B1101" s="1">
        <f ca="1">IFERROR(__xludf.UNSUPPORTED("""COMPUTED_VALUE"""),135.23)</f>
        <v>135.22999999999999</v>
      </c>
      <c r="C1101" s="2">
        <f t="shared" ca="1" si="4"/>
        <v>8.4265473527218165E-3</v>
      </c>
    </row>
    <row r="1102" spans="1:3">
      <c r="A1102" s="3">
        <f ca="1">IFERROR(__xludf.UNSUPPORTED("""COMPUTED_VALUE"""),45062.6666666666)</f>
        <v>45062.666666666599</v>
      </c>
      <c r="B1102" s="1">
        <f ca="1">IFERROR(__xludf.UNSUPPORTED("""COMPUTED_VALUE"""),134.32)</f>
        <v>134.32</v>
      </c>
      <c r="C1102" s="2">
        <f t="shared" ca="1" si="4"/>
        <v>-6.7292760482141291E-3</v>
      </c>
    </row>
    <row r="1103" spans="1:3">
      <c r="A1103" s="3">
        <f ca="1">IFERROR(__xludf.UNSUPPORTED("""COMPUTED_VALUE"""),45063.6666666666)</f>
        <v>45063.666666666599</v>
      </c>
      <c r="B1103" s="1">
        <f ca="1">IFERROR(__xludf.UNSUPPORTED("""COMPUTED_VALUE"""),138.45)</f>
        <v>138.44999999999999</v>
      </c>
      <c r="C1103" s="2">
        <f t="shared" ca="1" si="4"/>
        <v>3.0747468731387697E-2</v>
      </c>
    </row>
    <row r="1104" spans="1:3">
      <c r="A1104" s="3">
        <f ca="1">IFERROR(__xludf.UNSUPPORTED("""COMPUTED_VALUE"""),45064.6666666666)</f>
        <v>45064.666666666599</v>
      </c>
      <c r="B1104" s="1">
        <f ca="1">IFERROR(__xludf.UNSUPPORTED("""COMPUTED_VALUE"""),139.5)</f>
        <v>139.5</v>
      </c>
      <c r="C1104" s="2">
        <f t="shared" ca="1" si="4"/>
        <v>7.5839653304442863E-3</v>
      </c>
    </row>
    <row r="1105" spans="1:3">
      <c r="A1105" s="3">
        <f ca="1">IFERROR(__xludf.UNSUPPORTED("""COMPUTED_VALUE"""),45065.6666666666)</f>
        <v>45065.666666666599</v>
      </c>
      <c r="B1105" s="1">
        <f ca="1">IFERROR(__xludf.UNSUPPORTED("""COMPUTED_VALUE"""),139.18)</f>
        <v>139.18</v>
      </c>
      <c r="C1105" s="2">
        <f t="shared" ca="1" si="4"/>
        <v>-2.2939068100357933E-3</v>
      </c>
    </row>
    <row r="1106" spans="1:3">
      <c r="A1106" s="3">
        <f ca="1">IFERROR(__xludf.UNSUPPORTED("""COMPUTED_VALUE"""),45068.6666666666)</f>
        <v>45068.666666666599</v>
      </c>
      <c r="B1106" s="1">
        <f ca="1">IFERROR(__xludf.UNSUPPORTED("""COMPUTED_VALUE"""),138.03)</f>
        <v>138.03</v>
      </c>
      <c r="C1106" s="2">
        <f t="shared" ca="1" si="4"/>
        <v>-8.2626814197442559E-3</v>
      </c>
    </row>
    <row r="1107" spans="1:3">
      <c r="A1107" s="3">
        <f ca="1">IFERROR(__xludf.UNSUPPORTED("""COMPUTED_VALUE"""),45069.6666666666)</f>
        <v>45069.666666666599</v>
      </c>
      <c r="B1107" s="1">
        <f ca="1">IFERROR(__xludf.UNSUPPORTED("""COMPUTED_VALUE"""),136.59)</f>
        <v>136.59</v>
      </c>
      <c r="C1107" s="2">
        <f t="shared" ca="1" si="4"/>
        <v>-1.0432514670723739E-2</v>
      </c>
    </row>
    <row r="1108" spans="1:3">
      <c r="A1108" s="3">
        <f ca="1">IFERROR(__xludf.UNSUPPORTED("""COMPUTED_VALUE"""),45070.6666666666)</f>
        <v>45070.666666666599</v>
      </c>
      <c r="B1108" s="1">
        <f ca="1">IFERROR(__xludf.UNSUPPORTED("""COMPUTED_VALUE"""),135.34)</f>
        <v>135.34</v>
      </c>
      <c r="C1108" s="2">
        <f t="shared" ca="1" si="4"/>
        <v>-9.1514752178051099E-3</v>
      </c>
    </row>
    <row r="1109" spans="1:3">
      <c r="A1109" s="3">
        <f ca="1">IFERROR(__xludf.UNSUPPORTED("""COMPUTED_VALUE"""),45071.6666666666)</f>
        <v>45071.666666666599</v>
      </c>
      <c r="B1109" s="1">
        <f ca="1">IFERROR(__xludf.UNSUPPORTED("""COMPUTED_VALUE"""),135.67)</f>
        <v>135.66999999999999</v>
      </c>
      <c r="C1109" s="2">
        <f t="shared" ca="1" si="4"/>
        <v>2.4383035318456042E-3</v>
      </c>
    </row>
    <row r="1110" spans="1:3">
      <c r="A1110" s="3">
        <f ca="1">IFERROR(__xludf.UNSUPPORTED("""COMPUTED_VALUE"""),45072.6666666666)</f>
        <v>45072.666666666599</v>
      </c>
      <c r="B1110" s="1">
        <f ca="1">IFERROR(__xludf.UNSUPPORTED("""COMPUTED_VALUE"""),136.94)</f>
        <v>136.94</v>
      </c>
      <c r="C1110" s="2">
        <f t="shared" ca="1" si="4"/>
        <v>9.3609493624236036E-3</v>
      </c>
    </row>
    <row r="1111" spans="1:3">
      <c r="A1111" s="3">
        <f ca="1">IFERROR(__xludf.UNSUPPORTED("""COMPUTED_VALUE"""),45076.6666666666)</f>
        <v>45076.666666666599</v>
      </c>
      <c r="B1111" s="1">
        <f ca="1">IFERROR(__xludf.UNSUPPORTED("""COMPUTED_VALUE"""),137.46)</f>
        <v>137.46</v>
      </c>
      <c r="C1111" s="2">
        <f t="shared" ca="1" si="4"/>
        <v>3.7972834818169291E-3</v>
      </c>
    </row>
    <row r="1112" spans="1:3">
      <c r="A1112" s="3">
        <f ca="1">IFERROR(__xludf.UNSUPPORTED("""COMPUTED_VALUE"""),45077.6666666666)</f>
        <v>45077.666666666599</v>
      </c>
      <c r="B1112" s="1">
        <f ca="1">IFERROR(__xludf.UNSUPPORTED("""COMPUTED_VALUE"""),135.71)</f>
        <v>135.71</v>
      </c>
      <c r="C1112" s="2">
        <f t="shared" ca="1" si="4"/>
        <v>-1.2730976284009893E-2</v>
      </c>
    </row>
    <row r="1113" spans="1:3">
      <c r="A1113" s="3">
        <f ca="1">IFERROR(__xludf.UNSUPPORTED("""COMPUTED_VALUE"""),45078.6666666666)</f>
        <v>45078.666666666599</v>
      </c>
      <c r="B1113" s="1">
        <f ca="1">IFERROR(__xludf.UNSUPPORTED("""COMPUTED_VALUE"""),137.58)</f>
        <v>137.58000000000001</v>
      </c>
      <c r="C1113" s="2">
        <f t="shared" ca="1" si="4"/>
        <v>1.3779382506816037E-2</v>
      </c>
    </row>
    <row r="1114" spans="1:3">
      <c r="A1114" s="3">
        <f ca="1">IFERROR(__xludf.UNSUPPORTED("""COMPUTED_VALUE"""),45079.6666666666)</f>
        <v>45079.666666666599</v>
      </c>
      <c r="B1114" s="1">
        <f ca="1">IFERROR(__xludf.UNSUPPORTED("""COMPUTED_VALUE"""),140.47)</f>
        <v>140.47</v>
      </c>
      <c r="C1114" s="2">
        <f t="shared" ca="1" si="4"/>
        <v>2.1005960168629059E-2</v>
      </c>
    </row>
    <row r="1115" spans="1:3">
      <c r="A1115" s="3">
        <f ca="1">IFERROR(__xludf.UNSUPPORTED("""COMPUTED_VALUE"""),45082.6666666666)</f>
        <v>45082.666666666599</v>
      </c>
      <c r="B1115" s="1">
        <f ca="1">IFERROR(__xludf.UNSUPPORTED("""COMPUTED_VALUE"""),139.09)</f>
        <v>139.09</v>
      </c>
      <c r="C1115" s="2">
        <f t="shared" ca="1" si="4"/>
        <v>-9.8241617427208341E-3</v>
      </c>
    </row>
    <row r="1116" spans="1:3">
      <c r="A1116" s="3">
        <f ca="1">IFERROR(__xludf.UNSUPPORTED("""COMPUTED_VALUE"""),45083.6666666666)</f>
        <v>45083.666666666599</v>
      </c>
      <c r="B1116" s="1">
        <f ca="1">IFERROR(__xludf.UNSUPPORTED("""COMPUTED_VALUE"""),139.34)</f>
        <v>139.34</v>
      </c>
      <c r="C1116" s="2">
        <f t="shared" ca="1" si="4"/>
        <v>1.7973973686102524E-3</v>
      </c>
    </row>
    <row r="1117" spans="1:3">
      <c r="A1117" s="3">
        <f ca="1">IFERROR(__xludf.UNSUPPORTED("""COMPUTED_VALUE"""),45084.6666666666)</f>
        <v>45084.666666666599</v>
      </c>
      <c r="B1117" s="1">
        <f ca="1">IFERROR(__xludf.UNSUPPORTED("""COMPUTED_VALUE"""),140.69)</f>
        <v>140.69</v>
      </c>
      <c r="C1117" s="2">
        <f t="shared" ca="1" si="4"/>
        <v>9.6885316492033458E-3</v>
      </c>
    </row>
    <row r="1118" spans="1:3">
      <c r="A1118" s="3">
        <f ca="1">IFERROR(__xludf.UNSUPPORTED("""COMPUTED_VALUE"""),45085.6666666666)</f>
        <v>45085.666666666599</v>
      </c>
      <c r="B1118" s="1">
        <f ca="1">IFERROR(__xludf.UNSUPPORTED("""COMPUTED_VALUE"""),140.73)</f>
        <v>140.72999999999999</v>
      </c>
      <c r="C1118" s="2">
        <f t="shared" ca="1" si="4"/>
        <v>2.8431302864448106E-4</v>
      </c>
    </row>
    <row r="1119" spans="1:3">
      <c r="A1119" s="3">
        <f ca="1">IFERROR(__xludf.UNSUPPORTED("""COMPUTED_VALUE"""),45086.6666666666)</f>
        <v>45086.666666666599</v>
      </c>
      <c r="B1119" s="1">
        <f ca="1">IFERROR(__xludf.UNSUPPORTED("""COMPUTED_VALUE"""),141.01)</f>
        <v>141.01</v>
      </c>
      <c r="C1119" s="2">
        <f t="shared" ca="1" si="4"/>
        <v>1.9896255240531594E-3</v>
      </c>
    </row>
    <row r="1120" spans="1:3">
      <c r="A1120" s="3">
        <f ca="1">IFERROR(__xludf.UNSUPPORTED("""COMPUTED_VALUE"""),45089.6666666666)</f>
        <v>45089.666666666599</v>
      </c>
      <c r="B1120" s="1">
        <f ca="1">IFERROR(__xludf.UNSUPPORTED("""COMPUTED_VALUE"""),141)</f>
        <v>141</v>
      </c>
      <c r="C1120" s="2">
        <f t="shared" ca="1" si="4"/>
        <v>-7.0916956244173509E-5</v>
      </c>
    </row>
    <row r="1121" spans="1:3">
      <c r="A1121" s="3">
        <f ca="1">IFERROR(__xludf.UNSUPPORTED("""COMPUTED_VALUE"""),45090.6666666666)</f>
        <v>45090.666666666599</v>
      </c>
      <c r="B1121" s="1">
        <f ca="1">IFERROR(__xludf.UNSUPPORTED("""COMPUTED_VALUE"""),142.02)</f>
        <v>142.02000000000001</v>
      </c>
      <c r="C1121" s="2">
        <f t="shared" ca="1" si="4"/>
        <v>7.2340425531915616E-3</v>
      </c>
    </row>
    <row r="1122" spans="1:3">
      <c r="A1122" s="3">
        <f ca="1">IFERROR(__xludf.UNSUPPORTED("""COMPUTED_VALUE"""),45091.6666666666)</f>
        <v>45091.666666666599</v>
      </c>
      <c r="B1122" s="1">
        <f ca="1">IFERROR(__xludf.UNSUPPORTED("""COMPUTED_VALUE"""),141.49)</f>
        <v>141.49</v>
      </c>
      <c r="C1122" s="2">
        <f t="shared" ca="1" si="4"/>
        <v>-3.7318687508801655E-3</v>
      </c>
    </row>
    <row r="1123" spans="1:3">
      <c r="A1123" s="3">
        <f ca="1">IFERROR(__xludf.UNSUPPORTED("""COMPUTED_VALUE"""),45092.6666666666)</f>
        <v>45092.666666666599</v>
      </c>
      <c r="B1123" s="1">
        <f ca="1">IFERROR(__xludf.UNSUPPORTED("""COMPUTED_VALUE"""),143.09)</f>
        <v>143.09</v>
      </c>
      <c r="C1123" s="2">
        <f t="shared" ca="1" si="4"/>
        <v>1.1308219662166897E-2</v>
      </c>
    </row>
    <row r="1124" spans="1:3">
      <c r="A1124" s="3">
        <f ca="1">IFERROR(__xludf.UNSUPPORTED("""COMPUTED_VALUE"""),45093.6666666666)</f>
        <v>45093.666666666599</v>
      </c>
      <c r="B1124" s="1">
        <f ca="1">IFERROR(__xludf.UNSUPPORTED("""COMPUTED_VALUE"""),143.26)</f>
        <v>143.26</v>
      </c>
      <c r="C1124" s="2">
        <f t="shared" ca="1" si="4"/>
        <v>1.1880634565657104E-3</v>
      </c>
    </row>
    <row r="1125" spans="1:3">
      <c r="A1125" s="3">
        <f ca="1">IFERROR(__xludf.UNSUPPORTED("""COMPUTED_VALUE"""),45097.6666666666)</f>
        <v>45097.666666666599</v>
      </c>
      <c r="B1125" s="1">
        <f ca="1">IFERROR(__xludf.UNSUPPORTED("""COMPUTED_VALUE"""),142.53)</f>
        <v>142.53</v>
      </c>
      <c r="C1125" s="2">
        <f t="shared" ca="1" si="4"/>
        <v>-5.0956303224905051E-3</v>
      </c>
    </row>
    <row r="1126" spans="1:3">
      <c r="A1126" s="3">
        <f ca="1">IFERROR(__xludf.UNSUPPORTED("""COMPUTED_VALUE"""),45098.6666666666)</f>
        <v>45098.666666666599</v>
      </c>
      <c r="B1126" s="1">
        <f ca="1">IFERROR(__xludf.UNSUPPORTED("""COMPUTED_VALUE"""),142.32)</f>
        <v>142.32</v>
      </c>
      <c r="C1126" s="2">
        <f t="shared" ca="1" si="4"/>
        <v>-1.4733740265207883E-3</v>
      </c>
    </row>
    <row r="1127" spans="1:3">
      <c r="A1127" s="3">
        <f ca="1">IFERROR(__xludf.UNSUPPORTED("""COMPUTED_VALUE"""),45099.6666666666)</f>
        <v>45099.666666666599</v>
      </c>
      <c r="B1127" s="1">
        <f ca="1">IFERROR(__xludf.UNSUPPORTED("""COMPUTED_VALUE"""),139.58)</f>
        <v>139.58000000000001</v>
      </c>
      <c r="C1127" s="2">
        <f t="shared" ca="1" si="4"/>
        <v>-1.9252388982574344E-2</v>
      </c>
    </row>
    <row r="1128" spans="1:3">
      <c r="A1128" s="3">
        <f ca="1">IFERROR(__xludf.UNSUPPORTED("""COMPUTED_VALUE"""),45100.6666666666)</f>
        <v>45100.666666666599</v>
      </c>
      <c r="B1128" s="1">
        <f ca="1">IFERROR(__xludf.UNSUPPORTED("""COMPUTED_VALUE"""),138.85)</f>
        <v>138.85</v>
      </c>
      <c r="C1128" s="2">
        <f t="shared" ca="1" si="4"/>
        <v>-5.2299756412094722E-3</v>
      </c>
    </row>
    <row r="1129" spans="1:3">
      <c r="A1129" s="3">
        <f ca="1">IFERROR(__xludf.UNSUPPORTED("""COMPUTED_VALUE"""),45103.6666666666)</f>
        <v>45103.666666666599</v>
      </c>
      <c r="B1129" s="1">
        <f ca="1">IFERROR(__xludf.UNSUPPORTED("""COMPUTED_VALUE"""),139.19)</f>
        <v>139.19</v>
      </c>
      <c r="C1129" s="2">
        <f t="shared" ca="1" si="4"/>
        <v>2.4486856319769781E-3</v>
      </c>
    </row>
    <row r="1130" spans="1:3">
      <c r="A1130" s="3">
        <f ca="1">IFERROR(__xludf.UNSUPPORTED("""COMPUTED_VALUE"""),45104.6666666666)</f>
        <v>45104.666666666599</v>
      </c>
      <c r="B1130" s="1">
        <f ca="1">IFERROR(__xludf.UNSUPPORTED("""COMPUTED_VALUE"""),139.2)</f>
        <v>139.19999999999999</v>
      </c>
      <c r="C1130" s="2">
        <f t="shared" ca="1" si="4"/>
        <v>7.184424168396368E-5</v>
      </c>
    </row>
    <row r="1131" spans="1:3">
      <c r="A1131" s="3">
        <f ca="1">IFERROR(__xludf.UNSUPPORTED("""COMPUTED_VALUE"""),45105.6666666666)</f>
        <v>45105.666666666599</v>
      </c>
      <c r="B1131" s="1">
        <f ca="1">IFERROR(__xludf.UNSUPPORTED("""COMPUTED_VALUE"""),138.59)</f>
        <v>138.59</v>
      </c>
      <c r="C1131" s="2">
        <f t="shared" ca="1" si="4"/>
        <v>-4.3821839080458716E-3</v>
      </c>
    </row>
    <row r="1132" spans="1:3">
      <c r="A1132" s="3">
        <f ca="1">IFERROR(__xludf.UNSUPPORTED("""COMPUTED_VALUE"""),45106.6666666666)</f>
        <v>45106.666666666599</v>
      </c>
      <c r="B1132" s="1">
        <f ca="1">IFERROR(__xludf.UNSUPPORTED("""COMPUTED_VALUE"""),143.43)</f>
        <v>143.43</v>
      </c>
      <c r="C1132" s="2">
        <f t="shared" ca="1" si="4"/>
        <v>3.4923154628761117E-2</v>
      </c>
    </row>
    <row r="1133" spans="1:3">
      <c r="A1133" s="3">
        <f ca="1">IFERROR(__xludf.UNSUPPORTED("""COMPUTED_VALUE"""),45107.6666666666)</f>
        <v>45107.666666666599</v>
      </c>
      <c r="B1133" s="1">
        <f ca="1">IFERROR(__xludf.UNSUPPORTED("""COMPUTED_VALUE"""),145.44)</f>
        <v>145.44</v>
      </c>
      <c r="C1133" s="2">
        <f t="shared" ca="1" si="4"/>
        <v>1.4013804643379982E-2</v>
      </c>
    </row>
    <row r="1134" spans="1:3">
      <c r="A1134" s="3">
        <f ca="1">IFERROR(__xludf.UNSUPPORTED("""COMPUTED_VALUE"""),45110.5416666666)</f>
        <v>45110.541666666599</v>
      </c>
      <c r="B1134" s="1">
        <f ca="1">IFERROR(__xludf.UNSUPPORTED("""COMPUTED_VALUE"""),146.61)</f>
        <v>146.61000000000001</v>
      </c>
      <c r="C1134" s="2">
        <f t="shared" ca="1" si="4"/>
        <v>8.044554455445654E-3</v>
      </c>
    </row>
    <row r="1135" spans="1:3">
      <c r="A1135" s="3">
        <f ca="1">IFERROR(__xludf.UNSUPPORTED("""COMPUTED_VALUE"""),45112.6666666666)</f>
        <v>45112.666666666599</v>
      </c>
      <c r="B1135" s="1">
        <f ca="1">IFERROR(__xludf.UNSUPPORTED("""COMPUTED_VALUE"""),144.64)</f>
        <v>144.63999999999999</v>
      </c>
      <c r="C1135" s="2">
        <f t="shared" ca="1" si="4"/>
        <v>-1.3437009753768686E-2</v>
      </c>
    </row>
    <row r="1136" spans="1:3">
      <c r="A1136" s="3">
        <f ca="1">IFERROR(__xludf.UNSUPPORTED("""COMPUTED_VALUE"""),45113.6666666666)</f>
        <v>45113.666666666599</v>
      </c>
      <c r="B1136" s="1">
        <f ca="1">IFERROR(__xludf.UNSUPPORTED("""COMPUTED_VALUE"""),143.21)</f>
        <v>143.21</v>
      </c>
      <c r="C1136" s="2">
        <f t="shared" ca="1" si="4"/>
        <v>-9.8866150442476399E-3</v>
      </c>
    </row>
    <row r="1137" spans="1:3">
      <c r="A1137" s="3">
        <f ca="1">IFERROR(__xludf.UNSUPPORTED("""COMPUTED_VALUE"""),45114.6666666666)</f>
        <v>45114.666666666599</v>
      </c>
      <c r="B1137" s="1">
        <f ca="1">IFERROR(__xludf.UNSUPPORTED("""COMPUTED_VALUE"""),144.34)</f>
        <v>144.34</v>
      </c>
      <c r="C1137" s="2">
        <f t="shared" ca="1" si="4"/>
        <v>7.8905104392151069E-3</v>
      </c>
    </row>
    <row r="1138" spans="1:3">
      <c r="A1138" s="3">
        <f ca="1">IFERROR(__xludf.UNSUPPORTED("""COMPUTED_VALUE"""),45117.6666666666)</f>
        <v>45117.666666666599</v>
      </c>
      <c r="B1138" s="1">
        <f ca="1">IFERROR(__xludf.UNSUPPORTED("""COMPUTED_VALUE"""),145.15)</f>
        <v>145.15</v>
      </c>
      <c r="C1138" s="2">
        <f t="shared" ca="1" si="4"/>
        <v>5.611750034640448E-3</v>
      </c>
    </row>
    <row r="1139" spans="1:3">
      <c r="A1139" s="3">
        <f ca="1">IFERROR(__xludf.UNSUPPORTED("""COMPUTED_VALUE"""),45118.6666666666)</f>
        <v>45118.666666666599</v>
      </c>
      <c r="B1139" s="1">
        <f ca="1">IFERROR(__xludf.UNSUPPORTED("""COMPUTED_VALUE"""),147.42)</f>
        <v>147.41999999999999</v>
      </c>
      <c r="C1139" s="2">
        <f t="shared" ca="1" si="4"/>
        <v>1.5638994143988852E-2</v>
      </c>
    </row>
    <row r="1140" spans="1:3">
      <c r="A1140" s="3">
        <f ca="1">IFERROR(__xludf.UNSUPPORTED("""COMPUTED_VALUE"""),45119.6666666666)</f>
        <v>45119.666666666599</v>
      </c>
      <c r="B1140" s="1">
        <f ca="1">IFERROR(__xludf.UNSUPPORTED("""COMPUTED_VALUE"""),148.15)</f>
        <v>148.15</v>
      </c>
      <c r="C1140" s="2">
        <f t="shared" ca="1" si="4"/>
        <v>4.9518382851717422E-3</v>
      </c>
    </row>
    <row r="1141" spans="1:3">
      <c r="A1141" s="3">
        <f ca="1">IFERROR(__xludf.UNSUPPORTED("""COMPUTED_VALUE"""),45120.6666666666)</f>
        <v>45120.666666666599</v>
      </c>
      <c r="B1141" s="1">
        <f ca="1">IFERROR(__xludf.UNSUPPORTED("""COMPUTED_VALUE"""),148.87)</f>
        <v>148.87</v>
      </c>
      <c r="C1141" s="2">
        <f t="shared" ca="1" si="4"/>
        <v>4.8599392507593575E-3</v>
      </c>
    </row>
    <row r="1142" spans="1:3">
      <c r="A1142" s="3">
        <f ca="1">IFERROR(__xludf.UNSUPPORTED("""COMPUTED_VALUE"""),45121.6666666666)</f>
        <v>45121.666666666599</v>
      </c>
      <c r="B1142" s="1">
        <f ca="1">IFERROR(__xludf.UNSUPPORTED("""COMPUTED_VALUE"""),149.77)</f>
        <v>149.77000000000001</v>
      </c>
      <c r="C1142" s="2">
        <f t="shared" ca="1" si="4"/>
        <v>6.0455430912877391E-3</v>
      </c>
    </row>
    <row r="1143" spans="1:3">
      <c r="A1143" s="3">
        <f ca="1">IFERROR(__xludf.UNSUPPORTED("""COMPUTED_VALUE"""),45124.6666666666)</f>
        <v>45124.666666666599</v>
      </c>
      <c r="B1143" s="1">
        <f ca="1">IFERROR(__xludf.UNSUPPORTED("""COMPUTED_VALUE"""),153.38)</f>
        <v>153.38</v>
      </c>
      <c r="C1143" s="2">
        <f t="shared" ca="1" si="4"/>
        <v>2.4103625559190659E-2</v>
      </c>
    </row>
    <row r="1144" spans="1:3">
      <c r="A1144" s="3">
        <f ca="1">IFERROR(__xludf.UNSUPPORTED("""COMPUTED_VALUE"""),45125.6666666666)</f>
        <v>45125.666666666599</v>
      </c>
      <c r="B1144" s="1">
        <f ca="1">IFERROR(__xludf.UNSUPPORTED("""COMPUTED_VALUE"""),153.66)</f>
        <v>153.66</v>
      </c>
      <c r="C1144" s="2">
        <f t="shared" ca="1" si="4"/>
        <v>1.8255313600208708E-3</v>
      </c>
    </row>
    <row r="1145" spans="1:3">
      <c r="A1145" s="3">
        <f ca="1">IFERROR(__xludf.UNSUPPORTED("""COMPUTED_VALUE"""),45126.6666666666)</f>
        <v>45126.666666666599</v>
      </c>
      <c r="B1145" s="1">
        <f ca="1">IFERROR(__xludf.UNSUPPORTED("""COMPUTED_VALUE"""),154.25)</f>
        <v>154.25</v>
      </c>
      <c r="C1145" s="2">
        <f t="shared" ca="1" si="4"/>
        <v>3.8396459716256892E-3</v>
      </c>
    </row>
    <row r="1146" spans="1:3">
      <c r="A1146" s="3">
        <f ca="1">IFERROR(__xludf.UNSUPPORTED("""COMPUTED_VALUE"""),45127.6666666666)</f>
        <v>45127.666666666599</v>
      </c>
      <c r="B1146" s="1">
        <f ca="1">IFERROR(__xludf.UNSUPPORTED("""COMPUTED_VALUE"""),156.15)</f>
        <v>156.15</v>
      </c>
      <c r="C1146" s="2">
        <f t="shared" ca="1" si="4"/>
        <v>1.231766612641819E-2</v>
      </c>
    </row>
    <row r="1147" spans="1:3">
      <c r="A1147" s="3">
        <f ca="1">IFERROR(__xludf.UNSUPPORTED("""COMPUTED_VALUE"""),45128.6666666666)</f>
        <v>45128.666666666599</v>
      </c>
      <c r="B1147" s="1">
        <f ca="1">IFERROR(__xludf.UNSUPPORTED("""COMPUTED_VALUE"""),154.95)</f>
        <v>154.94999999999999</v>
      </c>
      <c r="C1147" s="2">
        <f t="shared" ca="1" si="4"/>
        <v>-7.6849183477426643E-3</v>
      </c>
    </row>
    <row r="1148" spans="1:3">
      <c r="A1148" s="3">
        <f ca="1">IFERROR(__xludf.UNSUPPORTED("""COMPUTED_VALUE"""),45131.6666666666)</f>
        <v>45131.666666666599</v>
      </c>
      <c r="B1148" s="1">
        <f ca="1">IFERROR(__xludf.UNSUPPORTED("""COMPUTED_VALUE"""),158)</f>
        <v>158</v>
      </c>
      <c r="C1148" s="2">
        <f t="shared" ca="1" si="4"/>
        <v>1.9683768957728373E-2</v>
      </c>
    </row>
    <row r="1149" spans="1:3">
      <c r="A1149" s="3">
        <f ca="1">IFERROR(__xludf.UNSUPPORTED("""COMPUTED_VALUE"""),45132.6666666666)</f>
        <v>45132.666666666599</v>
      </c>
      <c r="B1149" s="1">
        <f ca="1">IFERROR(__xludf.UNSUPPORTED("""COMPUTED_VALUE"""),156.82)</f>
        <v>156.82</v>
      </c>
      <c r="C1149" s="2">
        <f t="shared" ca="1" si="4"/>
        <v>-7.4683544303797899E-3</v>
      </c>
    </row>
    <row r="1150" spans="1:3">
      <c r="A1150" s="3">
        <f ca="1">IFERROR(__xludf.UNSUPPORTED("""COMPUTED_VALUE"""),45133.6666666666)</f>
        <v>45133.666666666599</v>
      </c>
      <c r="B1150" s="1">
        <f ca="1">IFERROR(__xludf.UNSUPPORTED("""COMPUTED_VALUE"""),157.76)</f>
        <v>157.76</v>
      </c>
      <c r="C1150" s="2">
        <f t="shared" ca="1" si="4"/>
        <v>5.9941334013518541E-3</v>
      </c>
    </row>
    <row r="1151" spans="1:3">
      <c r="A1151" s="3">
        <f ca="1">IFERROR(__xludf.UNSUPPORTED("""COMPUTED_VALUE"""),45134.6666666666)</f>
        <v>45134.666666666599</v>
      </c>
      <c r="B1151" s="1">
        <f ca="1">IFERROR(__xludf.UNSUPPORTED("""COMPUTED_VALUE"""),156.02)</f>
        <v>156.02000000000001</v>
      </c>
      <c r="C1151" s="2">
        <f t="shared" ca="1" si="4"/>
        <v>-1.102941176470576E-2</v>
      </c>
    </row>
    <row r="1152" spans="1:3">
      <c r="A1152" s="3">
        <f ca="1">IFERROR(__xludf.UNSUPPORTED("""COMPUTED_VALUE"""),45135.6666666666)</f>
        <v>45135.666666666599</v>
      </c>
      <c r="B1152" s="1">
        <f ca="1">IFERROR(__xludf.UNSUPPORTED("""COMPUTED_VALUE"""),156.91)</f>
        <v>156.91</v>
      </c>
      <c r="C1152" s="2">
        <f t="shared" ca="1" si="4"/>
        <v>5.7043968721957848E-3</v>
      </c>
    </row>
    <row r="1153" spans="1:3">
      <c r="A1153" s="3">
        <f ca="1">IFERROR(__xludf.UNSUPPORTED("""COMPUTED_VALUE"""),45138.6666666666)</f>
        <v>45138.666666666599</v>
      </c>
      <c r="B1153" s="1">
        <f ca="1">IFERROR(__xludf.UNSUPPORTED("""COMPUTED_VALUE"""),157.96)</f>
        <v>157.96</v>
      </c>
      <c r="C1153" s="2">
        <f t="shared" ca="1" si="4"/>
        <v>6.6917341150978995E-3</v>
      </c>
    </row>
    <row r="1154" spans="1:3">
      <c r="A1154" s="3">
        <f ca="1">IFERROR(__xludf.UNSUPPORTED("""COMPUTED_VALUE"""),45139.6666666666)</f>
        <v>45139.666666666599</v>
      </c>
      <c r="B1154" s="1">
        <f ca="1">IFERROR(__xludf.UNSUPPORTED("""COMPUTED_VALUE"""),157.18)</f>
        <v>157.18</v>
      </c>
      <c r="C1154" s="2">
        <f t="shared" ca="1" si="4"/>
        <v>-4.9379589769561983E-3</v>
      </c>
    </row>
    <row r="1155" spans="1:3">
      <c r="A1155" s="3">
        <f ca="1">IFERROR(__xludf.UNSUPPORTED("""COMPUTED_VALUE"""),45140.6666666666)</f>
        <v>45140.666666666599</v>
      </c>
      <c r="B1155" s="1">
        <f ca="1">IFERROR(__xludf.UNSUPPORTED("""COMPUTED_VALUE"""),155.4)</f>
        <v>155.4</v>
      </c>
      <c r="C1155" s="2">
        <f t="shared" ca="1" si="4"/>
        <v>-1.1324596004580743E-2</v>
      </c>
    </row>
    <row r="1156" spans="1:3">
      <c r="A1156" s="3">
        <f ca="1">IFERROR(__xludf.UNSUPPORTED("""COMPUTED_VALUE"""),45141.6666666666)</f>
        <v>45141.666666666599</v>
      </c>
      <c r="B1156" s="1">
        <f ca="1">IFERROR(__xludf.UNSUPPORTED("""COMPUTED_VALUE"""),156.35)</f>
        <v>156.35</v>
      </c>
      <c r="C1156" s="2">
        <f t="shared" ca="1" si="4"/>
        <v>6.11325611325604E-3</v>
      </c>
    </row>
    <row r="1157" spans="1:3">
      <c r="A1157" s="3">
        <f ca="1">IFERROR(__xludf.UNSUPPORTED("""COMPUTED_VALUE"""),45142.6666666666)</f>
        <v>45142.666666666599</v>
      </c>
      <c r="B1157" s="1">
        <f ca="1">IFERROR(__xludf.UNSUPPORTED("""COMPUTED_VALUE"""),156.02)</f>
        <v>156.02000000000001</v>
      </c>
      <c r="C1157" s="2">
        <f t="shared" ca="1" si="4"/>
        <v>-2.1106491845218041E-3</v>
      </c>
    </row>
    <row r="1158" spans="1:3">
      <c r="A1158" s="3">
        <f ca="1">IFERROR(__xludf.UNSUPPORTED("""COMPUTED_VALUE"""),45145.6666666666)</f>
        <v>45145.666666666599</v>
      </c>
      <c r="B1158" s="1">
        <f ca="1">IFERROR(__xludf.UNSUPPORTED("""COMPUTED_VALUE"""),156.76)</f>
        <v>156.76</v>
      </c>
      <c r="C1158" s="2">
        <f t="shared" ca="1" si="4"/>
        <v>4.7429816690166687E-3</v>
      </c>
    </row>
    <row r="1159" spans="1:3">
      <c r="A1159" s="3">
        <f ca="1">IFERROR(__xludf.UNSUPPORTED("""COMPUTED_VALUE"""),45146.6666666666)</f>
        <v>45146.666666666599</v>
      </c>
      <c r="B1159" s="1">
        <f ca="1">IFERROR(__xludf.UNSUPPORTED("""COMPUTED_VALUE"""),155.88)</f>
        <v>155.88</v>
      </c>
      <c r="C1159" s="2">
        <f t="shared" ca="1" si="4"/>
        <v>-5.6136769584077288E-3</v>
      </c>
    </row>
    <row r="1160" spans="1:3">
      <c r="A1160" s="3">
        <f ca="1">IFERROR(__xludf.UNSUPPORTED("""COMPUTED_VALUE"""),45147.6666666666)</f>
        <v>45147.666666666599</v>
      </c>
      <c r="B1160" s="1">
        <f ca="1">IFERROR(__xludf.UNSUPPORTED("""COMPUTED_VALUE"""),153.79)</f>
        <v>153.79</v>
      </c>
      <c r="C1160" s="2">
        <f t="shared" ca="1" si="4"/>
        <v>-1.340774955093664E-2</v>
      </c>
    </row>
    <row r="1161" spans="1:3">
      <c r="A1161" s="3">
        <f ca="1">IFERROR(__xludf.UNSUPPORTED("""COMPUTED_VALUE"""),45148.6666666666)</f>
        <v>45148.666666666599</v>
      </c>
      <c r="B1161" s="1">
        <f ca="1">IFERROR(__xludf.UNSUPPORTED("""COMPUTED_VALUE"""),153.56)</f>
        <v>153.56</v>
      </c>
      <c r="C1161" s="2">
        <f t="shared" ca="1" si="4"/>
        <v>-1.4955458742440327E-3</v>
      </c>
    </row>
    <row r="1162" spans="1:3">
      <c r="A1162" s="3">
        <f ca="1">IFERROR(__xludf.UNSUPPORTED("""COMPUTED_VALUE"""),45149.6666666666)</f>
        <v>45149.666666666599</v>
      </c>
      <c r="B1162" s="1">
        <f ca="1">IFERROR(__xludf.UNSUPPORTED("""COMPUTED_VALUE"""),154.45)</f>
        <v>154.44999999999999</v>
      </c>
      <c r="C1162" s="2">
        <f t="shared" ca="1" si="4"/>
        <v>5.7957801510809216E-3</v>
      </c>
    </row>
    <row r="1163" spans="1:3">
      <c r="A1163" s="3">
        <f ca="1">IFERROR(__xludf.UNSUPPORTED("""COMPUTED_VALUE"""),45152.6666666666)</f>
        <v>45152.666666666599</v>
      </c>
      <c r="B1163" s="1">
        <f ca="1">IFERROR(__xludf.UNSUPPORTED("""COMPUTED_VALUE"""),154.77)</f>
        <v>154.77000000000001</v>
      </c>
      <c r="C1163" s="2">
        <f t="shared" ca="1" si="4"/>
        <v>2.0718679184203409E-3</v>
      </c>
    </row>
    <row r="1164" spans="1:3">
      <c r="A1164" s="3">
        <f ca="1">IFERROR(__xludf.UNSUPPORTED("""COMPUTED_VALUE"""),45153.6666666666)</f>
        <v>45153.666666666599</v>
      </c>
      <c r="B1164" s="1">
        <f ca="1">IFERROR(__xludf.UNSUPPORTED("""COMPUTED_VALUE"""),150.83)</f>
        <v>150.83000000000001</v>
      </c>
      <c r="C1164" s="2">
        <f t="shared" ca="1" si="4"/>
        <v>-2.5457129934741859E-2</v>
      </c>
    </row>
    <row r="1165" spans="1:3">
      <c r="A1165" s="3">
        <f ca="1">IFERROR(__xludf.UNSUPPORTED("""COMPUTED_VALUE"""),45154.6666666666)</f>
        <v>45154.666666666599</v>
      </c>
      <c r="B1165" s="1">
        <f ca="1">IFERROR(__xludf.UNSUPPORTED("""COMPUTED_VALUE"""),150.19)</f>
        <v>150.19</v>
      </c>
      <c r="C1165" s="2">
        <f t="shared" ca="1" si="4"/>
        <v>-4.2431876947557831E-3</v>
      </c>
    </row>
    <row r="1166" spans="1:3">
      <c r="A1166" s="3">
        <f ca="1">IFERROR(__xludf.UNSUPPORTED("""COMPUTED_VALUE"""),45155.6666666666)</f>
        <v>45155.666666666599</v>
      </c>
      <c r="B1166" s="1">
        <f ca="1">IFERROR(__xludf.UNSUPPORTED("""COMPUTED_VALUE"""),148.63)</f>
        <v>148.63</v>
      </c>
      <c r="C1166" s="2">
        <f t="shared" ca="1" si="4"/>
        <v>-1.0386843331779761E-2</v>
      </c>
    </row>
    <row r="1167" spans="1:3">
      <c r="A1167" s="3">
        <f ca="1">IFERROR(__xludf.UNSUPPORTED("""COMPUTED_VALUE"""),45156.6666666666)</f>
        <v>45156.666666666599</v>
      </c>
      <c r="B1167" s="1">
        <f ca="1">IFERROR(__xludf.UNSUPPORTED("""COMPUTED_VALUE"""),148.97)</f>
        <v>148.97</v>
      </c>
      <c r="C1167" s="2">
        <f t="shared" ca="1" si="4"/>
        <v>2.2875597120366239E-3</v>
      </c>
    </row>
    <row r="1168" spans="1:3">
      <c r="A1168" s="3">
        <f ca="1">IFERROR(__xludf.UNSUPPORTED("""COMPUTED_VALUE"""),45159.6666666666)</f>
        <v>45159.666666666599</v>
      </c>
      <c r="B1168" s="1">
        <f ca="1">IFERROR(__xludf.UNSUPPORTED("""COMPUTED_VALUE"""),149.48)</f>
        <v>149.47999999999999</v>
      </c>
      <c r="C1168" s="2">
        <f t="shared" ca="1" si="4"/>
        <v>3.4235080888768941E-3</v>
      </c>
    </row>
    <row r="1169" spans="1:3">
      <c r="A1169" s="3">
        <f ca="1">IFERROR(__xludf.UNSUPPORTED("""COMPUTED_VALUE"""),45160.6666666666)</f>
        <v>45160.666666666599</v>
      </c>
      <c r="B1169" s="1">
        <f ca="1">IFERROR(__xludf.UNSUPPORTED("""COMPUTED_VALUE"""),146.38)</f>
        <v>146.38</v>
      </c>
      <c r="C1169" s="2">
        <f t="shared" ca="1" si="4"/>
        <v>-2.0738560342520702E-2</v>
      </c>
    </row>
    <row r="1170" spans="1:3">
      <c r="A1170" s="3">
        <f ca="1">IFERROR(__xludf.UNSUPPORTED("""COMPUTED_VALUE"""),45161.6666666666)</f>
        <v>45161.666666666599</v>
      </c>
      <c r="B1170" s="1">
        <f ca="1">IFERROR(__xludf.UNSUPPORTED("""COMPUTED_VALUE"""),147.37)</f>
        <v>147.37</v>
      </c>
      <c r="C1170" s="2">
        <f t="shared" ca="1" si="4"/>
        <v>6.7632190189917275E-3</v>
      </c>
    </row>
    <row r="1171" spans="1:3">
      <c r="A1171" s="3">
        <f ca="1">IFERROR(__xludf.UNSUPPORTED("""COMPUTED_VALUE"""),45162.6666666666)</f>
        <v>45162.666666666599</v>
      </c>
      <c r="B1171" s="1">
        <f ca="1">IFERROR(__xludf.UNSUPPORTED("""COMPUTED_VALUE"""),147.23)</f>
        <v>147.22999999999999</v>
      </c>
      <c r="C1171" s="2">
        <f t="shared" ca="1" si="4"/>
        <v>-9.4998982153772667E-4</v>
      </c>
    </row>
    <row r="1172" spans="1:3">
      <c r="A1172" s="3">
        <f ca="1">IFERROR(__xludf.UNSUPPORTED("""COMPUTED_VALUE"""),45163.6666666666)</f>
        <v>45163.666666666599</v>
      </c>
      <c r="B1172" s="1">
        <f ca="1">IFERROR(__xludf.UNSUPPORTED("""COMPUTED_VALUE"""),147.05)</f>
        <v>147.05000000000001</v>
      </c>
      <c r="C1172" s="2">
        <f t="shared" ca="1" si="4"/>
        <v>-1.2225769204644325E-3</v>
      </c>
    </row>
    <row r="1173" spans="1:3">
      <c r="A1173" s="3">
        <f ca="1">IFERROR(__xludf.UNSUPPORTED("""COMPUTED_VALUE"""),45166.6666666666)</f>
        <v>45166.666666666599</v>
      </c>
      <c r="B1173" s="1">
        <f ca="1">IFERROR(__xludf.UNSUPPORTED("""COMPUTED_VALUE"""),147.56)</f>
        <v>147.56</v>
      </c>
      <c r="C1173" s="2">
        <f t="shared" ca="1" si="4"/>
        <v>3.4682080924854871E-3</v>
      </c>
    </row>
    <row r="1174" spans="1:3">
      <c r="A1174" s="3">
        <f ca="1">IFERROR(__xludf.UNSUPPORTED("""COMPUTED_VALUE"""),45167.6666666666)</f>
        <v>45167.666666666599</v>
      </c>
      <c r="B1174" s="1">
        <f ca="1">IFERROR(__xludf.UNSUPPORTED("""COMPUTED_VALUE"""),148.76)</f>
        <v>148.76</v>
      </c>
      <c r="C1174" s="2">
        <f t="shared" ca="1" si="4"/>
        <v>8.1322851721332915E-3</v>
      </c>
    </row>
    <row r="1175" spans="1:3">
      <c r="A1175" s="3">
        <f ca="1">IFERROR(__xludf.UNSUPPORTED("""COMPUTED_VALUE"""),45168.6666666666)</f>
        <v>45168.666666666599</v>
      </c>
      <c r="B1175" s="1">
        <f ca="1">IFERROR(__xludf.UNSUPPORTED("""COMPUTED_VALUE"""),148.16)</f>
        <v>148.16</v>
      </c>
      <c r="C1175" s="2">
        <f t="shared" ca="1" si="4"/>
        <v>-4.0333422963161761E-3</v>
      </c>
    </row>
    <row r="1176" spans="1:3">
      <c r="A1176" s="3">
        <f ca="1">IFERROR(__xludf.UNSUPPORTED("""COMPUTED_VALUE"""),45169.6666666666)</f>
        <v>45169.666666666599</v>
      </c>
      <c r="B1176" s="1">
        <f ca="1">IFERROR(__xludf.UNSUPPORTED("""COMPUTED_VALUE"""),146.33)</f>
        <v>146.33000000000001</v>
      </c>
      <c r="C1176" s="2">
        <f t="shared" ca="1" si="4"/>
        <v>-1.2351511879049568E-2</v>
      </c>
    </row>
    <row r="1177" spans="1:3">
      <c r="A1177" s="3">
        <f ca="1">IFERROR(__xludf.UNSUPPORTED("""COMPUTED_VALUE"""),45170.6666666666)</f>
        <v>45170.666666666599</v>
      </c>
      <c r="B1177" s="1">
        <f ca="1">IFERROR(__xludf.UNSUPPORTED("""COMPUTED_VALUE"""),146.82)</f>
        <v>146.82</v>
      </c>
      <c r="C1177" s="2">
        <f t="shared" ca="1" si="4"/>
        <v>3.3485956399916671E-3</v>
      </c>
    </row>
    <row r="1178" spans="1:3">
      <c r="A1178" s="3">
        <f ca="1">IFERROR(__xludf.UNSUPPORTED("""COMPUTED_VALUE"""),45174.6666666666)</f>
        <v>45174.666666666599</v>
      </c>
      <c r="B1178" s="1">
        <f ca="1">IFERROR(__xludf.UNSUPPORTED("""COMPUTED_VALUE"""),145.2)</f>
        <v>145.19999999999999</v>
      </c>
      <c r="C1178" s="2">
        <f t="shared" ca="1" si="4"/>
        <v>-1.1033919084593412E-2</v>
      </c>
    </row>
    <row r="1179" spans="1:3">
      <c r="A1179" s="3">
        <f ca="1">IFERROR(__xludf.UNSUPPORTED("""COMPUTED_VALUE"""),45175.6666666666)</f>
        <v>45175.666666666599</v>
      </c>
      <c r="B1179" s="1">
        <f ca="1">IFERROR(__xludf.UNSUPPORTED("""COMPUTED_VALUE"""),144.96)</f>
        <v>144.96</v>
      </c>
      <c r="C1179" s="2">
        <f t="shared" ca="1" si="4"/>
        <v>-1.6528925619833381E-3</v>
      </c>
    </row>
    <row r="1180" spans="1:3">
      <c r="A1180" s="3">
        <f ca="1">IFERROR(__xludf.UNSUPPORTED("""COMPUTED_VALUE"""),45176.6666666666)</f>
        <v>45176.666666666599</v>
      </c>
      <c r="B1180" s="1">
        <f ca="1">IFERROR(__xludf.UNSUPPORTED("""COMPUTED_VALUE"""),143.72)</f>
        <v>143.72</v>
      </c>
      <c r="C1180" s="2">
        <f t="shared" ca="1" si="4"/>
        <v>-8.5540838852097758E-3</v>
      </c>
    </row>
    <row r="1181" spans="1:3">
      <c r="A1181" s="3">
        <f ca="1">IFERROR(__xludf.UNSUPPORTED("""COMPUTED_VALUE"""),45177.6666666666)</f>
        <v>45177.666666666599</v>
      </c>
      <c r="B1181" s="1">
        <f ca="1">IFERROR(__xludf.UNSUPPORTED("""COMPUTED_VALUE"""),143.83)</f>
        <v>143.83000000000001</v>
      </c>
      <c r="C1181" s="2">
        <f t="shared" ca="1" si="4"/>
        <v>7.6537712218211547E-4</v>
      </c>
    </row>
    <row r="1182" spans="1:3">
      <c r="A1182" s="3">
        <f ca="1">IFERROR(__xludf.UNSUPPORTED("""COMPUTED_VALUE"""),45180.6666666666)</f>
        <v>45180.666666666599</v>
      </c>
      <c r="B1182" s="1">
        <f ca="1">IFERROR(__xludf.UNSUPPORTED("""COMPUTED_VALUE"""),144.46)</f>
        <v>144.46</v>
      </c>
      <c r="C1182" s="2">
        <f t="shared" ca="1" si="4"/>
        <v>4.3801710352499162E-3</v>
      </c>
    </row>
    <row r="1183" spans="1:3">
      <c r="A1183" s="3">
        <f ca="1">IFERROR(__xludf.UNSUPPORTED("""COMPUTED_VALUE"""),45181.6666666666)</f>
        <v>45181.666666666599</v>
      </c>
      <c r="B1183" s="1">
        <f ca="1">IFERROR(__xludf.UNSUPPORTED("""COMPUTED_VALUE"""),146.34)</f>
        <v>146.34</v>
      </c>
      <c r="C1183" s="2">
        <f t="shared" ca="1" si="4"/>
        <v>1.3013983109511251E-2</v>
      </c>
    </row>
    <row r="1184" spans="1:3">
      <c r="A1184" s="3">
        <f ca="1">IFERROR(__xludf.UNSUPPORTED("""COMPUTED_VALUE"""),45182.6666666666)</f>
        <v>45182.666666666599</v>
      </c>
      <c r="B1184" s="1">
        <f ca="1">IFERROR(__xludf.UNSUPPORTED("""COMPUTED_VALUE"""),146.41)</f>
        <v>146.41</v>
      </c>
      <c r="C1184" s="2">
        <f t="shared" ca="1" si="4"/>
        <v>4.7833811671445383E-4</v>
      </c>
    </row>
    <row r="1185" spans="1:3">
      <c r="A1185" s="3">
        <f ca="1">IFERROR(__xludf.UNSUPPORTED("""COMPUTED_VALUE"""),45183.6666666666)</f>
        <v>45183.666666666599</v>
      </c>
      <c r="B1185" s="1">
        <f ca="1">IFERROR(__xludf.UNSUPPORTED("""COMPUTED_VALUE"""),149.25)</f>
        <v>149.25</v>
      </c>
      <c r="C1185" s="2">
        <f t="shared" ca="1" si="4"/>
        <v>1.939758213236803E-2</v>
      </c>
    </row>
    <row r="1186" spans="1:3">
      <c r="A1186" s="3">
        <f ca="1">IFERROR(__xludf.UNSUPPORTED("""COMPUTED_VALUE"""),45184.6666666666)</f>
        <v>45184.666666666599</v>
      </c>
      <c r="B1186" s="1">
        <f ca="1">IFERROR(__xludf.UNSUPPORTED("""COMPUTED_VALUE"""),148.81)</f>
        <v>148.81</v>
      </c>
      <c r="C1186" s="2">
        <f t="shared" ca="1" si="4"/>
        <v>-2.948073701842531E-3</v>
      </c>
    </row>
    <row r="1187" spans="1:3">
      <c r="A1187" s="3">
        <f ca="1">IFERROR(__xludf.UNSUPPORTED("""COMPUTED_VALUE"""),45187.6666666666)</f>
        <v>45187.666666666599</v>
      </c>
      <c r="B1187" s="1">
        <f ca="1">IFERROR(__xludf.UNSUPPORTED("""COMPUTED_VALUE"""),149.12)</f>
        <v>149.12</v>
      </c>
      <c r="C1187" s="2">
        <f t="shared" ca="1" si="4"/>
        <v>2.0831933337813473E-3</v>
      </c>
    </row>
    <row r="1188" spans="1:3">
      <c r="A1188" s="3">
        <f ca="1">IFERROR(__xludf.UNSUPPORTED("""COMPUTED_VALUE"""),45188.6666666666)</f>
        <v>45188.666666666599</v>
      </c>
      <c r="B1188" s="1">
        <f ca="1">IFERROR(__xludf.UNSUPPORTED("""COMPUTED_VALUE"""),148.93)</f>
        <v>148.93</v>
      </c>
      <c r="C1188" s="2">
        <f t="shared" ca="1" si="4"/>
        <v>-1.2741416309012723E-3</v>
      </c>
    </row>
    <row r="1189" spans="1:3">
      <c r="A1189" s="3">
        <f ca="1">IFERROR(__xludf.UNSUPPORTED("""COMPUTED_VALUE"""),45189.6666666666)</f>
        <v>45189.666666666599</v>
      </c>
      <c r="B1189" s="1">
        <f ca="1">IFERROR(__xludf.UNSUPPORTED("""COMPUTED_VALUE"""),148.3)</f>
        <v>148.30000000000001</v>
      </c>
      <c r="C1189" s="2">
        <f t="shared" ca="1" si="4"/>
        <v>-4.2301752501174746E-3</v>
      </c>
    </row>
    <row r="1190" spans="1:3">
      <c r="A1190" s="3">
        <f ca="1">IFERROR(__xludf.UNSUPPORTED("""COMPUTED_VALUE"""),45190.6666666666)</f>
        <v>45190.666666666599</v>
      </c>
      <c r="B1190" s="1">
        <f ca="1">IFERROR(__xludf.UNSUPPORTED("""COMPUTED_VALUE"""),147.14)</f>
        <v>147.13999999999999</v>
      </c>
      <c r="C1190" s="2">
        <f t="shared" ca="1" si="4"/>
        <v>-7.8219824679704991E-3</v>
      </c>
    </row>
    <row r="1191" spans="1:3">
      <c r="A1191" s="3">
        <f ca="1">IFERROR(__xludf.UNSUPPORTED("""COMPUTED_VALUE"""),45191.6666666666)</f>
        <v>45191.666666666599</v>
      </c>
      <c r="B1191" s="1">
        <f ca="1">IFERROR(__xludf.UNSUPPORTED("""COMPUTED_VALUE"""),145.73)</f>
        <v>145.72999999999999</v>
      </c>
      <c r="C1191" s="2">
        <f t="shared" ca="1" si="4"/>
        <v>-9.5827103438901502E-3</v>
      </c>
    </row>
    <row r="1192" spans="1:3">
      <c r="A1192" s="3">
        <f ca="1">IFERROR(__xludf.UNSUPPORTED("""COMPUTED_VALUE"""),45194.6666666666)</f>
        <v>45194.666666666599</v>
      </c>
      <c r="B1192" s="1">
        <f ca="1">IFERROR(__xludf.UNSUPPORTED("""COMPUTED_VALUE"""),146.45)</f>
        <v>146.44999999999999</v>
      </c>
      <c r="C1192" s="2">
        <f t="shared" ca="1" si="4"/>
        <v>4.9406436560762981E-3</v>
      </c>
    </row>
    <row r="1193" spans="1:3">
      <c r="A1193" s="3">
        <f ca="1">IFERROR(__xludf.UNSUPPORTED("""COMPUTED_VALUE"""),45195.6666666666)</f>
        <v>45195.666666666599</v>
      </c>
      <c r="B1193" s="1">
        <f ca="1">IFERROR(__xludf.UNSUPPORTED("""COMPUTED_VALUE"""),144.93)</f>
        <v>144.93</v>
      </c>
      <c r="C1193" s="2">
        <f t="shared" ca="1" si="4"/>
        <v>-1.0378968931375772E-2</v>
      </c>
    </row>
    <row r="1194" spans="1:3">
      <c r="A1194" s="3">
        <f ca="1">IFERROR(__xludf.UNSUPPORTED("""COMPUTED_VALUE"""),45196.6666666666)</f>
        <v>45196.666666666599</v>
      </c>
      <c r="B1194" s="1">
        <f ca="1">IFERROR(__xludf.UNSUPPORTED("""COMPUTED_VALUE"""),145.78)</f>
        <v>145.78</v>
      </c>
      <c r="C1194" s="2">
        <f t="shared" ca="1" si="4"/>
        <v>5.864900296694917E-3</v>
      </c>
    </row>
    <row r="1195" spans="1:3">
      <c r="A1195" s="3">
        <f ca="1">IFERROR(__xludf.UNSUPPORTED("""COMPUTED_VALUE"""),45197.6666666666)</f>
        <v>45197.666666666599</v>
      </c>
      <c r="B1195" s="1">
        <f ca="1">IFERROR(__xludf.UNSUPPORTED("""COMPUTED_VALUE"""),147.59)</f>
        <v>147.59</v>
      </c>
      <c r="C1195" s="2">
        <f t="shared" ca="1" si="4"/>
        <v>1.2415969268761163E-2</v>
      </c>
    </row>
    <row r="1196" spans="1:3">
      <c r="A1196" s="3">
        <f ca="1">IFERROR(__xludf.UNSUPPORTED("""COMPUTED_VALUE"""),45198.6666666666)</f>
        <v>45198.666666666599</v>
      </c>
      <c r="B1196" s="1">
        <f ca="1">IFERROR(__xludf.UNSUPPORTED("""COMPUTED_VALUE"""),145.02)</f>
        <v>145.02000000000001</v>
      </c>
      <c r="C1196" s="2">
        <f t="shared" ca="1" si="4"/>
        <v>-1.7413103868825754E-2</v>
      </c>
    </row>
    <row r="1197" spans="1:3">
      <c r="A1197" s="3">
        <f ca="1">IFERROR(__xludf.UNSUPPORTED("""COMPUTED_VALUE"""),45201.6666666666)</f>
        <v>45201.666666666599</v>
      </c>
      <c r="B1197" s="1">
        <f ca="1">IFERROR(__xludf.UNSUPPORTED("""COMPUTED_VALUE"""),143.77)</f>
        <v>143.77000000000001</v>
      </c>
      <c r="C1197" s="2">
        <f t="shared" ca="1" si="4"/>
        <v>-8.6195007585160664E-3</v>
      </c>
    </row>
    <row r="1198" spans="1:3">
      <c r="A1198" s="3">
        <f ca="1">IFERROR(__xludf.UNSUPPORTED("""COMPUTED_VALUE"""),45202.6666666666)</f>
        <v>45202.666666666599</v>
      </c>
      <c r="B1198" s="1">
        <f ca="1">IFERROR(__xludf.UNSUPPORTED("""COMPUTED_VALUE"""),142.71)</f>
        <v>142.71</v>
      </c>
      <c r="C1198" s="2">
        <f t="shared" ca="1" si="4"/>
        <v>-7.3728872504695148E-3</v>
      </c>
    </row>
    <row r="1199" spans="1:3">
      <c r="A1199" s="3">
        <f ca="1">IFERROR(__xludf.UNSUPPORTED("""COMPUTED_VALUE"""),45203.6666666666)</f>
        <v>45203.666666666599</v>
      </c>
      <c r="B1199" s="1">
        <f ca="1">IFERROR(__xludf.UNSUPPORTED("""COMPUTED_VALUE"""),143.35)</f>
        <v>143.35</v>
      </c>
      <c r="C1199" s="2">
        <f t="shared" ca="1" si="4"/>
        <v>4.4846191577323684E-3</v>
      </c>
    </row>
    <row r="1200" spans="1:3">
      <c r="A1200" s="3">
        <f ca="1">IFERROR(__xludf.UNSUPPORTED("""COMPUTED_VALUE"""),45204.6666666666)</f>
        <v>45204.666666666599</v>
      </c>
      <c r="B1200" s="1">
        <f ca="1">IFERROR(__xludf.UNSUPPORTED("""COMPUTED_VALUE"""),142.9)</f>
        <v>142.9</v>
      </c>
      <c r="C1200" s="2">
        <f t="shared" ca="1" si="4"/>
        <v>-3.1391698639692267E-3</v>
      </c>
    </row>
    <row r="1201" spans="1:3">
      <c r="A1201" s="3">
        <f ca="1">IFERROR(__xludf.UNSUPPORTED("""COMPUTED_VALUE"""),45205.6666666666)</f>
        <v>45205.666666666599</v>
      </c>
      <c r="B1201" s="1">
        <f ca="1">IFERROR(__xludf.UNSUPPORTED("""COMPUTED_VALUE"""),145.1)</f>
        <v>145.1</v>
      </c>
      <c r="C1201" s="2">
        <f t="shared" ca="1" si="4"/>
        <v>1.5395381385584245E-2</v>
      </c>
    </row>
    <row r="1202" spans="1:3">
      <c r="A1202" s="3">
        <f ca="1">IFERROR(__xludf.UNSUPPORTED("""COMPUTED_VALUE"""),45208.6666666666)</f>
        <v>45208.666666666599</v>
      </c>
      <c r="B1202" s="1">
        <f ca="1">IFERROR(__xludf.UNSUPPORTED("""COMPUTED_VALUE"""),144.77)</f>
        <v>144.77000000000001</v>
      </c>
      <c r="C1202" s="2">
        <f t="shared" ca="1" si="4"/>
        <v>-2.2742935906270439E-3</v>
      </c>
    </row>
    <row r="1203" spans="1:3">
      <c r="A1203" s="3">
        <f ca="1">IFERROR(__xludf.UNSUPPORTED("""COMPUTED_VALUE"""),45209.6666666666)</f>
        <v>45209.666666666599</v>
      </c>
      <c r="B1203" s="1">
        <f ca="1">IFERROR(__xludf.UNSUPPORTED("""COMPUTED_VALUE"""),145.65)</f>
        <v>145.65</v>
      </c>
      <c r="C1203" s="2">
        <f t="shared" ca="1" si="4"/>
        <v>6.07860744629409E-3</v>
      </c>
    </row>
    <row r="1204" spans="1:3">
      <c r="A1204" s="3">
        <f ca="1">IFERROR(__xludf.UNSUPPORTED("""COMPUTED_VALUE"""),45210.6666666666)</f>
        <v>45210.666666666599</v>
      </c>
      <c r="B1204" s="1">
        <f ca="1">IFERROR(__xludf.UNSUPPORTED("""COMPUTED_VALUE"""),146.15)</f>
        <v>146.15</v>
      </c>
      <c r="C1204" s="2">
        <f t="shared" ca="1" si="4"/>
        <v>3.4328870580157913E-3</v>
      </c>
    </row>
    <row r="1205" spans="1:3">
      <c r="A1205" s="3">
        <f ca="1">IFERROR(__xludf.UNSUPPORTED("""COMPUTED_VALUE"""),45211.6666666666)</f>
        <v>45211.666666666599</v>
      </c>
      <c r="B1205" s="1">
        <f ca="1">IFERROR(__xludf.UNSUPPORTED("""COMPUTED_VALUE"""),145.81)</f>
        <v>145.81</v>
      </c>
      <c r="C1205" s="2">
        <f t="shared" ca="1" si="4"/>
        <v>-2.3263770099213369E-3</v>
      </c>
    </row>
    <row r="1206" spans="1:3">
      <c r="A1206" s="3">
        <f ca="1">IFERROR(__xludf.UNSUPPORTED("""COMPUTED_VALUE"""),45212.6666666666)</f>
        <v>45212.666666666599</v>
      </c>
      <c r="B1206" s="1">
        <f ca="1">IFERROR(__xludf.UNSUPPORTED("""COMPUTED_VALUE"""),148)</f>
        <v>148</v>
      </c>
      <c r="C1206" s="2">
        <f t="shared" ca="1" si="4"/>
        <v>1.5019545984500362E-2</v>
      </c>
    </row>
    <row r="1207" spans="1:3">
      <c r="A1207" s="3">
        <f ca="1">IFERROR(__xludf.UNSUPPORTED("""COMPUTED_VALUE"""),45215.6666666666)</f>
        <v>45215.666666666599</v>
      </c>
      <c r="B1207" s="1">
        <f ca="1">IFERROR(__xludf.UNSUPPORTED("""COMPUTED_VALUE"""),147.85)</f>
        <v>147.85</v>
      </c>
      <c r="C1207" s="2">
        <f t="shared" ca="1" si="4"/>
        <v>-1.013513513513552E-3</v>
      </c>
    </row>
    <row r="1208" spans="1:3">
      <c r="A1208" s="3">
        <f ca="1">IFERROR(__xludf.UNSUPPORTED("""COMPUTED_VALUE"""),45216.6666666666)</f>
        <v>45216.666666666599</v>
      </c>
      <c r="B1208" s="1">
        <f ca="1">IFERROR(__xludf.UNSUPPORTED("""COMPUTED_VALUE"""),147.53)</f>
        <v>147.53</v>
      </c>
      <c r="C1208" s="2">
        <f t="shared" ca="1" si="4"/>
        <v>-2.1643557659789866E-3</v>
      </c>
    </row>
    <row r="1209" spans="1:3">
      <c r="A1209" s="3">
        <f ca="1">IFERROR(__xludf.UNSUPPORTED("""COMPUTED_VALUE"""),45217.6666666666)</f>
        <v>45217.666666666599</v>
      </c>
      <c r="B1209" s="1">
        <f ca="1">IFERROR(__xludf.UNSUPPORTED("""COMPUTED_VALUE"""),145.91)</f>
        <v>145.91</v>
      </c>
      <c r="C1209" s="2">
        <f t="shared" ca="1" si="4"/>
        <v>-1.098081746085545E-2</v>
      </c>
    </row>
    <row r="1210" spans="1:3">
      <c r="A1210" s="3">
        <f ca="1">IFERROR(__xludf.UNSUPPORTED("""COMPUTED_VALUE"""),45218.6666666666)</f>
        <v>45218.666666666599</v>
      </c>
      <c r="B1210" s="1">
        <f ca="1">IFERROR(__xludf.UNSUPPORTED("""COMPUTED_VALUE"""),145.29)</f>
        <v>145.29</v>
      </c>
      <c r="C1210" s="2">
        <f t="shared" ca="1" si="4"/>
        <v>-4.2491947090672645E-3</v>
      </c>
    </row>
    <row r="1211" spans="1:3">
      <c r="A1211" s="3">
        <f ca="1">IFERROR(__xludf.UNSUPPORTED("""COMPUTED_VALUE"""),45219.6666666666)</f>
        <v>45219.666666666599</v>
      </c>
      <c r="B1211" s="1">
        <f ca="1">IFERROR(__xludf.UNSUPPORTED("""COMPUTED_VALUE"""),142.95)</f>
        <v>142.94999999999999</v>
      </c>
      <c r="C1211" s="2">
        <f t="shared" ca="1" si="4"/>
        <v>-1.6105719595292198E-2</v>
      </c>
    </row>
    <row r="1212" spans="1:3">
      <c r="A1212" s="3">
        <f ca="1">IFERROR(__xludf.UNSUPPORTED("""COMPUTED_VALUE"""),45222.6666666666)</f>
        <v>45222.666666666599</v>
      </c>
      <c r="B1212" s="1">
        <f ca="1">IFERROR(__xludf.UNSUPPORTED("""COMPUTED_VALUE"""),141)</f>
        <v>141</v>
      </c>
      <c r="C1212" s="2">
        <f t="shared" ca="1" si="4"/>
        <v>-1.3641133263378725E-2</v>
      </c>
    </row>
    <row r="1213" spans="1:3">
      <c r="A1213" s="3">
        <f ca="1">IFERROR(__xludf.UNSUPPORTED("""COMPUTED_VALUE"""),45223.6666666666)</f>
        <v>45223.666666666599</v>
      </c>
      <c r="B1213" s="1">
        <f ca="1">IFERROR(__xludf.UNSUPPORTED("""COMPUTED_VALUE"""),141.17)</f>
        <v>141.16999999999999</v>
      </c>
      <c r="C1213" s="2">
        <f t="shared" ca="1" si="4"/>
        <v>1.2056737588651595E-3</v>
      </c>
    </row>
    <row r="1214" spans="1:3">
      <c r="A1214" s="3">
        <f ca="1">IFERROR(__xludf.UNSUPPORTED("""COMPUTED_VALUE"""),45224.6666666666)</f>
        <v>45224.666666666599</v>
      </c>
      <c r="B1214" s="1">
        <f ca="1">IFERROR(__xludf.UNSUPPORTED("""COMPUTED_VALUE"""),140.4)</f>
        <v>140.4</v>
      </c>
      <c r="C1214" s="2">
        <f t="shared" ca="1" si="4"/>
        <v>-5.4544166607634901E-3</v>
      </c>
    </row>
    <row r="1215" spans="1:3">
      <c r="A1215" s="3">
        <f ca="1">IFERROR(__xludf.UNSUPPORTED("""COMPUTED_VALUE"""),45225.6666666666)</f>
        <v>45225.666666666599</v>
      </c>
      <c r="B1215" s="1">
        <f ca="1">IFERROR(__xludf.UNSUPPORTED("""COMPUTED_VALUE"""),140.76)</f>
        <v>140.76</v>
      </c>
      <c r="C1215" s="2">
        <f t="shared" ca="1" si="4"/>
        <v>2.5641025641024587E-3</v>
      </c>
    </row>
    <row r="1216" spans="1:3">
      <c r="A1216" s="3">
        <f ca="1">IFERROR(__xludf.UNSUPPORTED("""COMPUTED_VALUE"""),45226.6666666666)</f>
        <v>45226.666666666599</v>
      </c>
      <c r="B1216" s="1">
        <f ca="1">IFERROR(__xludf.UNSUPPORTED("""COMPUTED_VALUE"""),135.69)</f>
        <v>135.69</v>
      </c>
      <c r="C1216" s="2">
        <f t="shared" ca="1" si="4"/>
        <v>-3.6018755328218195E-2</v>
      </c>
    </row>
    <row r="1217" spans="1:3">
      <c r="A1217" s="3">
        <f ca="1">IFERROR(__xludf.UNSUPPORTED("""COMPUTED_VALUE"""),45229.6666666666)</f>
        <v>45229.666666666599</v>
      </c>
      <c r="B1217" s="1">
        <f ca="1">IFERROR(__xludf.UNSUPPORTED("""COMPUTED_VALUE"""),137.42)</f>
        <v>137.41999999999999</v>
      </c>
      <c r="C1217" s="2">
        <f t="shared" ca="1" si="4"/>
        <v>1.2749649937357136E-2</v>
      </c>
    </row>
    <row r="1218" spans="1:3">
      <c r="A1218" s="3">
        <f ca="1">IFERROR(__xludf.UNSUPPORTED("""COMPUTED_VALUE"""),45230.6666666666)</f>
        <v>45230.666666666599</v>
      </c>
      <c r="B1218" s="1">
        <f ca="1">IFERROR(__xludf.UNSUPPORTED("""COMPUTED_VALUE"""),139.06)</f>
        <v>139.06</v>
      </c>
      <c r="C1218" s="2">
        <f t="shared" ca="1" si="4"/>
        <v>1.1934216271285219E-2</v>
      </c>
    </row>
    <row r="1219" spans="1:3">
      <c r="A1219" s="3">
        <f ca="1">IFERROR(__xludf.UNSUPPORTED("""COMPUTED_VALUE"""),45231.6666666666)</f>
        <v>45231.666666666599</v>
      </c>
      <c r="B1219" s="1">
        <f ca="1">IFERROR(__xludf.UNSUPPORTED("""COMPUTED_VALUE"""),138.94)</f>
        <v>138.94</v>
      </c>
      <c r="C1219" s="2">
        <f t="shared" ca="1" si="4"/>
        <v>-8.6293686178631204E-4</v>
      </c>
    </row>
    <row r="1220" spans="1:3">
      <c r="A1220" s="3">
        <f ca="1">IFERROR(__xludf.UNSUPPORTED("""COMPUTED_VALUE"""),45232.6666666666)</f>
        <v>45232.666666666599</v>
      </c>
      <c r="B1220" s="1">
        <f ca="1">IFERROR(__xludf.UNSUPPORTED("""COMPUTED_VALUE"""),141.42)</f>
        <v>141.41999999999999</v>
      </c>
      <c r="C1220" s="2">
        <f t="shared" ca="1" si="4"/>
        <v>1.7849431409241327E-2</v>
      </c>
    </row>
    <row r="1221" spans="1:3">
      <c r="A1221" s="3">
        <f ca="1">IFERROR(__xludf.UNSUPPORTED("""COMPUTED_VALUE"""),45233.6666666666)</f>
        <v>45233.666666666599</v>
      </c>
      <c r="B1221" s="1">
        <f ca="1">IFERROR(__xludf.UNSUPPORTED("""COMPUTED_VALUE"""),143)</f>
        <v>143</v>
      </c>
      <c r="C1221" s="2">
        <f t="shared" ca="1" si="4"/>
        <v>1.1172394286522504E-2</v>
      </c>
    </row>
    <row r="1222" spans="1:3">
      <c r="A1222" s="3">
        <f ca="1">IFERROR(__xludf.UNSUPPORTED("""COMPUTED_VALUE"""),45236.6666666666)</f>
        <v>45236.666666666599</v>
      </c>
      <c r="B1222" s="1">
        <f ca="1">IFERROR(__xludf.UNSUPPORTED("""COMPUTED_VALUE"""),144.08)</f>
        <v>144.08000000000001</v>
      </c>
      <c r="C1222" s="2">
        <f t="shared" ca="1" si="4"/>
        <v>7.55244755244764E-3</v>
      </c>
    </row>
    <row r="1223" spans="1:3">
      <c r="A1223" s="3">
        <f ca="1">IFERROR(__xludf.UNSUPPORTED("""COMPUTED_VALUE"""),45237.6666666666)</f>
        <v>45237.666666666599</v>
      </c>
      <c r="B1223" s="1">
        <f ca="1">IFERROR(__xludf.UNSUPPORTED("""COMPUTED_VALUE"""),144.01)</f>
        <v>144.01</v>
      </c>
      <c r="C1223" s="2">
        <f t="shared" ca="1" si="4"/>
        <v>-4.8584119933385339E-4</v>
      </c>
    </row>
    <row r="1224" spans="1:3">
      <c r="A1224" s="3">
        <f ca="1">IFERROR(__xludf.UNSUPPORTED("""COMPUTED_VALUE"""),45238.6666666666)</f>
        <v>45238.666666666599</v>
      </c>
      <c r="B1224" s="1">
        <f ca="1">IFERROR(__xludf.UNSUPPORTED("""COMPUTED_VALUE"""),144.72)</f>
        <v>144.72</v>
      </c>
      <c r="C1224" s="2">
        <f t="shared" ca="1" si="4"/>
        <v>4.9302131796403583E-3</v>
      </c>
    </row>
    <row r="1225" spans="1:3">
      <c r="A1225" s="3">
        <f ca="1">IFERROR(__xludf.UNSUPPORTED("""COMPUTED_VALUE"""),45239.6666666666)</f>
        <v>45239.666666666599</v>
      </c>
      <c r="B1225" s="1">
        <f ca="1">IFERROR(__xludf.UNSUPPORTED("""COMPUTED_VALUE"""),144.29)</f>
        <v>144.29</v>
      </c>
      <c r="C1225" s="2">
        <f t="shared" ca="1" si="4"/>
        <v>-2.9712548369265259E-3</v>
      </c>
    </row>
    <row r="1226" spans="1:3">
      <c r="A1226" s="3">
        <f ca="1">IFERROR(__xludf.UNSUPPORTED("""COMPUTED_VALUE"""),45240.6666666666)</f>
        <v>45240.666666666599</v>
      </c>
      <c r="B1226" s="1">
        <f ca="1">IFERROR(__xludf.UNSUPPORTED("""COMPUTED_VALUE"""),146.43)</f>
        <v>146.43</v>
      </c>
      <c r="C1226" s="2">
        <f t="shared" ca="1" si="4"/>
        <v>1.4831242636357439E-2</v>
      </c>
    </row>
    <row r="1227" spans="1:3">
      <c r="A1227" s="3">
        <f ca="1">IFERROR(__xludf.UNSUPPORTED("""COMPUTED_VALUE"""),45243.6666666666)</f>
        <v>45243.666666666599</v>
      </c>
      <c r="B1227" s="1">
        <f ca="1">IFERROR(__xludf.UNSUPPORTED("""COMPUTED_VALUE"""),145.78)</f>
        <v>145.78</v>
      </c>
      <c r="C1227" s="2">
        <f t="shared" ca="1" si="4"/>
        <v>-4.438981083111423E-3</v>
      </c>
    </row>
    <row r="1228" spans="1:3">
      <c r="A1228" s="3">
        <f ca="1">IFERROR(__xludf.UNSUPPORTED("""COMPUTED_VALUE"""),45244.6666666666)</f>
        <v>45244.666666666599</v>
      </c>
      <c r="B1228" s="1">
        <f ca="1">IFERROR(__xludf.UNSUPPORTED("""COMPUTED_VALUE"""),148.44)</f>
        <v>148.44</v>
      </c>
      <c r="C1228" s="2">
        <f t="shared" ca="1" si="4"/>
        <v>1.8246673069008072E-2</v>
      </c>
    </row>
    <row r="1229" spans="1:3">
      <c r="A1229" s="3">
        <f ca="1">IFERROR(__xludf.UNSUPPORTED("""COMPUTED_VALUE"""),45245.6666666666)</f>
        <v>45245.666666666599</v>
      </c>
      <c r="B1229" s="1">
        <f ca="1">IFERROR(__xludf.UNSUPPORTED("""COMPUTED_VALUE"""),149.74)</f>
        <v>149.74</v>
      </c>
      <c r="C1229" s="2">
        <f t="shared" ca="1" si="4"/>
        <v>8.7577472379413331E-3</v>
      </c>
    </row>
    <row r="1230" spans="1:3">
      <c r="A1230" s="3">
        <f ca="1">IFERROR(__xludf.UNSUPPORTED("""COMPUTED_VALUE"""),45246.6666666666)</f>
        <v>45246.666666666599</v>
      </c>
      <c r="B1230" s="1">
        <f ca="1">IFERROR(__xludf.UNSUPPORTED("""COMPUTED_VALUE"""),151.45)</f>
        <v>151.44999999999999</v>
      </c>
      <c r="C1230" s="2">
        <f t="shared" ca="1" si="4"/>
        <v>1.1419794310137435E-2</v>
      </c>
    </row>
    <row r="1231" spans="1:3">
      <c r="A1231" s="3">
        <f ca="1">IFERROR(__xludf.UNSUPPORTED("""COMPUTED_VALUE"""),45247.6666666666)</f>
        <v>45247.666666666599</v>
      </c>
      <c r="B1231" s="1">
        <f ca="1">IFERROR(__xludf.UNSUPPORTED("""COMPUTED_VALUE"""),152.82)</f>
        <v>152.82</v>
      </c>
      <c r="C1231" s="2">
        <f t="shared" ca="1" si="4"/>
        <v>9.0458897325850426E-3</v>
      </c>
    </row>
    <row r="1232" spans="1:3">
      <c r="A1232" s="3">
        <f ca="1">IFERROR(__xludf.UNSUPPORTED("""COMPUTED_VALUE"""),45250.6666666666)</f>
        <v>45250.666666666599</v>
      </c>
      <c r="B1232" s="1">
        <f ca="1">IFERROR(__xludf.UNSUPPORTED("""COMPUTED_VALUE"""),153.29)</f>
        <v>153.29</v>
      </c>
      <c r="C1232" s="2">
        <f t="shared" ca="1" si="4"/>
        <v>3.0755136762203828E-3</v>
      </c>
    </row>
    <row r="1233" spans="1:3">
      <c r="A1233" s="3">
        <f ca="1">IFERROR(__xludf.UNSUPPORTED("""COMPUTED_VALUE"""),45251.6666666666)</f>
        <v>45251.666666666599</v>
      </c>
      <c r="B1233" s="1">
        <f ca="1">IFERROR(__xludf.UNSUPPORTED("""COMPUTED_VALUE"""),152.97)</f>
        <v>152.97</v>
      </c>
      <c r="C1233" s="2">
        <f t="shared" ca="1" si="4"/>
        <v>-2.0875464805270613E-3</v>
      </c>
    </row>
    <row r="1234" spans="1:3">
      <c r="A1234" s="3">
        <f ca="1">IFERROR(__xludf.UNSUPPORTED("""COMPUTED_VALUE"""),45252.6666666666)</f>
        <v>45252.666666666599</v>
      </c>
      <c r="B1234" s="1">
        <f ca="1">IFERROR(__xludf.UNSUPPORTED("""COMPUTED_VALUE"""),153.33)</f>
        <v>153.33000000000001</v>
      </c>
      <c r="C1234" s="2">
        <f t="shared" ca="1" si="4"/>
        <v>2.353402627966357E-3</v>
      </c>
    </row>
    <row r="1235" spans="1:3">
      <c r="A1235" s="3">
        <f ca="1">IFERROR(__xludf.UNSUPPORTED("""COMPUTED_VALUE"""),45254.5416666666)</f>
        <v>45254.541666666599</v>
      </c>
      <c r="B1235" s="1">
        <f ca="1">IFERROR(__xludf.UNSUPPORTED("""COMPUTED_VALUE"""),153.54)</f>
        <v>153.54</v>
      </c>
      <c r="C1235" s="2">
        <f t="shared" ca="1" si="4"/>
        <v>1.3695949911953272E-3</v>
      </c>
    </row>
    <row r="1236" spans="1:3">
      <c r="A1236" s="3">
        <f ca="1">IFERROR(__xludf.UNSUPPORTED("""COMPUTED_VALUE"""),45257.6666666666)</f>
        <v>45257.666666666599</v>
      </c>
      <c r="B1236" s="1">
        <f ca="1">IFERROR(__xludf.UNSUPPORTED("""COMPUTED_VALUE"""),153.19)</f>
        <v>153.19</v>
      </c>
      <c r="C1236" s="2">
        <f t="shared" ca="1" si="4"/>
        <v>-2.2795362771915744E-3</v>
      </c>
    </row>
    <row r="1237" spans="1:3">
      <c r="A1237" s="3">
        <f ca="1">IFERROR(__xludf.UNSUPPORTED("""COMPUTED_VALUE"""),45258.6666666666)</f>
        <v>45258.666666666599</v>
      </c>
      <c r="B1237" s="1">
        <f ca="1">IFERROR(__xludf.UNSUPPORTED("""COMPUTED_VALUE"""),153.54)</f>
        <v>153.54</v>
      </c>
      <c r="C1237" s="2">
        <f t="shared" ca="1" si="4"/>
        <v>2.2847444350153033E-3</v>
      </c>
    </row>
    <row r="1238" spans="1:3">
      <c r="A1238" s="3">
        <f ca="1">IFERROR(__xludf.UNSUPPORTED("""COMPUTED_VALUE"""),45259.6666666666)</f>
        <v>45259.666666666599</v>
      </c>
      <c r="B1238" s="1">
        <f ca="1">IFERROR(__xludf.UNSUPPORTED("""COMPUTED_VALUE"""),154.32)</f>
        <v>154.32</v>
      </c>
      <c r="C1238" s="2">
        <f t="shared" ca="1" si="4"/>
        <v>5.0801094177413131E-3</v>
      </c>
    </row>
    <row r="1239" spans="1:3">
      <c r="A1239" s="3">
        <f ca="1">IFERROR(__xludf.UNSUPPORTED("""COMPUTED_VALUE"""),45260.6666666666)</f>
        <v>45260.666666666599</v>
      </c>
      <c r="B1239" s="1">
        <f ca="1">IFERROR(__xludf.UNSUPPORTED("""COMPUTED_VALUE"""),156.08)</f>
        <v>156.08000000000001</v>
      </c>
      <c r="C1239" s="2">
        <f t="shared" ca="1" si="4"/>
        <v>1.1404872991187269E-2</v>
      </c>
    </row>
    <row r="1240" spans="1:3">
      <c r="A1240" s="3">
        <f ca="1">IFERROR(__xludf.UNSUPPORTED("""COMPUTED_VALUE"""),45261.6666666666)</f>
        <v>45261.666666666599</v>
      </c>
      <c r="B1240" s="1">
        <f ca="1">IFERROR(__xludf.UNSUPPORTED("""COMPUTED_VALUE"""),156.84)</f>
        <v>156.84</v>
      </c>
      <c r="C1240" s="2">
        <f t="shared" ca="1" si="4"/>
        <v>4.8692977960019916E-3</v>
      </c>
    </row>
    <row r="1241" spans="1:3">
      <c r="A1241" s="3">
        <f ca="1">IFERROR(__xludf.UNSUPPORTED("""COMPUTED_VALUE"""),45264.6666666666)</f>
        <v>45264.666666666599</v>
      </c>
      <c r="B1241" s="1">
        <f ca="1">IFERROR(__xludf.UNSUPPORTED("""COMPUTED_VALUE"""),157.99)</f>
        <v>157.99</v>
      </c>
      <c r="C1241" s="2">
        <f t="shared" ca="1" si="4"/>
        <v>7.3323131854119211E-3</v>
      </c>
    </row>
    <row r="1242" spans="1:3">
      <c r="A1242" s="3">
        <f ca="1">IFERROR(__xludf.UNSUPPORTED("""COMPUTED_VALUE"""),45265.6666666666)</f>
        <v>45265.666666666599</v>
      </c>
      <c r="B1242" s="1">
        <f ca="1">IFERROR(__xludf.UNSUPPORTED("""COMPUTED_VALUE"""),157.97)</f>
        <v>157.97</v>
      </c>
      <c r="C1242" s="2">
        <f t="shared" ca="1" si="4"/>
        <v>-1.265902905247815E-4</v>
      </c>
    </row>
    <row r="1243" spans="1:3">
      <c r="A1243" s="3">
        <f ca="1">IFERROR(__xludf.UNSUPPORTED("""COMPUTED_VALUE"""),45266.6666666666)</f>
        <v>45266.666666666599</v>
      </c>
      <c r="B1243" s="1">
        <f ca="1">IFERROR(__xludf.UNSUPPORTED("""COMPUTED_VALUE"""),156.31)</f>
        <v>156.31</v>
      </c>
      <c r="C1243" s="2">
        <f t="shared" ca="1" si="4"/>
        <v>-1.0508324365385811E-2</v>
      </c>
    </row>
    <row r="1244" spans="1:3">
      <c r="A1244" s="3">
        <f ca="1">IFERROR(__xludf.UNSUPPORTED("""COMPUTED_VALUE"""),45267.6666666666)</f>
        <v>45267.666666666599</v>
      </c>
      <c r="B1244" s="1">
        <f ca="1">IFERROR(__xludf.UNSUPPORTED("""COMPUTED_VALUE"""),156.79)</f>
        <v>156.79</v>
      </c>
      <c r="C1244" s="2">
        <f t="shared" ca="1" si="4"/>
        <v>3.0708208048108869E-3</v>
      </c>
    </row>
    <row r="1245" spans="1:3">
      <c r="A1245" s="3">
        <f ca="1">IFERROR(__xludf.UNSUPPORTED("""COMPUTED_VALUE"""),45268.6666666666)</f>
        <v>45268.666666666599</v>
      </c>
      <c r="B1245" s="1">
        <f ca="1">IFERROR(__xludf.UNSUPPORTED("""COMPUTED_VALUE"""),158.52)</f>
        <v>158.52000000000001</v>
      </c>
      <c r="C1245" s="2">
        <f t="shared" ca="1" si="4"/>
        <v>1.1033866955800869E-2</v>
      </c>
    </row>
    <row r="1246" spans="1:3">
      <c r="A1246" s="3">
        <f ca="1">IFERROR(__xludf.UNSUPPORTED("""COMPUTED_VALUE"""),45271.6666666666)</f>
        <v>45271.666666666599</v>
      </c>
      <c r="B1246" s="1">
        <f ca="1">IFERROR(__xludf.UNSUPPORTED("""COMPUTED_VALUE"""),159.1)</f>
        <v>159.1</v>
      </c>
      <c r="C1246" s="2">
        <f t="shared" ca="1" si="4"/>
        <v>3.6588443098661623E-3</v>
      </c>
    </row>
    <row r="1247" spans="1:3">
      <c r="A1247" s="3">
        <f ca="1">IFERROR(__xludf.UNSUPPORTED("""COMPUTED_VALUE"""),45272.6666666666)</f>
        <v>45272.666666666599</v>
      </c>
      <c r="B1247" s="1">
        <f ca="1">IFERROR(__xludf.UNSUPPORTED("""COMPUTED_VALUE"""),160.52)</f>
        <v>160.52000000000001</v>
      </c>
      <c r="C1247" s="2">
        <f t="shared" ca="1" si="4"/>
        <v>8.9252042740415836E-3</v>
      </c>
    </row>
    <row r="1248" spans="1:3">
      <c r="A1248" s="3">
        <f ca="1">IFERROR(__xludf.UNSUPPORTED("""COMPUTED_VALUE"""),45273.6666666666)</f>
        <v>45273.666666666599</v>
      </c>
      <c r="B1248" s="1">
        <f ca="1">IFERROR(__xludf.UNSUPPORTED("""COMPUTED_VALUE"""),161.06)</f>
        <v>161.06</v>
      </c>
      <c r="C1248" s="2">
        <f t="shared" ca="1" si="4"/>
        <v>3.3640667829553453E-3</v>
      </c>
    </row>
    <row r="1249" spans="1:3">
      <c r="A1249" s="3">
        <f ca="1">IFERROR(__xludf.UNSUPPORTED("""COMPUTED_VALUE"""),45274.6666666666)</f>
        <v>45274.666666666599</v>
      </c>
      <c r="B1249" s="1">
        <f ca="1">IFERROR(__xludf.UNSUPPORTED("""COMPUTED_VALUE"""),163.99)</f>
        <v>163.99</v>
      </c>
      <c r="C1249" s="2">
        <f t="shared" ca="1" si="4"/>
        <v>1.8191978144790802E-2</v>
      </c>
    </row>
    <row r="1250" spans="1:3">
      <c r="A1250" s="3">
        <f ca="1">IFERROR(__xludf.UNSUPPORTED("""COMPUTED_VALUE"""),45275.6666666666)</f>
        <v>45275.666666666599</v>
      </c>
      <c r="B1250" s="1">
        <f ca="1">IFERROR(__xludf.UNSUPPORTED("""COMPUTED_VALUE"""),165.23)</f>
        <v>165.23</v>
      </c>
      <c r="C1250" s="2">
        <f t="shared" ca="1" si="4"/>
        <v>7.5614366729677453E-3</v>
      </c>
    </row>
    <row r="1251" spans="1:3">
      <c r="A1251" s="3">
        <f ca="1">IFERROR(__xludf.UNSUPPORTED("""COMPUTED_VALUE"""),45278.6666666666)</f>
        <v>45278.666666666599</v>
      </c>
      <c r="B1251" s="1">
        <f ca="1">IFERROR(__xludf.UNSUPPORTED("""COMPUTED_VALUE"""),166.23)</f>
        <v>166.23</v>
      </c>
      <c r="C1251" s="2">
        <f t="shared" ca="1" si="4"/>
        <v>6.0521697028384676E-3</v>
      </c>
    </row>
    <row r="1252" spans="1:3">
      <c r="A1252" s="3">
        <f ca="1">IFERROR(__xludf.UNSUPPORTED("""COMPUTED_VALUE"""),45279.6666666666)</f>
        <v>45279.666666666599</v>
      </c>
      <c r="B1252" s="1">
        <f ca="1">IFERROR(__xludf.UNSUPPORTED("""COMPUTED_VALUE"""),168.45)</f>
        <v>168.45</v>
      </c>
      <c r="C1252" s="2">
        <f t="shared" ca="1" si="4"/>
        <v>1.3354990073993859E-2</v>
      </c>
    </row>
    <row r="1253" spans="1:3">
      <c r="A1253" s="3">
        <f ca="1">IFERROR(__xludf.UNSUPPORTED("""COMPUTED_VALUE"""),45280.6666666666)</f>
        <v>45280.666666666599</v>
      </c>
      <c r="B1253" s="1">
        <f ca="1">IFERROR(__xludf.UNSUPPORTED("""COMPUTED_VALUE"""),166.55)</f>
        <v>166.55</v>
      </c>
      <c r="C1253" s="2">
        <f t="shared" ca="1" si="4"/>
        <v>-1.1279311368358429E-2</v>
      </c>
    </row>
    <row r="1254" spans="1:3">
      <c r="A1254" s="3">
        <f ca="1">IFERROR(__xludf.UNSUPPORTED("""COMPUTED_VALUE"""),45281.6666666666)</f>
        <v>45281.666666666599</v>
      </c>
      <c r="B1254" s="1">
        <f ca="1">IFERROR(__xludf.UNSUPPORTED("""COMPUTED_VALUE"""),167.5)</f>
        <v>167.5</v>
      </c>
      <c r="C1254" s="2">
        <f t="shared" ca="1" si="4"/>
        <v>5.7039927949564008E-3</v>
      </c>
    </row>
    <row r="1255" spans="1:3">
      <c r="A1255" s="3">
        <f ca="1">IFERROR(__xludf.UNSUPPORTED("""COMPUTED_VALUE"""),45282.6666666666)</f>
        <v>45282.666666666599</v>
      </c>
      <c r="B1255" s="1">
        <f ca="1">IFERROR(__xludf.UNSUPPORTED("""COMPUTED_VALUE"""),167.4)</f>
        <v>167.4</v>
      </c>
      <c r="C1255" s="2">
        <f t="shared" ca="1" si="4"/>
        <v>-5.970149253731004E-4</v>
      </c>
    </row>
    <row r="1256" spans="1:3">
      <c r="A1256" s="3">
        <f ca="1">IFERROR(__xludf.UNSUPPORTED("""COMPUTED_VALUE"""),45286.6666666666)</f>
        <v>45286.666666666599</v>
      </c>
      <c r="B1256" s="1">
        <f ca="1">IFERROR(__xludf.UNSUPPORTED("""COMPUTED_VALUE"""),168.39)</f>
        <v>168.39</v>
      </c>
      <c r="C1256" s="2">
        <f t="shared" ca="1" si="4"/>
        <v>5.9139784946235403E-3</v>
      </c>
    </row>
    <row r="1257" spans="1:3">
      <c r="A1257" s="3">
        <f ca="1">IFERROR(__xludf.UNSUPPORTED("""COMPUTED_VALUE"""),45287.6666666666)</f>
        <v>45287.666666666599</v>
      </c>
      <c r="B1257" s="1">
        <f ca="1">IFERROR(__xludf.UNSUPPORTED("""COMPUTED_VALUE"""),169.4)</f>
        <v>169.4</v>
      </c>
      <c r="C1257" s="2">
        <f t="shared" ca="1" si="4"/>
        <v>5.9979808777244461E-3</v>
      </c>
    </row>
    <row r="1258" spans="1:3">
      <c r="A1258" s="3">
        <f ca="1">IFERROR(__xludf.UNSUPPORTED("""COMPUTED_VALUE"""),45288.6666666666)</f>
        <v>45288.666666666599</v>
      </c>
      <c r="B1258" s="1">
        <f ca="1">IFERROR(__xludf.UNSUPPORTED("""COMPUTED_VALUE"""),170.3)</f>
        <v>170.3</v>
      </c>
      <c r="C1258" s="2">
        <f t="shared" ca="1" si="4"/>
        <v>5.3128689492326188E-3</v>
      </c>
    </row>
    <row r="1259" spans="1:3">
      <c r="A1259" s="3">
        <f ca="1">IFERROR(__xludf.UNSUPPORTED("""COMPUTED_VALUE"""),45289.6666666666)</f>
        <v>45289.666666666599</v>
      </c>
      <c r="B1259" s="1">
        <f ca="1">IFERROR(__xludf.UNSUPPORTED("""COMPUTED_VALUE"""),170.1)</f>
        <v>170.1</v>
      </c>
      <c r="C1259" s="2">
        <f t="shared" ca="1" si="4"/>
        <v>-1.1743981209631066E-3</v>
      </c>
    </row>
    <row r="1260" spans="1:3">
      <c r="A1260" s="3">
        <f ca="1">IFERROR(__xludf.UNSUPPORTED("""COMPUTED_VALUE"""),45293.6666666666)</f>
        <v>45293.666666666599</v>
      </c>
      <c r="B1260" s="1">
        <f ca="1">IFERROR(__xludf.UNSUPPORTED("""COMPUTED_VALUE"""),172.08)</f>
        <v>172.08</v>
      </c>
      <c r="C1260" s="2">
        <f t="shared" ca="1" si="4"/>
        <v>1.1640211640211747E-2</v>
      </c>
    </row>
    <row r="1261" spans="1:3">
      <c r="A1261" s="3">
        <f ca="1">IFERROR(__xludf.UNSUPPORTED("""COMPUTED_VALUE"""),45294.6666666666)</f>
        <v>45294.666666666599</v>
      </c>
      <c r="B1261" s="1">
        <f ca="1">IFERROR(__xludf.UNSUPPORTED("""COMPUTED_VALUE"""),171.33)</f>
        <v>171.33</v>
      </c>
      <c r="C1261" s="2">
        <f t="shared" ca="1" si="4"/>
        <v>-4.3584379358437937E-3</v>
      </c>
    </row>
    <row r="1262" spans="1:3">
      <c r="A1262" s="3">
        <f ca="1">IFERROR(__xludf.UNSUPPORTED("""COMPUTED_VALUE"""),45295.6666666666)</f>
        <v>45295.666666666599</v>
      </c>
      <c r="B1262" s="1">
        <f ca="1">IFERROR(__xludf.UNSUPPORTED("""COMPUTED_VALUE"""),171.41)</f>
        <v>171.41</v>
      </c>
      <c r="C1262" s="2">
        <f t="shared" ca="1" si="4"/>
        <v>4.6693515438034247E-4</v>
      </c>
    </row>
    <row r="1263" spans="1:3">
      <c r="A1263" s="3">
        <f ca="1">IFERROR(__xludf.UNSUPPORTED("""COMPUTED_VALUE"""),45296.6666666666)</f>
        <v>45296.666666666599</v>
      </c>
      <c r="B1263" s="1">
        <f ca="1">IFERROR(__xludf.UNSUPPORTED("""COMPUTED_VALUE"""),172.27)</f>
        <v>172.27</v>
      </c>
      <c r="C1263" s="2">
        <f t="shared" ca="1" si="4"/>
        <v>5.0172101977715051E-3</v>
      </c>
    </row>
    <row r="1264" spans="1:3">
      <c r="A1264" s="3">
        <f ca="1">IFERROR(__xludf.UNSUPPORTED("""COMPUTED_VALUE"""),45299.6666666666)</f>
        <v>45299.666666666599</v>
      </c>
      <c r="B1264" s="1">
        <f ca="1">IFERROR(__xludf.UNSUPPORTED("""COMPUTED_VALUE"""),172.02)</f>
        <v>172.02</v>
      </c>
      <c r="C1264" s="2">
        <f t="shared" ca="1" si="4"/>
        <v>-1.4512103093980379E-3</v>
      </c>
    </row>
    <row r="1265" spans="1:3">
      <c r="A1265" s="3">
        <f ca="1">IFERROR(__xludf.UNSUPPORTED("""COMPUTED_VALUE"""),45300.6666666666)</f>
        <v>45300.666666666599</v>
      </c>
      <c r="B1265" s="1">
        <f ca="1">IFERROR(__xludf.UNSUPPORTED("""COMPUTED_VALUE"""),170.66)</f>
        <v>170.66</v>
      </c>
      <c r="C1265" s="2">
        <f t="shared" ca="1" si="4"/>
        <v>-7.9060574351820338E-3</v>
      </c>
    </row>
    <row r="1266" spans="1:3">
      <c r="A1266" s="3">
        <f ca="1">IFERROR(__xludf.UNSUPPORTED("""COMPUTED_VALUE"""),45301.6666666666)</f>
        <v>45301.666666666599</v>
      </c>
      <c r="B1266" s="1">
        <f ca="1">IFERROR(__xludf.UNSUPPORTED("""COMPUTED_VALUE"""),171.02)</f>
        <v>171.02</v>
      </c>
      <c r="C1266" s="2">
        <f t="shared" ca="1" si="4"/>
        <v>2.1094574006797939E-3</v>
      </c>
    </row>
    <row r="1267" spans="1:3">
      <c r="A1267" s="3">
        <f ca="1">IFERROR(__xludf.UNSUPPORTED("""COMPUTED_VALUE"""),45302.6666666666)</f>
        <v>45302.666666666599</v>
      </c>
      <c r="B1267" s="1">
        <f ca="1">IFERROR(__xludf.UNSUPPORTED("""COMPUTED_VALUE"""),170.3)</f>
        <v>170.3</v>
      </c>
      <c r="C1267" s="2">
        <f t="shared" ca="1" si="4"/>
        <v>-4.2100339141620795E-3</v>
      </c>
    </row>
    <row r="1268" spans="1:3">
      <c r="A1268" s="3">
        <f ca="1">IFERROR(__xludf.UNSUPPORTED("""COMPUTED_VALUE"""),45303.6666666666)</f>
        <v>45303.666666666599</v>
      </c>
      <c r="B1268" s="1">
        <f ca="1">IFERROR(__xludf.UNSUPPORTED("""COMPUTED_VALUE"""),169.05)</f>
        <v>169.05</v>
      </c>
      <c r="C1268" s="2">
        <f t="shared" ca="1" si="4"/>
        <v>-7.3399882560187899E-3</v>
      </c>
    </row>
    <row r="1269" spans="1:3">
      <c r="A1269" s="3">
        <f ca="1">IFERROR(__xludf.UNSUPPORTED("""COMPUTED_VALUE"""),45307.6666666666)</f>
        <v>45307.666666666599</v>
      </c>
      <c r="B1269" s="1">
        <f ca="1">IFERROR(__xludf.UNSUPPORTED("""COMPUTED_VALUE"""),167.99)</f>
        <v>167.99</v>
      </c>
      <c r="C1269" s="2">
        <f t="shared" ca="1" si="4"/>
        <v>-6.270334220644793E-3</v>
      </c>
    </row>
    <row r="1270" spans="1:3">
      <c r="A1270" s="3">
        <f ca="1">IFERROR(__xludf.UNSUPPORTED("""COMPUTED_VALUE"""),45308.6666666666)</f>
        <v>45308.666666666599</v>
      </c>
      <c r="B1270" s="1">
        <f ca="1">IFERROR(__xludf.UNSUPPORTED("""COMPUTED_VALUE"""),167.09)</f>
        <v>167.09</v>
      </c>
      <c r="C1270" s="2">
        <f t="shared" ca="1" si="4"/>
        <v>-5.3574617536758474E-3</v>
      </c>
    </row>
    <row r="1271" spans="1:3">
      <c r="A1271" s="3">
        <f ca="1">IFERROR(__xludf.UNSUPPORTED("""COMPUTED_VALUE"""),45309.6666666666)</f>
        <v>45309.666666666599</v>
      </c>
      <c r="B1271" s="1">
        <f ca="1">IFERROR(__xludf.UNSUPPORTED("""COMPUTED_VALUE"""),167.42)</f>
        <v>167.42</v>
      </c>
      <c r="C1271" s="2">
        <f t="shared" ca="1" si="4"/>
        <v>1.974983541803723E-3</v>
      </c>
    </row>
    <row r="1272" spans="1:3">
      <c r="A1272" s="3">
        <f ca="1">IFERROR(__xludf.UNSUPPORTED("""COMPUTED_VALUE"""),45310.6666666666)</f>
        <v>45310.666666666599</v>
      </c>
      <c r="B1272" s="1">
        <f ca="1">IFERROR(__xludf.UNSUPPORTED("""COMPUTED_VALUE"""),170.31)</f>
        <v>170.31</v>
      </c>
      <c r="C1272" s="2">
        <f t="shared" ca="1" si="4"/>
        <v>1.7261975869071886E-2</v>
      </c>
    </row>
    <row r="1273" spans="1:3">
      <c r="A1273" s="3">
        <f ca="1">IFERROR(__xludf.UNSUPPORTED("""COMPUTED_VALUE"""),45313.6666666666)</f>
        <v>45313.666666666599</v>
      </c>
      <c r="B1273" s="1">
        <f ca="1">IFERROR(__xludf.UNSUPPORTED("""COMPUTED_VALUE"""),170.11)</f>
        <v>170.11</v>
      </c>
      <c r="C1273" s="2">
        <f t="shared" ca="1" si="4"/>
        <v>-1.1743291644647326E-3</v>
      </c>
    </row>
    <row r="1274" spans="1:3">
      <c r="A1274" s="3">
        <f ca="1">IFERROR(__xludf.UNSUPPORTED("""COMPUTED_VALUE"""),45314.6666666666)</f>
        <v>45314.666666666599</v>
      </c>
      <c r="B1274" s="1">
        <f ca="1">IFERROR(__xludf.UNSUPPORTED("""COMPUTED_VALUE"""),168.99)</f>
        <v>168.99</v>
      </c>
      <c r="C1274" s="2">
        <f t="shared" ca="1" si="4"/>
        <v>-6.5839750749515282E-3</v>
      </c>
    </row>
    <row r="1275" spans="1:3">
      <c r="A1275" s="3">
        <f ca="1">IFERROR(__xludf.UNSUPPORTED("""COMPUTED_VALUE"""),45315.6666666666)</f>
        <v>45315.666666666599</v>
      </c>
      <c r="B1275" s="1">
        <f ca="1">IFERROR(__xludf.UNSUPPORTED("""COMPUTED_VALUE"""),170.5)</f>
        <v>170.5</v>
      </c>
      <c r="C1275" s="2">
        <f t="shared" ca="1" si="4"/>
        <v>8.9354399668618908E-3</v>
      </c>
    </row>
    <row r="1276" spans="1:3">
      <c r="A1276" s="3">
        <f ca="1">IFERROR(__xludf.UNSUPPORTED("""COMPUTED_VALUE"""),45316.6666666666)</f>
        <v>45316.666666666599</v>
      </c>
      <c r="B1276" s="1">
        <f ca="1">IFERROR(__xludf.UNSUPPORTED("""COMPUTED_VALUE"""),172.94)</f>
        <v>172.94</v>
      </c>
      <c r="C1276" s="2">
        <f t="shared" ca="1" si="4"/>
        <v>1.4310850439882684E-2</v>
      </c>
    </row>
    <row r="1277" spans="1:3">
      <c r="A1277" s="3">
        <f ca="1">IFERROR(__xludf.UNSUPPORTED("""COMPUTED_VALUE"""),45317.6666666666)</f>
        <v>45317.666666666599</v>
      </c>
      <c r="B1277" s="1">
        <f ca="1">IFERROR(__xludf.UNSUPPORTED("""COMPUTED_VALUE"""),172.28)</f>
        <v>172.28</v>
      </c>
      <c r="C1277" s="2">
        <f t="shared" ca="1" si="4"/>
        <v>-3.8163524921938047E-3</v>
      </c>
    </row>
    <row r="1278" spans="1:3">
      <c r="A1278" s="3">
        <f ca="1">IFERROR(__xludf.UNSUPPORTED("""COMPUTED_VALUE"""),45320.6666666666)</f>
        <v>45320.666666666599</v>
      </c>
      <c r="B1278" s="1">
        <f ca="1">IFERROR(__xludf.UNSUPPORTED("""COMPUTED_VALUE"""),172.73)</f>
        <v>172.73</v>
      </c>
      <c r="C1278" s="2">
        <f t="shared" ref="C1278:C1532" ca="1" si="5">(B1278-B1277)/B1277</f>
        <v>2.6120269328998645E-3</v>
      </c>
    </row>
    <row r="1279" spans="1:3">
      <c r="A1279" s="3">
        <f ca="1">IFERROR(__xludf.UNSUPPORTED("""COMPUTED_VALUE"""),45321.6666666666)</f>
        <v>45321.666666666599</v>
      </c>
      <c r="B1279" s="1">
        <f ca="1">IFERROR(__xludf.UNSUPPORTED("""COMPUTED_VALUE"""),176.27)</f>
        <v>176.27</v>
      </c>
      <c r="C1279" s="2">
        <f t="shared" ca="1" si="5"/>
        <v>2.0494413246106759E-2</v>
      </c>
    </row>
    <row r="1280" spans="1:3">
      <c r="A1280" s="3">
        <f ca="1">IFERROR(__xludf.UNSUPPORTED("""COMPUTED_VALUE"""),45322.6666666666)</f>
        <v>45322.666666666599</v>
      </c>
      <c r="B1280" s="1">
        <f ca="1">IFERROR(__xludf.UNSUPPORTED("""COMPUTED_VALUE"""),174.36)</f>
        <v>174.36</v>
      </c>
      <c r="C1280" s="2">
        <f t="shared" ca="1" si="5"/>
        <v>-1.0835649855335545E-2</v>
      </c>
    </row>
    <row r="1281" spans="1:3">
      <c r="A1281" s="3">
        <f ca="1">IFERROR(__xludf.UNSUPPORTED("""COMPUTED_VALUE"""),45323.6666666666)</f>
        <v>45323.666666666599</v>
      </c>
      <c r="B1281" s="1">
        <f ca="1">IFERROR(__xludf.UNSUPPORTED("""COMPUTED_VALUE"""),173.73)</f>
        <v>173.73</v>
      </c>
      <c r="C1281" s="2">
        <f t="shared" ca="1" si="5"/>
        <v>-3.6132140399175489E-3</v>
      </c>
    </row>
    <row r="1282" spans="1:3">
      <c r="A1282" s="3">
        <f ca="1">IFERROR(__xludf.UNSUPPORTED("""COMPUTED_VALUE"""),45324.6666666666)</f>
        <v>45324.666666666599</v>
      </c>
      <c r="B1282" s="1">
        <f ca="1">IFERROR(__xludf.UNSUPPORTED("""COMPUTED_VALUE"""),174.73)</f>
        <v>174.73</v>
      </c>
      <c r="C1282" s="2">
        <f t="shared" ca="1" si="5"/>
        <v>5.7560582513095033E-3</v>
      </c>
    </row>
    <row r="1283" spans="1:3">
      <c r="A1283" s="3">
        <f ca="1">IFERROR(__xludf.UNSUPPORTED("""COMPUTED_VALUE"""),45327.6666666666)</f>
        <v>45327.666666666599</v>
      </c>
      <c r="B1283" s="1">
        <f ca="1">IFERROR(__xludf.UNSUPPORTED("""COMPUTED_VALUE"""),174.5)</f>
        <v>174.5</v>
      </c>
      <c r="C1283" s="2">
        <f t="shared" ca="1" si="5"/>
        <v>-1.3163166027584832E-3</v>
      </c>
    </row>
    <row r="1284" spans="1:3">
      <c r="A1284" s="3">
        <f ca="1">IFERROR(__xludf.UNSUPPORTED("""COMPUTED_VALUE"""),45328.6666666666)</f>
        <v>45328.666666666599</v>
      </c>
      <c r="B1284" s="1">
        <f ca="1">IFERROR(__xludf.UNSUPPORTED("""COMPUTED_VALUE"""),175.1)</f>
        <v>175.1</v>
      </c>
      <c r="C1284" s="2">
        <f t="shared" ca="1" si="5"/>
        <v>3.4383954154727468E-3</v>
      </c>
    </row>
    <row r="1285" spans="1:3">
      <c r="A1285" s="3">
        <f ca="1">IFERROR(__xludf.UNSUPPORTED("""COMPUTED_VALUE"""),45329.6666666666)</f>
        <v>45329.666666666599</v>
      </c>
      <c r="B1285" s="1">
        <f ca="1">IFERROR(__xludf.UNSUPPORTED("""COMPUTED_VALUE"""),175.43)</f>
        <v>175.43</v>
      </c>
      <c r="C1285" s="2">
        <f t="shared" ca="1" si="5"/>
        <v>1.8846373500857369E-3</v>
      </c>
    </row>
    <row r="1286" spans="1:3">
      <c r="A1286" s="3">
        <f ca="1">IFERROR(__xludf.UNSUPPORTED("""COMPUTED_VALUE"""),45330.6666666666)</f>
        <v>45330.666666666599</v>
      </c>
      <c r="B1286" s="1">
        <f ca="1">IFERROR(__xludf.UNSUPPORTED("""COMPUTED_VALUE"""),174.8)</f>
        <v>174.8</v>
      </c>
      <c r="C1286" s="2">
        <f t="shared" ca="1" si="5"/>
        <v>-3.5911759676223874E-3</v>
      </c>
    </row>
    <row r="1287" spans="1:3">
      <c r="A1287" s="3">
        <f ca="1">IFERROR(__xludf.UNSUPPORTED("""COMPUTED_VALUE"""),45331.6666666666)</f>
        <v>45331.666666666599</v>
      </c>
      <c r="B1287" s="1">
        <f ca="1">IFERROR(__xludf.UNSUPPORTED("""COMPUTED_VALUE"""),175.01)</f>
        <v>175.01</v>
      </c>
      <c r="C1287" s="2">
        <f t="shared" ca="1" si="5"/>
        <v>1.2013729977115534E-3</v>
      </c>
    </row>
    <row r="1288" spans="1:3">
      <c r="A1288" s="3">
        <f ca="1">IFERROR(__xludf.UNSUPPORTED("""COMPUTED_VALUE"""),45334.6666666666)</f>
        <v>45334.666666666599</v>
      </c>
      <c r="B1288" s="1">
        <f ca="1">IFERROR(__xludf.UNSUPPORTED("""COMPUTED_VALUE"""),175.79)</f>
        <v>175.79</v>
      </c>
      <c r="C1288" s="2">
        <f t="shared" ca="1" si="5"/>
        <v>4.4568881778184171E-3</v>
      </c>
    </row>
    <row r="1289" spans="1:3">
      <c r="A1289" s="3">
        <f ca="1">IFERROR(__xludf.UNSUPPORTED("""COMPUTED_VALUE"""),45335.6666666666)</f>
        <v>45335.666666666599</v>
      </c>
      <c r="B1289" s="1">
        <f ca="1">IFERROR(__xludf.UNSUPPORTED("""COMPUTED_VALUE"""),174.26)</f>
        <v>174.26</v>
      </c>
      <c r="C1289" s="2">
        <f t="shared" ca="1" si="5"/>
        <v>-8.7035667557881623E-3</v>
      </c>
    </row>
    <row r="1290" spans="1:3">
      <c r="A1290" s="3">
        <f ca="1">IFERROR(__xludf.UNSUPPORTED("""COMPUTED_VALUE"""),45336.6666666666)</f>
        <v>45336.666666666599</v>
      </c>
      <c r="B1290" s="1">
        <f ca="1">IFERROR(__xludf.UNSUPPORTED("""COMPUTED_VALUE"""),176.03)</f>
        <v>176.03</v>
      </c>
      <c r="C1290" s="2">
        <f t="shared" ca="1" si="5"/>
        <v>1.0157236313554517E-2</v>
      </c>
    </row>
    <row r="1291" spans="1:3">
      <c r="A1291" s="3">
        <f ca="1">IFERROR(__xludf.UNSUPPORTED("""COMPUTED_VALUE"""),45337.6666666666)</f>
        <v>45337.666666666599</v>
      </c>
      <c r="B1291" s="1">
        <f ca="1">IFERROR(__xludf.UNSUPPORTED("""COMPUTED_VALUE"""),179.87)</f>
        <v>179.87</v>
      </c>
      <c r="C1291" s="2">
        <f t="shared" ca="1" si="5"/>
        <v>2.18144634437312E-2</v>
      </c>
    </row>
    <row r="1292" spans="1:3">
      <c r="A1292" s="3">
        <f ca="1">IFERROR(__xludf.UNSUPPORTED("""COMPUTED_VALUE"""),45338.6666666666)</f>
        <v>45338.666666666599</v>
      </c>
      <c r="B1292" s="1">
        <f ca="1">IFERROR(__xludf.UNSUPPORTED("""COMPUTED_VALUE"""),179.03)</f>
        <v>179.03</v>
      </c>
      <c r="C1292" s="2">
        <f t="shared" ca="1" si="5"/>
        <v>-4.6700394729527065E-3</v>
      </c>
    </row>
    <row r="1293" spans="1:3">
      <c r="A1293" s="3">
        <f ca="1">IFERROR(__xludf.UNSUPPORTED("""COMPUTED_VALUE"""),45342.6666666666)</f>
        <v>45342.666666666599</v>
      </c>
      <c r="B1293" s="1">
        <f ca="1">IFERROR(__xludf.UNSUPPORTED("""COMPUTED_VALUE"""),179.73)</f>
        <v>179.73</v>
      </c>
      <c r="C1293" s="2">
        <f t="shared" ca="1" si="5"/>
        <v>3.9099592247108786E-3</v>
      </c>
    </row>
    <row r="1294" spans="1:3">
      <c r="A1294" s="3">
        <f ca="1">IFERROR(__xludf.UNSUPPORTED("""COMPUTED_VALUE"""),45343.6666666666)</f>
        <v>45343.666666666599</v>
      </c>
      <c r="B1294" s="1">
        <f ca="1">IFERROR(__xludf.UNSUPPORTED("""COMPUTED_VALUE"""),180.9)</f>
        <v>180.9</v>
      </c>
      <c r="C1294" s="2">
        <f t="shared" ca="1" si="5"/>
        <v>6.5097646469705443E-3</v>
      </c>
    </row>
    <row r="1295" spans="1:3">
      <c r="A1295" s="3">
        <f ca="1">IFERROR(__xludf.UNSUPPORTED("""COMPUTED_VALUE"""),45344.6666666666)</f>
        <v>45344.666666666599</v>
      </c>
      <c r="B1295" s="1">
        <f ca="1">IFERROR(__xludf.UNSUPPORTED("""COMPUTED_VALUE"""),183.07)</f>
        <v>183.07</v>
      </c>
      <c r="C1295" s="2">
        <f t="shared" ca="1" si="5"/>
        <v>1.1995577667219389E-2</v>
      </c>
    </row>
    <row r="1296" spans="1:3">
      <c r="A1296" s="3">
        <f ca="1">IFERROR(__xludf.UNSUPPORTED("""COMPUTED_VALUE"""),45345.6666666666)</f>
        <v>45345.666666666599</v>
      </c>
      <c r="B1296" s="1">
        <f ca="1">IFERROR(__xludf.UNSUPPORTED("""COMPUTED_VALUE"""),183.99)</f>
        <v>183.99</v>
      </c>
      <c r="C1296" s="2">
        <f t="shared" ca="1" si="5"/>
        <v>5.0254001201726984E-3</v>
      </c>
    </row>
    <row r="1297" spans="1:3">
      <c r="A1297" s="3">
        <f ca="1">IFERROR(__xludf.UNSUPPORTED("""COMPUTED_VALUE"""),45348.6666666666)</f>
        <v>45348.666666666599</v>
      </c>
      <c r="B1297" s="1">
        <f ca="1">IFERROR(__xludf.UNSUPPORTED("""COMPUTED_VALUE"""),183.36)</f>
        <v>183.36</v>
      </c>
      <c r="C1297" s="2">
        <f t="shared" ca="1" si="5"/>
        <v>-3.424099135822574E-3</v>
      </c>
    </row>
    <row r="1298" spans="1:3">
      <c r="A1298" s="3">
        <f ca="1">IFERROR(__xludf.UNSUPPORTED("""COMPUTED_VALUE"""),45349.6666666666)</f>
        <v>45349.666666666599</v>
      </c>
      <c r="B1298" s="1">
        <f ca="1">IFERROR(__xludf.UNSUPPORTED("""COMPUTED_VALUE"""),183.45)</f>
        <v>183.45</v>
      </c>
      <c r="C1298" s="2">
        <f t="shared" ca="1" si="5"/>
        <v>4.9083769633494212E-4</v>
      </c>
    </row>
    <row r="1299" spans="1:3">
      <c r="A1299" s="3">
        <f ca="1">IFERROR(__xludf.UNSUPPORTED("""COMPUTED_VALUE"""),45350.6666666666)</f>
        <v>45350.666666666599</v>
      </c>
      <c r="B1299" s="1">
        <f ca="1">IFERROR(__xludf.UNSUPPORTED("""COMPUTED_VALUE"""),184.38)</f>
        <v>184.38</v>
      </c>
      <c r="C1299" s="2">
        <f t="shared" ca="1" si="5"/>
        <v>5.0695012264922699E-3</v>
      </c>
    </row>
    <row r="1300" spans="1:3">
      <c r="A1300" s="3">
        <f ca="1">IFERROR(__xludf.UNSUPPORTED("""COMPUTED_VALUE"""),45351.6666666666)</f>
        <v>45351.666666666599</v>
      </c>
      <c r="B1300" s="1">
        <f ca="1">IFERROR(__xludf.UNSUPPORTED("""COMPUTED_VALUE"""),186.06)</f>
        <v>186.06</v>
      </c>
      <c r="C1300" s="2">
        <f t="shared" ca="1" si="5"/>
        <v>9.1116173120729307E-3</v>
      </c>
    </row>
    <row r="1301" spans="1:3">
      <c r="A1301" s="3">
        <f ca="1">IFERROR(__xludf.UNSUPPORTED("""COMPUTED_VALUE"""),45352.6666666666)</f>
        <v>45352.666666666599</v>
      </c>
      <c r="B1301" s="1">
        <f ca="1">IFERROR(__xludf.UNSUPPORTED("""COMPUTED_VALUE"""),185.29)</f>
        <v>185.29</v>
      </c>
      <c r="C1301" s="2">
        <f t="shared" ca="1" si="5"/>
        <v>-4.1384499623777823E-3</v>
      </c>
    </row>
    <row r="1302" spans="1:3">
      <c r="A1302" s="3">
        <f ca="1">IFERROR(__xludf.UNSUPPORTED("""COMPUTED_VALUE"""),45355.6666666666)</f>
        <v>45355.666666666599</v>
      </c>
      <c r="B1302" s="1">
        <f ca="1">IFERROR(__xludf.UNSUPPORTED("""COMPUTED_VALUE"""),186.68)</f>
        <v>186.68</v>
      </c>
      <c r="C1302" s="2">
        <f t="shared" ca="1" si="5"/>
        <v>7.5017540072319869E-3</v>
      </c>
    </row>
    <row r="1303" spans="1:3">
      <c r="A1303" s="3">
        <f ca="1">IFERROR(__xludf.UNSUPPORTED("""COMPUTED_VALUE"""),45356.6666666666)</f>
        <v>45356.666666666599</v>
      </c>
      <c r="B1303" s="1">
        <f ca="1">IFERROR(__xludf.UNSUPPORTED("""COMPUTED_VALUE"""),188.55)</f>
        <v>188.55</v>
      </c>
      <c r="C1303" s="2">
        <f t="shared" ca="1" si="5"/>
        <v>1.0017141632740542E-2</v>
      </c>
    </row>
    <row r="1304" spans="1:3">
      <c r="A1304" s="3">
        <f ca="1">IFERROR(__xludf.UNSUPPORTED("""COMPUTED_VALUE"""),45357.6666666666)</f>
        <v>45357.666666666599</v>
      </c>
      <c r="B1304" s="1">
        <f ca="1">IFERROR(__xludf.UNSUPPORTED("""COMPUTED_VALUE"""),189.53)</f>
        <v>189.53</v>
      </c>
      <c r="C1304" s="2">
        <f t="shared" ca="1" si="5"/>
        <v>5.1975603288251905E-3</v>
      </c>
    </row>
    <row r="1305" spans="1:3">
      <c r="A1305" s="3">
        <f ca="1">IFERROR(__xludf.UNSUPPORTED("""COMPUTED_VALUE"""),45358.6666666666)</f>
        <v>45358.666666666599</v>
      </c>
      <c r="B1305" s="1">
        <f ca="1">IFERROR(__xludf.UNSUPPORTED("""COMPUTED_VALUE"""),187.87)</f>
        <v>187.87</v>
      </c>
      <c r="C1305" s="2">
        <f t="shared" ca="1" si="5"/>
        <v>-8.7585078879332898E-3</v>
      </c>
    </row>
    <row r="1306" spans="1:3">
      <c r="A1306" s="3">
        <f ca="1">IFERROR(__xludf.UNSUPPORTED("""COMPUTED_VALUE"""),45359.6666666666)</f>
        <v>45359.666666666599</v>
      </c>
      <c r="B1306" s="1">
        <f ca="1">IFERROR(__xludf.UNSUPPORTED("""COMPUTED_VALUE"""),188.22)</f>
        <v>188.22</v>
      </c>
      <c r="C1306" s="2">
        <f t="shared" ca="1" si="5"/>
        <v>1.8629903656783642E-3</v>
      </c>
    </row>
    <row r="1307" spans="1:3">
      <c r="A1307" s="3">
        <f ca="1">IFERROR(__xludf.UNSUPPORTED("""COMPUTED_VALUE"""),45362.6666666666)</f>
        <v>45362.666666666599</v>
      </c>
      <c r="B1307" s="1">
        <f ca="1">IFERROR(__xludf.UNSUPPORTED("""COMPUTED_VALUE"""),188.29)</f>
        <v>188.29</v>
      </c>
      <c r="C1307" s="2">
        <f t="shared" ca="1" si="5"/>
        <v>3.7190521729886928E-4</v>
      </c>
    </row>
    <row r="1308" spans="1:3">
      <c r="A1308" s="3">
        <f ca="1">IFERROR(__xludf.UNSUPPORTED("""COMPUTED_VALUE"""),45363.6666666666)</f>
        <v>45363.666666666599</v>
      </c>
      <c r="B1308" s="1">
        <f ca="1">IFERROR(__xludf.UNSUPPORTED("""COMPUTED_VALUE"""),189.84)</f>
        <v>189.84</v>
      </c>
      <c r="C1308" s="2">
        <f t="shared" ca="1" si="5"/>
        <v>8.2319825800627293E-3</v>
      </c>
    </row>
    <row r="1309" spans="1:3">
      <c r="A1309" s="3">
        <f ca="1">IFERROR(__xludf.UNSUPPORTED("""COMPUTED_VALUE"""),45364.6666666666)</f>
        <v>45364.666666666599</v>
      </c>
      <c r="B1309" s="1">
        <f ca="1">IFERROR(__xludf.UNSUPPORTED("""COMPUTED_VALUE"""),191.38)</f>
        <v>191.38</v>
      </c>
      <c r="C1309" s="2">
        <f t="shared" ca="1" si="5"/>
        <v>8.1120943952801942E-3</v>
      </c>
    </row>
    <row r="1310" spans="1:3">
      <c r="A1310" s="3">
        <f ca="1">IFERROR(__xludf.UNSUPPORTED("""COMPUTED_VALUE"""),45365.6666666666)</f>
        <v>45365.666666666599</v>
      </c>
      <c r="B1310" s="1">
        <f ca="1">IFERROR(__xludf.UNSUPPORTED("""COMPUTED_VALUE"""),187.97)</f>
        <v>187.97</v>
      </c>
      <c r="C1310" s="2">
        <f t="shared" ca="1" si="5"/>
        <v>-1.7817953809175446E-2</v>
      </c>
    </row>
    <row r="1311" spans="1:3">
      <c r="A1311" s="3">
        <f ca="1">IFERROR(__xludf.UNSUPPORTED("""COMPUTED_VALUE"""),45366.6666666666)</f>
        <v>45366.666666666599</v>
      </c>
      <c r="B1311" s="1">
        <f ca="1">IFERROR(__xludf.UNSUPPORTED("""COMPUTED_VALUE"""),190.3)</f>
        <v>190.3</v>
      </c>
      <c r="C1311" s="2">
        <f t="shared" ca="1" si="5"/>
        <v>1.2395595041762049E-2</v>
      </c>
    </row>
    <row r="1312" spans="1:3">
      <c r="A1312" s="3">
        <f ca="1">IFERROR(__xludf.UNSUPPORTED("""COMPUTED_VALUE"""),45369.6666666666)</f>
        <v>45369.666666666599</v>
      </c>
      <c r="B1312" s="1">
        <f ca="1">IFERROR(__xludf.UNSUPPORTED("""COMPUTED_VALUE"""),192.66)</f>
        <v>192.66</v>
      </c>
      <c r="C1312" s="2">
        <f t="shared" ca="1" si="5"/>
        <v>1.2401471361008855E-2</v>
      </c>
    </row>
    <row r="1313" spans="1:3">
      <c r="A1313" s="3">
        <f ca="1">IFERROR(__xludf.UNSUPPORTED("""COMPUTED_VALUE"""),45370.6666666666)</f>
        <v>45370.666666666599</v>
      </c>
      <c r="B1313" s="1">
        <f ca="1">IFERROR(__xludf.UNSUPPORTED("""COMPUTED_VALUE"""),193.79)</f>
        <v>193.79</v>
      </c>
      <c r="C1313" s="2">
        <f t="shared" ca="1" si="5"/>
        <v>5.8652548531090802E-3</v>
      </c>
    </row>
    <row r="1314" spans="1:3">
      <c r="A1314" s="3">
        <f ca="1">IFERROR(__xludf.UNSUPPORTED("""COMPUTED_VALUE"""),45371.6666666666)</f>
        <v>45371.666666666599</v>
      </c>
      <c r="B1314" s="1">
        <f ca="1">IFERROR(__xludf.UNSUPPORTED("""COMPUTED_VALUE"""),196.33)</f>
        <v>196.33</v>
      </c>
      <c r="C1314" s="2">
        <f t="shared" ca="1" si="5"/>
        <v>1.3106971463955935E-2</v>
      </c>
    </row>
    <row r="1315" spans="1:3">
      <c r="A1315" s="3">
        <f ca="1">IFERROR(__xludf.UNSUPPORTED("""COMPUTED_VALUE"""),45372.6666666666)</f>
        <v>45372.666666666599</v>
      </c>
      <c r="B1315" s="1">
        <f ca="1">IFERROR(__xludf.UNSUPPORTED("""COMPUTED_VALUE"""),199.06)</f>
        <v>199.06</v>
      </c>
      <c r="C1315" s="2">
        <f t="shared" ca="1" si="5"/>
        <v>1.3905159680130339E-2</v>
      </c>
    </row>
    <row r="1316" spans="1:3">
      <c r="A1316" s="3">
        <f ca="1">IFERROR(__xludf.UNSUPPORTED("""COMPUTED_VALUE"""),45373.6666666666)</f>
        <v>45373.666666666599</v>
      </c>
      <c r="B1316" s="1">
        <f ca="1">IFERROR(__xludf.UNSUPPORTED("""COMPUTED_VALUE"""),196.62)</f>
        <v>196.62</v>
      </c>
      <c r="C1316" s="2">
        <f t="shared" ca="1" si="5"/>
        <v>-1.2257610770621912E-2</v>
      </c>
    </row>
    <row r="1317" spans="1:3">
      <c r="A1317" s="3">
        <f ca="1">IFERROR(__xludf.UNSUPPORTED("""COMPUTED_VALUE"""),45376.6666666666)</f>
        <v>45376.666666666599</v>
      </c>
      <c r="B1317" s="1">
        <f ca="1">IFERROR(__xludf.UNSUPPORTED("""COMPUTED_VALUE"""),194.82)</f>
        <v>194.82</v>
      </c>
      <c r="C1317" s="2">
        <f t="shared" ca="1" si="5"/>
        <v>-9.1547146780592576E-3</v>
      </c>
    </row>
    <row r="1318" spans="1:3">
      <c r="A1318" s="3">
        <f ca="1">IFERROR(__xludf.UNSUPPORTED("""COMPUTED_VALUE"""),45377.6666666666)</f>
        <v>45377.666666666599</v>
      </c>
      <c r="B1318" s="1">
        <f ca="1">IFERROR(__xludf.UNSUPPORTED("""COMPUTED_VALUE"""),195.73)</f>
        <v>195.73</v>
      </c>
      <c r="C1318" s="2">
        <f t="shared" ca="1" si="5"/>
        <v>4.6709783389795537E-3</v>
      </c>
    </row>
    <row r="1319" spans="1:3">
      <c r="A1319" s="3">
        <f ca="1">IFERROR(__xludf.UNSUPPORTED("""COMPUTED_VALUE"""),45378.6666666666)</f>
        <v>45378.666666666599</v>
      </c>
      <c r="B1319" s="1">
        <f ca="1">IFERROR(__xludf.UNSUPPORTED("""COMPUTED_VALUE"""),199.52)</f>
        <v>199.52</v>
      </c>
      <c r="C1319" s="2">
        <f t="shared" ca="1" si="5"/>
        <v>1.9363408777397541E-2</v>
      </c>
    </row>
    <row r="1320" spans="1:3">
      <c r="A1320" s="3">
        <f ca="1">IFERROR(__xludf.UNSUPPORTED("""COMPUTED_VALUE"""),45379.6666666666)</f>
        <v>45379.666666666599</v>
      </c>
      <c r="B1320" s="1">
        <f ca="1">IFERROR(__xludf.UNSUPPORTED("""COMPUTED_VALUE"""),200.3)</f>
        <v>200.3</v>
      </c>
      <c r="C1320" s="2">
        <f t="shared" ca="1" si="5"/>
        <v>3.9093825180433091E-3</v>
      </c>
    </row>
    <row r="1321" spans="1:3">
      <c r="A1321" s="3">
        <f ca="1">IFERROR(__xludf.UNSUPPORTED("""COMPUTED_VALUE"""),45383.6666666666)</f>
        <v>45383.666666666599</v>
      </c>
      <c r="B1321" s="1">
        <f ca="1">IFERROR(__xludf.UNSUPPORTED("""COMPUTED_VALUE"""),198.94)</f>
        <v>198.94</v>
      </c>
      <c r="C1321" s="2">
        <f t="shared" ca="1" si="5"/>
        <v>-6.7898152770844416E-3</v>
      </c>
    </row>
    <row r="1322" spans="1:3">
      <c r="A1322" s="3">
        <f ca="1">IFERROR(__xludf.UNSUPPORTED("""COMPUTED_VALUE"""),45384.6666666666)</f>
        <v>45384.666666666599</v>
      </c>
      <c r="B1322" s="1">
        <f ca="1">IFERROR(__xludf.UNSUPPORTED("""COMPUTED_VALUE"""),198.86)</f>
        <v>198.86</v>
      </c>
      <c r="C1322" s="2">
        <f t="shared" ca="1" si="5"/>
        <v>-4.0213129586802091E-4</v>
      </c>
    </row>
    <row r="1323" spans="1:3">
      <c r="A1323" s="3">
        <f ca="1">IFERROR(__xludf.UNSUPPORTED("""COMPUTED_VALUE"""),45385.6666666666)</f>
        <v>45385.666666666599</v>
      </c>
      <c r="B1323" s="1">
        <f ca="1">IFERROR(__xludf.UNSUPPORTED("""COMPUTED_VALUE"""),198.3)</f>
        <v>198.3</v>
      </c>
      <c r="C1323" s="2">
        <f t="shared" ca="1" si="5"/>
        <v>-2.8160514935130355E-3</v>
      </c>
    </row>
    <row r="1324" spans="1:3">
      <c r="A1324" s="3">
        <f ca="1">IFERROR(__xludf.UNSUPPORTED("""COMPUTED_VALUE"""),45386.6666666666)</f>
        <v>45386.666666666599</v>
      </c>
      <c r="B1324" s="1">
        <f ca="1">IFERROR(__xludf.UNSUPPORTED("""COMPUTED_VALUE"""),195.65)</f>
        <v>195.65</v>
      </c>
      <c r="C1324" s="2">
        <f t="shared" ca="1" si="5"/>
        <v>-1.3363590519415056E-2</v>
      </c>
    </row>
    <row r="1325" spans="1:3">
      <c r="A1325" s="3">
        <f ca="1">IFERROR(__xludf.UNSUPPORTED("""COMPUTED_VALUE"""),45387.6666666666)</f>
        <v>45387.666666666599</v>
      </c>
      <c r="B1325" s="1">
        <f ca="1">IFERROR(__xludf.UNSUPPORTED("""COMPUTED_VALUE"""),197.45)</f>
        <v>197.45</v>
      </c>
      <c r="C1325" s="2">
        <f t="shared" ca="1" si="5"/>
        <v>9.2001022233579501E-3</v>
      </c>
    </row>
    <row r="1326" spans="1:3">
      <c r="A1326" s="3">
        <f ca="1">IFERROR(__xludf.UNSUPPORTED("""COMPUTED_VALUE"""),45390.6666666666)</f>
        <v>45390.666666666599</v>
      </c>
      <c r="B1326" s="1">
        <f ca="1">IFERROR(__xludf.UNSUPPORTED("""COMPUTED_VALUE"""),198.48)</f>
        <v>198.48</v>
      </c>
      <c r="C1326" s="2">
        <f t="shared" ca="1" si="5"/>
        <v>5.2165105089896236E-3</v>
      </c>
    </row>
    <row r="1327" spans="1:3">
      <c r="A1327" s="3">
        <f ca="1">IFERROR(__xludf.UNSUPPORTED("""COMPUTED_VALUE"""),45391.6666666666)</f>
        <v>45391.666666666599</v>
      </c>
      <c r="B1327" s="1">
        <f ca="1">IFERROR(__xludf.UNSUPPORTED("""COMPUTED_VALUE"""),197.15)</f>
        <v>197.15</v>
      </c>
      <c r="C1327" s="2">
        <f t="shared" ca="1" si="5"/>
        <v>-6.700927045546071E-3</v>
      </c>
    </row>
    <row r="1328" spans="1:3">
      <c r="A1328" s="3">
        <f ca="1">IFERROR(__xludf.UNSUPPORTED("""COMPUTED_VALUE"""),45392.6666666666)</f>
        <v>45392.666666666599</v>
      </c>
      <c r="B1328" s="1">
        <f ca="1">IFERROR(__xludf.UNSUPPORTED("""COMPUTED_VALUE"""),195.47)</f>
        <v>195.47</v>
      </c>
      <c r="C1328" s="2">
        <f t="shared" ca="1" si="5"/>
        <v>-8.5214303829571729E-3</v>
      </c>
    </row>
    <row r="1329" spans="1:3">
      <c r="A1329" s="3">
        <f ca="1">IFERROR(__xludf.UNSUPPORTED("""COMPUTED_VALUE"""),45393.6666666666)</f>
        <v>45393.666666666599</v>
      </c>
      <c r="B1329" s="1">
        <f ca="1">IFERROR(__xludf.UNSUPPORTED("""COMPUTED_VALUE"""),195.43)</f>
        <v>195.43</v>
      </c>
      <c r="C1329" s="2">
        <f t="shared" ca="1" si="5"/>
        <v>-2.0463498235019206E-4</v>
      </c>
    </row>
    <row r="1330" spans="1:3">
      <c r="A1330" s="3">
        <f ca="1">IFERROR(__xludf.UNSUPPORTED("""COMPUTED_VALUE"""),45394.6666666666)</f>
        <v>45394.666666666599</v>
      </c>
      <c r="B1330" s="1">
        <f ca="1">IFERROR(__xludf.UNSUPPORTED("""COMPUTED_VALUE"""),182.79)</f>
        <v>182.79</v>
      </c>
      <c r="C1330" s="2">
        <f t="shared" ca="1" si="5"/>
        <v>-6.4677889781507514E-2</v>
      </c>
    </row>
    <row r="1331" spans="1:3">
      <c r="A1331" s="3">
        <f ca="1">IFERROR(__xludf.UNSUPPORTED("""COMPUTED_VALUE"""),45397.6666666666)</f>
        <v>45397.666666666599</v>
      </c>
      <c r="B1331" s="1">
        <f ca="1">IFERROR(__xludf.UNSUPPORTED("""COMPUTED_VALUE"""),182.89)</f>
        <v>182.89</v>
      </c>
      <c r="C1331" s="2">
        <f t="shared" ca="1" si="5"/>
        <v>5.4707587942444511E-4</v>
      </c>
    </row>
    <row r="1332" spans="1:3">
      <c r="A1332" s="3">
        <f ca="1">IFERROR(__xludf.UNSUPPORTED("""COMPUTED_VALUE"""),45398.6666666666)</f>
        <v>45398.666666666599</v>
      </c>
      <c r="B1332" s="1">
        <f ca="1">IFERROR(__xludf.UNSUPPORTED("""COMPUTED_VALUE"""),180.8)</f>
        <v>180.8</v>
      </c>
      <c r="C1332" s="2">
        <f t="shared" ca="1" si="5"/>
        <v>-1.142763409699806E-2</v>
      </c>
    </row>
    <row r="1333" spans="1:3">
      <c r="A1333" s="3">
        <f ca="1">IFERROR(__xludf.UNSUPPORTED("""COMPUTED_VALUE"""),45399.6666666666)</f>
        <v>45399.666666666599</v>
      </c>
      <c r="B1333" s="1">
        <f ca="1">IFERROR(__xludf.UNSUPPORTED("""COMPUTED_VALUE"""),180.08)</f>
        <v>180.08</v>
      </c>
      <c r="C1333" s="2">
        <f t="shared" ca="1" si="5"/>
        <v>-3.9823008849557461E-3</v>
      </c>
    </row>
    <row r="1334" spans="1:3">
      <c r="A1334" s="3">
        <f ca="1">IFERROR(__xludf.UNSUPPORTED("""COMPUTED_VALUE"""),45400.6666666666)</f>
        <v>45400.666666666599</v>
      </c>
      <c r="B1334" s="1">
        <f ca="1">IFERROR(__xludf.UNSUPPORTED("""COMPUTED_VALUE"""),181.25)</f>
        <v>181.25</v>
      </c>
      <c r="C1334" s="2">
        <f t="shared" ca="1" si="5"/>
        <v>6.4971123944912671E-3</v>
      </c>
    </row>
    <row r="1335" spans="1:3">
      <c r="A1335" s="3">
        <f ca="1">IFERROR(__xludf.UNSUPPORTED("""COMPUTED_VALUE"""),45401.6666666666)</f>
        <v>45401.666666666599</v>
      </c>
      <c r="B1335" s="1">
        <f ca="1">IFERROR(__xludf.UNSUPPORTED("""COMPUTED_VALUE"""),185.8)</f>
        <v>185.8</v>
      </c>
      <c r="C1335" s="2">
        <f t="shared" ca="1" si="5"/>
        <v>2.5103448275862132E-2</v>
      </c>
    </row>
    <row r="1336" spans="1:3">
      <c r="A1336" s="3">
        <f ca="1">IFERROR(__xludf.UNSUPPORTED("""COMPUTED_VALUE"""),45404.6666666666)</f>
        <v>45404.666666666599</v>
      </c>
      <c r="B1336" s="1">
        <f ca="1">IFERROR(__xludf.UNSUPPORTED("""COMPUTED_VALUE"""),189.41)</f>
        <v>189.41</v>
      </c>
      <c r="C1336" s="2">
        <f t="shared" ca="1" si="5"/>
        <v>1.9429494079655461E-2</v>
      </c>
    </row>
    <row r="1337" spans="1:3">
      <c r="A1337" s="3">
        <f ca="1">IFERROR(__xludf.UNSUPPORTED("""COMPUTED_VALUE"""),45405.6666666666)</f>
        <v>45405.666666666599</v>
      </c>
      <c r="B1337" s="1">
        <f ca="1">IFERROR(__xludf.UNSUPPORTED("""COMPUTED_VALUE"""),192.14)</f>
        <v>192.14</v>
      </c>
      <c r="C1337" s="2">
        <f t="shared" ca="1" si="5"/>
        <v>1.4413177762525684E-2</v>
      </c>
    </row>
    <row r="1338" spans="1:3">
      <c r="A1338" s="3">
        <f ca="1">IFERROR(__xludf.UNSUPPORTED("""COMPUTED_VALUE"""),45406.6666666666)</f>
        <v>45406.666666666599</v>
      </c>
      <c r="B1338" s="1">
        <f ca="1">IFERROR(__xludf.UNSUPPORTED("""COMPUTED_VALUE"""),193.08)</f>
        <v>193.08</v>
      </c>
      <c r="C1338" s="2">
        <f t="shared" ca="1" si="5"/>
        <v>4.8922660560009688E-3</v>
      </c>
    </row>
    <row r="1339" spans="1:3">
      <c r="A1339" s="3">
        <f ca="1">IFERROR(__xludf.UNSUPPORTED("""COMPUTED_VALUE"""),45407.6666666666)</f>
        <v>45407.666666666599</v>
      </c>
      <c r="B1339" s="1">
        <f ca="1">IFERROR(__xludf.UNSUPPORTED("""COMPUTED_VALUE"""),193.37)</f>
        <v>193.37</v>
      </c>
      <c r="C1339" s="2">
        <f t="shared" ca="1" si="5"/>
        <v>1.5019680961259169E-3</v>
      </c>
    </row>
    <row r="1340" spans="1:3">
      <c r="A1340" s="3">
        <f ca="1">IFERROR(__xludf.UNSUPPORTED("""COMPUTED_VALUE"""),45408.6666666666)</f>
        <v>45408.666666666599</v>
      </c>
      <c r="B1340" s="1">
        <f ca="1">IFERROR(__xludf.UNSUPPORTED("""COMPUTED_VALUE"""),193.49)</f>
        <v>193.49</v>
      </c>
      <c r="C1340" s="2">
        <f t="shared" ca="1" si="5"/>
        <v>6.2057196049027531E-4</v>
      </c>
    </row>
    <row r="1341" spans="1:3">
      <c r="A1341" s="3">
        <f ca="1">IFERROR(__xludf.UNSUPPORTED("""COMPUTED_VALUE"""),45411.6666666666)</f>
        <v>45411.666666666599</v>
      </c>
      <c r="B1341" s="1">
        <f ca="1">IFERROR(__xludf.UNSUPPORTED("""COMPUTED_VALUE"""),193.28)</f>
        <v>193.28</v>
      </c>
      <c r="C1341" s="2">
        <f t="shared" ca="1" si="5"/>
        <v>-1.0853274071011834E-3</v>
      </c>
    </row>
    <row r="1342" spans="1:3">
      <c r="A1342" s="3">
        <f ca="1">IFERROR(__xludf.UNSUPPORTED("""COMPUTED_VALUE"""),45412.6666666666)</f>
        <v>45412.666666666599</v>
      </c>
      <c r="B1342" s="1">
        <f ca="1">IFERROR(__xludf.UNSUPPORTED("""COMPUTED_VALUE"""),191.74)</f>
        <v>191.74</v>
      </c>
      <c r="C1342" s="2">
        <f t="shared" ca="1" si="5"/>
        <v>-7.9677152317880386E-3</v>
      </c>
    </row>
    <row r="1343" spans="1:3">
      <c r="A1343" s="3">
        <f ca="1">IFERROR(__xludf.UNSUPPORTED("""COMPUTED_VALUE"""),45413.6666666666)</f>
        <v>45413.666666666599</v>
      </c>
      <c r="B1343" s="1">
        <f ca="1">IFERROR(__xludf.UNSUPPORTED("""COMPUTED_VALUE"""),191.86)</f>
        <v>191.86</v>
      </c>
      <c r="C1343" s="2">
        <f t="shared" ca="1" si="5"/>
        <v>6.2584750182541218E-4</v>
      </c>
    </row>
    <row r="1344" spans="1:3">
      <c r="A1344" s="3">
        <f ca="1">IFERROR(__xludf.UNSUPPORTED("""COMPUTED_VALUE"""),45414.6666666666)</f>
        <v>45414.666666666599</v>
      </c>
      <c r="B1344" s="1">
        <f ca="1">IFERROR(__xludf.UNSUPPORTED("""COMPUTED_VALUE"""),191.66)</f>
        <v>191.66</v>
      </c>
      <c r="C1344" s="2">
        <f t="shared" ca="1" si="5"/>
        <v>-1.0424267695195301E-3</v>
      </c>
    </row>
    <row r="1345" spans="1:3">
      <c r="A1345" s="3">
        <f ca="1">IFERROR(__xludf.UNSUPPORTED("""COMPUTED_VALUE"""),45415.6666666666)</f>
        <v>45415.666666666599</v>
      </c>
      <c r="B1345" s="1">
        <f ca="1">IFERROR(__xludf.UNSUPPORTED("""COMPUTED_VALUE"""),190.51)</f>
        <v>190.51</v>
      </c>
      <c r="C1345" s="2">
        <f t="shared" ca="1" si="5"/>
        <v>-6.0002087029114356E-3</v>
      </c>
    </row>
    <row r="1346" spans="1:3">
      <c r="A1346" s="3">
        <f ca="1">IFERROR(__xludf.UNSUPPORTED("""COMPUTED_VALUE"""),45418.6666666666)</f>
        <v>45418.666666666599</v>
      </c>
      <c r="B1346" s="1">
        <f ca="1">IFERROR(__xludf.UNSUPPORTED("""COMPUTED_VALUE"""),192)</f>
        <v>192</v>
      </c>
      <c r="C1346" s="2">
        <f t="shared" ca="1" si="5"/>
        <v>7.8211117526639506E-3</v>
      </c>
    </row>
    <row r="1347" spans="1:3">
      <c r="A1347" s="3">
        <f ca="1">IFERROR(__xludf.UNSUPPORTED("""COMPUTED_VALUE"""),45419.6666666666)</f>
        <v>45419.666666666599</v>
      </c>
      <c r="B1347" s="1">
        <f ca="1">IFERROR(__xludf.UNSUPPORTED("""COMPUTED_VALUE"""),191.75)</f>
        <v>191.75</v>
      </c>
      <c r="C1347" s="2">
        <f t="shared" ca="1" si="5"/>
        <v>-1.3020833333333333E-3</v>
      </c>
    </row>
    <row r="1348" spans="1:3">
      <c r="A1348" s="3">
        <f ca="1">IFERROR(__xludf.UNSUPPORTED("""COMPUTED_VALUE"""),45420.6666666666)</f>
        <v>45420.666666666599</v>
      </c>
      <c r="B1348" s="1">
        <f ca="1">IFERROR(__xludf.UNSUPPORTED("""COMPUTED_VALUE"""),195.65)</f>
        <v>195.65</v>
      </c>
      <c r="C1348" s="2">
        <f t="shared" ca="1" si="5"/>
        <v>2.0338983050847487E-2</v>
      </c>
    </row>
    <row r="1349" spans="1:3">
      <c r="A1349" s="3">
        <f ca="1">IFERROR(__xludf.UNSUPPORTED("""COMPUTED_VALUE"""),45421.6666666666)</f>
        <v>45421.666666666599</v>
      </c>
      <c r="B1349" s="1">
        <f ca="1">IFERROR(__xludf.UNSUPPORTED("""COMPUTED_VALUE"""),197.5)</f>
        <v>197.5</v>
      </c>
      <c r="C1349" s="2">
        <f t="shared" ca="1" si="5"/>
        <v>9.4556606184512861E-3</v>
      </c>
    </row>
    <row r="1350" spans="1:3">
      <c r="A1350" s="3">
        <f ca="1">IFERROR(__xludf.UNSUPPORTED("""COMPUTED_VALUE"""),45422.6666666666)</f>
        <v>45422.666666666599</v>
      </c>
      <c r="B1350" s="1">
        <f ca="1">IFERROR(__xludf.UNSUPPORTED("""COMPUTED_VALUE"""),198.77)</f>
        <v>198.77</v>
      </c>
      <c r="C1350" s="2">
        <f t="shared" ca="1" si="5"/>
        <v>6.4303797468354944E-3</v>
      </c>
    </row>
    <row r="1351" spans="1:3">
      <c r="A1351" s="3">
        <f ca="1">IFERROR(__xludf.UNSUPPORTED("""COMPUTED_VALUE"""),45425.6666666666)</f>
        <v>45425.666666666599</v>
      </c>
      <c r="B1351" s="1">
        <f ca="1">IFERROR(__xludf.UNSUPPORTED("""COMPUTED_VALUE"""),198.73)</f>
        <v>198.73</v>
      </c>
      <c r="C1351" s="2">
        <f t="shared" ca="1" si="5"/>
        <v>-2.012376113096567E-4</v>
      </c>
    </row>
    <row r="1352" spans="1:3">
      <c r="A1352" s="3">
        <f ca="1">IFERROR(__xludf.UNSUPPORTED("""COMPUTED_VALUE"""),45426.6666666666)</f>
        <v>45426.666666666599</v>
      </c>
      <c r="B1352" s="1">
        <f ca="1">IFERROR(__xludf.UNSUPPORTED("""COMPUTED_VALUE"""),201.51)</f>
        <v>201.51</v>
      </c>
      <c r="C1352" s="2">
        <f t="shared" ca="1" si="5"/>
        <v>1.3988829064559963E-2</v>
      </c>
    </row>
    <row r="1353" spans="1:3">
      <c r="A1353" s="3">
        <f ca="1">IFERROR(__xludf.UNSUPPORTED("""COMPUTED_VALUE"""),45427.6666666666)</f>
        <v>45427.666666666599</v>
      </c>
      <c r="B1353" s="1">
        <f ca="1">IFERROR(__xludf.UNSUPPORTED("""COMPUTED_VALUE"""),202.11)</f>
        <v>202.11</v>
      </c>
      <c r="C1353" s="2">
        <f t="shared" ca="1" si="5"/>
        <v>2.977519726068298E-3</v>
      </c>
    </row>
    <row r="1354" spans="1:3">
      <c r="A1354" s="3">
        <f ca="1">IFERROR(__xludf.UNSUPPORTED("""COMPUTED_VALUE"""),45428.6666666666)</f>
        <v>45428.666666666599</v>
      </c>
      <c r="B1354" s="1">
        <f ca="1">IFERROR(__xludf.UNSUPPORTED("""COMPUTED_VALUE"""),202.47)</f>
        <v>202.47</v>
      </c>
      <c r="C1354" s="2">
        <f t="shared" ca="1" si="5"/>
        <v>1.7812082529314987E-3</v>
      </c>
    </row>
    <row r="1355" spans="1:3">
      <c r="A1355" s="3">
        <f ca="1">IFERROR(__xludf.UNSUPPORTED("""COMPUTED_VALUE"""),45429.6666666666)</f>
        <v>45429.666666666599</v>
      </c>
      <c r="B1355" s="1">
        <f ca="1">IFERROR(__xludf.UNSUPPORTED("""COMPUTED_VALUE"""),204.79)</f>
        <v>204.79</v>
      </c>
      <c r="C1355" s="2">
        <f t="shared" ca="1" si="5"/>
        <v>1.1458487677186709E-2</v>
      </c>
    </row>
    <row r="1356" spans="1:3">
      <c r="A1356" s="3">
        <f ca="1">IFERROR(__xludf.UNSUPPORTED("""COMPUTED_VALUE"""),45432.6666666666)</f>
        <v>45432.666666666599</v>
      </c>
      <c r="B1356" s="1">
        <f ca="1">IFERROR(__xludf.UNSUPPORTED("""COMPUTED_VALUE"""),195.58)</f>
        <v>195.58</v>
      </c>
      <c r="C1356" s="2">
        <f t="shared" ca="1" si="5"/>
        <v>-4.4972899067337174E-2</v>
      </c>
    </row>
    <row r="1357" spans="1:3">
      <c r="A1357" s="3">
        <f ca="1">IFERROR(__xludf.UNSUPPORTED("""COMPUTED_VALUE"""),45433.6666666666)</f>
        <v>45433.666666666599</v>
      </c>
      <c r="B1357" s="1">
        <f ca="1">IFERROR(__xludf.UNSUPPORTED("""COMPUTED_VALUE"""),199.52)</f>
        <v>199.52</v>
      </c>
      <c r="C1357" s="2">
        <f t="shared" ca="1" si="5"/>
        <v>2.0145209121587061E-2</v>
      </c>
    </row>
    <row r="1358" spans="1:3">
      <c r="A1358" s="3">
        <f ca="1">IFERROR(__xludf.UNSUPPORTED("""COMPUTED_VALUE"""),45434.6666666666)</f>
        <v>45434.666666666599</v>
      </c>
      <c r="B1358" s="1">
        <f ca="1">IFERROR(__xludf.UNSUPPORTED("""COMPUTED_VALUE"""),198.31)</f>
        <v>198.31</v>
      </c>
      <c r="C1358" s="2">
        <f t="shared" ca="1" si="5"/>
        <v>-6.0645549318364472E-3</v>
      </c>
    </row>
    <row r="1359" spans="1:3">
      <c r="A1359" s="3">
        <f ca="1">IFERROR(__xludf.UNSUPPORTED("""COMPUTED_VALUE"""),45435.6666666666)</f>
        <v>45435.666666666599</v>
      </c>
      <c r="B1359" s="1">
        <f ca="1">IFERROR(__xludf.UNSUPPORTED("""COMPUTED_VALUE"""),196.92)</f>
        <v>196.92</v>
      </c>
      <c r="C1359" s="2">
        <f t="shared" ca="1" si="5"/>
        <v>-7.0092279764006598E-3</v>
      </c>
    </row>
    <row r="1360" spans="1:3">
      <c r="A1360" s="3">
        <f ca="1">IFERROR(__xludf.UNSUPPORTED("""COMPUTED_VALUE"""),45436.6666666666)</f>
        <v>45436.666666666599</v>
      </c>
      <c r="B1360" s="1">
        <f ca="1">IFERROR(__xludf.UNSUPPORTED("""COMPUTED_VALUE"""),200.71)</f>
        <v>200.71</v>
      </c>
      <c r="C1360" s="2">
        <f t="shared" ca="1" si="5"/>
        <v>1.9246394474913775E-2</v>
      </c>
    </row>
    <row r="1361" spans="1:3">
      <c r="A1361" s="3">
        <f ca="1">IFERROR(__xludf.UNSUPPORTED("""COMPUTED_VALUE"""),45440.6666666666)</f>
        <v>45440.666666666599</v>
      </c>
      <c r="B1361" s="1">
        <f ca="1">IFERROR(__xludf.UNSUPPORTED("""COMPUTED_VALUE"""),199.5)</f>
        <v>199.5</v>
      </c>
      <c r="C1361" s="2">
        <f t="shared" ca="1" si="5"/>
        <v>-6.0285984754123254E-3</v>
      </c>
    </row>
    <row r="1362" spans="1:3">
      <c r="A1362" s="3">
        <f ca="1">IFERROR(__xludf.UNSUPPORTED("""COMPUTED_VALUE"""),45441.6666666666)</f>
        <v>45441.666666666599</v>
      </c>
      <c r="B1362" s="1">
        <f ca="1">IFERROR(__xludf.UNSUPPORTED("""COMPUTED_VALUE"""),198.11)</f>
        <v>198.11</v>
      </c>
      <c r="C1362" s="2">
        <f t="shared" ca="1" si="5"/>
        <v>-6.9674185463658462E-3</v>
      </c>
    </row>
    <row r="1363" spans="1:3">
      <c r="A1363" s="3">
        <f ca="1">IFERROR(__xludf.UNSUPPORTED("""COMPUTED_VALUE"""),45442.6666666666)</f>
        <v>45442.666666666599</v>
      </c>
      <c r="B1363" s="1">
        <f ca="1">IFERROR(__xludf.UNSUPPORTED("""COMPUTED_VALUE"""),199.33)</f>
        <v>199.33</v>
      </c>
      <c r="C1363" s="2">
        <f t="shared" ca="1" si="5"/>
        <v>6.1581949422038198E-3</v>
      </c>
    </row>
    <row r="1364" spans="1:3">
      <c r="A1364" s="3">
        <f ca="1">IFERROR(__xludf.UNSUPPORTED("""COMPUTED_VALUE"""),45443.6666666666)</f>
        <v>45443.666666666599</v>
      </c>
      <c r="B1364" s="1">
        <f ca="1">IFERROR(__xludf.UNSUPPORTED("""COMPUTED_VALUE"""),202.63)</f>
        <v>202.63</v>
      </c>
      <c r="C1364" s="2">
        <f t="shared" ca="1" si="5"/>
        <v>1.6555460793658671E-2</v>
      </c>
    </row>
    <row r="1365" spans="1:3">
      <c r="A1365" s="3">
        <f ca="1">IFERROR(__xludf.UNSUPPORTED("""COMPUTED_VALUE"""),45446.6666666666)</f>
        <v>45446.666666666599</v>
      </c>
      <c r="B1365" s="1">
        <f ca="1">IFERROR(__xludf.UNSUPPORTED("""COMPUTED_VALUE"""),201.82)</f>
        <v>201.82</v>
      </c>
      <c r="C1365" s="2">
        <f t="shared" ca="1" si="5"/>
        <v>-3.9974337462369948E-3</v>
      </c>
    </row>
    <row r="1366" spans="1:3">
      <c r="A1366" s="3">
        <f ca="1">IFERROR(__xludf.UNSUPPORTED("""COMPUTED_VALUE"""),45447.6666666666)</f>
        <v>45447.666666666599</v>
      </c>
      <c r="B1366" s="1">
        <f ca="1">IFERROR(__xludf.UNSUPPORTED("""COMPUTED_VALUE"""),199.16)</f>
        <v>199.16</v>
      </c>
      <c r="C1366" s="2">
        <f t="shared" ca="1" si="5"/>
        <v>-1.3180061440887904E-2</v>
      </c>
    </row>
    <row r="1367" spans="1:3">
      <c r="A1367" s="3">
        <f ca="1">IFERROR(__xludf.UNSUPPORTED("""COMPUTED_VALUE"""),45448.6666666666)</f>
        <v>45448.666666666599</v>
      </c>
      <c r="B1367" s="1">
        <f ca="1">IFERROR(__xludf.UNSUPPORTED("""COMPUTED_VALUE"""),197.26)</f>
        <v>197.26</v>
      </c>
      <c r="C1367" s="2">
        <f t="shared" ca="1" si="5"/>
        <v>-9.5400682868046083E-3</v>
      </c>
    </row>
    <row r="1368" spans="1:3">
      <c r="A1368" s="3">
        <f ca="1">IFERROR(__xludf.UNSUPPORTED("""COMPUTED_VALUE"""),45449.6666666666)</f>
        <v>45449.666666666599</v>
      </c>
      <c r="B1368" s="1">
        <f ca="1">IFERROR(__xludf.UNSUPPORTED("""COMPUTED_VALUE"""),196.91)</f>
        <v>196.91</v>
      </c>
      <c r="C1368" s="2">
        <f t="shared" ca="1" si="5"/>
        <v>-1.7743080198722211E-3</v>
      </c>
    </row>
    <row r="1369" spans="1:3">
      <c r="A1369" s="3">
        <f ca="1">IFERROR(__xludf.UNSUPPORTED("""COMPUTED_VALUE"""),45450.6666666666)</f>
        <v>45450.666666666599</v>
      </c>
      <c r="B1369" s="1">
        <f ca="1">IFERROR(__xludf.UNSUPPORTED("""COMPUTED_VALUE"""),199.95)</f>
        <v>199.95</v>
      </c>
      <c r="C1369" s="2">
        <f t="shared" ca="1" si="5"/>
        <v>1.5438525214564989E-2</v>
      </c>
    </row>
    <row r="1370" spans="1:3">
      <c r="A1370" s="3">
        <f ca="1">IFERROR(__xludf.UNSUPPORTED("""COMPUTED_VALUE"""),45453.6666666666)</f>
        <v>45453.666666666599</v>
      </c>
      <c r="B1370" s="1">
        <f ca="1">IFERROR(__xludf.UNSUPPORTED("""COMPUTED_VALUE"""),199.61)</f>
        <v>199.61</v>
      </c>
      <c r="C1370" s="2">
        <f t="shared" ca="1" si="5"/>
        <v>-1.7004251062764442E-3</v>
      </c>
    </row>
    <row r="1371" spans="1:3">
      <c r="A1371" s="3">
        <f ca="1">IFERROR(__xludf.UNSUPPORTED("""COMPUTED_VALUE"""),45454.6666666666)</f>
        <v>45454.666666666599</v>
      </c>
      <c r="B1371" s="1">
        <f ca="1">IFERROR(__xludf.UNSUPPORTED("""COMPUTED_VALUE"""),194.36)</f>
        <v>194.36</v>
      </c>
      <c r="C1371" s="2">
        <f t="shared" ca="1" si="5"/>
        <v>-2.6301287510645758E-2</v>
      </c>
    </row>
    <row r="1372" spans="1:3">
      <c r="A1372" s="3">
        <f ca="1">IFERROR(__xludf.UNSUPPORTED("""COMPUTED_VALUE"""),45455.6666666666)</f>
        <v>45455.666666666599</v>
      </c>
      <c r="B1372" s="1">
        <f ca="1">IFERROR(__xludf.UNSUPPORTED("""COMPUTED_VALUE"""),191.53)</f>
        <v>191.53</v>
      </c>
      <c r="C1372" s="2">
        <f t="shared" ca="1" si="5"/>
        <v>-1.4560609178843447E-2</v>
      </c>
    </row>
    <row r="1373" spans="1:3">
      <c r="A1373" s="3">
        <f ca="1">IFERROR(__xludf.UNSUPPORTED("""COMPUTED_VALUE"""),45456.6666666666)</f>
        <v>45456.666666666599</v>
      </c>
      <c r="B1373" s="1">
        <f ca="1">IFERROR(__xludf.UNSUPPORTED("""COMPUTED_VALUE"""),193.66)</f>
        <v>193.66</v>
      </c>
      <c r="C1373" s="2">
        <f t="shared" ca="1" si="5"/>
        <v>1.1120973215684202E-2</v>
      </c>
    </row>
    <row r="1374" spans="1:3">
      <c r="A1374" s="3">
        <f ca="1">IFERROR(__xludf.UNSUPPORTED("""COMPUTED_VALUE"""),45457.6666666666)</f>
        <v>45457.666666666599</v>
      </c>
      <c r="B1374" s="1">
        <f ca="1">IFERROR(__xludf.UNSUPPORTED("""COMPUTED_VALUE"""),193.78)</f>
        <v>193.78</v>
      </c>
      <c r="C1374" s="2">
        <f t="shared" ca="1" si="5"/>
        <v>6.1964267272541856E-4</v>
      </c>
    </row>
    <row r="1375" spans="1:3">
      <c r="A1375" s="3">
        <f ca="1">IFERROR(__xludf.UNSUPPORTED("""COMPUTED_VALUE"""),45460.6666666666)</f>
        <v>45460.666666666599</v>
      </c>
      <c r="B1375" s="1">
        <f ca="1">IFERROR(__xludf.UNSUPPORTED("""COMPUTED_VALUE"""),194.98)</f>
        <v>194.98</v>
      </c>
      <c r="C1375" s="2">
        <f t="shared" ca="1" si="5"/>
        <v>6.1925895345236277E-3</v>
      </c>
    </row>
    <row r="1376" spans="1:3">
      <c r="A1376" s="3">
        <f ca="1">IFERROR(__xludf.UNSUPPORTED("""COMPUTED_VALUE"""),45461.6666666666)</f>
        <v>45461.666666666599</v>
      </c>
      <c r="B1376" s="1">
        <f ca="1">IFERROR(__xludf.UNSUPPORTED("""COMPUTED_VALUE"""),197)</f>
        <v>197</v>
      </c>
      <c r="C1376" s="2">
        <f t="shared" ca="1" si="5"/>
        <v>1.0360036926864347E-2</v>
      </c>
    </row>
    <row r="1377" spans="1:3">
      <c r="A1377" s="3">
        <f ca="1">IFERROR(__xludf.UNSUPPORTED("""COMPUTED_VALUE"""),45463.6666666666)</f>
        <v>45463.666666666599</v>
      </c>
      <c r="B1377" s="1">
        <f ca="1">IFERROR(__xludf.UNSUPPORTED("""COMPUTED_VALUE"""),198.67)</f>
        <v>198.67</v>
      </c>
      <c r="C1377" s="2">
        <f t="shared" ca="1" si="5"/>
        <v>8.4771573604060287E-3</v>
      </c>
    </row>
    <row r="1378" spans="1:3">
      <c r="A1378" s="3">
        <f ca="1">IFERROR(__xludf.UNSUPPORTED("""COMPUTED_VALUE"""),45464.6666666666)</f>
        <v>45464.666666666599</v>
      </c>
      <c r="B1378" s="1">
        <f ca="1">IFERROR(__xludf.UNSUPPORTED("""COMPUTED_VALUE"""),196.3)</f>
        <v>196.3</v>
      </c>
      <c r="C1378" s="2">
        <f t="shared" ca="1" si="5"/>
        <v>-1.1929330044797787E-2</v>
      </c>
    </row>
    <row r="1379" spans="1:3">
      <c r="A1379" s="3">
        <f ca="1">IFERROR(__xludf.UNSUPPORTED("""COMPUTED_VALUE"""),45467.6666666666)</f>
        <v>45467.666666666599</v>
      </c>
      <c r="B1379" s="1">
        <f ca="1">IFERROR(__xludf.UNSUPPORTED("""COMPUTED_VALUE"""),198.88)</f>
        <v>198.88</v>
      </c>
      <c r="C1379" s="2">
        <f t="shared" ca="1" si="5"/>
        <v>1.3143148242485908E-2</v>
      </c>
    </row>
    <row r="1380" spans="1:3">
      <c r="A1380" s="3">
        <f ca="1">IFERROR(__xludf.UNSUPPORTED("""COMPUTED_VALUE"""),45468.6666666666)</f>
        <v>45468.666666666599</v>
      </c>
      <c r="B1380" s="1">
        <f ca="1">IFERROR(__xludf.UNSUPPORTED("""COMPUTED_VALUE"""),198.07)</f>
        <v>198.07</v>
      </c>
      <c r="C1380" s="2">
        <f t="shared" ca="1" si="5"/>
        <v>-4.0728077232502127E-3</v>
      </c>
    </row>
    <row r="1381" spans="1:3">
      <c r="A1381" s="3">
        <f ca="1">IFERROR(__xludf.UNSUPPORTED("""COMPUTED_VALUE"""),45469.6666666666)</f>
        <v>45469.666666666599</v>
      </c>
      <c r="B1381" s="1">
        <f ca="1">IFERROR(__xludf.UNSUPPORTED("""COMPUTED_VALUE"""),197.43)</f>
        <v>197.43</v>
      </c>
      <c r="C1381" s="2">
        <f t="shared" ca="1" si="5"/>
        <v>-3.2311808956428855E-3</v>
      </c>
    </row>
    <row r="1382" spans="1:3">
      <c r="A1382" s="3">
        <f ca="1">IFERROR(__xludf.UNSUPPORTED("""COMPUTED_VALUE"""),45470.6666666666)</f>
        <v>45470.666666666599</v>
      </c>
      <c r="B1382" s="1">
        <f ca="1">IFERROR(__xludf.UNSUPPORTED("""COMPUTED_VALUE"""),199.17)</f>
        <v>199.17</v>
      </c>
      <c r="C1382" s="2">
        <f t="shared" ca="1" si="5"/>
        <v>8.8132502659169359E-3</v>
      </c>
    </row>
    <row r="1383" spans="1:3">
      <c r="A1383" s="3">
        <f ca="1">IFERROR(__xludf.UNSUPPORTED("""COMPUTED_VALUE"""),45471.6666666666)</f>
        <v>45471.666666666599</v>
      </c>
      <c r="B1383" s="1">
        <f ca="1">IFERROR(__xludf.UNSUPPORTED("""COMPUTED_VALUE"""),202.26)</f>
        <v>202.26</v>
      </c>
      <c r="C1383" s="2">
        <f t="shared" ca="1" si="5"/>
        <v>1.5514384696490453E-2</v>
      </c>
    </row>
    <row r="1384" spans="1:3">
      <c r="A1384" s="3">
        <f ca="1">IFERROR(__xludf.UNSUPPORTED("""COMPUTED_VALUE"""),45474.6666666666)</f>
        <v>45474.666666666599</v>
      </c>
      <c r="B1384" s="1">
        <f ca="1">IFERROR(__xludf.UNSUPPORTED("""COMPUTED_VALUE"""),205.45)</f>
        <v>205.45</v>
      </c>
      <c r="C1384" s="2">
        <f t="shared" ca="1" si="5"/>
        <v>1.5771778898447532E-2</v>
      </c>
    </row>
    <row r="1385" spans="1:3">
      <c r="A1385" s="3">
        <f ca="1">IFERROR(__xludf.UNSUPPORTED("""COMPUTED_VALUE"""),45475.6666666666)</f>
        <v>45475.666666666599</v>
      </c>
      <c r="B1385" s="1">
        <f ca="1">IFERROR(__xludf.UNSUPPORTED("""COMPUTED_VALUE"""),208.83)</f>
        <v>208.83</v>
      </c>
      <c r="C1385" s="2">
        <f t="shared" ca="1" si="5"/>
        <v>1.645169140910209E-2</v>
      </c>
    </row>
    <row r="1386" spans="1:3">
      <c r="A1386" s="3">
        <f ca="1">IFERROR(__xludf.UNSUPPORTED("""COMPUTED_VALUE"""),45476.5416666666)</f>
        <v>45476.541666666599</v>
      </c>
      <c r="B1386" s="1">
        <f ca="1">IFERROR(__xludf.UNSUPPORTED("""COMPUTED_VALUE"""),208.69)</f>
        <v>208.69</v>
      </c>
      <c r="C1386" s="2">
        <f t="shared" ca="1" si="5"/>
        <v>-6.7040176219898854E-4</v>
      </c>
    </row>
    <row r="1387" spans="1:3">
      <c r="A1387" s="3">
        <f ca="1">IFERROR(__xludf.UNSUPPORTED("""COMPUTED_VALUE"""),45478.6666666666)</f>
        <v>45478.666666666599</v>
      </c>
      <c r="B1387" s="1">
        <f ca="1">IFERROR(__xludf.UNSUPPORTED("""COMPUTED_VALUE"""),204.79)</f>
        <v>204.79</v>
      </c>
      <c r="C1387" s="2">
        <f t="shared" ca="1" si="5"/>
        <v>-1.8688006133499475E-2</v>
      </c>
    </row>
    <row r="1388" spans="1:3">
      <c r="A1388" s="3">
        <f ca="1">IFERROR(__xludf.UNSUPPORTED("""COMPUTED_VALUE"""),45481.6666666666)</f>
        <v>45481.666666666599</v>
      </c>
      <c r="B1388" s="1">
        <f ca="1">IFERROR(__xludf.UNSUPPORTED("""COMPUTED_VALUE"""),205.17)</f>
        <v>205.17</v>
      </c>
      <c r="C1388" s="2">
        <f t="shared" ca="1" si="5"/>
        <v>1.8555593534840347E-3</v>
      </c>
    </row>
    <row r="1389" spans="1:3">
      <c r="A1389" s="3">
        <f ca="1">IFERROR(__xludf.UNSUPPORTED("""COMPUTED_VALUE"""),45482.6666666666)</f>
        <v>45482.666666666599</v>
      </c>
      <c r="B1389" s="1">
        <f ca="1">IFERROR(__xludf.UNSUPPORTED("""COMPUTED_VALUE"""),207.63)</f>
        <v>207.63</v>
      </c>
      <c r="C1389" s="2">
        <f t="shared" ca="1" si="5"/>
        <v>1.1990057025881016E-2</v>
      </c>
    </row>
    <row r="1390" spans="1:3">
      <c r="A1390" s="3">
        <f ca="1">IFERROR(__xludf.UNSUPPORTED("""COMPUTED_VALUE"""),45483.6666666666)</f>
        <v>45483.666666666599</v>
      </c>
      <c r="B1390" s="1">
        <f ca="1">IFERROR(__xludf.UNSUPPORTED("""COMPUTED_VALUE"""),207.8)</f>
        <v>207.8</v>
      </c>
      <c r="C1390" s="2">
        <f t="shared" ca="1" si="5"/>
        <v>8.18764147762924E-4</v>
      </c>
    </row>
    <row r="1391" spans="1:3">
      <c r="A1391" s="3">
        <f ca="1">IFERROR(__xludf.UNSUPPORTED("""COMPUTED_VALUE"""),45484.6666666666)</f>
        <v>45484.666666666599</v>
      </c>
      <c r="B1391" s="1">
        <f ca="1">IFERROR(__xludf.UNSUPPORTED("""COMPUTED_VALUE"""),207.45)</f>
        <v>207.45</v>
      </c>
      <c r="C1391" s="2">
        <f t="shared" ca="1" si="5"/>
        <v>-1.6843118383061729E-3</v>
      </c>
    </row>
    <row r="1392" spans="1:3">
      <c r="A1392" s="3">
        <f ca="1">IFERROR(__xludf.UNSUPPORTED("""COMPUTED_VALUE"""),45485.6666666666)</f>
        <v>45485.666666666599</v>
      </c>
      <c r="B1392" s="1">
        <f ca="1">IFERROR(__xludf.UNSUPPORTED("""COMPUTED_VALUE"""),204.94)</f>
        <v>204.94</v>
      </c>
      <c r="C1392" s="2">
        <f t="shared" ca="1" si="5"/>
        <v>-1.2099301036394269E-2</v>
      </c>
    </row>
    <row r="1393" spans="1:3">
      <c r="A1393" s="3">
        <f ca="1">IFERROR(__xludf.UNSUPPORTED("""COMPUTED_VALUE"""),45488.6666666666)</f>
        <v>45488.666666666599</v>
      </c>
      <c r="B1393" s="1">
        <f ca="1">IFERROR(__xludf.UNSUPPORTED("""COMPUTED_VALUE"""),210.05)</f>
        <v>210.05</v>
      </c>
      <c r="C1393" s="2">
        <f t="shared" ca="1" si="5"/>
        <v>2.4934127061579065E-2</v>
      </c>
    </row>
    <row r="1394" spans="1:3">
      <c r="A1394" s="3">
        <f ca="1">IFERROR(__xludf.UNSUPPORTED("""COMPUTED_VALUE"""),45489.6666666666)</f>
        <v>45489.666666666599</v>
      </c>
      <c r="B1394" s="1">
        <f ca="1">IFERROR(__xludf.UNSUPPORTED("""COMPUTED_VALUE"""),213.62)</f>
        <v>213.62</v>
      </c>
      <c r="C1394" s="2">
        <f t="shared" ca="1" si="5"/>
        <v>1.6995953344441764E-2</v>
      </c>
    </row>
    <row r="1395" spans="1:3">
      <c r="A1395" s="3">
        <f ca="1">IFERROR(__xludf.UNSUPPORTED("""COMPUTED_VALUE"""),45490.6666666666)</f>
        <v>45490.666666666599</v>
      </c>
      <c r="B1395" s="1">
        <f ca="1">IFERROR(__xludf.UNSUPPORTED("""COMPUTED_VALUE"""),216.87)</f>
        <v>216.87</v>
      </c>
      <c r="C1395" s="2">
        <f t="shared" ca="1" si="5"/>
        <v>1.5213931279842711E-2</v>
      </c>
    </row>
    <row r="1396" spans="1:3">
      <c r="A1396" s="3">
        <f ca="1">IFERROR(__xludf.UNSUPPORTED("""COMPUTED_VALUE"""),45491.6666666666)</f>
        <v>45491.666666666599</v>
      </c>
      <c r="B1396" s="1">
        <f ca="1">IFERROR(__xludf.UNSUPPORTED("""COMPUTED_VALUE"""),209.98)</f>
        <v>209.98</v>
      </c>
      <c r="C1396" s="2">
        <f t="shared" ca="1" si="5"/>
        <v>-3.1770184903398418E-2</v>
      </c>
    </row>
    <row r="1397" spans="1:3">
      <c r="A1397" s="3">
        <f ca="1">IFERROR(__xludf.UNSUPPORTED("""COMPUTED_VALUE"""),45492.6666666666)</f>
        <v>45492.666666666599</v>
      </c>
      <c r="B1397" s="1">
        <f ca="1">IFERROR(__xludf.UNSUPPORTED("""COMPUTED_VALUE"""),209.78)</f>
        <v>209.78</v>
      </c>
      <c r="C1397" s="2">
        <f t="shared" ca="1" si="5"/>
        <v>-9.5247166396794289E-4</v>
      </c>
    </row>
    <row r="1398" spans="1:3">
      <c r="A1398" s="3">
        <f ca="1">IFERROR(__xludf.UNSUPPORTED("""COMPUTED_VALUE"""),45495.6666666666)</f>
        <v>45495.666666666599</v>
      </c>
      <c r="B1398" s="1">
        <f ca="1">IFERROR(__xludf.UNSUPPORTED("""COMPUTED_VALUE"""),210.28)</f>
        <v>210.28</v>
      </c>
      <c r="C1398" s="2">
        <f t="shared" ca="1" si="5"/>
        <v>2.3834493278672895E-3</v>
      </c>
    </row>
    <row r="1399" spans="1:3">
      <c r="A1399" s="3">
        <f ca="1">IFERROR(__xludf.UNSUPPORTED("""COMPUTED_VALUE"""),45496.6666666666)</f>
        <v>45496.666666666599</v>
      </c>
      <c r="B1399" s="1">
        <f ca="1">IFERROR(__xludf.UNSUPPORTED("""COMPUTED_VALUE"""),210.33)</f>
        <v>210.33</v>
      </c>
      <c r="C1399" s="2">
        <f t="shared" ca="1" si="5"/>
        <v>2.3777820049463271E-4</v>
      </c>
    </row>
    <row r="1400" spans="1:3">
      <c r="A1400" s="3">
        <f ca="1">IFERROR(__xludf.UNSUPPORTED("""COMPUTED_VALUE"""),45497.6666666666)</f>
        <v>45497.666666666599</v>
      </c>
      <c r="B1400" s="1">
        <f ca="1">IFERROR(__xludf.UNSUPPORTED("""COMPUTED_VALUE"""),208.59)</f>
        <v>208.59</v>
      </c>
      <c r="C1400" s="2">
        <f t="shared" ca="1" si="5"/>
        <v>-8.2727143060904729E-3</v>
      </c>
    </row>
    <row r="1401" spans="1:3">
      <c r="A1401" s="3">
        <f ca="1">IFERROR(__xludf.UNSUPPORTED("""COMPUTED_VALUE"""),45498.6666666666)</f>
        <v>45498.666666666599</v>
      </c>
      <c r="B1401" s="1">
        <f ca="1">IFERROR(__xludf.UNSUPPORTED("""COMPUTED_VALUE"""),208.67)</f>
        <v>208.67</v>
      </c>
      <c r="C1401" s="2">
        <f t="shared" ca="1" si="5"/>
        <v>3.8352749412715894E-4</v>
      </c>
    </row>
    <row r="1402" spans="1:3">
      <c r="A1402" s="3">
        <f ca="1">IFERROR(__xludf.UNSUPPORTED("""COMPUTED_VALUE"""),45499.6666666666)</f>
        <v>45499.666666666599</v>
      </c>
      <c r="B1402" s="1">
        <f ca="1">IFERROR(__xludf.UNSUPPORTED("""COMPUTED_VALUE"""),212.24)</f>
        <v>212.24</v>
      </c>
      <c r="C1402" s="2">
        <f t="shared" ca="1" si="5"/>
        <v>1.7108352901710939E-2</v>
      </c>
    </row>
    <row r="1403" spans="1:3">
      <c r="A1403" s="3">
        <f ca="1">IFERROR(__xludf.UNSUPPORTED("""COMPUTED_VALUE"""),45502.6666666666)</f>
        <v>45502.666666666599</v>
      </c>
      <c r="B1403" s="1">
        <f ca="1">IFERROR(__xludf.UNSUPPORTED("""COMPUTED_VALUE"""),210.85)</f>
        <v>210.85</v>
      </c>
      <c r="C1403" s="2">
        <f t="shared" ca="1" si="5"/>
        <v>-6.5491895966830697E-3</v>
      </c>
    </row>
    <row r="1404" spans="1:3">
      <c r="A1404" s="3">
        <f ca="1">IFERROR(__xludf.UNSUPPORTED("""COMPUTED_VALUE"""),45503.6666666666)</f>
        <v>45503.666666666599</v>
      </c>
      <c r="B1404" s="1">
        <f ca="1">IFERROR(__xludf.UNSUPPORTED("""COMPUTED_VALUE"""),215.19)</f>
        <v>215.19</v>
      </c>
      <c r="C1404" s="2">
        <f t="shared" ca="1" si="5"/>
        <v>2.0583353094617042E-2</v>
      </c>
    </row>
    <row r="1405" spans="1:3">
      <c r="A1405" s="3">
        <f ca="1">IFERROR(__xludf.UNSUPPORTED("""COMPUTED_VALUE"""),45504.6666666666)</f>
        <v>45504.666666666599</v>
      </c>
      <c r="B1405" s="1">
        <f ca="1">IFERROR(__xludf.UNSUPPORTED("""COMPUTED_VALUE"""),212.8)</f>
        <v>212.8</v>
      </c>
      <c r="C1405" s="2">
        <f t="shared" ca="1" si="5"/>
        <v>-1.1106464055021081E-2</v>
      </c>
    </row>
    <row r="1406" spans="1:3">
      <c r="A1406" s="3">
        <f ca="1">IFERROR(__xludf.UNSUPPORTED("""COMPUTED_VALUE"""),45505.6666666666)</f>
        <v>45505.666666666599</v>
      </c>
      <c r="B1406" s="1">
        <f ca="1">IFERROR(__xludf.UNSUPPORTED("""COMPUTED_VALUE"""),207.96)</f>
        <v>207.96</v>
      </c>
      <c r="C1406" s="2">
        <f t="shared" ca="1" si="5"/>
        <v>-2.2744360902255654E-2</v>
      </c>
    </row>
    <row r="1407" spans="1:3">
      <c r="A1407" s="3">
        <f ca="1">IFERROR(__xludf.UNSUPPORTED("""COMPUTED_VALUE"""),45506.6666666666)</f>
        <v>45506.666666666599</v>
      </c>
      <c r="B1407" s="1">
        <f ca="1">IFERROR(__xludf.UNSUPPORTED("""COMPUTED_VALUE"""),199.14)</f>
        <v>199.14</v>
      </c>
      <c r="C1407" s="2">
        <f t="shared" ca="1" si="5"/>
        <v>-4.2412002308136285E-2</v>
      </c>
    </row>
    <row r="1408" spans="1:3">
      <c r="A1408" s="3">
        <f ca="1">IFERROR(__xludf.UNSUPPORTED("""COMPUTED_VALUE"""),45509.6666666666)</f>
        <v>45509.666666666599</v>
      </c>
      <c r="B1408" s="1">
        <f ca="1">IFERROR(__xludf.UNSUPPORTED("""COMPUTED_VALUE"""),194.9)</f>
        <v>194.9</v>
      </c>
      <c r="C1408" s="2">
        <f t="shared" ca="1" si="5"/>
        <v>-2.1291553680827462E-2</v>
      </c>
    </row>
    <row r="1409" spans="1:3">
      <c r="A1409" s="3">
        <f ca="1">IFERROR(__xludf.UNSUPPORTED("""COMPUTED_VALUE"""),45510.6666666666)</f>
        <v>45510.666666666599</v>
      </c>
      <c r="B1409" s="1">
        <f ca="1">IFERROR(__xludf.UNSUPPORTED("""COMPUTED_VALUE"""),200.34)</f>
        <v>200.34</v>
      </c>
      <c r="C1409" s="2">
        <f t="shared" ca="1" si="5"/>
        <v>2.7911749615187262E-2</v>
      </c>
    </row>
    <row r="1410" spans="1:3">
      <c r="A1410" s="3">
        <f ca="1">IFERROR(__xludf.UNSUPPORTED("""COMPUTED_VALUE"""),45511.6666666666)</f>
        <v>45511.666666666599</v>
      </c>
      <c r="B1410" s="1">
        <f ca="1">IFERROR(__xludf.UNSUPPORTED("""COMPUTED_VALUE"""),200.4)</f>
        <v>200.4</v>
      </c>
      <c r="C1410" s="2">
        <f t="shared" ca="1" si="5"/>
        <v>2.9949086552861272E-4</v>
      </c>
    </row>
    <row r="1411" spans="1:3">
      <c r="A1411" s="3">
        <f ca="1">IFERROR(__xludf.UNSUPPORTED("""COMPUTED_VALUE"""),45512.6666666666)</f>
        <v>45512.666666666599</v>
      </c>
      <c r="B1411" s="1">
        <f ca="1">IFERROR(__xludf.UNSUPPORTED("""COMPUTED_VALUE"""),204.06)</f>
        <v>204.06</v>
      </c>
      <c r="C1411" s="2">
        <f t="shared" ca="1" si="5"/>
        <v>1.8263473053892199E-2</v>
      </c>
    </row>
    <row r="1412" spans="1:3">
      <c r="A1412" s="3">
        <f ca="1">IFERROR(__xludf.UNSUPPORTED("""COMPUTED_VALUE"""),45513.6666666666)</f>
        <v>45513.666666666599</v>
      </c>
      <c r="B1412" s="1">
        <f ca="1">IFERROR(__xludf.UNSUPPORTED("""COMPUTED_VALUE"""),205.8)</f>
        <v>205.8</v>
      </c>
      <c r="C1412" s="2">
        <f t="shared" ca="1" si="5"/>
        <v>8.5269038518083363E-3</v>
      </c>
    </row>
    <row r="1413" spans="1:3">
      <c r="A1413" s="3">
        <f ca="1">IFERROR(__xludf.UNSUPPORTED("""COMPUTED_VALUE"""),45516.6666666666)</f>
        <v>45516.666666666599</v>
      </c>
      <c r="B1413" s="1">
        <f ca="1">IFERROR(__xludf.UNSUPPORTED("""COMPUTED_VALUE"""),206.19)</f>
        <v>206.19</v>
      </c>
      <c r="C1413" s="2">
        <f t="shared" ca="1" si="5"/>
        <v>1.8950437317783592E-3</v>
      </c>
    </row>
    <row r="1414" spans="1:3">
      <c r="A1414" s="3">
        <f ca="1">IFERROR(__xludf.UNSUPPORTED("""COMPUTED_VALUE"""),45517.6666666666)</f>
        <v>45517.666666666599</v>
      </c>
      <c r="B1414" s="1">
        <f ca="1">IFERROR(__xludf.UNSUPPORTED("""COMPUTED_VALUE"""),207.94)</f>
        <v>207.94</v>
      </c>
      <c r="C1414" s="2">
        <f t="shared" ca="1" si="5"/>
        <v>8.4873175226732635E-3</v>
      </c>
    </row>
    <row r="1415" spans="1:3">
      <c r="A1415" s="3">
        <f ca="1">IFERROR(__xludf.UNSUPPORTED("""COMPUTED_VALUE"""),45518.6666666666)</f>
        <v>45518.666666666599</v>
      </c>
      <c r="B1415" s="1">
        <f ca="1">IFERROR(__xludf.UNSUPPORTED("""COMPUTED_VALUE"""),210.24)</f>
        <v>210.24</v>
      </c>
      <c r="C1415" s="2">
        <f t="shared" ca="1" si="5"/>
        <v>1.1060882947003999E-2</v>
      </c>
    </row>
    <row r="1416" spans="1:3">
      <c r="A1416" s="3">
        <f ca="1">IFERROR(__xludf.UNSUPPORTED("""COMPUTED_VALUE"""),45519.6666666666)</f>
        <v>45519.666666666599</v>
      </c>
      <c r="B1416" s="1">
        <f ca="1">IFERROR(__xludf.UNSUPPORTED("""COMPUTED_VALUE"""),211.55)</f>
        <v>211.55</v>
      </c>
      <c r="C1416" s="2">
        <f t="shared" ca="1" si="5"/>
        <v>6.2309741248097522E-3</v>
      </c>
    </row>
    <row r="1417" spans="1:3">
      <c r="A1417" s="3">
        <f ca="1">IFERROR(__xludf.UNSUPPORTED("""COMPUTED_VALUE"""),45520.6666666666)</f>
        <v>45520.666666666599</v>
      </c>
      <c r="B1417" s="1">
        <f ca="1">IFERROR(__xludf.UNSUPPORTED("""COMPUTED_VALUE"""),213.97)</f>
        <v>213.97</v>
      </c>
      <c r="C1417" s="2">
        <f t="shared" ca="1" si="5"/>
        <v>1.1439376034034448E-2</v>
      </c>
    </row>
    <row r="1418" spans="1:3">
      <c r="A1418" s="3">
        <f ca="1">IFERROR(__xludf.UNSUPPORTED("""COMPUTED_VALUE"""),45523.6666666666)</f>
        <v>45523.666666666599</v>
      </c>
      <c r="B1418" s="1">
        <f ca="1">IFERROR(__xludf.UNSUPPORTED("""COMPUTED_VALUE"""),215.45)</f>
        <v>215.45</v>
      </c>
      <c r="C1418" s="2">
        <f t="shared" ca="1" si="5"/>
        <v>6.9168575033882775E-3</v>
      </c>
    </row>
    <row r="1419" spans="1:3">
      <c r="A1419" s="3">
        <f ca="1">IFERROR(__xludf.UNSUPPORTED("""COMPUTED_VALUE"""),45524.6666666666)</f>
        <v>45524.666666666599</v>
      </c>
      <c r="B1419" s="1">
        <f ca="1">IFERROR(__xludf.UNSUPPORTED("""COMPUTED_VALUE"""),214.52)</f>
        <v>214.52</v>
      </c>
      <c r="C1419" s="2">
        <f t="shared" ca="1" si="5"/>
        <v>-4.3165467625898282E-3</v>
      </c>
    </row>
    <row r="1420" spans="1:3">
      <c r="A1420" s="3">
        <f ca="1">IFERROR(__xludf.UNSUPPORTED("""COMPUTED_VALUE"""),45525.6666666666)</f>
        <v>45525.666666666599</v>
      </c>
      <c r="B1420" s="1">
        <f ca="1">IFERROR(__xludf.UNSUPPORTED("""COMPUTED_VALUE"""),214.6)</f>
        <v>214.6</v>
      </c>
      <c r="C1420" s="2">
        <f t="shared" ca="1" si="5"/>
        <v>3.7292560134245795E-4</v>
      </c>
    </row>
    <row r="1421" spans="1:3">
      <c r="A1421" s="3">
        <f ca="1">IFERROR(__xludf.UNSUPPORTED("""COMPUTED_VALUE"""),45526.6666666666)</f>
        <v>45526.666666666599</v>
      </c>
      <c r="B1421" s="1">
        <f ca="1">IFERROR(__xludf.UNSUPPORTED("""COMPUTED_VALUE"""),216.63)</f>
        <v>216.63</v>
      </c>
      <c r="C1421" s="2">
        <f t="shared" ca="1" si="5"/>
        <v>9.4594594594594652E-3</v>
      </c>
    </row>
    <row r="1422" spans="1:3">
      <c r="A1422" s="3">
        <f ca="1">IFERROR(__xludf.UNSUPPORTED("""COMPUTED_VALUE"""),45527.6666666666)</f>
        <v>45527.666666666599</v>
      </c>
      <c r="B1422" s="1">
        <f ca="1">IFERROR(__xludf.UNSUPPORTED("""COMPUTED_VALUE"""),218.31)</f>
        <v>218.31</v>
      </c>
      <c r="C1422" s="2">
        <f t="shared" ca="1" si="5"/>
        <v>7.7551585652956972E-3</v>
      </c>
    </row>
    <row r="1423" spans="1:3">
      <c r="A1423" s="3">
        <f ca="1">IFERROR(__xludf.UNSUPPORTED("""COMPUTED_VALUE"""),45530.6666666666)</f>
        <v>45530.666666666599</v>
      </c>
      <c r="B1423" s="1">
        <f ca="1">IFERROR(__xludf.UNSUPPORTED("""COMPUTED_VALUE"""),219.17)</f>
        <v>219.17</v>
      </c>
      <c r="C1423" s="2">
        <f t="shared" ca="1" si="5"/>
        <v>3.9393522971919986E-3</v>
      </c>
    </row>
    <row r="1424" spans="1:3">
      <c r="A1424" s="3">
        <f ca="1">IFERROR(__xludf.UNSUPPORTED("""COMPUTED_VALUE"""),45531.6666666666)</f>
        <v>45531.666666666599</v>
      </c>
      <c r="B1424" s="1">
        <f ca="1">IFERROR(__xludf.UNSUPPORTED("""COMPUTED_VALUE"""),220.18)</f>
        <v>220.18</v>
      </c>
      <c r="C1424" s="2">
        <f t="shared" ca="1" si="5"/>
        <v>4.6082949308756645E-3</v>
      </c>
    </row>
    <row r="1425" spans="1:3">
      <c r="A1425" s="3">
        <f ca="1">IFERROR(__xludf.UNSUPPORTED("""COMPUTED_VALUE"""),45532.6666666666)</f>
        <v>45532.666666666599</v>
      </c>
      <c r="B1425" s="1">
        <f ca="1">IFERROR(__xludf.UNSUPPORTED("""COMPUTED_VALUE"""),221.29)</f>
        <v>221.29</v>
      </c>
      <c r="C1425" s="2">
        <f t="shared" ca="1" si="5"/>
        <v>5.0413298210554326E-3</v>
      </c>
    </row>
    <row r="1426" spans="1:3">
      <c r="A1426" s="3">
        <f ca="1">IFERROR(__xludf.UNSUPPORTED("""COMPUTED_VALUE"""),45533.6666666666)</f>
        <v>45533.666666666599</v>
      </c>
      <c r="B1426" s="1">
        <f ca="1">IFERROR(__xludf.UNSUPPORTED("""COMPUTED_VALUE"""),222.21)</f>
        <v>222.21</v>
      </c>
      <c r="C1426" s="2">
        <f t="shared" ca="1" si="5"/>
        <v>4.1574404627412716E-3</v>
      </c>
    </row>
    <row r="1427" spans="1:3">
      <c r="A1427" s="3">
        <f ca="1">IFERROR(__xludf.UNSUPPORTED("""COMPUTED_VALUE"""),45534.6666666666)</f>
        <v>45534.666666666599</v>
      </c>
      <c r="B1427" s="1">
        <f ca="1">IFERROR(__xludf.UNSUPPORTED("""COMPUTED_VALUE"""),224.8)</f>
        <v>224.8</v>
      </c>
      <c r="C1427" s="2">
        <f t="shared" ca="1" si="5"/>
        <v>1.1655641060258329E-2</v>
      </c>
    </row>
    <row r="1428" spans="1:3">
      <c r="A1428" s="3">
        <f ca="1">IFERROR(__xludf.UNSUPPORTED("""COMPUTED_VALUE"""),45538.6666666666)</f>
        <v>45538.666666666599</v>
      </c>
      <c r="B1428" s="1">
        <f ca="1">IFERROR(__xludf.UNSUPPORTED("""COMPUTED_VALUE"""),220.3)</f>
        <v>220.3</v>
      </c>
      <c r="C1428" s="2">
        <f t="shared" ca="1" si="5"/>
        <v>-2.0017793594306048E-2</v>
      </c>
    </row>
    <row r="1429" spans="1:3">
      <c r="A1429" s="3">
        <f ca="1">IFERROR(__xludf.UNSUPPORTED("""COMPUTED_VALUE"""),45539.6666666666)</f>
        <v>45539.666666666599</v>
      </c>
      <c r="B1429" s="1">
        <f ca="1">IFERROR(__xludf.UNSUPPORTED("""COMPUTED_VALUE"""),219.33)</f>
        <v>219.33</v>
      </c>
      <c r="C1429" s="2">
        <f t="shared" ca="1" si="5"/>
        <v>-4.4030866999546017E-3</v>
      </c>
    </row>
    <row r="1430" spans="1:3">
      <c r="A1430" s="3">
        <f ca="1">IFERROR(__xludf.UNSUPPORTED("""COMPUTED_VALUE"""),45540.6666666666)</f>
        <v>45540.666666666599</v>
      </c>
      <c r="B1430" s="1">
        <f ca="1">IFERROR(__xludf.UNSUPPORTED("""COMPUTED_VALUE"""),217.63)</f>
        <v>217.63</v>
      </c>
      <c r="C1430" s="2">
        <f t="shared" ca="1" si="5"/>
        <v>-7.7508776729130393E-3</v>
      </c>
    </row>
    <row r="1431" spans="1:3">
      <c r="A1431" s="3">
        <f ca="1">IFERROR(__xludf.UNSUPPORTED("""COMPUTED_VALUE"""),45541.6666666666)</f>
        <v>45541.666666666599</v>
      </c>
      <c r="B1431" s="1">
        <f ca="1">IFERROR(__xludf.UNSUPPORTED("""COMPUTED_VALUE"""),212.46)</f>
        <v>212.46</v>
      </c>
      <c r="C1431" s="2">
        <f t="shared" ca="1" si="5"/>
        <v>-2.3755916004227301E-2</v>
      </c>
    </row>
    <row r="1432" spans="1:3">
      <c r="A1432" s="3">
        <f ca="1">IFERROR(__xludf.UNSUPPORTED("""COMPUTED_VALUE"""),45544.6666666666)</f>
        <v>45544.666666666599</v>
      </c>
      <c r="B1432" s="1">
        <f ca="1">IFERROR(__xludf.UNSUPPORTED("""COMPUTED_VALUE"""),216.81)</f>
        <v>216.81</v>
      </c>
      <c r="C1432" s="2">
        <f t="shared" ca="1" si="5"/>
        <v>2.0474442247952529E-2</v>
      </c>
    </row>
    <row r="1433" spans="1:3">
      <c r="A1433" s="3">
        <f ca="1">IFERROR(__xludf.UNSUPPORTED("""COMPUTED_VALUE"""),45545.6666666666)</f>
        <v>45545.666666666599</v>
      </c>
      <c r="B1433" s="1">
        <f ca="1">IFERROR(__xludf.UNSUPPORTED("""COMPUTED_VALUE"""),205.56)</f>
        <v>205.56</v>
      </c>
      <c r="C1433" s="2">
        <f t="shared" ca="1" si="5"/>
        <v>-5.1888750518887507E-2</v>
      </c>
    </row>
    <row r="1434" spans="1:3">
      <c r="A1434" s="3">
        <f ca="1">IFERROR(__xludf.UNSUPPORTED("""COMPUTED_VALUE"""),45546.6666666666)</f>
        <v>45546.666666666599</v>
      </c>
      <c r="B1434" s="1">
        <f ca="1">IFERROR(__xludf.UNSUPPORTED("""COMPUTED_VALUE"""),207.23)</f>
        <v>207.23</v>
      </c>
      <c r="C1434" s="2">
        <f t="shared" ca="1" si="5"/>
        <v>8.1241486670557868E-3</v>
      </c>
    </row>
    <row r="1435" spans="1:3">
      <c r="A1435" s="3">
        <f ca="1">IFERROR(__xludf.UNSUPPORTED("""COMPUTED_VALUE"""),45547.6666666666)</f>
        <v>45547.666666666599</v>
      </c>
      <c r="B1435" s="1">
        <f ca="1">IFERROR(__xludf.UNSUPPORTED("""COMPUTED_VALUE"""),206.6)</f>
        <v>206.6</v>
      </c>
      <c r="C1435" s="2">
        <f t="shared" ca="1" si="5"/>
        <v>-3.0401003715678013E-3</v>
      </c>
    </row>
    <row r="1436" spans="1:3">
      <c r="A1436" s="3">
        <f ca="1">IFERROR(__xludf.UNSUPPORTED("""COMPUTED_VALUE"""),45548.6666666666)</f>
        <v>45548.666666666599</v>
      </c>
      <c r="B1436" s="1">
        <f ca="1">IFERROR(__xludf.UNSUPPORTED("""COMPUTED_VALUE"""),204.32)</f>
        <v>204.32</v>
      </c>
      <c r="C1436" s="2">
        <f t="shared" ca="1" si="5"/>
        <v>-1.1035818005808331E-2</v>
      </c>
    </row>
    <row r="1437" spans="1:3">
      <c r="A1437" s="3">
        <f ca="1">IFERROR(__xludf.UNSUPPORTED("""COMPUTED_VALUE"""),45551.6666666666)</f>
        <v>45551.666666666599</v>
      </c>
      <c r="B1437" s="1">
        <f ca="1">IFERROR(__xludf.UNSUPPORTED("""COMPUTED_VALUE"""),207.86)</f>
        <v>207.86</v>
      </c>
      <c r="C1437" s="2">
        <f t="shared" ca="1" si="5"/>
        <v>1.7325763508222496E-2</v>
      </c>
    </row>
    <row r="1438" spans="1:3">
      <c r="A1438" s="3">
        <f ca="1">IFERROR(__xludf.UNSUPPORTED("""COMPUTED_VALUE"""),45552.6666666666)</f>
        <v>45552.666666666599</v>
      </c>
      <c r="B1438" s="1">
        <f ca="1">IFERROR(__xludf.UNSUPPORTED("""COMPUTED_VALUE"""),209.25)</f>
        <v>209.25</v>
      </c>
      <c r="C1438" s="2">
        <f t="shared" ca="1" si="5"/>
        <v>6.68719330318477E-3</v>
      </c>
    </row>
    <row r="1439" spans="1:3">
      <c r="A1439" s="3">
        <f ca="1">IFERROR(__xludf.UNSUPPORTED("""COMPUTED_VALUE"""),45553.6666666666)</f>
        <v>45553.666666666599</v>
      </c>
      <c r="B1439" s="1">
        <f ca="1">IFERROR(__xludf.UNSUPPORTED("""COMPUTED_VALUE"""),207.53)</f>
        <v>207.53</v>
      </c>
      <c r="C1439" s="2">
        <f t="shared" ca="1" si="5"/>
        <v>-8.2198327359617636E-3</v>
      </c>
    </row>
    <row r="1440" spans="1:3">
      <c r="A1440" s="3">
        <f ca="1">IFERROR(__xludf.UNSUPPORTED("""COMPUTED_VALUE"""),45554.6666666666)</f>
        <v>45554.666666666599</v>
      </c>
      <c r="B1440" s="1">
        <f ca="1">IFERROR(__xludf.UNSUPPORTED("""COMPUTED_VALUE"""),210.48)</f>
        <v>210.48</v>
      </c>
      <c r="C1440" s="2">
        <f t="shared" ca="1" si="5"/>
        <v>1.4214812316291566E-2</v>
      </c>
    </row>
    <row r="1441" spans="1:3">
      <c r="A1441" s="3">
        <f ca="1">IFERROR(__xludf.UNSUPPORTED("""COMPUTED_VALUE"""),45555.6666666666)</f>
        <v>45555.666666666599</v>
      </c>
      <c r="B1441" s="1">
        <f ca="1">IFERROR(__xludf.UNSUPPORTED("""COMPUTED_VALUE"""),211.09)</f>
        <v>211.09</v>
      </c>
      <c r="C1441" s="2">
        <f t="shared" ca="1" si="5"/>
        <v>2.8981375902699244E-3</v>
      </c>
    </row>
    <row r="1442" spans="1:3">
      <c r="A1442" s="3">
        <f ca="1">IFERROR(__xludf.UNSUPPORTED("""COMPUTED_VALUE"""),45558.6666666666)</f>
        <v>45558.666666666599</v>
      </c>
      <c r="B1442" s="1">
        <f ca="1">IFERROR(__xludf.UNSUPPORTED("""COMPUTED_VALUE"""),211.44)</f>
        <v>211.44</v>
      </c>
      <c r="C1442" s="2">
        <f t="shared" ca="1" si="5"/>
        <v>1.6580605428963679E-3</v>
      </c>
    </row>
    <row r="1443" spans="1:3">
      <c r="A1443" s="3">
        <f ca="1">IFERROR(__xludf.UNSUPPORTED("""COMPUTED_VALUE"""),45559.6666666666)</f>
        <v>45559.666666666599</v>
      </c>
      <c r="B1443" s="1">
        <f ca="1">IFERROR(__xludf.UNSUPPORTED("""COMPUTED_VALUE"""),211.59)</f>
        <v>211.59</v>
      </c>
      <c r="C1443" s="2">
        <f t="shared" ca="1" si="5"/>
        <v>7.0942111237233107E-4</v>
      </c>
    </row>
    <row r="1444" spans="1:3">
      <c r="A1444" s="3">
        <f ca="1">IFERROR(__xludf.UNSUPPORTED("""COMPUTED_VALUE"""),45560.6666666666)</f>
        <v>45560.666666666599</v>
      </c>
      <c r="B1444" s="1">
        <f ca="1">IFERROR(__xludf.UNSUPPORTED("""COMPUTED_VALUE"""),210.19)</f>
        <v>210.19</v>
      </c>
      <c r="C1444" s="2">
        <f t="shared" ca="1" si="5"/>
        <v>-6.6165697811806116E-3</v>
      </c>
    </row>
    <row r="1445" spans="1:3">
      <c r="A1445" s="3">
        <f ca="1">IFERROR(__xludf.UNSUPPORTED("""COMPUTED_VALUE"""),45561.6666666666)</f>
        <v>45561.666666666599</v>
      </c>
      <c r="B1445" s="1">
        <f ca="1">IFERROR(__xludf.UNSUPPORTED("""COMPUTED_VALUE"""),209.78)</f>
        <v>209.78</v>
      </c>
      <c r="C1445" s="2">
        <f t="shared" ca="1" si="5"/>
        <v>-1.9506161092344859E-3</v>
      </c>
    </row>
    <row r="1446" spans="1:3">
      <c r="A1446" s="3">
        <f ca="1">IFERROR(__xludf.UNSUPPORTED("""COMPUTED_VALUE"""),45562.6666666666)</f>
        <v>45562.666666666599</v>
      </c>
      <c r="B1446" s="1">
        <f ca="1">IFERROR(__xludf.UNSUPPORTED("""COMPUTED_VALUE"""),210.5)</f>
        <v>210.5</v>
      </c>
      <c r="C1446" s="2">
        <f t="shared" ca="1" si="5"/>
        <v>3.4321670321288914E-3</v>
      </c>
    </row>
    <row r="1447" spans="1:3">
      <c r="A1447" s="3">
        <f ca="1">IFERROR(__xludf.UNSUPPORTED("""COMPUTED_VALUE"""),45565.6666666666)</f>
        <v>45565.666666666599</v>
      </c>
      <c r="B1447" s="1">
        <f ca="1">IFERROR(__xludf.UNSUPPORTED("""COMPUTED_VALUE"""),210.86)</f>
        <v>210.86</v>
      </c>
      <c r="C1447" s="2">
        <f t="shared" ca="1" si="5"/>
        <v>1.7102137767221551E-3</v>
      </c>
    </row>
    <row r="1448" spans="1:3">
      <c r="A1448" s="3">
        <f ca="1">IFERROR(__xludf.UNSUPPORTED("""COMPUTED_VALUE"""),45566.6666666666)</f>
        <v>45566.666666666599</v>
      </c>
      <c r="B1448" s="1">
        <f ca="1">IFERROR(__xludf.UNSUPPORTED("""COMPUTED_VALUE"""),207.04)</f>
        <v>207.04</v>
      </c>
      <c r="C1448" s="2">
        <f t="shared" ca="1" si="5"/>
        <v>-1.8116285687185912E-2</v>
      </c>
    </row>
    <row r="1449" spans="1:3">
      <c r="A1449" s="3">
        <f ca="1">IFERROR(__xludf.UNSUPPORTED("""COMPUTED_VALUE"""),45567.6666666666)</f>
        <v>45567.666666666599</v>
      </c>
      <c r="B1449" s="1">
        <f ca="1">IFERROR(__xludf.UNSUPPORTED("""COMPUTED_VALUE"""),207.29)</f>
        <v>207.29</v>
      </c>
      <c r="C1449" s="2">
        <f t="shared" ca="1" si="5"/>
        <v>1.2074961360123647E-3</v>
      </c>
    </row>
    <row r="1450" spans="1:3">
      <c r="A1450" s="3">
        <f ca="1">IFERROR(__xludf.UNSUPPORTED("""COMPUTED_VALUE"""),45568.6666666666)</f>
        <v>45568.666666666599</v>
      </c>
      <c r="B1450" s="1">
        <f ca="1">IFERROR(__xludf.UNSUPPORTED("""COMPUTED_VALUE"""),205.23)</f>
        <v>205.23</v>
      </c>
      <c r="C1450" s="2">
        <f t="shared" ca="1" si="5"/>
        <v>-9.9377683438660932E-3</v>
      </c>
    </row>
    <row r="1451" spans="1:3">
      <c r="A1451" s="3">
        <f ca="1">IFERROR(__xludf.UNSUPPORTED("""COMPUTED_VALUE"""),45569.6666666666)</f>
        <v>45569.666666666599</v>
      </c>
      <c r="B1451" s="1">
        <f ca="1">IFERROR(__xludf.UNSUPPORTED("""COMPUTED_VALUE"""),211.22)</f>
        <v>211.22</v>
      </c>
      <c r="C1451" s="2">
        <f t="shared" ca="1" si="5"/>
        <v>2.918676606733913E-2</v>
      </c>
    </row>
    <row r="1452" spans="1:3">
      <c r="A1452" s="3">
        <f ca="1">IFERROR(__xludf.UNSUPPORTED("""COMPUTED_VALUE"""),45572.6666666666)</f>
        <v>45572.666666666599</v>
      </c>
      <c r="B1452" s="1">
        <f ca="1">IFERROR(__xludf.UNSUPPORTED("""COMPUTED_VALUE"""),210.93)</f>
        <v>210.93</v>
      </c>
      <c r="C1452" s="2">
        <f t="shared" ca="1" si="5"/>
        <v>-1.3729760439351957E-3</v>
      </c>
    </row>
    <row r="1453" spans="1:3">
      <c r="A1453" s="3">
        <f ca="1">IFERROR(__xludf.UNSUPPORTED("""COMPUTED_VALUE"""),45573.6666666666)</f>
        <v>45573.666666666599</v>
      </c>
      <c r="B1453" s="1">
        <f ca="1">IFERROR(__xludf.UNSUPPORTED("""COMPUTED_VALUE"""),210.75)</f>
        <v>210.75</v>
      </c>
      <c r="C1453" s="2">
        <f t="shared" ca="1" si="5"/>
        <v>-8.5336367515292662E-4</v>
      </c>
    </row>
    <row r="1454" spans="1:3">
      <c r="A1454" s="3">
        <f ca="1">IFERROR(__xludf.UNSUPPORTED("""COMPUTED_VALUE"""),45574.6666666666)</f>
        <v>45574.666666666599</v>
      </c>
      <c r="B1454" s="1">
        <f ca="1">IFERROR(__xludf.UNSUPPORTED("""COMPUTED_VALUE"""),213.42)</f>
        <v>213.42</v>
      </c>
      <c r="C1454" s="2">
        <f t="shared" ca="1" si="5"/>
        <v>1.2669039145907415E-2</v>
      </c>
    </row>
    <row r="1455" spans="1:3">
      <c r="A1455" s="3">
        <f ca="1">IFERROR(__xludf.UNSUPPORTED("""COMPUTED_VALUE"""),45575.6666666666)</f>
        <v>45575.666666666599</v>
      </c>
      <c r="B1455" s="1">
        <f ca="1">IFERROR(__xludf.UNSUPPORTED("""COMPUTED_VALUE"""),212.84)</f>
        <v>212.84</v>
      </c>
      <c r="C1455" s="2">
        <f t="shared" ca="1" si="5"/>
        <v>-2.7176459563301664E-3</v>
      </c>
    </row>
    <row r="1456" spans="1:3">
      <c r="A1456" s="3">
        <f ca="1">IFERROR(__xludf.UNSUPPORTED("""COMPUTED_VALUE"""),45576.6666666666)</f>
        <v>45576.666666666599</v>
      </c>
      <c r="B1456" s="1">
        <f ca="1">IFERROR(__xludf.UNSUPPORTED("""COMPUTED_VALUE"""),222.29)</f>
        <v>222.29</v>
      </c>
      <c r="C1456" s="2">
        <f t="shared" ca="1" si="5"/>
        <v>4.4399548956962923E-2</v>
      </c>
    </row>
    <row r="1457" spans="1:3">
      <c r="A1457" s="3">
        <f ca="1">IFERROR(__xludf.UNSUPPORTED("""COMPUTED_VALUE"""),45579.6666666666)</f>
        <v>45579.666666666599</v>
      </c>
      <c r="B1457" s="1">
        <f ca="1">IFERROR(__xludf.UNSUPPORTED("""COMPUTED_VALUE"""),221.48)</f>
        <v>221.48</v>
      </c>
      <c r="C1457" s="2">
        <f t="shared" ca="1" si="5"/>
        <v>-3.6438886139727486E-3</v>
      </c>
    </row>
    <row r="1458" spans="1:3">
      <c r="A1458" s="3">
        <f ca="1">IFERROR(__xludf.UNSUPPORTED("""COMPUTED_VALUE"""),45580.6666666666)</f>
        <v>45580.666666666599</v>
      </c>
      <c r="B1458" s="1">
        <f ca="1">IFERROR(__xludf.UNSUPPORTED("""COMPUTED_VALUE"""),221.48)</f>
        <v>221.48</v>
      </c>
      <c r="C1458" s="2">
        <f t="shared" ca="1" si="5"/>
        <v>0</v>
      </c>
    </row>
    <row r="1459" spans="1:3">
      <c r="A1459" s="3">
        <f ca="1">IFERROR(__xludf.UNSUPPORTED("""COMPUTED_VALUE"""),45581.6666666666)</f>
        <v>45581.666666666599</v>
      </c>
      <c r="B1459" s="1">
        <f ca="1">IFERROR(__xludf.UNSUPPORTED("""COMPUTED_VALUE"""),223.64)</f>
        <v>223.64</v>
      </c>
      <c r="C1459" s="2">
        <f t="shared" ca="1" si="5"/>
        <v>9.7525735958099904E-3</v>
      </c>
    </row>
    <row r="1460" spans="1:3">
      <c r="A1460" s="3">
        <f ca="1">IFERROR(__xludf.UNSUPPORTED("""COMPUTED_VALUE"""),45582.6666666666)</f>
        <v>45582.666666666599</v>
      </c>
      <c r="B1460" s="1">
        <f ca="1">IFERROR(__xludf.UNSUPPORTED("""COMPUTED_VALUE"""),224.42)</f>
        <v>224.42</v>
      </c>
      <c r="C1460" s="2">
        <f t="shared" ca="1" si="5"/>
        <v>3.4877481666964819E-3</v>
      </c>
    </row>
    <row r="1461" spans="1:3">
      <c r="A1461" s="3">
        <f ca="1">IFERROR(__xludf.UNSUPPORTED("""COMPUTED_VALUE"""),45583.6666666666)</f>
        <v>45583.666666666599</v>
      </c>
      <c r="B1461" s="1">
        <f ca="1">IFERROR(__xludf.UNSUPPORTED("""COMPUTED_VALUE"""),225.37)</f>
        <v>225.37</v>
      </c>
      <c r="C1461" s="2">
        <f t="shared" ca="1" si="5"/>
        <v>4.2331343017557128E-3</v>
      </c>
    </row>
    <row r="1462" spans="1:3">
      <c r="A1462" s="3">
        <f ca="1">IFERROR(__xludf.UNSUPPORTED("""COMPUTED_VALUE"""),45586.6666666666)</f>
        <v>45586.666666666599</v>
      </c>
      <c r="B1462" s="1">
        <f ca="1">IFERROR(__xludf.UNSUPPORTED("""COMPUTED_VALUE"""),223)</f>
        <v>223</v>
      </c>
      <c r="C1462" s="2">
        <f t="shared" ca="1" si="5"/>
        <v>-1.0516040289302057E-2</v>
      </c>
    </row>
    <row r="1463" spans="1:3">
      <c r="A1463" s="3">
        <f ca="1">IFERROR(__xludf.UNSUPPORTED("""COMPUTED_VALUE"""),45587.6666666666)</f>
        <v>45587.666666666599</v>
      </c>
      <c r="B1463" s="1">
        <f ca="1">IFERROR(__xludf.UNSUPPORTED("""COMPUTED_VALUE"""),224.12)</f>
        <v>224.12</v>
      </c>
      <c r="C1463" s="2">
        <f t="shared" ca="1" si="5"/>
        <v>5.0224215246636979E-3</v>
      </c>
    </row>
    <row r="1464" spans="1:3">
      <c r="A1464" s="3">
        <f ca="1">IFERROR(__xludf.UNSUPPORTED("""COMPUTED_VALUE"""),45588.6666666666)</f>
        <v>45588.666666666599</v>
      </c>
      <c r="B1464" s="1">
        <f ca="1">IFERROR(__xludf.UNSUPPORTED("""COMPUTED_VALUE"""),223.41)</f>
        <v>223.41</v>
      </c>
      <c r="C1464" s="2">
        <f t="shared" ca="1" si="5"/>
        <v>-3.1679457433518112E-3</v>
      </c>
    </row>
    <row r="1465" spans="1:3">
      <c r="A1465" s="3">
        <f ca="1">IFERROR(__xludf.UNSUPPORTED("""COMPUTED_VALUE"""),45589.6666666666)</f>
        <v>45589.666666666599</v>
      </c>
      <c r="B1465" s="1">
        <f ca="1">IFERROR(__xludf.UNSUPPORTED("""COMPUTED_VALUE"""),224.98)</f>
        <v>224.98</v>
      </c>
      <c r="C1465" s="2">
        <f t="shared" ca="1" si="5"/>
        <v>7.0274383420616503E-3</v>
      </c>
    </row>
    <row r="1466" spans="1:3">
      <c r="A1466" s="3">
        <f ca="1">IFERROR(__xludf.UNSUPPORTED("""COMPUTED_VALUE"""),45590.6666666666)</f>
        <v>45590.666666666599</v>
      </c>
      <c r="B1466" s="1">
        <f ca="1">IFERROR(__xludf.UNSUPPORTED("""COMPUTED_VALUE"""),222.31)</f>
        <v>222.31</v>
      </c>
      <c r="C1466" s="2">
        <f t="shared" ca="1" si="5"/>
        <v>-1.1867721575251079E-2</v>
      </c>
    </row>
    <row r="1467" spans="1:3">
      <c r="A1467" s="3">
        <f ca="1">IFERROR(__xludf.UNSUPPORTED("""COMPUTED_VALUE"""),45593.6666666666)</f>
        <v>45593.666666666599</v>
      </c>
      <c r="B1467" s="1">
        <f ca="1">IFERROR(__xludf.UNSUPPORTED("""COMPUTED_VALUE"""),225.5)</f>
        <v>225.5</v>
      </c>
      <c r="C1467" s="2">
        <f t="shared" ca="1" si="5"/>
        <v>1.4349332013854518E-2</v>
      </c>
    </row>
    <row r="1468" spans="1:3">
      <c r="A1468" s="3">
        <f ca="1">IFERROR(__xludf.UNSUPPORTED("""COMPUTED_VALUE"""),45595.6666666666)</f>
        <v>45595.666666666599</v>
      </c>
      <c r="B1468" s="1">
        <f ca="1">IFERROR(__xludf.UNSUPPORTED("""COMPUTED_VALUE"""),224.41)</f>
        <v>224.41</v>
      </c>
      <c r="C1468" s="2">
        <f t="shared" ca="1" si="5"/>
        <v>-4.8337028824833855E-3</v>
      </c>
    </row>
    <row r="1469" spans="1:3">
      <c r="A1469" s="3">
        <f ca="1">IFERROR(__xludf.UNSUPPORTED("""COMPUTED_VALUE"""),45596.6666666666)</f>
        <v>45596.666666666599</v>
      </c>
      <c r="B1469" s="1">
        <f ca="1">IFERROR(__xludf.UNSUPPORTED("""COMPUTED_VALUE"""),221.92)</f>
        <v>221.92</v>
      </c>
      <c r="C1469" s="2">
        <f t="shared" ca="1" si="5"/>
        <v>-1.1095762220934937E-2</v>
      </c>
    </row>
    <row r="1470" spans="1:3">
      <c r="A1470" s="3">
        <f ca="1">IFERROR(__xludf.UNSUPPORTED("""COMPUTED_VALUE"""),45597.6666666666)</f>
        <v>45597.666666666599</v>
      </c>
      <c r="B1470" s="1">
        <f ca="1">IFERROR(__xludf.UNSUPPORTED("""COMPUTED_VALUE"""),222.94)</f>
        <v>222.94</v>
      </c>
      <c r="C1470" s="2">
        <f t="shared" ca="1" si="5"/>
        <v>4.5962509012257135E-3</v>
      </c>
    </row>
    <row r="1471" spans="1:3">
      <c r="A1471" s="3">
        <f ca="1">IFERROR(__xludf.UNSUPPORTED("""COMPUTED_VALUE"""),45600.6666666666)</f>
        <v>45600.666666666599</v>
      </c>
      <c r="B1471" s="1">
        <f ca="1">IFERROR(__xludf.UNSUPPORTED("""COMPUTED_VALUE"""),219.78)</f>
        <v>219.78</v>
      </c>
      <c r="C1471" s="2">
        <f t="shared" ca="1" si="5"/>
        <v>-1.4174217278191426E-2</v>
      </c>
    </row>
    <row r="1472" spans="1:3">
      <c r="A1472" s="3">
        <f ca="1">IFERROR(__xludf.UNSUPPORTED("""COMPUTED_VALUE"""),45601.6666666666)</f>
        <v>45601.666666666599</v>
      </c>
      <c r="B1472" s="1">
        <f ca="1">IFERROR(__xludf.UNSUPPORTED("""COMPUTED_VALUE"""),221.49)</f>
        <v>221.49</v>
      </c>
      <c r="C1472" s="2">
        <f t="shared" ca="1" si="5"/>
        <v>7.7805077805078171E-3</v>
      </c>
    </row>
    <row r="1473" spans="1:3">
      <c r="A1473" s="3">
        <f ca="1">IFERROR(__xludf.UNSUPPORTED("""COMPUTED_VALUE"""),45602.6666666666)</f>
        <v>45602.666666666599</v>
      </c>
      <c r="B1473" s="1">
        <f ca="1">IFERROR(__xludf.UNSUPPORTED("""COMPUTED_VALUE"""),247.06)</f>
        <v>247.06</v>
      </c>
      <c r="C1473" s="2">
        <f t="shared" ca="1" si="5"/>
        <v>0.11544539256851322</v>
      </c>
    </row>
    <row r="1474" spans="1:3">
      <c r="A1474" s="3">
        <f ca="1">IFERROR(__xludf.UNSUPPORTED("""COMPUTED_VALUE"""),45603.6666666666)</f>
        <v>45603.666666666599</v>
      </c>
      <c r="B1474" s="1">
        <f ca="1">IFERROR(__xludf.UNSUPPORTED("""COMPUTED_VALUE"""),236.38)</f>
        <v>236.38</v>
      </c>
      <c r="C1474" s="2">
        <f t="shared" ca="1" si="5"/>
        <v>-4.3228365579211551E-2</v>
      </c>
    </row>
    <row r="1475" spans="1:3">
      <c r="A1475" s="3">
        <f ca="1">IFERROR(__xludf.UNSUPPORTED("""COMPUTED_VALUE"""),45604.6666666666)</f>
        <v>45604.666666666599</v>
      </c>
      <c r="B1475" s="1">
        <f ca="1">IFERROR(__xludf.UNSUPPORTED("""COMPUTED_VALUE"""),236.98)</f>
        <v>236.98</v>
      </c>
      <c r="C1475" s="2">
        <f t="shared" ca="1" si="5"/>
        <v>2.5382858109822925E-3</v>
      </c>
    </row>
    <row r="1476" spans="1:3">
      <c r="A1476" s="3">
        <f ca="1">IFERROR(__xludf.UNSUPPORTED("""COMPUTED_VALUE"""),45607.6666666666)</f>
        <v>45607.666666666599</v>
      </c>
      <c r="B1476" s="1">
        <f ca="1">IFERROR(__xludf.UNSUPPORTED("""COMPUTED_VALUE"""),239.29)</f>
        <v>239.29</v>
      </c>
      <c r="C1476" s="2">
        <f t="shared" ca="1" si="5"/>
        <v>9.7476580302135307E-3</v>
      </c>
    </row>
    <row r="1477" spans="1:3">
      <c r="A1477" s="3">
        <f ca="1">IFERROR(__xludf.UNSUPPORTED("""COMPUTED_VALUE"""),45608.6666666666)</f>
        <v>45608.666666666599</v>
      </c>
      <c r="B1477" s="1">
        <f ca="1">IFERROR(__xludf.UNSUPPORTED("""COMPUTED_VALUE"""),239.56)</f>
        <v>239.56</v>
      </c>
      <c r="C1477" s="2">
        <f t="shared" ca="1" si="5"/>
        <v>1.1283379999164622E-3</v>
      </c>
    </row>
    <row r="1478" spans="1:3">
      <c r="A1478" s="3">
        <f ca="1">IFERROR(__xludf.UNSUPPORTED("""COMPUTED_VALUE"""),45609.6666666666)</f>
        <v>45609.666666666599</v>
      </c>
      <c r="B1478" s="1">
        <f ca="1">IFERROR(__xludf.UNSUPPORTED("""COMPUTED_VALUE"""),241.16)</f>
        <v>241.16</v>
      </c>
      <c r="C1478" s="2">
        <f t="shared" ca="1" si="5"/>
        <v>6.6789113374519718E-3</v>
      </c>
    </row>
    <row r="1479" spans="1:3">
      <c r="A1479" s="3">
        <f ca="1">IFERROR(__xludf.UNSUPPORTED("""COMPUTED_VALUE"""),45610.6666666666)</f>
        <v>45610.666666666599</v>
      </c>
      <c r="B1479" s="1">
        <f ca="1">IFERROR(__xludf.UNSUPPORTED("""COMPUTED_VALUE"""),241.87)</f>
        <v>241.87</v>
      </c>
      <c r="C1479" s="2">
        <f t="shared" ca="1" si="5"/>
        <v>2.9441034997512356E-3</v>
      </c>
    </row>
    <row r="1480" spans="1:3">
      <c r="A1480" s="3">
        <f ca="1">IFERROR(__xludf.UNSUPPORTED("""COMPUTED_VALUE"""),45611.6666666666)</f>
        <v>45611.666666666599</v>
      </c>
      <c r="B1480" s="1">
        <f ca="1">IFERROR(__xludf.UNSUPPORTED("""COMPUTED_VALUE"""),245.31)</f>
        <v>245.31</v>
      </c>
      <c r="C1480" s="2">
        <f t="shared" ca="1" si="5"/>
        <v>1.4222516227725628E-2</v>
      </c>
    </row>
    <row r="1481" spans="1:3">
      <c r="A1481" s="3">
        <f ca="1">IFERROR(__xludf.UNSUPPORTED("""COMPUTED_VALUE"""),45614.6666666666)</f>
        <v>45614.666666666599</v>
      </c>
      <c r="B1481" s="1">
        <f ca="1">IFERROR(__xludf.UNSUPPORTED("""COMPUTED_VALUE"""),245.03)</f>
        <v>245.03</v>
      </c>
      <c r="C1481" s="2">
        <f t="shared" ca="1" si="5"/>
        <v>-1.1414129061187931E-3</v>
      </c>
    </row>
    <row r="1482" spans="1:3">
      <c r="A1482" s="3">
        <f ca="1">IFERROR(__xludf.UNSUPPORTED("""COMPUTED_VALUE"""),45615.6666666666)</f>
        <v>45615.666666666599</v>
      </c>
      <c r="B1482" s="1">
        <f ca="1">IFERROR(__xludf.UNSUPPORTED("""COMPUTED_VALUE"""),243.09)</f>
        <v>243.09</v>
      </c>
      <c r="C1482" s="2">
        <f t="shared" ca="1" si="5"/>
        <v>-7.9173978696486045E-3</v>
      </c>
    </row>
    <row r="1483" spans="1:3">
      <c r="A1483" s="3">
        <f ca="1">IFERROR(__xludf.UNSUPPORTED("""COMPUTED_VALUE"""),45616.6666666666)</f>
        <v>45616.666666666599</v>
      </c>
      <c r="B1483" s="1">
        <f ca="1">IFERROR(__xludf.UNSUPPORTED("""COMPUTED_VALUE"""),240.78)</f>
        <v>240.78</v>
      </c>
      <c r="C1483" s="2">
        <f t="shared" ca="1" si="5"/>
        <v>-9.5026533382697852E-3</v>
      </c>
    </row>
    <row r="1484" spans="1:3">
      <c r="A1484" s="3">
        <f ca="1">IFERROR(__xludf.UNSUPPORTED("""COMPUTED_VALUE"""),45617.6666666666)</f>
        <v>45617.666666666599</v>
      </c>
      <c r="B1484" s="1">
        <f ca="1">IFERROR(__xludf.UNSUPPORTED("""COMPUTED_VALUE"""),244.76)</f>
        <v>244.76</v>
      </c>
      <c r="C1484" s="2">
        <f t="shared" ca="1" si="5"/>
        <v>1.6529612094027701E-2</v>
      </c>
    </row>
    <row r="1485" spans="1:3">
      <c r="A1485" s="3">
        <f ca="1">IFERROR(__xludf.UNSUPPORTED("""COMPUTED_VALUE"""),45618.6666666666)</f>
        <v>45618.666666666599</v>
      </c>
      <c r="B1485" s="1">
        <f ca="1">IFERROR(__xludf.UNSUPPORTED("""COMPUTED_VALUE"""),248.55)</f>
        <v>248.55</v>
      </c>
      <c r="C1485" s="2">
        <f t="shared" ca="1" si="5"/>
        <v>1.5484556300049112E-2</v>
      </c>
    </row>
    <row r="1486" spans="1:3">
      <c r="A1486" s="3">
        <f ca="1">IFERROR(__xludf.UNSUPPORTED("""COMPUTED_VALUE"""),45621.6666666666)</f>
        <v>45621.666666666599</v>
      </c>
      <c r="B1486" s="1">
        <f ca="1">IFERROR(__xludf.UNSUPPORTED("""COMPUTED_VALUE"""),250.29)</f>
        <v>250.29</v>
      </c>
      <c r="C1486" s="2">
        <f t="shared" ca="1" si="5"/>
        <v>7.0006035003016718E-3</v>
      </c>
    </row>
    <row r="1487" spans="1:3">
      <c r="A1487" s="3">
        <f ca="1">IFERROR(__xludf.UNSUPPORTED("""COMPUTED_VALUE"""),45622.6666666666)</f>
        <v>45622.666666666599</v>
      </c>
      <c r="B1487" s="1">
        <f ca="1">IFERROR(__xludf.UNSUPPORTED("""COMPUTED_VALUE"""),249.97)</f>
        <v>249.97</v>
      </c>
      <c r="C1487" s="2">
        <f t="shared" ca="1" si="5"/>
        <v>-1.2785169203723408E-3</v>
      </c>
    </row>
    <row r="1488" spans="1:3">
      <c r="A1488" s="3">
        <f ca="1">IFERROR(__xludf.UNSUPPORTED("""COMPUTED_VALUE"""),45623.6666666666)</f>
        <v>45623.666666666599</v>
      </c>
      <c r="B1488" s="1">
        <f ca="1">IFERROR(__xludf.UNSUPPORTED("""COMPUTED_VALUE"""),249.79)</f>
        <v>249.79</v>
      </c>
      <c r="C1488" s="2">
        <f t="shared" ca="1" si="5"/>
        <v>-7.2008641036927165E-4</v>
      </c>
    </row>
    <row r="1489" spans="1:3">
      <c r="A1489" s="3">
        <f ca="1">IFERROR(__xludf.UNSUPPORTED("""COMPUTED_VALUE"""),45625.5416666666)</f>
        <v>45625.541666666599</v>
      </c>
      <c r="B1489" s="1">
        <f ca="1">IFERROR(__xludf.UNSUPPORTED("""COMPUTED_VALUE"""),249.72)</f>
        <v>249.72</v>
      </c>
      <c r="C1489" s="2">
        <f t="shared" ca="1" si="5"/>
        <v>-2.8023539773406936E-4</v>
      </c>
    </row>
    <row r="1490" spans="1:3">
      <c r="A1490" s="3">
        <f ca="1">IFERROR(__xludf.UNSUPPORTED("""COMPUTED_VALUE"""),45628.6666666666)</f>
        <v>45628.666666666599</v>
      </c>
      <c r="B1490" s="1">
        <f ca="1">IFERROR(__xludf.UNSUPPORTED("""COMPUTED_VALUE"""),246.25)</f>
        <v>246.25</v>
      </c>
      <c r="C1490" s="2">
        <f t="shared" ca="1" si="5"/>
        <v>-1.3895563030594261E-2</v>
      </c>
    </row>
    <row r="1491" spans="1:3">
      <c r="A1491" s="3">
        <f ca="1">IFERROR(__xludf.UNSUPPORTED("""COMPUTED_VALUE"""),45629.6666666666)</f>
        <v>45629.666666666599</v>
      </c>
      <c r="B1491" s="1">
        <f ca="1">IFERROR(__xludf.UNSUPPORTED("""COMPUTED_VALUE"""),244.82)</f>
        <v>244.82</v>
      </c>
      <c r="C1491" s="2">
        <f t="shared" ca="1" si="5"/>
        <v>-5.8071065989847995E-3</v>
      </c>
    </row>
    <row r="1492" spans="1:3">
      <c r="A1492" s="3">
        <f ca="1">IFERROR(__xludf.UNSUPPORTED("""COMPUTED_VALUE"""),45630.6666666666)</f>
        <v>45630.666666666599</v>
      </c>
      <c r="B1492" s="1">
        <f ca="1">IFERROR(__xludf.UNSUPPORTED("""COMPUTED_VALUE"""),243.4)</f>
        <v>243.4</v>
      </c>
      <c r="C1492" s="2">
        <f t="shared" ca="1" si="5"/>
        <v>-5.8001797238787173E-3</v>
      </c>
    </row>
    <row r="1493" spans="1:3">
      <c r="A1493" s="3">
        <f ca="1">IFERROR(__xludf.UNSUPPORTED("""COMPUTED_VALUE"""),45631.6666666666)</f>
        <v>45631.666666666599</v>
      </c>
      <c r="B1493" s="1">
        <f ca="1">IFERROR(__xludf.UNSUPPORTED("""COMPUTED_VALUE"""),245.48)</f>
        <v>245.48</v>
      </c>
      <c r="C1493" s="2">
        <f t="shared" ca="1" si="5"/>
        <v>8.545603944124831E-3</v>
      </c>
    </row>
    <row r="1494" spans="1:3">
      <c r="A1494" s="3">
        <f ca="1">IFERROR(__xludf.UNSUPPORTED("""COMPUTED_VALUE"""),45632.6666666666)</f>
        <v>45632.666666666599</v>
      </c>
      <c r="B1494" s="1">
        <f ca="1">IFERROR(__xludf.UNSUPPORTED("""COMPUTED_VALUE"""),247.36)</f>
        <v>247.36</v>
      </c>
      <c r="C1494" s="2">
        <f t="shared" ca="1" si="5"/>
        <v>7.6584650480691864E-3</v>
      </c>
    </row>
    <row r="1495" spans="1:3">
      <c r="A1495" s="3">
        <f ca="1">IFERROR(__xludf.UNSUPPORTED("""COMPUTED_VALUE"""),45635.6666666666)</f>
        <v>45635.666666666599</v>
      </c>
      <c r="B1495" s="1">
        <f ca="1">IFERROR(__xludf.UNSUPPORTED("""COMPUTED_VALUE"""),243.81)</f>
        <v>243.81</v>
      </c>
      <c r="C1495" s="2">
        <f t="shared" ca="1" si="5"/>
        <v>-1.4351552393273008E-2</v>
      </c>
    </row>
    <row r="1496" spans="1:3">
      <c r="A1496" s="3">
        <f ca="1">IFERROR(__xludf.UNSUPPORTED("""COMPUTED_VALUE"""),45636.6666666666)</f>
        <v>45636.666666666599</v>
      </c>
      <c r="B1496" s="1">
        <f ca="1">IFERROR(__xludf.UNSUPPORTED("""COMPUTED_VALUE"""),242.86)</f>
        <v>242.86</v>
      </c>
      <c r="C1496" s="2">
        <f t="shared" ca="1" si="5"/>
        <v>-3.8964767646937721E-3</v>
      </c>
    </row>
    <row r="1497" spans="1:3">
      <c r="A1497" s="3">
        <f ca="1">IFERROR(__xludf.UNSUPPORTED("""COMPUTED_VALUE"""),45637.6666666666)</f>
        <v>45637.666666666599</v>
      </c>
      <c r="B1497" s="1">
        <f ca="1">IFERROR(__xludf.UNSUPPORTED("""COMPUTED_VALUE"""),243.53)</f>
        <v>243.53</v>
      </c>
      <c r="C1497" s="2">
        <f t="shared" ca="1" si="5"/>
        <v>2.7587910730461477E-3</v>
      </c>
    </row>
    <row r="1498" spans="1:3">
      <c r="A1498" s="3">
        <f ca="1">IFERROR(__xludf.UNSUPPORTED("""COMPUTED_VALUE"""),45638.6666666666)</f>
        <v>45638.666666666599</v>
      </c>
      <c r="B1498" s="1">
        <f ca="1">IFERROR(__xludf.UNSUPPORTED("""COMPUTED_VALUE"""),241.53)</f>
        <v>241.53</v>
      </c>
      <c r="C1498" s="2">
        <f t="shared" ca="1" si="5"/>
        <v>-8.2125405494189625E-3</v>
      </c>
    </row>
    <row r="1499" spans="1:3">
      <c r="A1499" s="3">
        <f ca="1">IFERROR(__xludf.UNSUPPORTED("""COMPUTED_VALUE"""),45639.6666666666)</f>
        <v>45639.666666666599</v>
      </c>
      <c r="B1499" s="1">
        <f ca="1">IFERROR(__xludf.UNSUPPORTED("""COMPUTED_VALUE"""),239.94)</f>
        <v>239.94</v>
      </c>
      <c r="C1499" s="2">
        <f t="shared" ca="1" si="5"/>
        <v>-6.5830331635821776E-3</v>
      </c>
    </row>
    <row r="1500" spans="1:3">
      <c r="A1500" s="3">
        <f ca="1">IFERROR(__xludf.UNSUPPORTED("""COMPUTED_VALUE"""),45642.6666666666)</f>
        <v>45642.666666666599</v>
      </c>
      <c r="B1500" s="1">
        <f ca="1">IFERROR(__xludf.UNSUPPORTED("""COMPUTED_VALUE"""),239.58)</f>
        <v>239.58</v>
      </c>
      <c r="C1500" s="2">
        <f t="shared" ca="1" si="5"/>
        <v>-1.5003750937733818E-3</v>
      </c>
    </row>
    <row r="1501" spans="1:3">
      <c r="A1501" s="3">
        <f ca="1">IFERROR(__xludf.UNSUPPORTED("""COMPUTED_VALUE"""),45643.6666666666)</f>
        <v>45643.666666666599</v>
      </c>
      <c r="B1501" s="1">
        <f ca="1">IFERROR(__xludf.UNSUPPORTED("""COMPUTED_VALUE"""),238.36)</f>
        <v>238.36</v>
      </c>
      <c r="C1501" s="2">
        <f t="shared" ca="1" si="5"/>
        <v>-5.0922447616662441E-3</v>
      </c>
    </row>
    <row r="1502" spans="1:3">
      <c r="A1502" s="3">
        <f ca="1">IFERROR(__xludf.UNSUPPORTED("""COMPUTED_VALUE"""),45644.6666666666)</f>
        <v>45644.666666666599</v>
      </c>
      <c r="B1502" s="1">
        <f ca="1">IFERROR(__xludf.UNSUPPORTED("""COMPUTED_VALUE"""),230.37)</f>
        <v>230.37</v>
      </c>
      <c r="C1502" s="2">
        <f t="shared" ca="1" si="5"/>
        <v>-3.3520724953851354E-2</v>
      </c>
    </row>
    <row r="1503" spans="1:3">
      <c r="A1503" s="3">
        <f ca="1">IFERROR(__xludf.UNSUPPORTED("""COMPUTED_VALUE"""),45645.6666666666)</f>
        <v>45645.666666666599</v>
      </c>
      <c r="B1503" s="1">
        <f ca="1">IFERROR(__xludf.UNSUPPORTED("""COMPUTED_VALUE"""),232.96)</f>
        <v>232.96</v>
      </c>
      <c r="C1503" s="2">
        <f t="shared" ca="1" si="5"/>
        <v>1.1242783348526299E-2</v>
      </c>
    </row>
    <row r="1504" spans="1:3">
      <c r="A1504" s="3">
        <f ca="1">IFERROR(__xludf.UNSUPPORTED("""COMPUTED_VALUE"""),45646.6666666666)</f>
        <v>45646.666666666599</v>
      </c>
      <c r="B1504" s="1">
        <f ca="1">IFERROR(__xludf.UNSUPPORTED("""COMPUTED_VALUE"""),237.6)</f>
        <v>237.6</v>
      </c>
      <c r="C1504" s="2">
        <f t="shared" ca="1" si="5"/>
        <v>1.9917582417582357E-2</v>
      </c>
    </row>
    <row r="1505" spans="1:3">
      <c r="A1505" s="3">
        <f ca="1">IFERROR(__xludf.UNSUPPORTED("""COMPUTED_VALUE"""),45649.6666666666)</f>
        <v>45649.666666666599</v>
      </c>
      <c r="B1505" s="1">
        <f ca="1">IFERROR(__xludf.UNSUPPORTED("""COMPUTED_VALUE"""),238.39)</f>
        <v>238.39</v>
      </c>
      <c r="C1505" s="2">
        <f t="shared" ca="1" si="5"/>
        <v>3.3249158249157914E-3</v>
      </c>
    </row>
    <row r="1506" spans="1:3">
      <c r="A1506" s="3">
        <f ca="1">IFERROR(__xludf.UNSUPPORTED("""COMPUTED_VALUE"""),45650.5416666666)</f>
        <v>45650.541666666599</v>
      </c>
      <c r="B1506" s="1">
        <f ca="1">IFERROR(__xludf.UNSUPPORTED("""COMPUTED_VALUE"""),242.31)</f>
        <v>242.31</v>
      </c>
      <c r="C1506" s="2">
        <f t="shared" ca="1" si="5"/>
        <v>1.6443642770250497E-2</v>
      </c>
    </row>
    <row r="1507" spans="1:3">
      <c r="A1507" s="3">
        <f ca="1">IFERROR(__xludf.UNSUPPORTED("""COMPUTED_VALUE"""),45652.6666666666)</f>
        <v>45652.666666666599</v>
      </c>
      <c r="B1507" s="1">
        <f ca="1">IFERROR(__xludf.UNSUPPORTED("""COMPUTED_VALUE"""),243.14)</f>
        <v>243.14</v>
      </c>
      <c r="C1507" s="2">
        <f t="shared" ca="1" si="5"/>
        <v>3.425364202880542E-3</v>
      </c>
    </row>
    <row r="1508" spans="1:3">
      <c r="A1508" s="3">
        <f ca="1">IFERROR(__xludf.UNSUPPORTED("""COMPUTED_VALUE"""),45653.6666666666)</f>
        <v>45653.666666666599</v>
      </c>
      <c r="B1508" s="1">
        <f ca="1">IFERROR(__xludf.UNSUPPORTED("""COMPUTED_VALUE"""),241.17)</f>
        <v>241.17</v>
      </c>
      <c r="C1508" s="2">
        <f t="shared" ca="1" si="5"/>
        <v>-8.1023278769433212E-3</v>
      </c>
    </row>
    <row r="1509" spans="1:3">
      <c r="A1509" s="3">
        <f ca="1">IFERROR(__xludf.UNSUPPORTED("""COMPUTED_VALUE"""),45656.6666666666)</f>
        <v>45656.666666666599</v>
      </c>
      <c r="B1509" s="1">
        <f ca="1">IFERROR(__xludf.UNSUPPORTED("""COMPUTED_VALUE"""),239.32)</f>
        <v>239.32</v>
      </c>
      <c r="C1509" s="2">
        <f t="shared" ca="1" si="5"/>
        <v>-7.6709375129576417E-3</v>
      </c>
    </row>
    <row r="1510" spans="1:3">
      <c r="A1510" s="3">
        <f ca="1">IFERROR(__xludf.UNSUPPORTED("""COMPUTED_VALUE"""),45657.6666666666)</f>
        <v>45657.666666666599</v>
      </c>
      <c r="B1510" s="1">
        <f ca="1">IFERROR(__xludf.UNSUPPORTED("""COMPUTED_VALUE"""),239.71)</f>
        <v>239.71</v>
      </c>
      <c r="C1510" s="2">
        <f t="shared" ca="1" si="5"/>
        <v>1.6296172488718653E-3</v>
      </c>
    </row>
    <row r="1511" spans="1:3">
      <c r="A1511" s="3">
        <f ca="1">IFERROR(__xludf.UNSUPPORTED("""COMPUTED_VALUE"""),45659.6666666666)</f>
        <v>45659.666666666599</v>
      </c>
      <c r="B1511" s="1">
        <f ca="1">IFERROR(__xludf.UNSUPPORTED("""COMPUTED_VALUE"""),240)</f>
        <v>240</v>
      </c>
      <c r="C1511" s="2">
        <f t="shared" ca="1" si="5"/>
        <v>1.2097951691627052E-3</v>
      </c>
    </row>
    <row r="1512" spans="1:3">
      <c r="A1512" s="3">
        <f ca="1">IFERROR(__xludf.UNSUPPORTED("""COMPUTED_VALUE"""),45660.6666666666)</f>
        <v>45660.666666666599</v>
      </c>
      <c r="B1512" s="1">
        <f ca="1">IFERROR(__xludf.UNSUPPORTED("""COMPUTED_VALUE"""),243.28)</f>
        <v>243.28</v>
      </c>
      <c r="C1512" s="2">
        <f t="shared" ca="1" si="5"/>
        <v>1.3666666666666671E-2</v>
      </c>
    </row>
    <row r="1513" spans="1:3">
      <c r="A1513" s="3">
        <f ca="1">IFERROR(__xludf.UNSUPPORTED("""COMPUTED_VALUE"""),45663.6666666666)</f>
        <v>45663.666666666599</v>
      </c>
      <c r="B1513" s="1">
        <f ca="1">IFERROR(__xludf.UNSUPPORTED("""COMPUTED_VALUE"""),240.85)</f>
        <v>240.85</v>
      </c>
      <c r="C1513" s="2">
        <f t="shared" ca="1" si="5"/>
        <v>-9.9884906280828956E-3</v>
      </c>
    </row>
    <row r="1514" spans="1:3">
      <c r="A1514" s="3">
        <f ca="1">IFERROR(__xludf.UNSUPPORTED("""COMPUTED_VALUE"""),45664.6666666666)</f>
        <v>45664.666666666599</v>
      </c>
      <c r="B1514" s="1">
        <f ca="1">IFERROR(__xludf.UNSUPPORTED("""COMPUTED_VALUE"""),243.17)</f>
        <v>243.17</v>
      </c>
      <c r="C1514" s="2">
        <f t="shared" ca="1" si="5"/>
        <v>9.6325513805272708E-3</v>
      </c>
    </row>
    <row r="1515" spans="1:3">
      <c r="A1515" s="3">
        <f ca="1">IFERROR(__xludf.UNSUPPORTED("""COMPUTED_VALUE"""),45665.6666666666)</f>
        <v>45665.666666666599</v>
      </c>
      <c r="B1515" s="1">
        <f ca="1">IFERROR(__xludf.UNSUPPORTED("""COMPUTED_VALUE"""),243.13)</f>
        <v>243.13</v>
      </c>
      <c r="C1515" s="2">
        <f t="shared" ca="1" si="5"/>
        <v>-1.6449397540811795E-4</v>
      </c>
    </row>
    <row r="1516" spans="1:3">
      <c r="A1516" s="3">
        <f ca="1">IFERROR(__xludf.UNSUPPORTED("""COMPUTED_VALUE"""),45667.6666666666)</f>
        <v>45667.666666666599</v>
      </c>
      <c r="B1516" s="1">
        <f ca="1">IFERROR(__xludf.UNSUPPORTED("""COMPUTED_VALUE"""),239.87)</f>
        <v>239.87</v>
      </c>
      <c r="C1516" s="2">
        <f t="shared" ca="1" si="5"/>
        <v>-1.3408464607411635E-2</v>
      </c>
    </row>
    <row r="1517" spans="1:3">
      <c r="A1517" s="3">
        <f ca="1">IFERROR(__xludf.UNSUPPORTED("""COMPUTED_VALUE"""),45670.6666666666)</f>
        <v>45670.666666666599</v>
      </c>
      <c r="B1517" s="1">
        <f ca="1">IFERROR(__xludf.UNSUPPORTED("""COMPUTED_VALUE"""),244.21)</f>
        <v>244.21</v>
      </c>
      <c r="C1517" s="2">
        <f t="shared" ca="1" si="5"/>
        <v>1.8093133780797944E-2</v>
      </c>
    </row>
    <row r="1518" spans="1:3">
      <c r="A1518" s="3">
        <f ca="1">IFERROR(__xludf.UNSUPPORTED("""COMPUTED_VALUE"""),45671.6666666666)</f>
        <v>45671.666666666599</v>
      </c>
      <c r="B1518" s="1">
        <f ca="1">IFERROR(__xludf.UNSUPPORTED("""COMPUTED_VALUE"""),247.47)</f>
        <v>247.47</v>
      </c>
      <c r="C1518" s="2">
        <f t="shared" ca="1" si="5"/>
        <v>1.3349166700790265E-2</v>
      </c>
    </row>
    <row r="1519" spans="1:3">
      <c r="A1519" s="3">
        <f ca="1">IFERROR(__xludf.UNSUPPORTED("""COMPUTED_VALUE"""),45672.6666666666)</f>
        <v>45672.666666666599</v>
      </c>
      <c r="B1519" s="1">
        <f ca="1">IFERROR(__xludf.UNSUPPORTED("""COMPUTED_VALUE"""),252.35)</f>
        <v>252.35</v>
      </c>
      <c r="C1519" s="2">
        <f t="shared" ca="1" si="5"/>
        <v>1.9719561967107106E-2</v>
      </c>
    </row>
    <row r="1520" spans="1:3">
      <c r="A1520" s="3">
        <f ca="1">IFERROR(__xludf.UNSUPPORTED("""COMPUTED_VALUE"""),45673.6666666666)</f>
        <v>45673.666666666599</v>
      </c>
      <c r="B1520" s="1">
        <f ca="1">IFERROR(__xludf.UNSUPPORTED("""COMPUTED_VALUE"""),254.27)</f>
        <v>254.27</v>
      </c>
      <c r="C1520" s="2">
        <f t="shared" ca="1" si="5"/>
        <v>7.6084802853180738E-3</v>
      </c>
    </row>
    <row r="1521" spans="1:3">
      <c r="A1521" s="3">
        <f ca="1">IFERROR(__xludf.UNSUPPORTED("""COMPUTED_VALUE"""),45674.6666666666)</f>
        <v>45674.666666666599</v>
      </c>
      <c r="B1521" s="1">
        <f ca="1">IFERROR(__xludf.UNSUPPORTED("""COMPUTED_VALUE"""),259.16)</f>
        <v>259.16000000000003</v>
      </c>
      <c r="C1521" s="2">
        <f t="shared" ca="1" si="5"/>
        <v>1.9231525543713431E-2</v>
      </c>
    </row>
    <row r="1522" spans="1:3">
      <c r="A1522" s="3">
        <f ca="1">IFERROR(__xludf.UNSUPPORTED("""COMPUTED_VALUE"""),45678.6666666666)</f>
        <v>45678.666666666599</v>
      </c>
      <c r="B1522" s="1">
        <f ca="1">IFERROR(__xludf.UNSUPPORTED("""COMPUTED_VALUE"""),263.03)</f>
        <v>263.02999999999997</v>
      </c>
      <c r="C1522" s="2">
        <f t="shared" ca="1" si="5"/>
        <v>1.4932860009260486E-2</v>
      </c>
    </row>
    <row r="1523" spans="1:3">
      <c r="A1523" s="3">
        <f ca="1">IFERROR(__xludf.UNSUPPORTED("""COMPUTED_VALUE"""),45679.6666666666)</f>
        <v>45679.666666666599</v>
      </c>
      <c r="B1523" s="1">
        <f ca="1">IFERROR(__xludf.UNSUPPORTED("""COMPUTED_VALUE"""),262.84)</f>
        <v>262.83999999999997</v>
      </c>
      <c r="C1523" s="2">
        <f t="shared" ca="1" si="5"/>
        <v>-7.2235106261642299E-4</v>
      </c>
    </row>
    <row r="1524" spans="1:3">
      <c r="A1524" s="3">
        <f ca="1">IFERROR(__xludf.UNSUPPORTED("""COMPUTED_VALUE"""),45680.6666666666)</f>
        <v>45680.666666666599</v>
      </c>
      <c r="B1524" s="1">
        <f ca="1">IFERROR(__xludf.UNSUPPORTED("""COMPUTED_VALUE"""),265.95)</f>
        <v>265.95</v>
      </c>
      <c r="C1524" s="2">
        <f t="shared" ca="1" si="5"/>
        <v>1.1832293410439865E-2</v>
      </c>
    </row>
    <row r="1525" spans="1:3">
      <c r="A1525" s="3">
        <f ca="1">IFERROR(__xludf.UNSUPPORTED("""COMPUTED_VALUE"""),45681.6666666666)</f>
        <v>45681.666666666599</v>
      </c>
      <c r="B1525" s="1">
        <f ca="1">IFERROR(__xludf.UNSUPPORTED("""COMPUTED_VALUE"""),264.84)</f>
        <v>264.83999999999997</v>
      </c>
      <c r="C1525" s="2">
        <f t="shared" ca="1" si="5"/>
        <v>-4.1737168640722452E-3</v>
      </c>
    </row>
    <row r="1526" spans="1:3">
      <c r="A1526" s="3">
        <f ca="1">IFERROR(__xludf.UNSUPPORTED("""COMPUTED_VALUE"""),45684.6666666666)</f>
        <v>45684.666666666599</v>
      </c>
      <c r="B1526" s="1">
        <f ca="1">IFERROR(__xludf.UNSUPPORTED("""COMPUTED_VALUE"""),265.85)</f>
        <v>265.85000000000002</v>
      </c>
      <c r="C1526" s="2">
        <f t="shared" ca="1" si="5"/>
        <v>3.8136233197404012E-3</v>
      </c>
    </row>
    <row r="1527" spans="1:3">
      <c r="A1527" s="3">
        <f ca="1">IFERROR(__xludf.UNSUPPORTED("""COMPUTED_VALUE"""),45685.6666666666)</f>
        <v>45685.666666666599</v>
      </c>
      <c r="B1527" s="1">
        <f ca="1">IFERROR(__xludf.UNSUPPORTED("""COMPUTED_VALUE"""),267.14)</f>
        <v>267.14</v>
      </c>
      <c r="C1527" s="2">
        <f t="shared" ca="1" si="5"/>
        <v>4.85236035358271E-3</v>
      </c>
    </row>
    <row r="1528" spans="1:3">
      <c r="A1528" s="3">
        <f ca="1">IFERROR(__xludf.UNSUPPORTED("""COMPUTED_VALUE"""),45686.6666666666)</f>
        <v>45686.666666666599</v>
      </c>
      <c r="B1528" s="1">
        <f ca="1">IFERROR(__xludf.UNSUPPORTED("""COMPUTED_VALUE"""),266.58)</f>
        <v>266.58</v>
      </c>
      <c r="C1528" s="2">
        <f t="shared" ca="1" si="5"/>
        <v>-2.0962791045893627E-3</v>
      </c>
    </row>
    <row r="1529" spans="1:3">
      <c r="A1529" s="3">
        <f ca="1">IFERROR(__xludf.UNSUPPORTED("""COMPUTED_VALUE"""),45687.6666666666)</f>
        <v>45687.666666666599</v>
      </c>
      <c r="B1529" s="1">
        <f ca="1">IFERROR(__xludf.UNSUPPORTED("""COMPUTED_VALUE"""),268.23)</f>
        <v>268.23</v>
      </c>
      <c r="C1529" s="2">
        <f t="shared" ca="1" si="5"/>
        <v>6.1895115912672903E-3</v>
      </c>
    </row>
    <row r="1530" spans="1:3">
      <c r="A1530" s="3">
        <f ca="1">IFERROR(__xludf.UNSUPPORTED("""COMPUTED_VALUE"""),45688.6666666666)</f>
        <v>45688.666666666599</v>
      </c>
      <c r="B1530" s="1">
        <f ca="1">IFERROR(__xludf.UNSUPPORTED("""COMPUTED_VALUE"""),267.3)</f>
        <v>267.3</v>
      </c>
      <c r="C1530" s="2">
        <f t="shared" ca="1" si="5"/>
        <v>-3.4671736942176743E-3</v>
      </c>
    </row>
    <row r="1531" spans="1:3">
      <c r="A1531" s="3">
        <f ca="1">IFERROR(__xludf.UNSUPPORTED("""COMPUTED_VALUE"""),45691.6666666666)</f>
        <v>45691.666666666599</v>
      </c>
      <c r="B1531" s="1">
        <f ca="1">IFERROR(__xludf.UNSUPPORTED("""COMPUTED_VALUE"""),266.81)</f>
        <v>266.81</v>
      </c>
      <c r="C1531" s="2">
        <f t="shared" ca="1" si="5"/>
        <v>-1.8331462775907561E-3</v>
      </c>
    </row>
    <row r="1532" spans="1:3">
      <c r="A1532" s="3">
        <f ca="1">IFERROR(__xludf.UNSUPPORTED("""COMPUTED_VALUE"""),45692.6666666666)</f>
        <v>45692.666666666599</v>
      </c>
      <c r="B1532" s="1">
        <f ca="1">IFERROR(__xludf.UNSUPPORTED("""COMPUTED_VALUE"""),267.94)</f>
        <v>267.94</v>
      </c>
      <c r="C1532" s="2">
        <f t="shared" ca="1" si="5"/>
        <v>4.2352235673325418E-3</v>
      </c>
    </row>
    <row r="1533" spans="1:3">
      <c r="A1533" s="3">
        <f ca="1">IFERROR(__xludf.UNSUPPORTED("""COMPUTED_VALUE"""),45693.6666666666)</f>
        <v>45693.666666666599</v>
      </c>
      <c r="B1533" s="1">
        <f ca="1">IFERROR(__xludf.UNSUPPORTED("""COMPUTED_VALUE"""),270.43)</f>
        <v>270.43</v>
      </c>
      <c r="C1533" s="2">
        <f t="shared" ref="C1533:C1773" ca="1" si="6">(B1533-B1532)/B1532</f>
        <v>9.2931253265656835E-3</v>
      </c>
    </row>
    <row r="1534" spans="1:3">
      <c r="A1534" s="3">
        <f ca="1">IFERROR(__xludf.UNSUPPORTED("""COMPUTED_VALUE"""),45694.6666666666)</f>
        <v>45694.666666666599</v>
      </c>
      <c r="B1534" s="1">
        <f ca="1">IFERROR(__xludf.UNSUPPORTED("""COMPUTED_VALUE"""),276.9)</f>
        <v>276.89999999999998</v>
      </c>
      <c r="C1534" s="2">
        <f t="shared" ca="1" si="6"/>
        <v>2.3924860407499058E-2</v>
      </c>
    </row>
    <row r="1535" spans="1:3">
      <c r="A1535" s="3">
        <f ca="1">IFERROR(__xludf.UNSUPPORTED("""COMPUTED_VALUE"""),45695.6666666666)</f>
        <v>45695.666666666599</v>
      </c>
      <c r="B1535" s="1">
        <f ca="1">IFERROR(__xludf.UNSUPPORTED("""COMPUTED_VALUE"""),275.8)</f>
        <v>275.8</v>
      </c>
      <c r="C1535" s="2">
        <f t="shared" ca="1" si="6"/>
        <v>-3.9725532683277933E-3</v>
      </c>
    </row>
    <row r="1536" spans="1:3">
      <c r="A1536" s="3">
        <f ca="1">IFERROR(__xludf.UNSUPPORTED("""COMPUTED_VALUE"""),45698.6666666666)</f>
        <v>45698.666666666599</v>
      </c>
      <c r="B1536" s="1">
        <f ca="1">IFERROR(__xludf.UNSUPPORTED("""COMPUTED_VALUE"""),271.04)</f>
        <v>271.04000000000002</v>
      </c>
      <c r="C1536" s="2">
        <f t="shared" ca="1" si="6"/>
        <v>-1.7258883248730931E-2</v>
      </c>
    </row>
    <row r="1537" spans="1:3">
      <c r="A1537" s="3">
        <f ca="1">IFERROR(__xludf.UNSUPPORTED("""COMPUTED_VALUE"""),45699.6666666666)</f>
        <v>45699.666666666599</v>
      </c>
      <c r="B1537" s="1">
        <f ca="1">IFERROR(__xludf.UNSUPPORTED("""COMPUTED_VALUE"""),274.99)</f>
        <v>274.99</v>
      </c>
      <c r="C1537" s="2">
        <f t="shared" ca="1" si="6"/>
        <v>1.4573494687131008E-2</v>
      </c>
    </row>
    <row r="1538" spans="1:3">
      <c r="A1538" s="3">
        <f ca="1">IFERROR(__xludf.UNSUPPORTED("""COMPUTED_VALUE"""),45700.6666666666)</f>
        <v>45700.666666666599</v>
      </c>
      <c r="B1538" s="1">
        <f ca="1">IFERROR(__xludf.UNSUPPORTED("""COMPUTED_VALUE"""),275.45)</f>
        <v>275.45</v>
      </c>
      <c r="C1538" s="2">
        <f t="shared" ca="1" si="6"/>
        <v>1.6727881013854304E-3</v>
      </c>
    </row>
    <row r="1539" spans="1:3">
      <c r="A1539" s="3">
        <f ca="1">IFERROR(__xludf.UNSUPPORTED("""COMPUTED_VALUE"""),45701.6666666666)</f>
        <v>45701.666666666599</v>
      </c>
      <c r="B1539" s="1">
        <f ca="1">IFERROR(__xludf.UNSUPPORTED("""COMPUTED_VALUE"""),276.32)</f>
        <v>276.32</v>
      </c>
      <c r="C1539" s="2">
        <f t="shared" ca="1" si="6"/>
        <v>3.1584679615175334E-3</v>
      </c>
    </row>
    <row r="1540" spans="1:3">
      <c r="A1540" s="3">
        <f ca="1">IFERROR(__xludf.UNSUPPORTED("""COMPUTED_VALUE"""),45702.6666666666)</f>
        <v>45702.666666666599</v>
      </c>
      <c r="B1540" s="1">
        <f ca="1">IFERROR(__xludf.UNSUPPORTED("""COMPUTED_VALUE"""),276.59)</f>
        <v>276.58999999999997</v>
      </c>
      <c r="C1540" s="2">
        <f t="shared" ca="1" si="6"/>
        <v>9.7712796757376172E-4</v>
      </c>
    </row>
    <row r="1541" spans="1:3">
      <c r="A1541" s="3">
        <f ca="1">IFERROR(__xludf.UNSUPPORTED("""COMPUTED_VALUE"""),45706.6666666666)</f>
        <v>45706.666666666599</v>
      </c>
      <c r="B1541" s="1">
        <f ca="1">IFERROR(__xludf.UNSUPPORTED("""COMPUTED_VALUE"""),279.95)</f>
        <v>279.95</v>
      </c>
      <c r="C1541" s="2">
        <f t="shared" ca="1" si="6"/>
        <v>1.214794461115736E-2</v>
      </c>
    </row>
    <row r="1542" spans="1:3">
      <c r="A1542" s="3">
        <f ca="1">IFERROR(__xludf.UNSUPPORTED("""COMPUTED_VALUE"""),45707.6666666666)</f>
        <v>45707.666666666599</v>
      </c>
      <c r="B1542" s="1">
        <f ca="1">IFERROR(__xludf.UNSUPPORTED("""COMPUTED_VALUE"""),279.25)</f>
        <v>279.25</v>
      </c>
      <c r="C1542" s="2">
        <f t="shared" ca="1" si="6"/>
        <v>-2.5004465083050139E-3</v>
      </c>
    </row>
    <row r="1543" spans="1:3">
      <c r="A1543" s="3">
        <f ca="1">IFERROR(__xludf.UNSUPPORTED("""COMPUTED_VALUE"""),45708.6666666666)</f>
        <v>45708.666666666599</v>
      </c>
      <c r="B1543" s="1">
        <f ca="1">IFERROR(__xludf.UNSUPPORTED("""COMPUTED_VALUE"""),266.8)</f>
        <v>266.8</v>
      </c>
      <c r="C1543" s="2">
        <f t="shared" ca="1" si="6"/>
        <v>-4.4583706356311509E-2</v>
      </c>
    </row>
    <row r="1544" spans="1:3">
      <c r="A1544" s="3">
        <f ca="1">IFERROR(__xludf.UNSUPPORTED("""COMPUTED_VALUE"""),45709.6666666666)</f>
        <v>45709.666666666599</v>
      </c>
      <c r="B1544" s="1">
        <f ca="1">IFERROR(__xludf.UNSUPPORTED("""COMPUTED_VALUE"""),264.24)</f>
        <v>264.24</v>
      </c>
      <c r="C1544" s="2">
        <f t="shared" ca="1" si="6"/>
        <v>-9.5952023988006077E-3</v>
      </c>
    </row>
    <row r="1545" spans="1:3">
      <c r="A1545" s="3">
        <f ca="1">IFERROR(__xludf.UNSUPPORTED("""COMPUTED_VALUE"""),45712.6666666666)</f>
        <v>45712.666666666599</v>
      </c>
      <c r="B1545" s="1">
        <f ca="1">IFERROR(__xludf.UNSUPPORTED("""COMPUTED_VALUE"""),261.34)</f>
        <v>261.33999999999997</v>
      </c>
      <c r="C1545" s="2">
        <f t="shared" ca="1" si="6"/>
        <v>-1.0974871329094891E-2</v>
      </c>
    </row>
    <row r="1546" spans="1:3">
      <c r="A1546" s="3">
        <f ca="1">IFERROR(__xludf.UNSUPPORTED("""COMPUTED_VALUE"""),45713.6666666666)</f>
        <v>45713.666666666599</v>
      </c>
      <c r="B1546" s="1">
        <f ca="1">IFERROR(__xludf.UNSUPPORTED("""COMPUTED_VALUE"""),257.4)</f>
        <v>257.39999999999998</v>
      </c>
      <c r="C1546" s="2">
        <f t="shared" ca="1" si="6"/>
        <v>-1.507614601668324E-2</v>
      </c>
    </row>
    <row r="1547" spans="1:3">
      <c r="A1547" s="3">
        <f ca="1">IFERROR(__xludf.UNSUPPORTED("""COMPUTED_VALUE"""),45714.6666666666)</f>
        <v>45714.666666666599</v>
      </c>
      <c r="B1547" s="1">
        <f ca="1">IFERROR(__xludf.UNSUPPORTED("""COMPUTED_VALUE"""),258.79)</f>
        <v>258.79000000000002</v>
      </c>
      <c r="C1547" s="2">
        <f t="shared" ca="1" si="6"/>
        <v>5.4001554001555686E-3</v>
      </c>
    </row>
    <row r="1548" spans="1:3">
      <c r="A1548" s="3">
        <f ca="1">IFERROR(__xludf.UNSUPPORTED("""COMPUTED_VALUE"""),45715.6666666666)</f>
        <v>45715.666666666599</v>
      </c>
      <c r="B1548" s="1">
        <f ca="1">IFERROR(__xludf.UNSUPPORTED("""COMPUTED_VALUE"""),259.05)</f>
        <v>259.05</v>
      </c>
      <c r="C1548" s="2">
        <f t="shared" ca="1" si="6"/>
        <v>1.004675605703431E-3</v>
      </c>
    </row>
    <row r="1549" spans="1:3">
      <c r="A1549" s="3">
        <f ca="1">IFERROR(__xludf.UNSUPPORTED("""COMPUTED_VALUE"""),45716.6666666666)</f>
        <v>45716.666666666599</v>
      </c>
      <c r="B1549" s="1">
        <f ca="1">IFERROR(__xludf.UNSUPPORTED("""COMPUTED_VALUE"""),264.65)</f>
        <v>264.64999999999998</v>
      </c>
      <c r="C1549" s="2">
        <f t="shared" ca="1" si="6"/>
        <v>2.1617448369040594E-2</v>
      </c>
    </row>
    <row r="1550" spans="1:3">
      <c r="A1550" s="3">
        <f ca="1">IFERROR(__xludf.UNSUPPORTED("""COMPUTED_VALUE"""),45719.6666666666)</f>
        <v>45719.666666666599</v>
      </c>
      <c r="B1550" s="1">
        <f ca="1">IFERROR(__xludf.UNSUPPORTED("""COMPUTED_VALUE"""),260.62)</f>
        <v>260.62</v>
      </c>
      <c r="C1550" s="2">
        <f t="shared" ca="1" si="6"/>
        <v>-1.5227659172491869E-2</v>
      </c>
    </row>
    <row r="1551" spans="1:3">
      <c r="A1551" s="3">
        <f ca="1">IFERROR(__xludf.UNSUPPORTED("""COMPUTED_VALUE"""),45720.6666666666)</f>
        <v>45720.666666666599</v>
      </c>
      <c r="B1551" s="1">
        <f ca="1">IFERROR(__xludf.UNSUPPORTED("""COMPUTED_VALUE"""),250.25)</f>
        <v>250.25</v>
      </c>
      <c r="C1551" s="2">
        <f t="shared" ca="1" si="6"/>
        <v>-3.9789732177116122E-2</v>
      </c>
    </row>
    <row r="1552" spans="1:3">
      <c r="A1552" s="3">
        <f ca="1">IFERROR(__xludf.UNSUPPORTED("""COMPUTED_VALUE"""),45721.6666666666)</f>
        <v>45721.666666666599</v>
      </c>
      <c r="B1552" s="1">
        <f ca="1">IFERROR(__xludf.UNSUPPORTED("""COMPUTED_VALUE"""),251.53)</f>
        <v>251.53</v>
      </c>
      <c r="C1552" s="2">
        <f t="shared" ca="1" si="6"/>
        <v>5.1148851148851192E-3</v>
      </c>
    </row>
    <row r="1553" spans="1:3">
      <c r="A1553" s="3">
        <f ca="1">IFERROR(__xludf.UNSUPPORTED("""COMPUTED_VALUE"""),45722.6666666666)</f>
        <v>45722.666666666599</v>
      </c>
      <c r="B1553" s="1">
        <f ca="1">IFERROR(__xludf.UNSUPPORTED("""COMPUTED_VALUE"""),246.54)</f>
        <v>246.54</v>
      </c>
      <c r="C1553" s="2">
        <f t="shared" ca="1" si="6"/>
        <v>-1.9838587842404519E-2</v>
      </c>
    </row>
    <row r="1554" spans="1:3">
      <c r="A1554" s="3">
        <f ca="1">IFERROR(__xludf.UNSUPPORTED("""COMPUTED_VALUE"""),45723.6666666666)</f>
        <v>45723.666666666599</v>
      </c>
      <c r="B1554" s="1">
        <f ca="1">IFERROR(__xludf.UNSUPPORTED("""COMPUTED_VALUE"""),242.28)</f>
        <v>242.28</v>
      </c>
      <c r="C1554" s="2">
        <f t="shared" ca="1" si="6"/>
        <v>-1.7279143343879252E-2</v>
      </c>
    </row>
    <row r="1555" spans="1:3">
      <c r="A1555" s="3">
        <f ca="1">IFERROR(__xludf.UNSUPPORTED("""COMPUTED_VALUE"""),45726.6666666666)</f>
        <v>45726.666666666599</v>
      </c>
      <c r="B1555" s="1">
        <f ca="1">IFERROR(__xludf.UNSUPPORTED("""COMPUTED_VALUE"""),232.22)</f>
        <v>232.22</v>
      </c>
      <c r="C1555" s="2">
        <f t="shared" ca="1" si="6"/>
        <v>-4.1522205712398889E-2</v>
      </c>
    </row>
    <row r="1556" spans="1:3">
      <c r="A1556" s="3">
        <f ca="1">IFERROR(__xludf.UNSUPPORTED("""COMPUTED_VALUE"""),45727.6666666666)</f>
        <v>45727.666666666599</v>
      </c>
      <c r="B1556" s="1">
        <f ca="1">IFERROR(__xludf.UNSUPPORTED("""COMPUTED_VALUE"""),229.14)</f>
        <v>229.14</v>
      </c>
      <c r="C1556" s="2">
        <f t="shared" ca="1" si="6"/>
        <v>-1.3263284816122696E-2</v>
      </c>
    </row>
    <row r="1557" spans="1:3">
      <c r="A1557" s="3">
        <f ca="1">IFERROR(__xludf.UNSUPPORTED("""COMPUTED_VALUE"""),45728.6666666666)</f>
        <v>45728.666666666599</v>
      </c>
      <c r="B1557" s="1">
        <f ca="1">IFERROR(__xludf.UNSUPPORTED("""COMPUTED_VALUE"""),227.9)</f>
        <v>227.9</v>
      </c>
      <c r="C1557" s="2">
        <f t="shared" ca="1" si="6"/>
        <v>-5.4115387972417765E-3</v>
      </c>
    </row>
    <row r="1558" spans="1:3">
      <c r="A1558" s="3">
        <f ca="1">IFERROR(__xludf.UNSUPPORTED("""COMPUTED_VALUE"""),45729.6666666666)</f>
        <v>45729.666666666599</v>
      </c>
      <c r="B1558" s="1">
        <f ca="1">IFERROR(__xludf.UNSUPPORTED("""COMPUTED_VALUE"""),225.19)</f>
        <v>225.19</v>
      </c>
      <c r="C1558" s="2">
        <f t="shared" ca="1" si="6"/>
        <v>-1.1891180342255409E-2</v>
      </c>
    </row>
    <row r="1559" spans="1:3">
      <c r="A1559" s="3">
        <f ca="1">IFERROR(__xludf.UNSUPPORTED("""COMPUTED_VALUE"""),45730.6666666666)</f>
        <v>45730.666666666599</v>
      </c>
      <c r="B1559" s="1">
        <f ca="1">IFERROR(__xludf.UNSUPPORTED("""COMPUTED_VALUE"""),232.44)</f>
        <v>232.44</v>
      </c>
      <c r="C1559" s="2">
        <f t="shared" ca="1" si="6"/>
        <v>3.2195035303521469E-2</v>
      </c>
    </row>
    <row r="1560" spans="1:3">
      <c r="A1560" s="3">
        <f ca="1">IFERROR(__xludf.UNSUPPORTED("""COMPUTED_VALUE"""),45733.6666666666)</f>
        <v>45733.666666666599</v>
      </c>
      <c r="B1560" s="1">
        <f ca="1">IFERROR(__xludf.UNSUPPORTED("""COMPUTED_VALUE"""),233.93)</f>
        <v>233.93</v>
      </c>
      <c r="C1560" s="2">
        <f t="shared" ca="1" si="6"/>
        <v>6.4102564102564491E-3</v>
      </c>
    </row>
    <row r="1561" spans="1:3">
      <c r="A1561" s="3">
        <f ca="1">IFERROR(__xludf.UNSUPPORTED("""COMPUTED_VALUE"""),45734.6666666666)</f>
        <v>45734.666666666599</v>
      </c>
      <c r="B1561" s="1">
        <f ca="1">IFERROR(__xludf.UNSUPPORTED("""COMPUTED_VALUE"""),234.97)</f>
        <v>234.97</v>
      </c>
      <c r="C1561" s="2">
        <f t="shared" ca="1" si="6"/>
        <v>4.445774376950336E-3</v>
      </c>
    </row>
    <row r="1562" spans="1:3">
      <c r="A1562" s="3">
        <f ca="1">IFERROR(__xludf.UNSUPPORTED("""COMPUTED_VALUE"""),45735.6666666666)</f>
        <v>45735.666666666599</v>
      </c>
      <c r="B1562" s="1">
        <f ca="1">IFERROR(__xludf.UNSUPPORTED("""COMPUTED_VALUE"""),239.11)</f>
        <v>239.11</v>
      </c>
      <c r="C1562" s="2">
        <f t="shared" ca="1" si="6"/>
        <v>1.7619270545176043E-2</v>
      </c>
    </row>
    <row r="1563" spans="1:3">
      <c r="A1563" s="3">
        <f ca="1">IFERROR(__xludf.UNSUPPORTED("""COMPUTED_VALUE"""),45736.6666666666)</f>
        <v>45736.666666666599</v>
      </c>
      <c r="B1563" s="1">
        <f ca="1">IFERROR(__xludf.UNSUPPORTED("""COMPUTED_VALUE"""),239.01)</f>
        <v>239.01</v>
      </c>
      <c r="C1563" s="2">
        <f t="shared" ca="1" si="6"/>
        <v>-4.1821755677312839E-4</v>
      </c>
    </row>
    <row r="1564" spans="1:3">
      <c r="A1564" s="3">
        <f ca="1">IFERROR(__xludf.UNSUPPORTED("""COMPUTED_VALUE"""),45737.6666666666)</f>
        <v>45737.666666666599</v>
      </c>
      <c r="B1564" s="1">
        <f ca="1">IFERROR(__xludf.UNSUPPORTED("""COMPUTED_VALUE"""),241.63)</f>
        <v>241.63</v>
      </c>
      <c r="C1564" s="2">
        <f t="shared" ca="1" si="6"/>
        <v>1.096188443998161E-2</v>
      </c>
    </row>
    <row r="1565" spans="1:3">
      <c r="A1565" s="3">
        <f ca="1">IFERROR(__xludf.UNSUPPORTED("""COMPUTED_VALUE"""),45740.6666666666)</f>
        <v>45740.666666666599</v>
      </c>
      <c r="B1565" s="1">
        <f ca="1">IFERROR(__xludf.UNSUPPORTED("""COMPUTED_VALUE"""),248.06)</f>
        <v>248.06</v>
      </c>
      <c r="C1565" s="2">
        <f t="shared" ca="1" si="6"/>
        <v>2.6610934072755894E-2</v>
      </c>
    </row>
    <row r="1566" spans="1:3">
      <c r="A1566" s="3">
        <f ca="1">IFERROR(__xludf.UNSUPPORTED("""COMPUTED_VALUE"""),45741.6666666666)</f>
        <v>45741.666666666599</v>
      </c>
      <c r="B1566" s="1">
        <f ca="1">IFERROR(__xludf.UNSUPPORTED("""COMPUTED_VALUE"""),251.13)</f>
        <v>251.13</v>
      </c>
      <c r="C1566" s="2">
        <f t="shared" ca="1" si="6"/>
        <v>1.2376038055309171E-2</v>
      </c>
    </row>
    <row r="1567" spans="1:3">
      <c r="A1567" s="3">
        <f ca="1">IFERROR(__xludf.UNSUPPORTED("""COMPUTED_VALUE"""),45742.6666666666)</f>
        <v>45742.666666666599</v>
      </c>
      <c r="B1567" s="1">
        <f ca="1">IFERROR(__xludf.UNSUPPORTED("""COMPUTED_VALUE"""),251.03)</f>
        <v>251.03</v>
      </c>
      <c r="C1567" s="2">
        <f t="shared" ca="1" si="6"/>
        <v>-3.9820013538802341E-4</v>
      </c>
    </row>
    <row r="1568" spans="1:3">
      <c r="A1568" s="3">
        <f ca="1">IFERROR(__xludf.UNSUPPORTED("""COMPUTED_VALUE"""),45743.6666666666)</f>
        <v>45743.666666666599</v>
      </c>
      <c r="B1568" s="1">
        <f ca="1">IFERROR(__xludf.UNSUPPORTED("""COMPUTED_VALUE"""),248.12)</f>
        <v>248.12</v>
      </c>
      <c r="C1568" s="2">
        <f t="shared" ca="1" si="6"/>
        <v>-1.1592239971318155E-2</v>
      </c>
    </row>
    <row r="1569" spans="1:3">
      <c r="A1569" s="3">
        <f ca="1">IFERROR(__xludf.UNSUPPORTED("""COMPUTED_VALUE"""),45744.6666666666)</f>
        <v>45744.666666666599</v>
      </c>
      <c r="B1569" s="1">
        <f ca="1">IFERROR(__xludf.UNSUPPORTED("""COMPUTED_VALUE"""),242.85)</f>
        <v>242.85</v>
      </c>
      <c r="C1569" s="2">
        <f t="shared" ca="1" si="6"/>
        <v>-2.1239722714815452E-2</v>
      </c>
    </row>
    <row r="1570" spans="1:3">
      <c r="A1570" s="3">
        <f ca="1">IFERROR(__xludf.UNSUPPORTED("""COMPUTED_VALUE"""),45747.6666666666)</f>
        <v>45747.666666666599</v>
      </c>
      <c r="B1570" s="1">
        <f ca="1">IFERROR(__xludf.UNSUPPORTED("""COMPUTED_VALUE"""),245.3)</f>
        <v>245.3</v>
      </c>
      <c r="C1570" s="2">
        <f t="shared" ca="1" si="6"/>
        <v>1.008853201564759E-2</v>
      </c>
    </row>
    <row r="1571" spans="1:3">
      <c r="A1571" s="3">
        <f ca="1">IFERROR(__xludf.UNSUPPORTED("""COMPUTED_VALUE"""),45748.6666666666)</f>
        <v>45748.666666666599</v>
      </c>
      <c r="B1571" s="1">
        <f ca="1">IFERROR(__xludf.UNSUPPORTED("""COMPUTED_VALUE"""),243.66)</f>
        <v>243.66</v>
      </c>
      <c r="C1571" s="2">
        <f t="shared" ca="1" si="6"/>
        <v>-6.6856909906237863E-3</v>
      </c>
    </row>
    <row r="1572" spans="1:3">
      <c r="A1572" s="3">
        <f ca="1">IFERROR(__xludf.UNSUPPORTED("""COMPUTED_VALUE"""),45749.6666666666)</f>
        <v>45749.666666666599</v>
      </c>
      <c r="B1572" s="1">
        <f ca="1">IFERROR(__xludf.UNSUPPORTED("""COMPUTED_VALUE"""),245.82)</f>
        <v>245.82</v>
      </c>
      <c r="C1572" s="2">
        <f t="shared" ca="1" si="6"/>
        <v>8.8648116227530022E-3</v>
      </c>
    </row>
    <row r="1573" spans="1:3">
      <c r="A1573" s="3">
        <f ca="1">IFERROR(__xludf.UNSUPPORTED("""COMPUTED_VALUE"""),45750.6666666666)</f>
        <v>45750.666666666599</v>
      </c>
      <c r="B1573" s="1">
        <f ca="1">IFERROR(__xludf.UNSUPPORTED("""COMPUTED_VALUE"""),228.69)</f>
        <v>228.69</v>
      </c>
      <c r="C1573" s="2">
        <f t="shared" ca="1" si="6"/>
        <v>-6.968513546497436E-2</v>
      </c>
    </row>
    <row r="1574" spans="1:3">
      <c r="A1574" s="3">
        <f ca="1">IFERROR(__xludf.UNSUPPORTED("""COMPUTED_VALUE"""),45751.6666666666)</f>
        <v>45751.666666666599</v>
      </c>
      <c r="B1574" s="1">
        <f ca="1">IFERROR(__xludf.UNSUPPORTED("""COMPUTED_VALUE"""),210.28)</f>
        <v>210.28</v>
      </c>
      <c r="C1574" s="2">
        <f t="shared" ca="1" si="6"/>
        <v>-8.0501989592898671E-2</v>
      </c>
    </row>
    <row r="1575" spans="1:3">
      <c r="A1575" s="3">
        <f ca="1">IFERROR(__xludf.UNSUPPORTED("""COMPUTED_VALUE"""),45754.6666666666)</f>
        <v>45754.666666666599</v>
      </c>
      <c r="B1575" s="1">
        <f ca="1">IFERROR(__xludf.UNSUPPORTED("""COMPUTED_VALUE"""),214.44)</f>
        <v>214.44</v>
      </c>
      <c r="C1575" s="2">
        <f t="shared" ca="1" si="6"/>
        <v>1.9783146281148929E-2</v>
      </c>
    </row>
    <row r="1576" spans="1:3">
      <c r="A1576" s="3">
        <f ca="1">IFERROR(__xludf.UNSUPPORTED("""COMPUTED_VALUE"""),45755.6666666666)</f>
        <v>45755.666666666599</v>
      </c>
      <c r="B1576" s="1">
        <f ca="1">IFERROR(__xludf.UNSUPPORTED("""COMPUTED_VALUE"""),216.87)</f>
        <v>216.87</v>
      </c>
      <c r="C1576" s="2">
        <f t="shared" ca="1" si="6"/>
        <v>1.1331841074426445E-2</v>
      </c>
    </row>
    <row r="1577" spans="1:3">
      <c r="A1577" s="3">
        <f ca="1">IFERROR(__xludf.UNSUPPORTED("""COMPUTED_VALUE"""),45756.6666666666)</f>
        <v>45756.666666666599</v>
      </c>
      <c r="B1577" s="1">
        <f ca="1">IFERROR(__xludf.UNSUPPORTED("""COMPUTED_VALUE"""),234.34)</f>
        <v>234.34</v>
      </c>
      <c r="C1577" s="2">
        <f t="shared" ca="1" si="6"/>
        <v>8.0555171300779257E-2</v>
      </c>
    </row>
    <row r="1578" spans="1:3">
      <c r="A1578" s="3">
        <f ca="1">IFERROR(__xludf.UNSUPPORTED("""COMPUTED_VALUE"""),45757.6666666666)</f>
        <v>45757.666666666599</v>
      </c>
      <c r="B1578" s="1">
        <f ca="1">IFERROR(__xludf.UNSUPPORTED("""COMPUTED_VALUE"""),227.11)</f>
        <v>227.11</v>
      </c>
      <c r="C1578" s="2">
        <f t="shared" ca="1" si="6"/>
        <v>-3.0852607322693477E-2</v>
      </c>
    </row>
    <row r="1579" spans="1:3">
      <c r="A1579" s="3">
        <f ca="1">IFERROR(__xludf.UNSUPPORTED("""COMPUTED_VALUE"""),45758.6666666666)</f>
        <v>45758.666666666599</v>
      </c>
      <c r="B1579" s="1">
        <f ca="1">IFERROR(__xludf.UNSUPPORTED("""COMPUTED_VALUE"""),236.2)</f>
        <v>236.2</v>
      </c>
      <c r="C1579" s="2">
        <f t="shared" ca="1" si="6"/>
        <v>4.002465765488078E-2</v>
      </c>
    </row>
    <row r="1580" spans="1:3">
      <c r="A1580" s="3">
        <f ca="1">IFERROR(__xludf.UNSUPPORTED("""COMPUTED_VALUE"""),45761.6666666666)</f>
        <v>45761.666666666599</v>
      </c>
      <c r="B1580" s="1">
        <f ca="1">IFERROR(__xludf.UNSUPPORTED("""COMPUTED_VALUE"""),234.72)</f>
        <v>234.72</v>
      </c>
      <c r="C1580" s="2">
        <f t="shared" ca="1" si="6"/>
        <v>-6.2658763759525391E-3</v>
      </c>
    </row>
    <row r="1581" spans="1:3">
      <c r="A1581" s="3">
        <f ca="1">IFERROR(__xludf.UNSUPPORTED("""COMPUTED_VALUE"""),45762.6666666666)</f>
        <v>45762.666666666599</v>
      </c>
      <c r="B1581" s="1">
        <f ca="1">IFERROR(__xludf.UNSUPPORTED("""COMPUTED_VALUE"""),233.13)</f>
        <v>233.13</v>
      </c>
      <c r="C1581" s="2">
        <f t="shared" ca="1" si="6"/>
        <v>-6.7740286298568651E-3</v>
      </c>
    </row>
    <row r="1582" spans="1:3">
      <c r="A1582" s="3">
        <f ca="1">IFERROR(__xludf.UNSUPPORTED("""COMPUTED_VALUE"""),45763.6666666666)</f>
        <v>45763.666666666599</v>
      </c>
      <c r="B1582" s="1">
        <f ca="1">IFERROR(__xludf.UNSUPPORTED("""COMPUTED_VALUE"""),229.61)</f>
        <v>229.61</v>
      </c>
      <c r="C1582" s="2">
        <f t="shared" ca="1" si="6"/>
        <v>-1.5098871874061604E-2</v>
      </c>
    </row>
    <row r="1583" spans="1:3">
      <c r="A1583" s="3">
        <f ca="1">IFERROR(__xludf.UNSUPPORTED("""COMPUTED_VALUE"""),45764.6666666666)</f>
        <v>45764.666666666599</v>
      </c>
      <c r="B1583" s="1">
        <f ca="1">IFERROR(__xludf.UNSUPPORTED("""COMPUTED_VALUE"""),231.96)</f>
        <v>231.96</v>
      </c>
      <c r="C1583" s="2">
        <f t="shared" ca="1" si="6"/>
        <v>1.0234745873437543E-2</v>
      </c>
    </row>
    <row r="1584" spans="1:3">
      <c r="A1584" s="3">
        <f ca="1">IFERROR(__xludf.UNSUPPORTED("""COMPUTED_VALUE"""),45768.6666666666)</f>
        <v>45768.666666666599</v>
      </c>
      <c r="B1584" s="1">
        <f ca="1">IFERROR(__xludf.UNSUPPORTED("""COMPUTED_VALUE"""),228.99)</f>
        <v>228.99</v>
      </c>
      <c r="C1584" s="2">
        <f t="shared" ca="1" si="6"/>
        <v>-1.2803931712364195E-2</v>
      </c>
    </row>
    <row r="1585" spans="1:3">
      <c r="A1585" s="3">
        <f ca="1">IFERROR(__xludf.UNSUPPORTED("""COMPUTED_VALUE"""),45769.6666666666)</f>
        <v>45769.666666666599</v>
      </c>
      <c r="B1585" s="1">
        <f ca="1">IFERROR(__xludf.UNSUPPORTED("""COMPUTED_VALUE"""),235.59)</f>
        <v>235.59</v>
      </c>
      <c r="C1585" s="2">
        <f t="shared" ca="1" si="6"/>
        <v>2.8822219310886913E-2</v>
      </c>
    </row>
    <row r="1586" spans="1:3">
      <c r="A1586" s="3">
        <f ca="1">IFERROR(__xludf.UNSUPPORTED("""COMPUTED_VALUE"""),45770.6666666666)</f>
        <v>45770.666666666599</v>
      </c>
      <c r="B1586" s="1">
        <f ca="1">IFERROR(__xludf.UNSUPPORTED("""COMPUTED_VALUE"""),240.88)</f>
        <v>240.88</v>
      </c>
      <c r="C1586" s="2">
        <f t="shared" ca="1" si="6"/>
        <v>2.2454263763317595E-2</v>
      </c>
    </row>
    <row r="1587" spans="1:3">
      <c r="A1587" s="3">
        <f ca="1">IFERROR(__xludf.UNSUPPORTED("""COMPUTED_VALUE"""),45771.6666666666)</f>
        <v>45771.666666666599</v>
      </c>
      <c r="B1587" s="1">
        <f ca="1">IFERROR(__xludf.UNSUPPORTED("""COMPUTED_VALUE"""),244.64)</f>
        <v>244.64</v>
      </c>
      <c r="C1587" s="2">
        <f t="shared" ca="1" si="6"/>
        <v>1.5609432082364625E-2</v>
      </c>
    </row>
    <row r="1588" spans="1:3">
      <c r="A1588" s="3">
        <f ca="1">IFERROR(__xludf.UNSUPPORTED("""COMPUTED_VALUE"""),45772.6666666666)</f>
        <v>45772.666666666599</v>
      </c>
      <c r="B1588" s="1">
        <f ca="1">IFERROR(__xludf.UNSUPPORTED("""COMPUTED_VALUE"""),243.55)</f>
        <v>243.55</v>
      </c>
      <c r="C1588" s="2">
        <f t="shared" ca="1" si="6"/>
        <v>-4.455526487900487E-3</v>
      </c>
    </row>
    <row r="1589" spans="1:3">
      <c r="A1589" s="3">
        <f ca="1">IFERROR(__xludf.UNSUPPORTED("""COMPUTED_VALUE"""),45775.6666666666)</f>
        <v>45775.666666666599</v>
      </c>
      <c r="B1589" s="1">
        <f ca="1">IFERROR(__xludf.UNSUPPORTED("""COMPUTED_VALUE"""),243.22)</f>
        <v>243.22</v>
      </c>
      <c r="C1589" s="2">
        <f t="shared" ca="1" si="6"/>
        <v>-1.3549579141860499E-3</v>
      </c>
    </row>
    <row r="1590" spans="1:3">
      <c r="A1590" s="3">
        <f ca="1">IFERROR(__xludf.UNSUPPORTED("""COMPUTED_VALUE"""),45776.6666666666)</f>
        <v>45776.666666666599</v>
      </c>
      <c r="B1590" s="1">
        <f ca="1">IFERROR(__xludf.UNSUPPORTED("""COMPUTED_VALUE"""),244.62)</f>
        <v>244.62</v>
      </c>
      <c r="C1590" s="2">
        <f t="shared" ca="1" si="6"/>
        <v>5.7561055834224389E-3</v>
      </c>
    </row>
    <row r="1591" spans="1:3">
      <c r="A1591" s="3">
        <f ca="1">IFERROR(__xludf.UNSUPPORTED("""COMPUTED_VALUE"""),45777.6666666666)</f>
        <v>45777.666666666599</v>
      </c>
      <c r="B1591" s="1">
        <f ca="1">IFERROR(__xludf.UNSUPPORTED("""COMPUTED_VALUE"""),244.62)</f>
        <v>244.62</v>
      </c>
      <c r="C1591" s="2">
        <f t="shared" ca="1" si="6"/>
        <v>0</v>
      </c>
    </row>
    <row r="1592" spans="1:3">
      <c r="A1592" s="3">
        <f ca="1">IFERROR(__xludf.UNSUPPORTED("""COMPUTED_VALUE"""),45778.6666666666)</f>
        <v>45778.666666666599</v>
      </c>
      <c r="B1592" s="1">
        <f ca="1">IFERROR(__xludf.UNSUPPORTED("""COMPUTED_VALUE"""),246.89)</f>
        <v>246.89</v>
      </c>
      <c r="C1592" s="2">
        <f t="shared" ca="1" si="6"/>
        <v>9.2796991251736637E-3</v>
      </c>
    </row>
    <row r="1593" spans="1:3">
      <c r="A1593" s="3">
        <f ca="1">IFERROR(__xludf.UNSUPPORTED("""COMPUTED_VALUE"""),45779.6666666666)</f>
        <v>45779.666666666599</v>
      </c>
      <c r="B1593" s="1">
        <f ca="1">IFERROR(__xludf.UNSUPPORTED("""COMPUTED_VALUE"""),252.51)</f>
        <v>252.51</v>
      </c>
      <c r="C1593" s="2">
        <f t="shared" ca="1" si="6"/>
        <v>2.2763173883105857E-2</v>
      </c>
    </row>
    <row r="1594" spans="1:3">
      <c r="A1594" s="3">
        <f ca="1">IFERROR(__xludf.UNSUPPORTED("""COMPUTED_VALUE"""),45782.6666666666)</f>
        <v>45782.666666666599</v>
      </c>
      <c r="B1594" s="1">
        <f ca="1">IFERROR(__xludf.UNSUPPORTED("""COMPUTED_VALUE"""),252.56)</f>
        <v>252.56</v>
      </c>
      <c r="C1594" s="2">
        <f t="shared" ca="1" si="6"/>
        <v>1.9801195992242434E-4</v>
      </c>
    </row>
    <row r="1595" spans="1:3">
      <c r="A1595" s="3">
        <f ca="1">IFERROR(__xludf.UNSUPPORTED("""COMPUTED_VALUE"""),45783.6666666666)</f>
        <v>45783.666666666599</v>
      </c>
      <c r="B1595" s="1">
        <f ca="1">IFERROR(__xludf.UNSUPPORTED("""COMPUTED_VALUE"""),249.25)</f>
        <v>249.25</v>
      </c>
      <c r="C1595" s="2">
        <f t="shared" ca="1" si="6"/>
        <v>-1.3105796642382017E-2</v>
      </c>
    </row>
    <row r="1596" spans="1:3">
      <c r="A1596" s="3">
        <f ca="1">IFERROR(__xludf.UNSUPPORTED("""COMPUTED_VALUE"""),45784.6666666666)</f>
        <v>45784.666666666599</v>
      </c>
      <c r="B1596" s="1">
        <f ca="1">IFERROR(__xludf.UNSUPPORTED("""COMPUTED_VALUE"""),249.39)</f>
        <v>249.39</v>
      </c>
      <c r="C1596" s="2">
        <f t="shared" ca="1" si="6"/>
        <v>5.6168505516544179E-4</v>
      </c>
    </row>
    <row r="1597" spans="1:3">
      <c r="A1597" s="3">
        <f ca="1">IFERROR(__xludf.UNSUPPORTED("""COMPUTED_VALUE"""),45785.6666666666)</f>
        <v>45785.666666666599</v>
      </c>
      <c r="B1597" s="1">
        <f ca="1">IFERROR(__xludf.UNSUPPORTED("""COMPUTED_VALUE"""),253.47)</f>
        <v>253.47</v>
      </c>
      <c r="C1597" s="2">
        <f t="shared" ca="1" si="6"/>
        <v>1.6359918200409048E-2</v>
      </c>
    </row>
    <row r="1598" spans="1:3">
      <c r="A1598" s="3">
        <f ca="1">IFERROR(__xludf.UNSUPPORTED("""COMPUTED_VALUE"""),45786.6666666666)</f>
        <v>45786.666666666599</v>
      </c>
      <c r="B1598" s="1">
        <f ca="1">IFERROR(__xludf.UNSUPPORTED("""COMPUTED_VALUE"""),253.08)</f>
        <v>253.08</v>
      </c>
      <c r="C1598" s="2">
        <f t="shared" ca="1" si="6"/>
        <v>-1.5386436264646166E-3</v>
      </c>
    </row>
    <row r="1599" spans="1:3">
      <c r="A1599" s="3">
        <f ca="1">IFERROR(__xludf.UNSUPPORTED("""COMPUTED_VALUE"""),45789.6666666666)</f>
        <v>45789.666666666599</v>
      </c>
      <c r="B1599" s="1">
        <f ca="1">IFERROR(__xludf.UNSUPPORTED("""COMPUTED_VALUE"""),260.05)</f>
        <v>260.05</v>
      </c>
      <c r="C1599" s="2">
        <f t="shared" ca="1" si="6"/>
        <v>2.7540698593330165E-2</v>
      </c>
    </row>
    <row r="1600" spans="1:3">
      <c r="A1600" s="3">
        <f ca="1">IFERROR(__xludf.UNSUPPORTED("""COMPUTED_VALUE"""),45790.6666666666)</f>
        <v>45790.666666666599</v>
      </c>
      <c r="B1600" s="1">
        <f ca="1">IFERROR(__xludf.UNSUPPORTED("""COMPUTED_VALUE"""),263.01)</f>
        <v>263.01</v>
      </c>
      <c r="C1600" s="2">
        <f t="shared" ca="1" si="6"/>
        <v>1.1382426456450604E-2</v>
      </c>
    </row>
    <row r="1601" spans="1:3">
      <c r="A1601" s="3">
        <f ca="1">IFERROR(__xludf.UNSUPPORTED("""COMPUTED_VALUE"""),45791.6666666666)</f>
        <v>45791.666666666599</v>
      </c>
      <c r="B1601" s="1">
        <f ca="1">IFERROR(__xludf.UNSUPPORTED("""COMPUTED_VALUE"""),265.64)</f>
        <v>265.64</v>
      </c>
      <c r="C1601" s="2">
        <f t="shared" ca="1" si="6"/>
        <v>9.9996197863198941E-3</v>
      </c>
    </row>
    <row r="1602" spans="1:3">
      <c r="A1602" s="3">
        <f ca="1">IFERROR(__xludf.UNSUPPORTED("""COMPUTED_VALUE"""),45792.6666666666)</f>
        <v>45792.666666666599</v>
      </c>
      <c r="B1602" s="1">
        <f ca="1">IFERROR(__xludf.UNSUPPORTED("""COMPUTED_VALUE"""),267.49)</f>
        <v>267.49</v>
      </c>
      <c r="C1602" s="2">
        <f t="shared" ca="1" si="6"/>
        <v>6.9643126035236515E-3</v>
      </c>
    </row>
    <row r="1603" spans="1:3">
      <c r="A1603" s="3">
        <f ca="1">IFERROR(__xludf.UNSUPPORTED("""COMPUTED_VALUE"""),45793.6666666666)</f>
        <v>45793.666666666599</v>
      </c>
      <c r="B1603" s="1">
        <f ca="1">IFERROR(__xludf.UNSUPPORTED("""COMPUTED_VALUE"""),267.56)</f>
        <v>267.56</v>
      </c>
      <c r="C1603" s="2">
        <f t="shared" ca="1" si="6"/>
        <v>2.616920258701005E-4</v>
      </c>
    </row>
    <row r="1604" spans="1:3">
      <c r="A1604" s="3">
        <f ca="1">IFERROR(__xludf.UNSUPPORTED("""COMPUTED_VALUE"""),45796.6666666666)</f>
        <v>45796.666666666599</v>
      </c>
      <c r="B1604" s="1">
        <f ca="1">IFERROR(__xludf.UNSUPPORTED("""COMPUTED_VALUE"""),264.88)</f>
        <v>264.88</v>
      </c>
      <c r="C1604" s="2">
        <f t="shared" ca="1" si="6"/>
        <v>-1.0016444909553023E-2</v>
      </c>
    </row>
    <row r="1605" spans="1:3">
      <c r="A1605" s="3">
        <f ca="1">IFERROR(__xludf.UNSUPPORTED("""COMPUTED_VALUE"""),45797.6666666666)</f>
        <v>45797.666666666599</v>
      </c>
      <c r="B1605" s="1">
        <f ca="1">IFERROR(__xludf.UNSUPPORTED("""COMPUTED_VALUE"""),265.68)</f>
        <v>265.68</v>
      </c>
      <c r="C1605" s="2">
        <f t="shared" ca="1" si="6"/>
        <v>3.0202355783751564E-3</v>
      </c>
    </row>
    <row r="1606" spans="1:3">
      <c r="A1606" s="3">
        <f ca="1">IFERROR(__xludf.UNSUPPORTED("""COMPUTED_VALUE"""),45798.6666666666)</f>
        <v>45798.666666666599</v>
      </c>
      <c r="B1606" s="1">
        <f ca="1">IFERROR(__xludf.UNSUPPORTED("""COMPUTED_VALUE"""),261.04)</f>
        <v>261.04000000000002</v>
      </c>
      <c r="C1606" s="2">
        <f t="shared" ca="1" si="6"/>
        <v>-1.7464619090635299E-2</v>
      </c>
    </row>
    <row r="1607" spans="1:3">
      <c r="A1607" s="3">
        <f ca="1">IFERROR(__xludf.UNSUPPORTED("""COMPUTED_VALUE"""),45799.6666666666)</f>
        <v>45799.666666666599</v>
      </c>
      <c r="B1607" s="1">
        <f ca="1">IFERROR(__xludf.UNSUPPORTED("""COMPUTED_VALUE"""),261.04)</f>
        <v>261.04000000000002</v>
      </c>
      <c r="C1607" s="2">
        <f t="shared" ca="1" si="6"/>
        <v>0</v>
      </c>
    </row>
    <row r="1608" spans="1:3">
      <c r="A1608" s="3">
        <f ca="1">IFERROR(__xludf.UNSUPPORTED("""COMPUTED_VALUE"""),45800.6666666666)</f>
        <v>45800.666666666599</v>
      </c>
      <c r="B1608" s="1">
        <f ca="1">IFERROR(__xludf.UNSUPPORTED("""COMPUTED_VALUE"""),260.71)</f>
        <v>260.70999999999998</v>
      </c>
      <c r="C1608" s="2">
        <f t="shared" ca="1" si="6"/>
        <v>-1.26417407293917E-3</v>
      </c>
    </row>
    <row r="1609" spans="1:3">
      <c r="A1609" s="3">
        <f ca="1">IFERROR(__xludf.UNSUPPORTED("""COMPUTED_VALUE"""),45804.6666666666)</f>
        <v>45804.666666666599</v>
      </c>
      <c r="B1609" s="1">
        <f ca="1">IFERROR(__xludf.UNSUPPORTED("""COMPUTED_VALUE"""),265.29)</f>
        <v>265.29000000000002</v>
      </c>
      <c r="C1609" s="2">
        <f t="shared" ca="1" si="6"/>
        <v>1.7567412067047837E-2</v>
      </c>
    </row>
    <row r="1610" spans="1:3">
      <c r="A1610" s="3">
        <f ca="1">IFERROR(__xludf.UNSUPPORTED("""COMPUTED_VALUE"""),45805.6666666666)</f>
        <v>45805.666666666599</v>
      </c>
      <c r="B1610" s="1">
        <f ca="1">IFERROR(__xludf.UNSUPPORTED("""COMPUTED_VALUE"""),263.49)</f>
        <v>263.49</v>
      </c>
      <c r="C1610" s="2">
        <f t="shared" ca="1" si="6"/>
        <v>-6.7850277055298402E-3</v>
      </c>
    </row>
    <row r="1611" spans="1:3">
      <c r="A1611" s="3">
        <f ca="1">IFERROR(__xludf.UNSUPPORTED("""COMPUTED_VALUE"""),45806.6666666666)</f>
        <v>45806.666666666599</v>
      </c>
      <c r="B1611" s="1">
        <f ca="1">IFERROR(__xludf.UNSUPPORTED("""COMPUTED_VALUE"""),264.37)</f>
        <v>264.37</v>
      </c>
      <c r="C1611" s="2">
        <f t="shared" ca="1" si="6"/>
        <v>3.3397851910888284E-3</v>
      </c>
    </row>
    <row r="1612" spans="1:3">
      <c r="A1612" s="3">
        <f ca="1">IFERROR(__xludf.UNSUPPORTED("""COMPUTED_VALUE"""),45807.6666666666)</f>
        <v>45807.666666666599</v>
      </c>
      <c r="B1612" s="1">
        <f ca="1">IFERROR(__xludf.UNSUPPORTED("""COMPUTED_VALUE"""),264)</f>
        <v>264</v>
      </c>
      <c r="C1612" s="2">
        <f t="shared" ca="1" si="6"/>
        <v>-1.3995536558611208E-3</v>
      </c>
    </row>
    <row r="1613" spans="1:3">
      <c r="A1613" s="3">
        <f ca="1">IFERROR(__xludf.UNSUPPORTED("""COMPUTED_VALUE"""),45810.6666666666)</f>
        <v>45810.666666666599</v>
      </c>
      <c r="B1613" s="1">
        <f ca="1">IFERROR(__xludf.UNSUPPORTED("""COMPUTED_VALUE"""),264.66)</f>
        <v>264.66000000000003</v>
      </c>
      <c r="C1613" s="2">
        <f t="shared" ca="1" si="6"/>
        <v>2.5000000000000946E-3</v>
      </c>
    </row>
    <row r="1614" spans="1:3">
      <c r="A1614" s="3">
        <f ca="1">IFERROR(__xludf.UNSUPPORTED("""COMPUTED_VALUE"""),45811.6666666666)</f>
        <v>45811.666666666599</v>
      </c>
      <c r="B1614" s="1">
        <f ca="1">IFERROR(__xludf.UNSUPPORTED("""COMPUTED_VALUE"""),266.27)</f>
        <v>266.27</v>
      </c>
      <c r="C1614" s="2">
        <f t="shared" ca="1" si="6"/>
        <v>6.083276656842578E-3</v>
      </c>
    </row>
    <row r="1615" spans="1:3">
      <c r="A1615" s="3">
        <f ca="1">IFERROR(__xludf.UNSUPPORTED("""COMPUTED_VALUE"""),45812.6666666666)</f>
        <v>45812.666666666599</v>
      </c>
      <c r="B1615" s="1">
        <f ca="1">IFERROR(__xludf.UNSUPPORTED("""COMPUTED_VALUE"""),264.22)</f>
        <v>264.22000000000003</v>
      </c>
      <c r="C1615" s="2">
        <f t="shared" ca="1" si="6"/>
        <v>-7.6989521913845144E-3</v>
      </c>
    </row>
    <row r="1616" spans="1:3">
      <c r="A1616" s="3">
        <f ca="1">IFERROR(__xludf.UNSUPPORTED("""COMPUTED_VALUE"""),45813.6666666666)</f>
        <v>45813.666666666599</v>
      </c>
      <c r="B1616" s="1">
        <f ca="1">IFERROR(__xludf.UNSUPPORTED("""COMPUTED_VALUE"""),261.95)</f>
        <v>261.95</v>
      </c>
      <c r="C1616" s="2">
        <f t="shared" ca="1" si="6"/>
        <v>-8.591325410642791E-3</v>
      </c>
    </row>
    <row r="1617" spans="1:3">
      <c r="A1617" s="3">
        <f ca="1">IFERROR(__xludf.UNSUPPORTED("""COMPUTED_VALUE"""),45814.6666666666)</f>
        <v>45814.666666666599</v>
      </c>
      <c r="B1617" s="1">
        <f ca="1">IFERROR(__xludf.UNSUPPORTED("""COMPUTED_VALUE"""),265.73)</f>
        <v>265.73</v>
      </c>
      <c r="C1617" s="2">
        <f t="shared" ca="1" si="6"/>
        <v>1.4430234777629431E-2</v>
      </c>
    </row>
    <row r="1618" spans="1:3">
      <c r="A1618" s="3">
        <f ca="1">IFERROR(__xludf.UNSUPPORTED("""COMPUTED_VALUE"""),45817.6666666666)</f>
        <v>45817.666666666599</v>
      </c>
      <c r="B1618" s="1">
        <f ca="1">IFERROR(__xludf.UNSUPPORTED("""COMPUTED_VALUE"""),266.74)</f>
        <v>266.74</v>
      </c>
      <c r="C1618" s="2">
        <f t="shared" ca="1" si="6"/>
        <v>3.8008504873367358E-3</v>
      </c>
    </row>
    <row r="1619" spans="1:3">
      <c r="A1619" s="3">
        <f ca="1">IFERROR(__xludf.UNSUPPORTED("""COMPUTED_VALUE"""),45818.6666666666)</f>
        <v>45818.666666666599</v>
      </c>
      <c r="B1619" s="1">
        <f ca="1">IFERROR(__xludf.UNSUPPORTED("""COMPUTED_VALUE"""),268.6)</f>
        <v>268.60000000000002</v>
      </c>
      <c r="C1619" s="2">
        <f t="shared" ca="1" si="6"/>
        <v>6.9730824023394077E-3</v>
      </c>
    </row>
    <row r="1620" spans="1:3">
      <c r="A1620" s="3">
        <f ca="1">IFERROR(__xludf.UNSUPPORTED("""COMPUTED_VALUE"""),45819.6666666666)</f>
        <v>45819.666666666599</v>
      </c>
      <c r="B1620" s="1">
        <f ca="1">IFERROR(__xludf.UNSUPPORTED("""COMPUTED_VALUE"""),268.15)</f>
        <v>268.14999999999998</v>
      </c>
      <c r="C1620" s="2">
        <f t="shared" ca="1" si="6"/>
        <v>-1.6753536857782778E-3</v>
      </c>
    </row>
    <row r="1621" spans="1:3">
      <c r="A1621" s="3">
        <f ca="1">IFERROR(__xludf.UNSUPPORTED("""COMPUTED_VALUE"""),45820.6666666666)</f>
        <v>45820.666666666599</v>
      </c>
      <c r="B1621" s="1">
        <f ca="1">IFERROR(__xludf.UNSUPPORTED("""COMPUTED_VALUE"""),268.24)</f>
        <v>268.24</v>
      </c>
      <c r="C1621" s="2">
        <f t="shared" ca="1" si="6"/>
        <v>3.356330412083977E-4</v>
      </c>
    </row>
    <row r="1622" spans="1:3">
      <c r="A1622" s="3">
        <f ca="1">IFERROR(__xludf.UNSUPPORTED("""COMPUTED_VALUE"""),45821.6666666666)</f>
        <v>45821.666666666599</v>
      </c>
      <c r="B1622" s="1">
        <f ca="1">IFERROR(__xludf.UNSUPPORTED("""COMPUTED_VALUE"""),264.95)</f>
        <v>264.95</v>
      </c>
      <c r="C1622" s="2">
        <f t="shared" ca="1" si="6"/>
        <v>-1.2265135699373771E-2</v>
      </c>
    </row>
    <row r="1623" spans="1:3">
      <c r="A1623" s="3">
        <f ca="1">IFERROR(__xludf.UNSUPPORTED("""COMPUTED_VALUE"""),45824.6666666666)</f>
        <v>45824.666666666599</v>
      </c>
      <c r="B1623" s="1">
        <f ca="1">IFERROR(__xludf.UNSUPPORTED("""COMPUTED_VALUE"""),270.36)</f>
        <v>270.36</v>
      </c>
      <c r="C1623" s="2">
        <f t="shared" ca="1" si="6"/>
        <v>2.0418946971126724E-2</v>
      </c>
    </row>
    <row r="1624" spans="1:3">
      <c r="A1624" s="3">
        <f ca="1">IFERROR(__xludf.UNSUPPORTED("""COMPUTED_VALUE"""),45825.6666666666)</f>
        <v>45825.666666666599</v>
      </c>
      <c r="B1624" s="1">
        <f ca="1">IFERROR(__xludf.UNSUPPORTED("""COMPUTED_VALUE"""),269.52)</f>
        <v>269.52</v>
      </c>
      <c r="C1624" s="2">
        <f t="shared" ca="1" si="6"/>
        <v>-3.1069684864626118E-3</v>
      </c>
    </row>
    <row r="1625" spans="1:3">
      <c r="A1625" s="3">
        <f ca="1">IFERROR(__xludf.UNSUPPORTED("""COMPUTED_VALUE"""),45826.6666666666)</f>
        <v>45826.666666666599</v>
      </c>
      <c r="B1625" s="1">
        <f ca="1">IFERROR(__xludf.UNSUPPORTED("""COMPUTED_VALUE"""),273.96)</f>
        <v>273.95999999999998</v>
      </c>
      <c r="C1625" s="2">
        <f t="shared" ca="1" si="6"/>
        <v>1.6473731077471052E-2</v>
      </c>
    </row>
    <row r="1626" spans="1:3">
      <c r="A1626" s="3">
        <f ca="1">IFERROR(__xludf.UNSUPPORTED("""COMPUTED_VALUE"""),45828.6666666666)</f>
        <v>45828.666666666599</v>
      </c>
      <c r="B1626" s="1">
        <f ca="1">IFERROR(__xludf.UNSUPPORTED("""COMPUTED_VALUE"""),275)</f>
        <v>275</v>
      </c>
      <c r="C1626" s="2">
        <f t="shared" ca="1" si="6"/>
        <v>3.7961746240327806E-3</v>
      </c>
    </row>
    <row r="1627" spans="1:3">
      <c r="A1627" s="3">
        <f ca="1">IFERROR(__xludf.UNSUPPORTED("""COMPUTED_VALUE"""),45831.6666666666)</f>
        <v>45831.666666666599</v>
      </c>
      <c r="B1627" s="1">
        <f ca="1">IFERROR(__xludf.UNSUPPORTED("""COMPUTED_VALUE"""),278.27)</f>
        <v>278.27</v>
      </c>
      <c r="C1627" s="2">
        <f t="shared" ca="1" si="6"/>
        <v>1.1890909090909025E-2</v>
      </c>
    </row>
    <row r="1628" spans="1:3">
      <c r="A1628" s="3">
        <f ca="1">IFERROR(__xludf.UNSUPPORTED("""COMPUTED_VALUE"""),45832.6666666666)</f>
        <v>45832.666666666599</v>
      </c>
      <c r="B1628" s="1">
        <f ca="1">IFERROR(__xludf.UNSUPPORTED("""COMPUTED_VALUE"""),281.26)</f>
        <v>281.26</v>
      </c>
      <c r="C1628" s="2">
        <f t="shared" ca="1" si="6"/>
        <v>1.0744959931002298E-2</v>
      </c>
    </row>
    <row r="1629" spans="1:3">
      <c r="A1629" s="3">
        <f ca="1">IFERROR(__xludf.UNSUPPORTED("""COMPUTED_VALUE"""),45833.6666666666)</f>
        <v>45833.666666666599</v>
      </c>
      <c r="B1629" s="1">
        <f ca="1">IFERROR(__xludf.UNSUPPORTED("""COMPUTED_VALUE"""),284.06)</f>
        <v>284.06</v>
      </c>
      <c r="C1629" s="2">
        <f t="shared" ca="1" si="6"/>
        <v>9.9552015928322957E-3</v>
      </c>
    </row>
    <row r="1630" spans="1:3">
      <c r="A1630" s="3">
        <f ca="1">IFERROR(__xludf.UNSUPPORTED("""COMPUTED_VALUE"""),45834.6666666666)</f>
        <v>45834.666666666599</v>
      </c>
      <c r="B1630" s="1">
        <f ca="1">IFERROR(__xludf.UNSUPPORTED("""COMPUTED_VALUE"""),288.75)</f>
        <v>288.75</v>
      </c>
      <c r="C1630" s="2">
        <f t="shared" ca="1" si="6"/>
        <v>1.6510596352883187E-2</v>
      </c>
    </row>
    <row r="1631" spans="1:3">
      <c r="A1631" s="3">
        <f ca="1">IFERROR(__xludf.UNSUPPORTED("""COMPUTED_VALUE"""),45835.6666666666)</f>
        <v>45835.666666666599</v>
      </c>
      <c r="B1631" s="1">
        <f ca="1">IFERROR(__xludf.UNSUPPORTED("""COMPUTED_VALUE"""),287.11)</f>
        <v>287.11</v>
      </c>
      <c r="C1631" s="2">
        <f t="shared" ca="1" si="6"/>
        <v>-5.6796536796536326E-3</v>
      </c>
    </row>
    <row r="1632" spans="1:3">
      <c r="A1632" s="3">
        <f ca="1">IFERROR(__xludf.UNSUPPORTED("""COMPUTED_VALUE"""),45838.6666666666)</f>
        <v>45838.666666666599</v>
      </c>
      <c r="B1632" s="1">
        <f ca="1">IFERROR(__xludf.UNSUPPORTED("""COMPUTED_VALUE"""),289.91)</f>
        <v>289.91000000000003</v>
      </c>
      <c r="C1632" s="2">
        <f t="shared" ca="1" si="6"/>
        <v>9.7523597227543845E-3</v>
      </c>
    </row>
    <row r="1633" spans="1:3">
      <c r="A1633" s="3">
        <f ca="1">IFERROR(__xludf.UNSUPPORTED("""COMPUTED_VALUE"""),45839.6666666666)</f>
        <v>45839.666666666599</v>
      </c>
      <c r="B1633" s="1">
        <f ca="1">IFERROR(__xludf.UNSUPPORTED("""COMPUTED_VALUE"""),290.41)</f>
        <v>290.41000000000003</v>
      </c>
      <c r="C1633" s="2">
        <f t="shared" ca="1" si="6"/>
        <v>1.7246731744334448E-3</v>
      </c>
    </row>
    <row r="1634" spans="1:3">
      <c r="A1634" s="3">
        <f ca="1">IFERROR(__xludf.UNSUPPORTED("""COMPUTED_VALUE"""),45840.6666666666)</f>
        <v>45840.666666666599</v>
      </c>
      <c r="B1634" s="1">
        <f ca="1">IFERROR(__xludf.UNSUPPORTED("""COMPUTED_VALUE"""),292)</f>
        <v>292</v>
      </c>
      <c r="C1634" s="2">
        <f t="shared" ca="1" si="6"/>
        <v>5.4750180778897935E-3</v>
      </c>
    </row>
    <row r="1635" spans="1:3">
      <c r="A1635" s="3">
        <f ca="1">IFERROR(__xludf.UNSUPPORTED("""COMPUTED_VALUE"""),45841.5416666666)</f>
        <v>45841.541666666599</v>
      </c>
      <c r="B1635" s="1">
        <f ca="1">IFERROR(__xludf.UNSUPPORTED("""COMPUTED_VALUE"""),296)</f>
        <v>296</v>
      </c>
      <c r="C1635" s="2">
        <f t="shared" ca="1" si="6"/>
        <v>1.3698630136986301E-2</v>
      </c>
    </row>
    <row r="1636" spans="1:3">
      <c r="A1636" s="3">
        <f ca="1">IFERROR(__xludf.UNSUPPORTED("""COMPUTED_VALUE"""),45845.6666666666)</f>
        <v>45845.666666666599</v>
      </c>
      <c r="B1636" s="1">
        <f ca="1">IFERROR(__xludf.UNSUPPORTED("""COMPUTED_VALUE"""),291.97)</f>
        <v>291.97000000000003</v>
      </c>
      <c r="C1636" s="2">
        <f t="shared" ca="1" si="6"/>
        <v>-1.3614864864864773E-2</v>
      </c>
    </row>
    <row r="1637" spans="1:3">
      <c r="A1637" s="3">
        <f ca="1">IFERROR(__xludf.UNSUPPORTED("""COMPUTED_VALUE"""),45846.6666666666)</f>
        <v>45846.666666666599</v>
      </c>
      <c r="B1637" s="1">
        <f ca="1">IFERROR(__xludf.UNSUPPORTED("""COMPUTED_VALUE"""),282.78)</f>
        <v>282.77999999999997</v>
      </c>
      <c r="C1637" s="2">
        <f t="shared" ca="1" si="6"/>
        <v>-3.147583655855072E-2</v>
      </c>
    </row>
    <row r="1638" spans="1:3">
      <c r="A1638" s="3">
        <f ca="1">IFERROR(__xludf.UNSUPPORTED("""COMPUTED_VALUE"""),45847.6666666666)</f>
        <v>45847.666666666599</v>
      </c>
      <c r="B1638" s="1">
        <f ca="1">IFERROR(__xludf.UNSUPPORTED("""COMPUTED_VALUE"""),283.16)</f>
        <v>283.16000000000003</v>
      </c>
      <c r="C1638" s="2">
        <f t="shared" ca="1" si="6"/>
        <v>1.3438008345712296E-3</v>
      </c>
    </row>
    <row r="1639" spans="1:3">
      <c r="A1639" s="3">
        <f ca="1">IFERROR(__xludf.UNSUPPORTED("""COMPUTED_VALUE"""),45848.6666666666)</f>
        <v>45848.666666666599</v>
      </c>
      <c r="B1639" s="1">
        <f ca="1">IFERROR(__xludf.UNSUPPORTED("""COMPUTED_VALUE"""),288.19)</f>
        <v>288.19</v>
      </c>
      <c r="C1639" s="2">
        <f t="shared" ca="1" si="6"/>
        <v>1.7763808447520738E-2</v>
      </c>
    </row>
    <row r="1640" spans="1:3">
      <c r="A1640" s="3">
        <f ca="1">IFERROR(__xludf.UNSUPPORTED("""COMPUTED_VALUE"""),45849.6666666666)</f>
        <v>45849.666666666599</v>
      </c>
      <c r="B1640" s="1">
        <f ca="1">IFERROR(__xludf.UNSUPPORTED("""COMPUTED_VALUE"""),286.86)</f>
        <v>286.86</v>
      </c>
      <c r="C1640" s="2">
        <f t="shared" ca="1" si="6"/>
        <v>-4.6150109302889901E-3</v>
      </c>
    </row>
    <row r="1641" spans="1:3">
      <c r="A1641" s="3">
        <f ca="1">IFERROR(__xludf.UNSUPPORTED("""COMPUTED_VALUE"""),45852.6666666666)</f>
        <v>45852.666666666599</v>
      </c>
      <c r="B1641" s="1">
        <f ca="1">IFERROR(__xludf.UNSUPPORTED("""COMPUTED_VALUE"""),288.7)</f>
        <v>288.7</v>
      </c>
      <c r="C1641" s="2">
        <f t="shared" ca="1" si="6"/>
        <v>6.4142787422435156E-3</v>
      </c>
    </row>
    <row r="1642" spans="1:3">
      <c r="A1642" s="3">
        <f ca="1">IFERROR(__xludf.UNSUPPORTED("""COMPUTED_VALUE"""),45853.6666666666)</f>
        <v>45853.666666666599</v>
      </c>
      <c r="B1642" s="1">
        <f ca="1">IFERROR(__xludf.UNSUPPORTED("""COMPUTED_VALUE"""),286.55)</f>
        <v>286.55</v>
      </c>
      <c r="C1642" s="2">
        <f t="shared" ca="1" si="6"/>
        <v>-7.4471770003463021E-3</v>
      </c>
    </row>
    <row r="1643" spans="1:3">
      <c r="A1643" s="3">
        <f ca="1">IFERROR(__xludf.UNSUPPORTED("""COMPUTED_VALUE"""),45854.6666666666)</f>
        <v>45854.666666666599</v>
      </c>
      <c r="B1643" s="1">
        <f ca="1">IFERROR(__xludf.UNSUPPORTED("""COMPUTED_VALUE"""),285.82)</f>
        <v>285.82</v>
      </c>
      <c r="C1643" s="2">
        <f t="shared" ca="1" si="6"/>
        <v>-2.5475484208690217E-3</v>
      </c>
    </row>
    <row r="1644" spans="1:3">
      <c r="A1644" s="3">
        <f ca="1">IFERROR(__xludf.UNSUPPORTED("""COMPUTED_VALUE"""),45855.6666666666)</f>
        <v>45855.666666666599</v>
      </c>
      <c r="B1644" s="1">
        <f ca="1">IFERROR(__xludf.UNSUPPORTED("""COMPUTED_VALUE"""),289.9)</f>
        <v>289.89999999999998</v>
      </c>
      <c r="C1644" s="2">
        <f t="shared" ca="1" si="6"/>
        <v>1.4274718354208887E-2</v>
      </c>
    </row>
    <row r="1645" spans="1:3">
      <c r="A1645" s="3">
        <f ca="1">IFERROR(__xludf.UNSUPPORTED("""COMPUTED_VALUE"""),45856.6666666666)</f>
        <v>45856.666666666599</v>
      </c>
      <c r="B1645" s="1">
        <f ca="1">IFERROR(__xludf.UNSUPPORTED("""COMPUTED_VALUE"""),291.27)</f>
        <v>291.27</v>
      </c>
      <c r="C1645" s="2">
        <f t="shared" ca="1" si="6"/>
        <v>4.7257675060365803E-3</v>
      </c>
    </row>
    <row r="1646" spans="1:3">
      <c r="A1646" s="3">
        <f ca="1">IFERROR(__xludf.UNSUPPORTED("""COMPUTED_VALUE"""),45859.6666666666)</f>
        <v>45859.666666666599</v>
      </c>
      <c r="B1646" s="1">
        <f ca="1">IFERROR(__xludf.UNSUPPORTED("""COMPUTED_VALUE"""),290.97)</f>
        <v>290.97000000000003</v>
      </c>
      <c r="C1646" s="2">
        <f t="shared" ca="1" si="6"/>
        <v>-1.0299721907506938E-3</v>
      </c>
    </row>
    <row r="1647" spans="1:3">
      <c r="A1647" s="3">
        <f ca="1">IFERROR(__xludf.UNSUPPORTED("""COMPUTED_VALUE"""),45860.6666666666)</f>
        <v>45860.666666666599</v>
      </c>
      <c r="B1647" s="1">
        <f ca="1">IFERROR(__xludf.UNSUPPORTED("""COMPUTED_VALUE"""),291.43)</f>
        <v>291.43</v>
      </c>
      <c r="C1647" s="2">
        <f t="shared" ca="1" si="6"/>
        <v>1.5809189950853335E-3</v>
      </c>
    </row>
    <row r="1648" spans="1:3">
      <c r="A1648" s="3">
        <f ca="1">IFERROR(__xludf.UNSUPPORTED("""COMPUTED_VALUE"""),45861.6666666666)</f>
        <v>45861.666666666599</v>
      </c>
      <c r="B1648" s="1">
        <f ca="1">IFERROR(__xludf.UNSUPPORTED("""COMPUTED_VALUE"""),296.76)</f>
        <v>296.76</v>
      </c>
      <c r="C1648" s="2">
        <f t="shared" ca="1" si="6"/>
        <v>1.8289126033695858E-2</v>
      </c>
    </row>
    <row r="1649" spans="1:3">
      <c r="A1649" s="3">
        <f ca="1">IFERROR(__xludf.UNSUPPORTED("""COMPUTED_VALUE"""),45862.6666666666)</f>
        <v>45862.666666666599</v>
      </c>
      <c r="B1649" s="1">
        <f ca="1">IFERROR(__xludf.UNSUPPORTED("""COMPUTED_VALUE"""),296.55)</f>
        <v>296.55</v>
      </c>
      <c r="C1649" s="2">
        <f t="shared" ca="1" si="6"/>
        <v>-7.0764253942572964E-4</v>
      </c>
    </row>
    <row r="1650" spans="1:3">
      <c r="A1650" s="3">
        <f ca="1">IFERROR(__xludf.UNSUPPORTED("""COMPUTED_VALUE"""),45863.6666666666)</f>
        <v>45863.666666666599</v>
      </c>
      <c r="B1650" s="1">
        <f ca="1">IFERROR(__xludf.UNSUPPORTED("""COMPUTED_VALUE"""),298.62)</f>
        <v>298.62</v>
      </c>
      <c r="C1650" s="2">
        <f t="shared" ca="1" si="6"/>
        <v>6.9802731411228907E-3</v>
      </c>
    </row>
    <row r="1651" spans="1:3">
      <c r="A1651" s="3">
        <f ca="1">IFERROR(__xludf.UNSUPPORTED("""COMPUTED_VALUE"""),45866.6666666666)</f>
        <v>45866.666666666599</v>
      </c>
      <c r="B1651" s="1">
        <f ca="1">IFERROR(__xludf.UNSUPPORTED("""COMPUTED_VALUE"""),298.28)</f>
        <v>298.27999999999997</v>
      </c>
      <c r="C1651" s="2">
        <f t="shared" ca="1" si="6"/>
        <v>-1.1385707588240299E-3</v>
      </c>
    </row>
    <row r="1652" spans="1:3">
      <c r="A1652" s="3">
        <f ca="1">IFERROR(__xludf.UNSUPPORTED("""COMPUTED_VALUE"""),45867.6666666666)</f>
        <v>45867.666666666599</v>
      </c>
      <c r="B1652" s="1">
        <f ca="1">IFERROR(__xludf.UNSUPPORTED("""COMPUTED_VALUE"""),297.04)</f>
        <v>297.04000000000002</v>
      </c>
      <c r="C1652" s="2">
        <f t="shared" ca="1" si="6"/>
        <v>-4.1571677618343584E-3</v>
      </c>
    </row>
    <row r="1653" spans="1:3">
      <c r="A1653" s="3">
        <f ca="1">IFERROR(__xludf.UNSUPPORTED("""COMPUTED_VALUE"""),45868.6666666666)</f>
        <v>45868.666666666599</v>
      </c>
      <c r="B1653" s="1">
        <f ca="1">IFERROR(__xludf.UNSUPPORTED("""COMPUTED_VALUE"""),299.63)</f>
        <v>299.63</v>
      </c>
      <c r="C1653" s="2">
        <f t="shared" ca="1" si="6"/>
        <v>8.7193643953675428E-3</v>
      </c>
    </row>
    <row r="1654" spans="1:3">
      <c r="A1654" s="3">
        <f ca="1">IFERROR(__xludf.UNSUPPORTED("""COMPUTED_VALUE"""),45869.6666666666)</f>
        <v>45869.666666666599</v>
      </c>
      <c r="B1654" s="1">
        <f ca="1">IFERROR(__xludf.UNSUPPORTED("""COMPUTED_VALUE"""),296.24)</f>
        <v>296.24</v>
      </c>
      <c r="C1654" s="2">
        <f t="shared" ca="1" si="6"/>
        <v>-1.1313953876447574E-2</v>
      </c>
    </row>
    <row r="1655" spans="1:3">
      <c r="A1655" s="3">
        <f ca="1">IFERROR(__xludf.UNSUPPORTED("""COMPUTED_VALUE"""),45870.6666666666)</f>
        <v>45870.666666666599</v>
      </c>
      <c r="B1655" s="1">
        <f ca="1">IFERROR(__xludf.UNSUPPORTED("""COMPUTED_VALUE"""),289.37)</f>
        <v>289.37</v>
      </c>
      <c r="C1655" s="2">
        <f t="shared" ca="1" si="6"/>
        <v>-2.3190656224682703E-2</v>
      </c>
    </row>
    <row r="1656" spans="1:3">
      <c r="A1656" s="3">
        <f ca="1">IFERROR(__xludf.UNSUPPORTED("""COMPUTED_VALUE"""),45873.6666666666)</f>
        <v>45873.666666666599</v>
      </c>
      <c r="B1656" s="1">
        <f ca="1">IFERROR(__xludf.UNSUPPORTED("""COMPUTED_VALUE"""),294.26)</f>
        <v>294.26</v>
      </c>
      <c r="C1656" s="2">
        <f t="shared" ca="1" si="6"/>
        <v>1.6898780108511546E-2</v>
      </c>
    </row>
    <row r="1657" spans="1:3">
      <c r="A1657" s="3">
        <f ca="1">IFERROR(__xludf.UNSUPPORTED("""COMPUTED_VALUE"""),45874.6666666666)</f>
        <v>45874.666666666599</v>
      </c>
      <c r="B1657" s="1">
        <f ca="1">IFERROR(__xludf.UNSUPPORTED("""COMPUTED_VALUE"""),291.37)</f>
        <v>291.37</v>
      </c>
      <c r="C1657" s="2">
        <f t="shared" ca="1" si="6"/>
        <v>-9.8212465166858786E-3</v>
      </c>
    </row>
    <row r="1658" spans="1:3">
      <c r="A1658" s="3">
        <f ca="1">IFERROR(__xludf.UNSUPPORTED("""COMPUTED_VALUE"""),45875.6666666666)</f>
        <v>45875.666666666599</v>
      </c>
      <c r="B1658" s="1">
        <f ca="1">IFERROR(__xludf.UNSUPPORTED("""COMPUTED_VALUE"""),291.35)</f>
        <v>291.35000000000002</v>
      </c>
      <c r="C1658" s="2">
        <f t="shared" ca="1" si="6"/>
        <v>-6.8641246524974461E-5</v>
      </c>
    </row>
    <row r="1659" spans="1:3">
      <c r="A1659" s="3">
        <f ca="1">IFERROR(__xludf.UNSUPPORTED("""COMPUTED_VALUE"""),45876.6666666666)</f>
        <v>45876.666666666599</v>
      </c>
      <c r="B1659" s="1">
        <f ca="1">IFERROR(__xludf.UNSUPPORTED("""COMPUTED_VALUE"""),286.94)</f>
        <v>286.94</v>
      </c>
      <c r="C1659" s="2">
        <f t="shared" ca="1" si="6"/>
        <v>-1.513643384245761E-2</v>
      </c>
    </row>
    <row r="1660" spans="1:3">
      <c r="A1660" s="3">
        <f ca="1">IFERROR(__xludf.UNSUPPORTED("""COMPUTED_VALUE"""),45877.6666666666)</f>
        <v>45877.666666666599</v>
      </c>
      <c r="B1660" s="1">
        <f ca="1">IFERROR(__xludf.UNSUPPORTED("""COMPUTED_VALUE"""),288.76)</f>
        <v>288.76</v>
      </c>
      <c r="C1660" s="2">
        <f t="shared" ca="1" si="6"/>
        <v>6.3427894333309863E-3</v>
      </c>
    </row>
    <row r="1661" spans="1:3">
      <c r="A1661" s="3">
        <f ca="1">IFERROR(__xludf.UNSUPPORTED("""COMPUTED_VALUE"""),45880.6666666666)</f>
        <v>45880.666666666599</v>
      </c>
      <c r="B1661" s="1">
        <f ca="1">IFERROR(__xludf.UNSUPPORTED("""COMPUTED_VALUE"""),289.56)</f>
        <v>289.56</v>
      </c>
      <c r="C1661" s="2">
        <f t="shared" ca="1" si="6"/>
        <v>2.7704668236598262E-3</v>
      </c>
    </row>
    <row r="1662" spans="1:3">
      <c r="A1662" s="3">
        <f ca="1">IFERROR(__xludf.UNSUPPORTED("""COMPUTED_VALUE"""),45881.6666666666)</f>
        <v>45881.666666666599</v>
      </c>
      <c r="B1662" s="1">
        <f ca="1">IFERROR(__xludf.UNSUPPORTED("""COMPUTED_VALUE"""),292.85)</f>
        <v>292.85000000000002</v>
      </c>
      <c r="C1662" s="2">
        <f t="shared" ca="1" si="6"/>
        <v>1.1362066583782362E-2</v>
      </c>
    </row>
    <row r="1663" spans="1:3">
      <c r="A1663" s="3">
        <f ca="1">IFERROR(__xludf.UNSUPPORTED("""COMPUTED_VALUE"""),45882.6666666666)</f>
        <v>45882.666666666599</v>
      </c>
      <c r="B1663" s="1">
        <f ca="1">IFERROR(__xludf.UNSUPPORTED("""COMPUTED_VALUE"""),290.53)</f>
        <v>290.52999999999997</v>
      </c>
      <c r="C1663" s="2">
        <f t="shared" ca="1" si="6"/>
        <v>-7.9221444425475497E-3</v>
      </c>
    </row>
    <row r="1664" spans="1:3">
      <c r="A1664" s="3">
        <f ca="1">IFERROR(__xludf.UNSUPPORTED("""COMPUTED_VALUE"""),45883.6666666666)</f>
        <v>45883.666666666599</v>
      </c>
      <c r="B1664" s="1">
        <f ca="1">IFERROR(__xludf.UNSUPPORTED("""COMPUTED_VALUE"""),294.16)</f>
        <v>294.16000000000003</v>
      </c>
      <c r="C1664" s="2">
        <f t="shared" ca="1" si="6"/>
        <v>1.2494406773827325E-2</v>
      </c>
    </row>
    <row r="1665" spans="1:3">
      <c r="A1665" s="3">
        <f ca="1">IFERROR(__xludf.UNSUPPORTED("""COMPUTED_VALUE"""),45884.6666666666)</f>
        <v>45884.666666666599</v>
      </c>
      <c r="B1665" s="1">
        <f ca="1">IFERROR(__xludf.UNSUPPORTED("""COMPUTED_VALUE"""),290.49)</f>
        <v>290.49</v>
      </c>
      <c r="C1665" s="2">
        <f t="shared" ca="1" si="6"/>
        <v>-1.2476203426706607E-2</v>
      </c>
    </row>
    <row r="1666" spans="1:3">
      <c r="A1666" s="3">
        <f ca="1">IFERROR(__xludf.UNSUPPORTED("""COMPUTED_VALUE"""),45887.6666666666)</f>
        <v>45887.666666666599</v>
      </c>
      <c r="B1666" s="1">
        <f ca="1">IFERROR(__xludf.UNSUPPORTED("""COMPUTED_VALUE"""),291.53)</f>
        <v>291.52999999999997</v>
      </c>
      <c r="C1666" s="2">
        <f t="shared" ca="1" si="6"/>
        <v>3.5801576646354904E-3</v>
      </c>
    </row>
    <row r="1667" spans="1:3">
      <c r="A1667" s="3">
        <f ca="1">IFERROR(__xludf.UNSUPPORTED("""COMPUTED_VALUE"""),45888.6666666666)</f>
        <v>45888.666666666599</v>
      </c>
      <c r="B1667" s="1">
        <f ca="1">IFERROR(__xludf.UNSUPPORTED("""COMPUTED_VALUE"""),290.66)</f>
        <v>290.66000000000003</v>
      </c>
      <c r="C1667" s="2">
        <f t="shared" ca="1" si="6"/>
        <v>-2.9842554797103139E-3</v>
      </c>
    </row>
    <row r="1668" spans="1:3">
      <c r="A1668" s="3">
        <f ca="1">IFERROR(__xludf.UNSUPPORTED("""COMPUTED_VALUE"""),45889.6666666666)</f>
        <v>45889.666666666599</v>
      </c>
      <c r="B1668" s="1">
        <f ca="1">IFERROR(__xludf.UNSUPPORTED("""COMPUTED_VALUE"""),292.24)</f>
        <v>292.24</v>
      </c>
      <c r="C1668" s="2">
        <f t="shared" ca="1" si="6"/>
        <v>5.4359044932222661E-3</v>
      </c>
    </row>
    <row r="1669" spans="1:3">
      <c r="A1669" s="3">
        <f ca="1">IFERROR(__xludf.UNSUPPORTED("""COMPUTED_VALUE"""),45890.6666666666)</f>
        <v>45890.666666666599</v>
      </c>
      <c r="B1669" s="1">
        <f ca="1">IFERROR(__xludf.UNSUPPORTED("""COMPUTED_VALUE"""),291.47)</f>
        <v>291.47000000000003</v>
      </c>
      <c r="C1669" s="2">
        <f t="shared" ca="1" si="6"/>
        <v>-2.6348206953188537E-3</v>
      </c>
    </row>
    <row r="1670" spans="1:3">
      <c r="A1670" s="3">
        <f ca="1">IFERROR(__xludf.UNSUPPORTED("""COMPUTED_VALUE"""),45891.6666666666)</f>
        <v>45891.666666666599</v>
      </c>
      <c r="B1670" s="1">
        <f ca="1">IFERROR(__xludf.UNSUPPORTED("""COMPUTED_VALUE"""),296.24)</f>
        <v>296.24</v>
      </c>
      <c r="C1670" s="2">
        <f t="shared" ca="1" si="6"/>
        <v>1.6365320616186851E-2</v>
      </c>
    </row>
    <row r="1671" spans="1:3">
      <c r="A1671" s="3">
        <f ca="1">IFERROR(__xludf.UNSUPPORTED("""COMPUTED_VALUE"""),45894.6666666666)</f>
        <v>45894.666666666599</v>
      </c>
      <c r="B1671" s="1">
        <f ca="1">IFERROR(__xludf.UNSUPPORTED("""COMPUTED_VALUE"""),294.9)</f>
        <v>294.89999999999998</v>
      </c>
      <c r="C1671" s="2">
        <f t="shared" ca="1" si="6"/>
        <v>-4.5233594382933827E-3</v>
      </c>
    </row>
    <row r="1672" spans="1:3">
      <c r="A1672" s="3">
        <f ca="1">IFERROR(__xludf.UNSUPPORTED("""COMPUTED_VALUE"""),45895.6666666666)</f>
        <v>45895.666666666599</v>
      </c>
      <c r="B1672" s="1">
        <f ca="1">IFERROR(__xludf.UNSUPPORTED("""COMPUTED_VALUE"""),298.57)</f>
        <v>298.57</v>
      </c>
      <c r="C1672" s="2">
        <f t="shared" ca="1" si="6"/>
        <v>1.2444896575110262E-2</v>
      </c>
    </row>
    <row r="1673" spans="1:3">
      <c r="A1673" s="3">
        <f ca="1">IFERROR(__xludf.UNSUPPORTED("""COMPUTED_VALUE"""),45896.6666666666)</f>
        <v>45896.666666666599</v>
      </c>
      <c r="B1673" s="1">
        <f ca="1">IFERROR(__xludf.UNSUPPORTED("""COMPUTED_VALUE"""),299.28)</f>
        <v>299.27999999999997</v>
      </c>
      <c r="C1673" s="2">
        <f t="shared" ca="1" si="6"/>
        <v>2.3780018086210254E-3</v>
      </c>
    </row>
    <row r="1674" spans="1:3">
      <c r="A1674" s="3">
        <f ca="1">IFERROR(__xludf.UNSUPPORTED("""COMPUTED_VALUE"""),45897.6666666666)</f>
        <v>45897.666666666599</v>
      </c>
      <c r="B1674" s="1">
        <f ca="1">IFERROR(__xludf.UNSUPPORTED("""COMPUTED_VALUE"""),301.07)</f>
        <v>301.07</v>
      </c>
      <c r="C1674" s="2">
        <f t="shared" ca="1" si="6"/>
        <v>5.9810211173483719E-3</v>
      </c>
    </row>
    <row r="1675" spans="1:3">
      <c r="A1675" s="3">
        <f ca="1">IFERROR(__xludf.UNSUPPORTED("""COMPUTED_VALUE"""),45898.6666666666)</f>
        <v>45898.666666666599</v>
      </c>
      <c r="B1675" s="1">
        <f ca="1">IFERROR(__xludf.UNSUPPORTED("""COMPUTED_VALUE"""),301.42)</f>
        <v>301.42</v>
      </c>
      <c r="C1675" s="2">
        <f t="shared" ca="1" si="6"/>
        <v>1.1625203441060974E-3</v>
      </c>
    </row>
    <row r="1676" spans="1:3">
      <c r="A1676" s="3">
        <f ca="1">IFERROR(__xludf.UNSUPPORTED("""COMPUTED_VALUE"""),45902.6666666666)</f>
        <v>45902.666666666599</v>
      </c>
      <c r="B1676" s="1">
        <f ca="1">IFERROR(__xludf.UNSUPPORTED("""COMPUTED_VALUE"""),299.7)</f>
        <v>299.7</v>
      </c>
      <c r="C1676" s="2">
        <f t="shared" ca="1" si="6"/>
        <v>-5.7063234025613004E-3</v>
      </c>
    </row>
    <row r="1677" spans="1:3">
      <c r="A1677" s="3">
        <f ca="1">IFERROR(__xludf.UNSUPPORTED("""COMPUTED_VALUE"""),45903.6666666666)</f>
        <v>45903.666666666599</v>
      </c>
      <c r="B1677" s="1">
        <f ca="1">IFERROR(__xludf.UNSUPPORTED("""COMPUTED_VALUE"""),299.51)</f>
        <v>299.51</v>
      </c>
      <c r="C1677" s="2">
        <f t="shared" ca="1" si="6"/>
        <v>-6.3396730063395971E-4</v>
      </c>
    </row>
    <row r="1678" spans="1:3">
      <c r="A1678" s="3">
        <f ca="1">IFERROR(__xludf.UNSUPPORTED("""COMPUTED_VALUE"""),45904.6666666666)</f>
        <v>45904.666666666599</v>
      </c>
      <c r="B1678" s="1">
        <f ca="1">IFERROR(__xludf.UNSUPPORTED("""COMPUTED_VALUE"""),303.82)</f>
        <v>303.82</v>
      </c>
      <c r="C1678" s="2">
        <f t="shared" ca="1" si="6"/>
        <v>1.4390170611999608E-2</v>
      </c>
    </row>
    <row r="1679" spans="1:3">
      <c r="A1679" s="3">
        <f ca="1">IFERROR(__xludf.UNSUPPORTED("""COMPUTED_VALUE"""),45905.6666666666)</f>
        <v>45905.666666666599</v>
      </c>
      <c r="B1679" s="1">
        <f ca="1">IFERROR(__xludf.UNSUPPORTED("""COMPUTED_VALUE"""),294.38)</f>
        <v>294.38</v>
      </c>
      <c r="C1679" s="2">
        <f t="shared" ca="1" si="6"/>
        <v>-3.1071028898690008E-2</v>
      </c>
    </row>
    <row r="1680" spans="1:3">
      <c r="A1680" s="3">
        <f ca="1">IFERROR(__xludf.UNSUPPORTED("""COMPUTED_VALUE"""),45908.6666666666)</f>
        <v>45908.666666666599</v>
      </c>
      <c r="B1680" s="1">
        <f ca="1">IFERROR(__xludf.UNSUPPORTED("""COMPUTED_VALUE"""),292.91)</f>
        <v>292.91000000000003</v>
      </c>
      <c r="C1680" s="2">
        <f t="shared" ca="1" si="6"/>
        <v>-4.9935457571844907E-3</v>
      </c>
    </row>
    <row r="1681" spans="1:3">
      <c r="A1681" s="3">
        <f ca="1">IFERROR(__xludf.UNSUPPORTED("""COMPUTED_VALUE"""),45909.6666666666)</f>
        <v>45909.666666666599</v>
      </c>
      <c r="B1681" s="1">
        <f ca="1">IFERROR(__xludf.UNSUPPORTED("""COMPUTED_VALUE"""),297.85)</f>
        <v>297.85000000000002</v>
      </c>
      <c r="C1681" s="2">
        <f t="shared" ca="1" si="6"/>
        <v>1.6865248711208213E-2</v>
      </c>
    </row>
    <row r="1682" spans="1:3">
      <c r="A1682" s="3">
        <f ca="1">IFERROR(__xludf.UNSUPPORTED("""COMPUTED_VALUE"""),45910.6666666666)</f>
        <v>45910.666666666599</v>
      </c>
      <c r="B1682" s="1">
        <f ca="1">IFERROR(__xludf.UNSUPPORTED("""COMPUTED_VALUE"""),300.54)</f>
        <v>300.54000000000002</v>
      </c>
      <c r="C1682" s="2">
        <f t="shared" ca="1" si="6"/>
        <v>9.0313916400872832E-3</v>
      </c>
    </row>
    <row r="1683" spans="1:3">
      <c r="A1683" s="3">
        <f ca="1">IFERROR(__xludf.UNSUPPORTED("""COMPUTED_VALUE"""),45911.6666666666)</f>
        <v>45911.666666666599</v>
      </c>
      <c r="B1683" s="1">
        <f ca="1">IFERROR(__xludf.UNSUPPORTED("""COMPUTED_VALUE"""),305.56)</f>
        <v>305.56</v>
      </c>
      <c r="C1683" s="2">
        <f t="shared" ca="1" si="6"/>
        <v>1.6703267451919815E-2</v>
      </c>
    </row>
    <row r="1684" spans="1:3">
      <c r="A1684" s="3">
        <f ca="1">IFERROR(__xludf.UNSUPPORTED("""COMPUTED_VALUE"""),45912.6666666666)</f>
        <v>45912.666666666599</v>
      </c>
      <c r="B1684" s="1">
        <f ca="1">IFERROR(__xludf.UNSUPPORTED("""COMPUTED_VALUE"""),306.91)</f>
        <v>306.91000000000003</v>
      </c>
      <c r="C1684" s="2">
        <f t="shared" ca="1" si="6"/>
        <v>4.4181175546538247E-3</v>
      </c>
    </row>
    <row r="1685" spans="1:3">
      <c r="A1685" s="3">
        <f ca="1">IFERROR(__xludf.UNSUPPORTED("""COMPUTED_VALUE"""),45915.6666666666)</f>
        <v>45915.666666666599</v>
      </c>
      <c r="B1685" s="1">
        <f ca="1">IFERROR(__xludf.UNSUPPORTED("""COMPUTED_VALUE"""),308.9)</f>
        <v>308.89999999999998</v>
      </c>
      <c r="C1685" s="2">
        <f t="shared" ca="1" si="6"/>
        <v>6.4839855332180516E-3</v>
      </c>
    </row>
    <row r="1686" spans="1:3">
      <c r="A1686" s="3">
        <f ca="1">IFERROR(__xludf.UNSUPPORTED("""COMPUTED_VALUE"""),45916.6666666666)</f>
        <v>45916.666666666599</v>
      </c>
      <c r="B1686" s="1">
        <f ca="1">IFERROR(__xludf.UNSUPPORTED("""COMPUTED_VALUE"""),309.19)</f>
        <v>309.19</v>
      </c>
      <c r="C1686" s="2">
        <f t="shared" ca="1" si="6"/>
        <v>9.3881515053421982E-4</v>
      </c>
    </row>
    <row r="1687" spans="1:3">
      <c r="A1687" s="3">
        <f ca="1">IFERROR(__xludf.UNSUPPORTED("""COMPUTED_VALUE"""),45917.6666666666)</f>
        <v>45917.666666666599</v>
      </c>
      <c r="B1687" s="1">
        <f ca="1">IFERROR(__xludf.UNSUPPORTED("""COMPUTED_VALUE"""),311.75)</f>
        <v>311.75</v>
      </c>
      <c r="C1687" s="2">
        <f t="shared" ca="1" si="6"/>
        <v>8.279698567224044E-3</v>
      </c>
    </row>
    <row r="1688" spans="1:3">
      <c r="A1688" s="3">
        <f ca="1">IFERROR(__xludf.UNSUPPORTED("""COMPUTED_VALUE"""),45918.6666666666)</f>
        <v>45918.666666666599</v>
      </c>
      <c r="B1688" s="1">
        <f ca="1">IFERROR(__xludf.UNSUPPORTED("""COMPUTED_VALUE"""),313.23)</f>
        <v>313.23</v>
      </c>
      <c r="C1688" s="2">
        <f t="shared" ca="1" si="6"/>
        <v>4.7473937449880295E-3</v>
      </c>
    </row>
    <row r="1689" spans="1:3">
      <c r="A1689" s="3">
        <f ca="1">IFERROR(__xludf.UNSUPPORTED("""COMPUTED_VALUE"""),45919.6666666666)</f>
        <v>45919.666666666599</v>
      </c>
      <c r="B1689" s="1">
        <f ca="1">IFERROR(__xludf.UNSUPPORTED("""COMPUTED_VALUE"""),314.78)</f>
        <v>314.77999999999997</v>
      </c>
      <c r="C1689" s="2">
        <f t="shared" ca="1" si="6"/>
        <v>4.948440443124715E-3</v>
      </c>
    </row>
    <row r="1690" spans="1:3">
      <c r="A1690" s="3">
        <f ca="1">IFERROR(__xludf.UNSUPPORTED("""COMPUTED_VALUE"""),45922.6666666666)</f>
        <v>45922.666666666599</v>
      </c>
      <c r="B1690" s="1">
        <f ca="1">IFERROR(__xludf.UNSUPPORTED("""COMPUTED_VALUE"""),312.44)</f>
        <v>312.44</v>
      </c>
      <c r="C1690" s="2">
        <f t="shared" ca="1" si="6"/>
        <v>-7.4337632632313841E-3</v>
      </c>
    </row>
    <row r="1691" spans="1:3">
      <c r="A1691" s="3">
        <f ca="1">IFERROR(__xludf.UNSUPPORTED("""COMPUTED_VALUE"""),45923.6666666666)</f>
        <v>45923.666666666599</v>
      </c>
      <c r="B1691" s="1">
        <f ca="1">IFERROR(__xludf.UNSUPPORTED("""COMPUTED_VALUE"""),312.74)</f>
        <v>312.74</v>
      </c>
      <c r="C1691" s="2">
        <f t="shared" ca="1" si="6"/>
        <v>9.6018435539627252E-4</v>
      </c>
    </row>
    <row r="1692" spans="1:3">
      <c r="A1692" s="3">
        <f ca="1">IFERROR(__xludf.UNSUPPORTED("""COMPUTED_VALUE"""),45924.6666666666)</f>
        <v>45924.666666666599</v>
      </c>
      <c r="B1692" s="1">
        <f ca="1">IFERROR(__xludf.UNSUPPORTED("""COMPUTED_VALUE"""),312.74)</f>
        <v>312.74</v>
      </c>
      <c r="C1692" s="2">
        <f t="shared" ca="1" si="6"/>
        <v>0</v>
      </c>
    </row>
    <row r="1693" spans="1:3">
      <c r="A1693" s="3">
        <f ca="1">IFERROR(__xludf.UNSUPPORTED("""COMPUTED_VALUE"""),45926.6666666666)</f>
        <v>45926.666666666599</v>
      </c>
      <c r="B1693" s="1">
        <f ca="1">IFERROR(__xludf.UNSUPPORTED("""COMPUTED_VALUE"""),316.06)</f>
        <v>316.06</v>
      </c>
      <c r="C1693" s="2">
        <f t="shared" ca="1" si="6"/>
        <v>1.0615847029481337E-2</v>
      </c>
    </row>
    <row r="1694" spans="1:3">
      <c r="A1694" s="3">
        <f ca="1">IFERROR(__xludf.UNSUPPORTED("""COMPUTED_VALUE"""),45929.6666666666)</f>
        <v>45929.666666666599</v>
      </c>
      <c r="B1694" s="1">
        <f ca="1">IFERROR(__xludf.UNSUPPORTED("""COMPUTED_VALUE"""),315.69)</f>
        <v>315.69</v>
      </c>
      <c r="C1694" s="2">
        <f t="shared" ca="1" si="6"/>
        <v>-1.1706637980130499E-3</v>
      </c>
    </row>
    <row r="1695" spans="1:3">
      <c r="A1695" s="3">
        <f ca="1">IFERROR(__xludf.UNSUPPORTED("""COMPUTED_VALUE"""),45930.6666666666)</f>
        <v>45930.666666666599</v>
      </c>
      <c r="B1695" s="1">
        <f ca="1">IFERROR(__xludf.UNSUPPORTED("""COMPUTED_VALUE"""),315.43)</f>
        <v>315.43</v>
      </c>
      <c r="C1695" s="2">
        <f t="shared" ca="1" si="6"/>
        <v>-8.2359276505429666E-4</v>
      </c>
    </row>
    <row r="1696" spans="1:3">
      <c r="A1696" s="3">
        <f ca="1">IFERROR(__xludf.UNSUPPORTED("""COMPUTED_VALUE"""),45931.6666666666)</f>
        <v>45931.666666666599</v>
      </c>
      <c r="B1696" s="1">
        <f ca="1">IFERROR(__xludf.UNSUPPORTED("""COMPUTED_VALUE"""),310.71)</f>
        <v>310.70999999999998</v>
      </c>
      <c r="C1696" s="2">
        <f t="shared" ca="1" si="6"/>
        <v>-1.4963700345560115E-2</v>
      </c>
    </row>
    <row r="1697" spans="1:3">
      <c r="A1697" s="3">
        <f ca="1">IFERROR(__xludf.UNSUPPORTED("""COMPUTED_VALUE"""),45932.6666666666)</f>
        <v>45932.666666666599</v>
      </c>
      <c r="B1697" s="1">
        <f ca="1">IFERROR(__xludf.UNSUPPORTED("""COMPUTED_VALUE"""),307.55)</f>
        <v>307.55</v>
      </c>
      <c r="C1697" s="2">
        <f t="shared" ca="1" si="6"/>
        <v>-1.0170255221911005E-2</v>
      </c>
    </row>
    <row r="1698" spans="1:3">
      <c r="A1698" s="3">
        <f ca="1">IFERROR(__xludf.UNSUPPORTED("""COMPUTED_VALUE"""),45933.6666666666)</f>
        <v>45933.666666666599</v>
      </c>
      <c r="B1698" s="1">
        <f ca="1">IFERROR(__xludf.UNSUPPORTED("""COMPUTED_VALUE"""),310.03)</f>
        <v>310.02999999999997</v>
      </c>
      <c r="C1698" s="2">
        <f t="shared" ca="1" si="6"/>
        <v>8.0637294748820074E-3</v>
      </c>
    </row>
    <row r="1699" spans="1:3">
      <c r="A1699" s="3">
        <f ca="1">IFERROR(__xludf.UNSUPPORTED("""COMPUTED_VALUE"""),45936.6666666666)</f>
        <v>45936.666666666599</v>
      </c>
      <c r="B1699" s="1">
        <f ca="1">IFERROR(__xludf.UNSUPPORTED("""COMPUTED_VALUE"""),309.18)</f>
        <v>309.18</v>
      </c>
      <c r="C1699" s="2">
        <f t="shared" ca="1" si="6"/>
        <v>-2.7416701609520562E-3</v>
      </c>
    </row>
    <row r="1700" spans="1:3">
      <c r="A1700" s="3">
        <f ca="1">IFERROR(__xludf.UNSUPPORTED("""COMPUTED_VALUE"""),45937.6666666666)</f>
        <v>45937.666666666599</v>
      </c>
      <c r="B1700" s="1">
        <f ca="1">IFERROR(__xludf.UNSUPPORTED("""COMPUTED_VALUE"""),307.69)</f>
        <v>307.69</v>
      </c>
      <c r="C1700" s="2">
        <f t="shared" ca="1" si="6"/>
        <v>-4.819199172003393E-3</v>
      </c>
    </row>
    <row r="1701" spans="1:3">
      <c r="A1701" s="3">
        <f ca="1">IFERROR(__xludf.UNSUPPORTED("""COMPUTED_VALUE"""),45938.6666666666)</f>
        <v>45938.666666666599</v>
      </c>
      <c r="B1701" s="1">
        <f ca="1">IFERROR(__xludf.UNSUPPORTED("""COMPUTED_VALUE"""),304.03)</f>
        <v>304.02999999999997</v>
      </c>
      <c r="C1701" s="2">
        <f t="shared" ca="1" si="6"/>
        <v>-1.189508921316918E-2</v>
      </c>
    </row>
    <row r="1702" spans="1:3">
      <c r="A1702" s="3">
        <f ca="1">IFERROR(__xludf.UNSUPPORTED("""COMPUTED_VALUE"""),45939.6666666666)</f>
        <v>45939.666666666599</v>
      </c>
      <c r="B1702" s="1">
        <f ca="1">IFERROR(__xludf.UNSUPPORTED("""COMPUTED_VALUE"""),305.53)</f>
        <v>305.52999999999997</v>
      </c>
      <c r="C1702" s="2">
        <f t="shared" ca="1" si="6"/>
        <v>4.9337236456928595E-3</v>
      </c>
    </row>
    <row r="1703" spans="1:3">
      <c r="A1703" s="3">
        <f ca="1">IFERROR(__xludf.UNSUPPORTED("""COMPUTED_VALUE"""),45940.6666666666)</f>
        <v>45940.666666666599</v>
      </c>
      <c r="B1703" s="1">
        <f ca="1">IFERROR(__xludf.UNSUPPORTED("""COMPUTED_VALUE"""),300.89)</f>
        <v>300.89</v>
      </c>
      <c r="C1703" s="2">
        <f t="shared" ca="1" si="6"/>
        <v>-1.5186724707884616E-2</v>
      </c>
    </row>
    <row r="1704" spans="1:3">
      <c r="A1704" s="3">
        <f ca="1">IFERROR(__xludf.UNSUPPORTED("""COMPUTED_VALUE"""),45943.6666666666)</f>
        <v>45943.666666666599</v>
      </c>
      <c r="B1704" s="1">
        <f ca="1">IFERROR(__xludf.UNSUPPORTED("""COMPUTED_VALUE"""),307.97)</f>
        <v>307.97000000000003</v>
      </c>
      <c r="C1704" s="2">
        <f t="shared" ca="1" si="6"/>
        <v>2.3530193758516539E-2</v>
      </c>
    </row>
    <row r="1705" spans="1:3">
      <c r="A1705" s="3">
        <f ca="1">IFERROR(__xludf.UNSUPPORTED("""COMPUTED_VALUE"""),45944.6666666666)</f>
        <v>45944.666666666599</v>
      </c>
      <c r="B1705" s="1">
        <f ca="1">IFERROR(__xludf.UNSUPPORTED("""COMPUTED_VALUE"""),302.08)</f>
        <v>302.08</v>
      </c>
      <c r="C1705" s="2">
        <f t="shared" ca="1" si="6"/>
        <v>-1.9125239471377221E-2</v>
      </c>
    </row>
    <row r="1706" spans="1:3">
      <c r="A1706" s="3">
        <f ca="1">IFERROR(__xludf.UNSUPPORTED("""COMPUTED_VALUE"""),45945.6666666666)</f>
        <v>45945.666666666599</v>
      </c>
      <c r="B1706" s="1">
        <f ca="1">IFERROR(__xludf.UNSUPPORTED("""COMPUTED_VALUE"""),305.69)</f>
        <v>305.69</v>
      </c>
      <c r="C1706" s="2">
        <f t="shared" ca="1" si="6"/>
        <v>1.19504766949153E-2</v>
      </c>
    </row>
    <row r="1707" spans="1:3">
      <c r="A1707" s="3">
        <f ca="1">IFERROR(__xludf.UNSUPPORTED("""COMPUTED_VALUE"""),45946.6666666666)</f>
        <v>45946.666666666599</v>
      </c>
      <c r="B1707" s="1">
        <f ca="1">IFERROR(__xludf.UNSUPPORTED("""COMPUTED_VALUE"""),298.54)</f>
        <v>298.54000000000002</v>
      </c>
      <c r="C1707" s="2">
        <f t="shared" ca="1" si="6"/>
        <v>-2.3389708528247496E-2</v>
      </c>
    </row>
    <row r="1708" spans="1:3">
      <c r="A1708" s="3">
        <f ca="1">IFERROR(__xludf.UNSUPPORTED("""COMPUTED_VALUE"""),45947.6666666666)</f>
        <v>45947.666666666599</v>
      </c>
      <c r="B1708" s="1">
        <f ca="1">IFERROR(__xludf.UNSUPPORTED("""COMPUTED_VALUE"""),297.56)</f>
        <v>297.56</v>
      </c>
      <c r="C1708" s="2">
        <f t="shared" ca="1" si="6"/>
        <v>-3.2826421920011326E-3</v>
      </c>
    </row>
    <row r="1709" spans="1:3">
      <c r="A1709" s="3">
        <f ca="1">IFERROR(__xludf.UNSUPPORTED("""COMPUTED_VALUE"""),45950.6666666666)</f>
        <v>45950.666666666599</v>
      </c>
      <c r="B1709" s="1">
        <f ca="1">IFERROR(__xludf.UNSUPPORTED("""COMPUTED_VALUE"""),302.36)</f>
        <v>302.36</v>
      </c>
      <c r="C1709" s="2">
        <f t="shared" ca="1" si="6"/>
        <v>1.6131200430165384E-2</v>
      </c>
    </row>
    <row r="1710" spans="1:3">
      <c r="A1710" s="3">
        <f ca="1">IFERROR(__xludf.UNSUPPORTED("""COMPUTED_VALUE"""),45951.6666666666)</f>
        <v>45951.666666666599</v>
      </c>
      <c r="B1710" s="1">
        <f ca="1">IFERROR(__xludf.UNSUPPORTED("""COMPUTED_VALUE"""),297.09)</f>
        <v>297.08999999999997</v>
      </c>
      <c r="C1710" s="2">
        <f t="shared" ca="1" si="6"/>
        <v>-1.7429554173832646E-2</v>
      </c>
    </row>
    <row r="1711" spans="1:3">
      <c r="A1711" s="3">
        <f ca="1">IFERROR(__xludf.UNSUPPORTED("""COMPUTED_VALUE"""),45952.6666666666)</f>
        <v>45952.666666666599</v>
      </c>
      <c r="B1711" s="1">
        <f ca="1">IFERROR(__xludf.UNSUPPORTED("""COMPUTED_VALUE"""),294.11)</f>
        <v>294.11</v>
      </c>
      <c r="C1711" s="2">
        <f t="shared" ca="1" si="6"/>
        <v>-1.0030630448685454E-2</v>
      </c>
    </row>
    <row r="1712" spans="1:3">
      <c r="A1712" s="3">
        <f ca="1">IFERROR(__xludf.UNSUPPORTED("""COMPUTED_VALUE"""),45953.6666666666)</f>
        <v>45953.666666666599</v>
      </c>
      <c r="B1712" s="1">
        <f ca="1">IFERROR(__xludf.UNSUPPORTED("""COMPUTED_VALUE"""),294.54)</f>
        <v>294.54000000000002</v>
      </c>
      <c r="C1712" s="2">
        <f t="shared" ca="1" si="6"/>
        <v>1.4620380129883607E-3</v>
      </c>
    </row>
    <row r="1713" spans="1:3">
      <c r="A1713" s="3">
        <f ca="1">IFERROR(__xludf.UNSUPPORTED("""COMPUTED_VALUE"""),45954.6666666666)</f>
        <v>45954.666666666599</v>
      </c>
      <c r="B1713" s="1">
        <f ca="1">IFERROR(__xludf.UNSUPPORTED("""COMPUTED_VALUE"""),300.44)</f>
        <v>300.44</v>
      </c>
      <c r="C1713" s="2">
        <f t="shared" ca="1" si="6"/>
        <v>2.0031235146329793E-2</v>
      </c>
    </row>
    <row r="1714" spans="1:3">
      <c r="A1714" s="3">
        <f ca="1">IFERROR(__xludf.UNSUPPORTED("""COMPUTED_VALUE"""),45957.6666666666)</f>
        <v>45957.666666666599</v>
      </c>
      <c r="B1714" s="1">
        <f ca="1">IFERROR(__xludf.UNSUPPORTED("""COMPUTED_VALUE"""),304.15)</f>
        <v>304.14999999999998</v>
      </c>
      <c r="C1714" s="2">
        <f t="shared" ca="1" si="6"/>
        <v>1.2348555452003659E-2</v>
      </c>
    </row>
    <row r="1715" spans="1:3">
      <c r="A1715" s="3">
        <f ca="1">IFERROR(__xludf.UNSUPPORTED("""COMPUTED_VALUE"""),45958.6666666666)</f>
        <v>45958.666666666599</v>
      </c>
      <c r="B1715" s="1">
        <f ca="1">IFERROR(__xludf.UNSUPPORTED("""COMPUTED_VALUE"""),305.36)</f>
        <v>305.36</v>
      </c>
      <c r="C1715" s="2">
        <f t="shared" ca="1" si="6"/>
        <v>3.9783001808319464E-3</v>
      </c>
    </row>
    <row r="1716" spans="1:3">
      <c r="A1716" s="3">
        <f ca="1">IFERROR(__xludf.UNSUPPORTED("""COMPUTED_VALUE"""),45959.6666666666)</f>
        <v>45959.666666666599</v>
      </c>
      <c r="B1716" s="1">
        <f ca="1">IFERROR(__xludf.UNSUPPORTED("""COMPUTED_VALUE"""),305.51)</f>
        <v>305.51</v>
      </c>
      <c r="C1716" s="2">
        <f t="shared" ca="1" si="6"/>
        <v>4.9122347393233321E-4</v>
      </c>
    </row>
    <row r="1717" spans="1:3">
      <c r="A1717" s="3">
        <f ca="1">IFERROR(__xludf.UNSUPPORTED("""COMPUTED_VALUE"""),45960.6666666666)</f>
        <v>45960.666666666599</v>
      </c>
      <c r="B1717" s="1">
        <f ca="1">IFERROR(__xludf.UNSUPPORTED("""COMPUTED_VALUE"""),309.44)</f>
        <v>309.44</v>
      </c>
      <c r="C1717" s="2">
        <f t="shared" ca="1" si="6"/>
        <v>1.2863736047919894E-2</v>
      </c>
    </row>
    <row r="1718" spans="1:3">
      <c r="A1718" s="3">
        <f ca="1">IFERROR(__xludf.UNSUPPORTED("""COMPUTED_VALUE"""),45961.6666666666)</f>
        <v>45961.666666666599</v>
      </c>
      <c r="B1718" s="1">
        <f ca="1">IFERROR(__xludf.UNSUPPORTED("""COMPUTED_VALUE"""),311.12)</f>
        <v>311.12</v>
      </c>
      <c r="C1718" s="2">
        <f t="shared" ca="1" si="6"/>
        <v>5.4291623578076745E-3</v>
      </c>
    </row>
    <row r="1719" spans="1:3">
      <c r="A1719" s="3">
        <f ca="1">IFERROR(__xludf.UNSUPPORTED("""COMPUTED_VALUE"""),45964.6666666666)</f>
        <v>45964.666666666599</v>
      </c>
      <c r="B1719" s="1">
        <f ca="1">IFERROR(__xludf.UNSUPPORTED("""COMPUTED_VALUE"""),309.35)</f>
        <v>309.35000000000002</v>
      </c>
      <c r="C1719" s="2">
        <f t="shared" ca="1" si="6"/>
        <v>-5.6891231679094293E-3</v>
      </c>
    </row>
    <row r="1720" spans="1:3">
      <c r="A1720" s="3">
        <f ca="1">IFERROR(__xludf.UNSUPPORTED("""COMPUTED_VALUE"""),45965.6666666666)</f>
        <v>45965.666666666599</v>
      </c>
      <c r="B1720" s="1">
        <f ca="1">IFERROR(__xludf.UNSUPPORTED("""COMPUTED_VALUE"""),309.25)</f>
        <v>309.25</v>
      </c>
      <c r="C1720" s="2">
        <f t="shared" ca="1" si="6"/>
        <v>-3.2325844512695243E-4</v>
      </c>
    </row>
    <row r="1721" spans="1:3">
      <c r="A1721" s="3">
        <f ca="1">IFERROR(__xludf.UNSUPPORTED("""COMPUTED_VALUE"""),45966.6666666666)</f>
        <v>45966.666666666599</v>
      </c>
      <c r="B1721" s="1">
        <f ca="1">IFERROR(__xludf.UNSUPPORTED("""COMPUTED_VALUE"""),311.68)</f>
        <v>311.68</v>
      </c>
      <c r="C1721" s="2">
        <f t="shared" ca="1" si="6"/>
        <v>7.8577202910266996E-3</v>
      </c>
    </row>
    <row r="1722" spans="1:3">
      <c r="A1722" s="3">
        <f ca="1">IFERROR(__xludf.UNSUPPORTED("""COMPUTED_VALUE"""),45967.6666666666)</f>
        <v>45967.666666666599</v>
      </c>
      <c r="B1722" s="1">
        <f ca="1">IFERROR(__xludf.UNSUPPORTED("""COMPUTED_VALUE"""),313.42)</f>
        <v>313.42</v>
      </c>
      <c r="C1722" s="2">
        <f t="shared" ca="1" si="6"/>
        <v>5.5826488706365793E-3</v>
      </c>
    </row>
    <row r="1723" spans="1:3">
      <c r="A1723" s="3">
        <f ca="1">IFERROR(__xludf.UNSUPPORTED("""COMPUTED_VALUE"""),45968.6666666666)</f>
        <v>45968.666666666599</v>
      </c>
      <c r="B1723" s="1">
        <f ca="1">IFERROR(__xludf.UNSUPPORTED("""COMPUTED_VALUE"""),314.21)</f>
        <v>314.20999999999998</v>
      </c>
      <c r="C1723" s="2">
        <f t="shared" ca="1" si="6"/>
        <v>2.5205794142044657E-3</v>
      </c>
    </row>
    <row r="1724" spans="1:3">
      <c r="A1724" s="3">
        <f ca="1">IFERROR(__xludf.UNSUPPORTED("""COMPUTED_VALUE"""),45971.6666666666)</f>
        <v>45971.666666666599</v>
      </c>
      <c r="B1724" s="1">
        <f ca="1">IFERROR(__xludf.UNSUPPORTED("""COMPUTED_VALUE"""),316.89)</f>
        <v>316.89</v>
      </c>
      <c r="C1724" s="2">
        <f t="shared" ca="1" si="6"/>
        <v>8.5293275198116136E-3</v>
      </c>
    </row>
    <row r="1725" spans="1:3">
      <c r="A1725" s="3">
        <f ca="1">IFERROR(__xludf.UNSUPPORTED("""COMPUTED_VALUE"""),45972.6666666666)</f>
        <v>45972.666666666599</v>
      </c>
      <c r="B1725" s="1">
        <f ca="1">IFERROR(__xludf.UNSUPPORTED("""COMPUTED_VALUE"""),315.62)</f>
        <v>315.62</v>
      </c>
      <c r="C1725" s="2">
        <f t="shared" ca="1" si="6"/>
        <v>-4.007699832749477E-3</v>
      </c>
    </row>
    <row r="1726" spans="1:3">
      <c r="A1726" s="3">
        <f ca="1">IFERROR(__xludf.UNSUPPORTED("""COMPUTED_VALUE"""),45973.6666666666)</f>
        <v>45973.666666666599</v>
      </c>
      <c r="B1726" s="1">
        <f ca="1">IFERROR(__xludf.UNSUPPORTED("""COMPUTED_VALUE"""),320.41)</f>
        <v>320.41000000000003</v>
      </c>
      <c r="C1726" s="2">
        <f t="shared" ca="1" si="6"/>
        <v>1.517647804321659E-2</v>
      </c>
    </row>
    <row r="1727" spans="1:3">
      <c r="A1727" s="3">
        <f ca="1">IFERROR(__xludf.UNSUPPORTED("""COMPUTED_VALUE"""),45974.6666666666)</f>
        <v>45974.666666666599</v>
      </c>
      <c r="B1727" s="1">
        <f ca="1">IFERROR(__xludf.UNSUPPORTED("""COMPUTED_VALUE"""),309.48)</f>
        <v>309.48</v>
      </c>
      <c r="C1727" s="2">
        <f t="shared" ca="1" si="6"/>
        <v>-3.4112543303891907E-2</v>
      </c>
    </row>
    <row r="1728" spans="1:3">
      <c r="A1728" s="3">
        <f ca="1">IFERROR(__xludf.UNSUPPORTED("""COMPUTED_VALUE"""),45975.6666666666)</f>
        <v>45975.666666666599</v>
      </c>
      <c r="B1728" s="1">
        <f ca="1">IFERROR(__xludf.UNSUPPORTED("""COMPUTED_VALUE"""),303.61)</f>
        <v>303.61</v>
      </c>
      <c r="C1728" s="2">
        <f t="shared" ca="1" si="6"/>
        <v>-1.8967299987075106E-2</v>
      </c>
    </row>
    <row r="1729" spans="1:3">
      <c r="A1729" s="3">
        <f ca="1">IFERROR(__xludf.UNSUPPORTED("""COMPUTED_VALUE"""),45978.6666666666)</f>
        <v>45978.666666666599</v>
      </c>
      <c r="B1729" s="1">
        <f ca="1">IFERROR(__xludf.UNSUPPORTED("""COMPUTED_VALUE"""),300.37)</f>
        <v>300.37</v>
      </c>
      <c r="C1729" s="2">
        <f t="shared" ca="1" si="6"/>
        <v>-1.0671585257402619E-2</v>
      </c>
    </row>
    <row r="1730" spans="1:3">
      <c r="A1730" s="3">
        <f ca="1">IFERROR(__xludf.UNSUPPORTED("""COMPUTED_VALUE"""),45979.6666666666)</f>
        <v>45979.666666666599</v>
      </c>
      <c r="B1730" s="1">
        <f ca="1">IFERROR(__xludf.UNSUPPORTED("""COMPUTED_VALUE"""),299.41)</f>
        <v>299.41000000000003</v>
      </c>
      <c r="C1730" s="2">
        <f t="shared" ca="1" si="6"/>
        <v>-3.1960581948928973E-3</v>
      </c>
    </row>
    <row r="1731" spans="1:3">
      <c r="A1731" s="3">
        <f ca="1">IFERROR(__xludf.UNSUPPORTED("""COMPUTED_VALUE"""),45980.6666666666)</f>
        <v>45980.666666666599</v>
      </c>
      <c r="B1731" s="1">
        <f ca="1">IFERROR(__xludf.UNSUPPORTED("""COMPUTED_VALUE"""),303.27)</f>
        <v>303.27</v>
      </c>
      <c r="C1731" s="2">
        <f t="shared" ca="1" si="6"/>
        <v>1.2892020974583201E-2</v>
      </c>
    </row>
    <row r="1732" spans="1:3">
      <c r="A1732" s="3">
        <f ca="1">IFERROR(__xludf.UNSUPPORTED("""COMPUTED_VALUE"""),45981.6666666666)</f>
        <v>45981.666666666599</v>
      </c>
      <c r="B1732" s="1">
        <f ca="1">IFERROR(__xludf.UNSUPPORTED("""COMPUTED_VALUE"""),298.38)</f>
        <v>298.38</v>
      </c>
      <c r="C1732" s="2">
        <f t="shared" ca="1" si="6"/>
        <v>-1.6124245721634144E-2</v>
      </c>
    </row>
    <row r="1733" spans="1:3">
      <c r="A1733" s="3">
        <f ca="1">IFERROR(__xludf.UNSUPPORTED("""COMPUTED_VALUE"""),45982.6666666666)</f>
        <v>45982.666666666599</v>
      </c>
      <c r="B1733" s="1">
        <f ca="1">IFERROR(__xludf.UNSUPPORTED("""COMPUTED_VALUE"""),298.02)</f>
        <v>298.02</v>
      </c>
      <c r="C1733" s="2">
        <f t="shared" ca="1" si="6"/>
        <v>-1.2065151819827525E-3</v>
      </c>
    </row>
    <row r="1734" spans="1:3">
      <c r="A1734" s="3">
        <f ca="1">IFERROR(__xludf.UNSUPPORTED("""COMPUTED_VALUE"""),45985.6666666666)</f>
        <v>45985.666666666599</v>
      </c>
      <c r="B1734" s="1">
        <f ca="1">IFERROR(__xludf.UNSUPPORTED("""COMPUTED_VALUE"""),298)</f>
        <v>298</v>
      </c>
      <c r="C1734" s="2">
        <f t="shared" ca="1" si="6"/>
        <v>-6.7109589960344314E-5</v>
      </c>
    </row>
    <row r="1735" spans="1:3">
      <c r="A1735" s="3">
        <f ca="1">IFERROR(__xludf.UNSUPPORTED("""COMPUTED_VALUE"""),45986.6666666666)</f>
        <v>45986.666666666599</v>
      </c>
      <c r="B1735" s="1">
        <f ca="1">IFERROR(__xludf.UNSUPPORTED("""COMPUTED_VALUE"""),303)</f>
        <v>303</v>
      </c>
      <c r="C1735" s="2">
        <f t="shared" ca="1" si="6"/>
        <v>1.6778523489932886E-2</v>
      </c>
    </row>
    <row r="1736" spans="1:3">
      <c r="A1736" s="3">
        <f ca="1">IFERROR(__xludf.UNSUPPORTED("""COMPUTED_VALUE"""),45987.6666666666)</f>
        <v>45987.666666666599</v>
      </c>
      <c r="B1736" s="1">
        <f ca="1">IFERROR(__xludf.UNSUPPORTED("""COMPUTED_VALUE"""),307.64)</f>
        <v>307.64</v>
      </c>
      <c r="C1736" s="2">
        <f t="shared" ca="1" si="6"/>
        <v>1.5313531353135269E-2</v>
      </c>
    </row>
    <row r="1737" spans="1:3">
      <c r="A1737" s="3">
        <f ca="1">IFERROR(__xludf.UNSUPPORTED("""COMPUTED_VALUE"""),45989.5416666666)</f>
        <v>45989.541666666599</v>
      </c>
      <c r="B1737" s="1">
        <f ca="1">IFERROR(__xludf.UNSUPPORTED("""COMPUTED_VALUE"""),313.08)</f>
        <v>313.08</v>
      </c>
      <c r="C1737" s="2">
        <f t="shared" ca="1" si="6"/>
        <v>1.768300611103887E-2</v>
      </c>
    </row>
    <row r="1738" spans="1:3">
      <c r="A1738" s="3">
        <f ca="1">IFERROR(__xludf.UNSUPPORTED("""COMPUTED_VALUE"""),45992.6666666666)</f>
        <v>45992.666666666599</v>
      </c>
      <c r="B1738" s="1">
        <f ca="1">IFERROR(__xludf.UNSUPPORTED("""COMPUTED_VALUE"""),308.92)</f>
        <v>308.92</v>
      </c>
      <c r="C1738" s="2">
        <f t="shared" ca="1" si="6"/>
        <v>-1.328733869937386E-2</v>
      </c>
    </row>
    <row r="1739" spans="1:3">
      <c r="A1739" s="3">
        <f ca="1">IFERROR(__xludf.UNSUPPORTED("""COMPUTED_VALUE"""),45993.6666666666)</f>
        <v>45993.666666666599</v>
      </c>
      <c r="B1739" s="1">
        <f ca="1">IFERROR(__xludf.UNSUPPORTED("""COMPUTED_VALUE"""),307.88)</f>
        <v>307.88</v>
      </c>
      <c r="C1739" s="2">
        <f t="shared" ca="1" si="6"/>
        <v>-3.3665673960896684E-3</v>
      </c>
    </row>
    <row r="1740" spans="1:3">
      <c r="A1740" s="3">
        <f ca="1">IFERROR(__xludf.UNSUPPORTED("""COMPUTED_VALUE"""),45994.6666666666)</f>
        <v>45994.666666666599</v>
      </c>
      <c r="B1740" s="1">
        <f ca="1">IFERROR(__xludf.UNSUPPORTED("""COMPUTED_VALUE"""),312.13)</f>
        <v>312.13</v>
      </c>
      <c r="C1740" s="2">
        <f t="shared" ca="1" si="6"/>
        <v>1.3804079511497987E-2</v>
      </c>
    </row>
    <row r="1741" spans="1:3">
      <c r="A1741" s="3">
        <f ca="1">IFERROR(__xludf.UNSUPPORTED("""COMPUTED_VALUE"""),45995.6666666666)</f>
        <v>45995.666666666599</v>
      </c>
      <c r="B1741" s="1">
        <f ca="1">IFERROR(__xludf.UNSUPPORTED("""COMPUTED_VALUE"""),316.1)</f>
        <v>316.10000000000002</v>
      </c>
      <c r="C1741" s="2">
        <f t="shared" ca="1" si="6"/>
        <v>1.2719059366289774E-2</v>
      </c>
    </row>
    <row r="1742" spans="1:3">
      <c r="A1742" s="3">
        <f ca="1">IFERROR(__xludf.UNSUPPORTED("""COMPUTED_VALUE"""),45996.6666666666)</f>
        <v>45996.666666666599</v>
      </c>
      <c r="B1742" s="1">
        <f ca="1">IFERROR(__xludf.UNSUPPORTED("""COMPUTED_VALUE"""),315.04)</f>
        <v>315.04000000000002</v>
      </c>
      <c r="C1742" s="2">
        <f t="shared" ca="1" si="6"/>
        <v>-3.3533691869661571E-3</v>
      </c>
    </row>
    <row r="1743" spans="1:3">
      <c r="A1743" s="3">
        <f ca="1">IFERROR(__xludf.UNSUPPORTED("""COMPUTED_VALUE"""),45999.6666666666)</f>
        <v>45999.666666666599</v>
      </c>
      <c r="B1743" s="1">
        <f ca="1">IFERROR(__xludf.UNSUPPORTED("""COMPUTED_VALUE"""),315.21)</f>
        <v>315.20999999999998</v>
      </c>
      <c r="C1743" s="2">
        <f t="shared" ca="1" si="6"/>
        <v>5.3961401726751858E-4</v>
      </c>
    </row>
    <row r="1744" spans="1:3">
      <c r="A1744" s="3">
        <f ca="1">IFERROR(__xludf.UNSUPPORTED("""COMPUTED_VALUE"""),46000.6666666666)</f>
        <v>46000.666666666599</v>
      </c>
      <c r="B1744" s="1">
        <f ca="1">IFERROR(__xludf.UNSUPPORTED("""COMPUTED_VALUE"""),300.51)</f>
        <v>300.51</v>
      </c>
      <c r="C1744" s="2">
        <f t="shared" ca="1" si="6"/>
        <v>-4.6635576282478317E-2</v>
      </c>
    </row>
    <row r="1745" spans="1:3">
      <c r="A1745" s="3">
        <f ca="1">IFERROR(__xludf.UNSUPPORTED("""COMPUTED_VALUE"""),46001.6666666666)</f>
        <v>46001.666666666599</v>
      </c>
      <c r="B1745" s="1">
        <f ca="1">IFERROR(__xludf.UNSUPPORTED("""COMPUTED_VALUE"""),310.11)</f>
        <v>310.11</v>
      </c>
      <c r="C1745" s="2">
        <f t="shared" ca="1" si="6"/>
        <v>3.1945692323050889E-2</v>
      </c>
    </row>
    <row r="1746" spans="1:3">
      <c r="A1746" s="3">
        <f ca="1">IFERROR(__xludf.UNSUPPORTED("""COMPUTED_VALUE"""),46002.6666666666)</f>
        <v>46002.666666666599</v>
      </c>
      <c r="B1746" s="1">
        <f ca="1">IFERROR(__xludf.UNSUPPORTED("""COMPUTED_VALUE"""),317.38)</f>
        <v>317.38</v>
      </c>
      <c r="C1746" s="2">
        <f t="shared" ca="1" si="6"/>
        <v>2.3443294314920451E-2</v>
      </c>
    </row>
    <row r="1747" spans="1:3">
      <c r="A1747" s="3">
        <f ca="1">IFERROR(__xludf.UNSUPPORTED("""COMPUTED_VALUE"""),46003.6666666666)</f>
        <v>46003.666666666599</v>
      </c>
      <c r="B1747" s="1">
        <f ca="1">IFERROR(__xludf.UNSUPPORTED("""COMPUTED_VALUE"""),318.52)</f>
        <v>318.52</v>
      </c>
      <c r="C1747" s="2">
        <f t="shared" ca="1" si="6"/>
        <v>3.5919087529144443E-3</v>
      </c>
    </row>
    <row r="1748" spans="1:3">
      <c r="A1748" s="3">
        <f ca="1">IFERROR(__xludf.UNSUPPORTED("""COMPUTED_VALUE"""),46006.6666666666)</f>
        <v>46006.666666666599</v>
      </c>
      <c r="B1748" s="1">
        <f ca="1">IFERROR(__xludf.UNSUPPORTED("""COMPUTED_VALUE"""),320.02)</f>
        <v>320.02</v>
      </c>
      <c r="C1748" s="2">
        <f t="shared" ca="1" si="6"/>
        <v>4.7092804219515264E-3</v>
      </c>
    </row>
    <row r="1749" spans="1:3">
      <c r="A1749" s="3">
        <f ca="1">IFERROR(__xludf.UNSUPPORTED("""COMPUTED_VALUE"""),46007.6666666666)</f>
        <v>46007.666666666599</v>
      </c>
      <c r="B1749" s="1">
        <f ca="1">IFERROR(__xludf.UNSUPPORTED("""COMPUTED_VALUE"""),315.55)</f>
        <v>315.55</v>
      </c>
      <c r="C1749" s="2">
        <f t="shared" ca="1" si="6"/>
        <v>-1.3967877007686928E-2</v>
      </c>
    </row>
    <row r="1750" spans="1:3">
      <c r="A1750" s="3">
        <f ca="1">IFERROR(__xludf.UNSUPPORTED("""COMPUTED_VALUE"""),46008.6666666666)</f>
        <v>46008.666666666599</v>
      </c>
      <c r="B1750" s="1">
        <f ca="1">IFERROR(__xludf.UNSUPPORTED("""COMPUTED_VALUE"""),314.98)</f>
        <v>314.98</v>
      </c>
      <c r="C1750" s="2">
        <f t="shared" ca="1" si="6"/>
        <v>-1.8063698304547399E-3</v>
      </c>
    </row>
    <row r="1751" spans="1:3">
      <c r="A1751" s="3">
        <f ca="1">IFERROR(__xludf.UNSUPPORTED("""COMPUTED_VALUE"""),46009.6666666666)</f>
        <v>46009.666666666599</v>
      </c>
      <c r="B1751" s="1">
        <f ca="1">IFERROR(__xludf.UNSUPPORTED("""COMPUTED_VALUE"""),313)</f>
        <v>313</v>
      </c>
      <c r="C1751" s="2">
        <f t="shared" ca="1" si="6"/>
        <v>-6.2861134040257099E-3</v>
      </c>
    </row>
    <row r="1752" spans="1:3">
      <c r="A1752" s="3">
        <f ca="1">IFERROR(__xludf.UNSUPPORTED("""COMPUTED_VALUE"""),46010.6666666666)</f>
        <v>46010.666666666599</v>
      </c>
      <c r="B1752" s="1">
        <f ca="1">IFERROR(__xludf.UNSUPPORTED("""COMPUTED_VALUE"""),317.21)</f>
        <v>317.20999999999998</v>
      </c>
      <c r="C1752" s="2">
        <f t="shared" ca="1" si="6"/>
        <v>1.3450479233226773E-2</v>
      </c>
    </row>
    <row r="1753" spans="1:3">
      <c r="A1753" s="3">
        <f ca="1">IFERROR(__xludf.UNSUPPORTED("""COMPUTED_VALUE"""),46013.6666666666)</f>
        <v>46013.666666666599</v>
      </c>
      <c r="B1753" s="1">
        <f ca="1">IFERROR(__xludf.UNSUPPORTED("""COMPUTED_VALUE"""),323.09)</f>
        <v>323.08999999999997</v>
      </c>
      <c r="C1753" s="2">
        <f t="shared" ca="1" si="6"/>
        <v>1.8536616121812035E-2</v>
      </c>
    </row>
    <row r="1754" spans="1:3">
      <c r="A1754" s="3">
        <f ca="1">IFERROR(__xludf.UNSUPPORTED("""COMPUTED_VALUE"""),46014.6666666666)</f>
        <v>46014.666666666599</v>
      </c>
      <c r="B1754" s="1">
        <f ca="1">IFERROR(__xludf.UNSUPPORTED("""COMPUTED_VALUE"""),325.93)</f>
        <v>325.93</v>
      </c>
      <c r="C1754" s="2">
        <f t="shared" ca="1" si="6"/>
        <v>8.7901203998886745E-3</v>
      </c>
    </row>
    <row r="1755" spans="1:3">
      <c r="A1755" s="3">
        <f ca="1">IFERROR(__xludf.UNSUPPORTED("""COMPUTED_VALUE"""),46015.5416666666)</f>
        <v>46015.541666666599</v>
      </c>
      <c r="B1755" s="1">
        <f ca="1">IFERROR(__xludf.UNSUPPORTED("""COMPUTED_VALUE"""),329.17)</f>
        <v>329.17</v>
      </c>
      <c r="C1755" s="2">
        <f t="shared" ca="1" si="6"/>
        <v>9.9407848310987292E-3</v>
      </c>
    </row>
    <row r="1756" spans="1:3">
      <c r="A1756" s="3">
        <f ca="1">IFERROR(__xludf.UNSUPPORTED("""COMPUTED_VALUE"""),46017.6666666666)</f>
        <v>46017.666666666599</v>
      </c>
      <c r="B1756" s="1">
        <f ca="1">IFERROR(__xludf.UNSUPPORTED("""COMPUTED_VALUE"""),327.91)</f>
        <v>327.91</v>
      </c>
      <c r="C1756" s="2">
        <f t="shared" ca="1" si="6"/>
        <v>-3.8278093386395809E-3</v>
      </c>
    </row>
    <row r="1757" spans="1:3">
      <c r="A1757" s="3">
        <f ca="1">IFERROR(__xludf.UNSUPPORTED("""COMPUTED_VALUE"""),46020.6666666666)</f>
        <v>46020.666666666599</v>
      </c>
      <c r="B1757" s="1">
        <f ca="1">IFERROR(__xludf.UNSUPPORTED("""COMPUTED_VALUE"""),323.75)</f>
        <v>323.75</v>
      </c>
      <c r="C1757" s="2">
        <f t="shared" ca="1" si="6"/>
        <v>-1.268640785581417E-2</v>
      </c>
    </row>
    <row r="1758" spans="1:3">
      <c r="A1758" s="3">
        <f ca="1">IFERROR(__xludf.UNSUPPORTED("""COMPUTED_VALUE"""),46021.6666666666)</f>
        <v>46021.666666666599</v>
      </c>
      <c r="B1758" s="1">
        <f ca="1">IFERROR(__xludf.UNSUPPORTED("""COMPUTED_VALUE"""),323.42)</f>
        <v>323.42</v>
      </c>
      <c r="C1758" s="2">
        <f t="shared" ca="1" si="6"/>
        <v>-1.0193050193049702E-3</v>
      </c>
    </row>
    <row r="1759" spans="1:3">
      <c r="A1759" s="3">
        <f ca="1">IFERROR(__xludf.UNSUPPORTED("""COMPUTED_VALUE"""),46022.6666666666)</f>
        <v>46022.666666666599</v>
      </c>
      <c r="B1759" s="1">
        <f ca="1">IFERROR(__xludf.UNSUPPORTED("""COMPUTED_VALUE"""),322.22)</f>
        <v>322.22000000000003</v>
      </c>
      <c r="C1759" s="2">
        <f t="shared" ca="1" si="6"/>
        <v>-3.7103456805392017E-3</v>
      </c>
    </row>
    <row r="1760" spans="1:3">
      <c r="A1760" s="3">
        <f ca="1">IFERROR(__xludf.UNSUPPORTED("""COMPUTED_VALUE"""),46024.6666666666)</f>
        <v>46024.666666666599</v>
      </c>
      <c r="B1760" s="1">
        <f ca="1">IFERROR(__xludf.UNSUPPORTED("""COMPUTED_VALUE"""),325.48)</f>
        <v>325.48</v>
      </c>
      <c r="C1760" s="2">
        <f t="shared" ca="1" si="6"/>
        <v>1.0117311153869997E-2</v>
      </c>
    </row>
    <row r="1761" spans="1:3">
      <c r="A1761" s="3">
        <f ca="1">IFERROR(__xludf.UNSUPPORTED("""COMPUTED_VALUE"""),46027.6666666666)</f>
        <v>46027.666666666599</v>
      </c>
      <c r="B1761" s="1">
        <f ca="1">IFERROR(__xludf.UNSUPPORTED("""COMPUTED_VALUE"""),334.04)</f>
        <v>334.04</v>
      </c>
      <c r="C1761" s="2">
        <f t="shared" ca="1" si="6"/>
        <v>2.6299619024210401E-2</v>
      </c>
    </row>
    <row r="1762" spans="1:3">
      <c r="A1762" s="3">
        <f ca="1">IFERROR(__xludf.UNSUPPORTED("""COMPUTED_VALUE"""),46028.6666666666)</f>
        <v>46028.666666666599</v>
      </c>
      <c r="B1762" s="1">
        <f ca="1">IFERROR(__xludf.UNSUPPORTED("""COMPUTED_VALUE"""),334.61)</f>
        <v>334.61</v>
      </c>
      <c r="C1762" s="2">
        <f t="shared" ca="1" si="6"/>
        <v>1.7063824691653489E-3</v>
      </c>
    </row>
    <row r="1763" spans="1:3">
      <c r="A1763" s="3">
        <f ca="1">IFERROR(__xludf.UNSUPPORTED("""COMPUTED_VALUE"""),46029.6666666666)</f>
        <v>46029.666666666599</v>
      </c>
      <c r="B1763" s="1">
        <f ca="1">IFERROR(__xludf.UNSUPPORTED("""COMPUTED_VALUE"""),326.99)</f>
        <v>326.99</v>
      </c>
      <c r="C1763" s="2">
        <f t="shared" ca="1" si="6"/>
        <v>-2.2772780251636246E-2</v>
      </c>
    </row>
    <row r="1764" spans="1:3">
      <c r="A1764" s="3">
        <f ca="1">IFERROR(__xludf.UNSUPPORTED("""COMPUTED_VALUE"""),46030.6666666666)</f>
        <v>46030.666666666599</v>
      </c>
      <c r="B1764" s="1">
        <f ca="1">IFERROR(__xludf.UNSUPPORTED("""COMPUTED_VALUE"""),329.79)</f>
        <v>329.79</v>
      </c>
      <c r="C1764" s="2">
        <f t="shared" ca="1" si="6"/>
        <v>8.5629529955044848E-3</v>
      </c>
    </row>
    <row r="1765" spans="1:3">
      <c r="A1765" s="3">
        <f ca="1">IFERROR(__xludf.UNSUPPORTED("""COMPUTED_VALUE"""),46031.6666666666)</f>
        <v>46031.666666666599</v>
      </c>
      <c r="B1765" s="1">
        <f ca="1">IFERROR(__xludf.UNSUPPORTED("""COMPUTED_VALUE"""),329.19)</f>
        <v>329.19</v>
      </c>
      <c r="C1765" s="2">
        <f t="shared" ca="1" si="6"/>
        <v>-1.8193395797326259E-3</v>
      </c>
    </row>
    <row r="1766" spans="1:3">
      <c r="A1766" s="3">
        <f ca="1">IFERROR(__xludf.UNSUPPORTED("""COMPUTED_VALUE"""),46034.6666666666)</f>
        <v>46034.666666666599</v>
      </c>
      <c r="B1766" s="1">
        <f ca="1">IFERROR(__xludf.UNSUPPORTED("""COMPUTED_VALUE"""),324.49)</f>
        <v>324.49</v>
      </c>
      <c r="C1766" s="2">
        <f t="shared" ca="1" si="6"/>
        <v>-1.4277468938910624E-2</v>
      </c>
    </row>
    <row r="1767" spans="1:3">
      <c r="A1767" s="3">
        <f ca="1">IFERROR(__xludf.UNSUPPORTED("""COMPUTED_VALUE"""),46035.6666666666)</f>
        <v>46035.666666666599</v>
      </c>
      <c r="B1767" s="1">
        <f ca="1">IFERROR(__xludf.UNSUPPORTED("""COMPUTED_VALUE"""),310.9)</f>
        <v>310.89999999999998</v>
      </c>
      <c r="C1767" s="2">
        <f t="shared" ca="1" si="6"/>
        <v>-4.1881105735153724E-2</v>
      </c>
    </row>
    <row r="1768" spans="1:3">
      <c r="A1768" s="3">
        <f ca="1">IFERROR(__xludf.UNSUPPORTED("""COMPUTED_VALUE"""),46036.6666666666)</f>
        <v>46036.666666666599</v>
      </c>
      <c r="B1768" s="1">
        <f ca="1">IFERROR(__xludf.UNSUPPORTED("""COMPUTED_VALUE"""),307.87)</f>
        <v>307.87</v>
      </c>
      <c r="C1768" s="2">
        <f t="shared" ca="1" si="6"/>
        <v>-9.7458990028947336E-3</v>
      </c>
    </row>
    <row r="1769" spans="1:3">
      <c r="A1769" s="3">
        <f ca="1">IFERROR(__xludf.UNSUPPORTED("""COMPUTED_VALUE"""),46037.6666666666)</f>
        <v>46037.666666666599</v>
      </c>
      <c r="B1769" s="1">
        <f ca="1">IFERROR(__xludf.UNSUPPORTED("""COMPUTED_VALUE"""),309.26)</f>
        <v>309.26</v>
      </c>
      <c r="C1769" s="2">
        <f t="shared" ca="1" si="6"/>
        <v>4.5148926494948723E-3</v>
      </c>
    </row>
    <row r="1770" spans="1:3">
      <c r="A1770" s="3">
        <f ca="1">IFERROR(__xludf.UNSUPPORTED("""COMPUTED_VALUE"""),46038.6666666666)</f>
        <v>46038.666666666599</v>
      </c>
      <c r="B1770" s="1">
        <f ca="1">IFERROR(__xludf.UNSUPPORTED("""COMPUTED_VALUE"""),312.47)</f>
        <v>312.47000000000003</v>
      </c>
      <c r="C1770" s="2">
        <f t="shared" ca="1" si="6"/>
        <v>1.0379615857207645E-2</v>
      </c>
    </row>
    <row r="1771" spans="1:3">
      <c r="A1771" s="3">
        <f ca="1">IFERROR(__xludf.UNSUPPORTED("""COMPUTED_VALUE"""),46042.6666666666)</f>
        <v>46042.666666666599</v>
      </c>
      <c r="B1771" s="1">
        <f ca="1">IFERROR(__xludf.UNSUPPORTED("""COMPUTED_VALUE"""),302.74)</f>
        <v>302.74</v>
      </c>
      <c r="C1771" s="2">
        <f t="shared" ca="1" si="6"/>
        <v>-3.1138989342976982E-2</v>
      </c>
    </row>
    <row r="1772" spans="1:3">
      <c r="A1772" s="3">
        <f ca="1">IFERROR(__xludf.UNSUPPORTED("""COMPUTED_VALUE"""),46043.6666666666)</f>
        <v>46043.666666666599</v>
      </c>
      <c r="B1772" s="1">
        <f ca="1">IFERROR(__xludf.UNSUPPORTED("""COMPUTED_VALUE"""),302.04)</f>
        <v>302.04000000000002</v>
      </c>
      <c r="C1772" s="2">
        <f t="shared" ca="1" si="6"/>
        <v>-2.3122151020677434E-3</v>
      </c>
    </row>
    <row r="1773" spans="1:3">
      <c r="A1773" s="3">
        <f ca="1">IFERROR(__xludf.UNSUPPORTED("""COMPUTED_VALUE"""),46044.6666666666)</f>
        <v>46044.666666666599</v>
      </c>
      <c r="B1773" s="1">
        <f ca="1">IFERROR(__xludf.UNSUPPORTED("""COMPUTED_VALUE"""),303.63)</f>
        <v>303.63</v>
      </c>
      <c r="C1773" s="2">
        <f t="shared" ca="1" si="6"/>
        <v>5.2642034167659085E-3</v>
      </c>
    </row>
    <row r="1774" spans="1:3"/>
    <row r="1775" spans="1:3"/>
    <row r="1776" spans="1:3"/>
    <row r="1777"/>
    <row r="1778"/>
    <row r="1779"/>
    <row r="1780"/>
    <row r="1781"/>
    <row r="1782"/>
    <row r="1783"/>
    <row r="1784"/>
    <row r="1785"/>
    <row r="1786"/>
    <row r="1787"/>
    <row r="1788"/>
    <row r="1789"/>
    <row r="1790"/>
    <row r="1791"/>
    <row r="1792"/>
    <row r="1793"/>
    <row r="1794"/>
    <row r="1795"/>
    <row r="1796"/>
    <row r="1797"/>
    <row r="1798"/>
    <row r="1799"/>
    <row r="1800"/>
    <row r="1801"/>
    <row r="1802"/>
    <row r="1803"/>
    <row r="1804"/>
    <row r="1805"/>
    <row r="1806"/>
    <row r="1807"/>
    <row r="1808"/>
    <row r="1809"/>
    <row r="1810"/>
    <row r="1811"/>
    <row r="1812"/>
    <row r="1813"/>
    <row r="1814"/>
    <row r="1815"/>
    <row r="1816"/>
    <row r="1817"/>
    <row r="1818"/>
    <row r="1819"/>
    <row r="1820"/>
    <row r="1821"/>
    <row r="1822"/>
    <row r="1823"/>
    <row r="1824"/>
    <row r="1825"/>
    <row r="1826"/>
    <row r="1827"/>
    <row r="1828"/>
    <row r="1829"/>
    <row r="1830"/>
    <row r="1831"/>
    <row r="1832"/>
    <row r="1833"/>
    <row r="1834"/>
    <row r="1835"/>
    <row r="1836"/>
    <row r="1837"/>
    <row r="1838"/>
    <row r="1839"/>
    <row r="1840"/>
    <row r="1841"/>
    <row r="1842"/>
    <row r="1843"/>
    <row r="1844"/>
    <row r="1845"/>
    <row r="1846"/>
    <row r="1847"/>
    <row r="1848"/>
    <row r="1849"/>
    <row r="1850"/>
    <row r="1851"/>
    <row r="1852"/>
    <row r="1853"/>
    <row r="1854"/>
    <row r="1855"/>
    <row r="1856"/>
    <row r="1857"/>
    <row r="1858"/>
    <row r="1859"/>
    <row r="1860"/>
    <row r="1861"/>
    <row r="1862"/>
    <row r="1863"/>
    <row r="1864"/>
    <row r="1865"/>
    <row r="1866"/>
    <row r="1867"/>
    <row r="1868"/>
    <row r="1869"/>
    <row r="1870"/>
    <row r="1871"/>
    <row r="1872"/>
    <row r="1873"/>
    <row r="1874"/>
    <row r="1875"/>
    <row r="1876"/>
    <row r="1877"/>
    <row r="1878"/>
    <row r="1879"/>
    <row r="1880"/>
    <row r="1881"/>
    <row r="1882"/>
    <row r="1883"/>
    <row r="1884"/>
    <row r="1885"/>
    <row r="1886"/>
    <row r="1887"/>
    <row r="1888"/>
    <row r="1889"/>
    <row r="1890"/>
    <row r="1891"/>
    <row r="1892"/>
    <row r="1893"/>
    <row r="1894"/>
    <row r="1895"/>
    <row r="1896"/>
    <row r="1897"/>
    <row r="1898"/>
    <row r="1899"/>
    <row r="1900"/>
    <row r="1901"/>
    <row r="1902"/>
    <row r="1903"/>
    <row r="1904"/>
    <row r="1905"/>
    <row r="1906"/>
    <row r="1907"/>
    <row r="1908"/>
    <row r="1909"/>
    <row r="1910"/>
    <row r="1911"/>
    <row r="1912"/>
    <row r="1913"/>
    <row r="1914"/>
    <row r="1915"/>
    <row r="1916"/>
    <row r="1917"/>
    <row r="1918"/>
    <row r="1919"/>
    <row r="1920"/>
    <row r="1921"/>
    <row r="1922"/>
    <row r="1923"/>
    <row r="1924"/>
    <row r="1925"/>
    <row r="1926"/>
    <row r="1927"/>
    <row r="1928"/>
    <row r="1929"/>
    <row r="1930"/>
    <row r="1931"/>
    <row r="1932"/>
    <row r="1933"/>
    <row r="1934"/>
    <row r="1935"/>
    <row r="1936"/>
    <row r="1937"/>
    <row r="1938"/>
    <row r="1939"/>
    <row r="1940"/>
    <row r="1941"/>
    <row r="1942"/>
    <row r="1943"/>
    <row r="1944"/>
    <row r="1945"/>
    <row r="1946"/>
    <row r="1947"/>
    <row r="1948"/>
    <row r="1949"/>
    <row r="1950"/>
    <row r="1951"/>
    <row r="1952"/>
    <row r="1953"/>
    <row r="1954"/>
    <row r="1955"/>
    <row r="1956"/>
    <row r="1957"/>
    <row r="1958"/>
    <row r="1959"/>
    <row r="1960"/>
    <row r="1961"/>
    <row r="1962"/>
    <row r="1963"/>
    <row r="1964"/>
    <row r="1965"/>
    <row r="1966"/>
    <row r="1967"/>
    <row r="1968"/>
    <row r="1969"/>
    <row r="1970"/>
    <row r="1971"/>
    <row r="1972"/>
    <row r="1973"/>
    <row r="1974"/>
    <row r="1975"/>
    <row r="1976"/>
    <row r="1977"/>
    <row r="1978"/>
    <row r="1979"/>
    <row r="1980"/>
    <row r="1981"/>
    <row r="1982"/>
    <row r="1983"/>
    <row r="1984"/>
    <row r="1985"/>
    <row r="1986"/>
    <row r="1987"/>
    <row r="1988"/>
    <row r="1989"/>
    <row r="1990"/>
    <row r="1991"/>
    <row r="1992"/>
    <row r="1993"/>
    <row r="1994"/>
    <row r="1995"/>
    <row r="1996"/>
    <row r="1997"/>
    <row r="1998"/>
    <row r="1999"/>
    <row r="2000"/>
    <row r="2001"/>
    <row r="2002"/>
    <row r="2003"/>
    <row r="2004"/>
    <row r="2005"/>
    <row r="2006"/>
    <row r="2007"/>
    <row r="2008"/>
    <row r="2009"/>
    <row r="2010"/>
    <row r="2011"/>
    <row r="2012"/>
    <row r="2013"/>
    <row r="2014"/>
    <row r="2015"/>
    <row r="2016"/>
    <row r="2017"/>
    <row r="2018"/>
    <row r="2019"/>
    <row r="2020"/>
    <row r="2021"/>
    <row r="2022"/>
    <row r="2023"/>
    <row r="2024"/>
    <row r="2025"/>
    <row r="2026"/>
    <row r="2027"/>
    <row r="2028"/>
    <row r="2029"/>
    <row r="2030"/>
    <row r="2031"/>
    <row r="2032"/>
    <row r="2033"/>
    <row r="2034"/>
    <row r="2035"/>
    <row r="2036"/>
    <row r="2037"/>
    <row r="2038"/>
    <row r="2039"/>
    <row r="2040"/>
    <row r="2041"/>
    <row r="2042"/>
    <row r="2043"/>
    <row r="2044"/>
    <row r="2045"/>
    <row r="2046"/>
    <row r="2047"/>
    <row r="2048"/>
    <row r="2049"/>
    <row r="2050"/>
    <row r="2051"/>
    <row r="2052"/>
    <row r="2053"/>
    <row r="2054"/>
    <row r="2055"/>
    <row r="2056"/>
    <row r="2057"/>
    <row r="2058"/>
    <row r="2059"/>
    <row r="2060"/>
    <row r="2061"/>
    <row r="2062"/>
    <row r="2063"/>
    <row r="2064"/>
    <row r="2065"/>
    <row r="2066"/>
    <row r="2067"/>
    <row r="2068"/>
    <row r="2069"/>
    <row r="2070"/>
    <row r="2071"/>
    <row r="2072"/>
    <row r="2073"/>
    <row r="2074"/>
    <row r="2075"/>
    <row r="2076"/>
    <row r="2077"/>
    <row r="2078"/>
    <row r="2079"/>
    <row r="2080"/>
    <row r="2081"/>
    <row r="2082"/>
    <row r="2083"/>
    <row r="2084"/>
    <row r="2085"/>
    <row r="2086"/>
    <row r="2087"/>
    <row r="2088"/>
    <row r="2089"/>
    <row r="2090"/>
    <row r="2091"/>
    <row r="2092"/>
    <row r="2093"/>
    <row r="2094"/>
    <row r="2095"/>
    <row r="2096"/>
    <row r="2097"/>
    <row r="2098"/>
    <row r="2099"/>
    <row r="2100"/>
    <row r="2101"/>
    <row r="2102"/>
    <row r="2103"/>
    <row r="2104"/>
    <row r="2105"/>
    <row r="2106"/>
    <row r="2107"/>
    <row r="2108"/>
    <row r="2109"/>
    <row r="2110"/>
    <row r="2111"/>
    <row r="2112"/>
    <row r="2113"/>
    <row r="2114"/>
    <row r="2115"/>
    <row r="2116"/>
    <row r="2117"/>
    <row r="2118"/>
    <row r="2119"/>
    <row r="2120"/>
    <row r="2121"/>
    <row r="2122"/>
    <row r="2123"/>
    <row r="2124"/>
    <row r="2125"/>
    <row r="2126"/>
    <row r="2127"/>
    <row r="2128"/>
    <row r="2129"/>
    <row r="2130"/>
    <row r="2131"/>
    <row r="2132"/>
    <row r="2133"/>
    <row r="2134"/>
    <row r="2135"/>
    <row r="2136"/>
    <row r="2137"/>
    <row r="2138"/>
    <row r="2139"/>
    <row r="2140"/>
    <row r="2141"/>
    <row r="2142"/>
    <row r="2143"/>
    <row r="2144"/>
    <row r="2145"/>
    <row r="2146"/>
    <row r="2147"/>
    <row r="2148"/>
    <row r="2149"/>
    <row r="2150"/>
    <row r="2151"/>
    <row r="2152"/>
    <row r="2153"/>
    <row r="2154"/>
    <row r="2155"/>
    <row r="2156"/>
    <row r="2157"/>
    <row r="2158"/>
    <row r="2159"/>
    <row r="2160"/>
    <row r="2161"/>
    <row r="2162"/>
    <row r="2163"/>
    <row r="2164"/>
    <row r="2165"/>
    <row r="2166"/>
    <row r="2167"/>
    <row r="2168"/>
    <row r="2169"/>
    <row r="2170"/>
    <row r="2171"/>
    <row r="2172"/>
    <row r="2173"/>
    <row r="2174"/>
    <row r="2175"/>
    <row r="2176"/>
    <row r="2177"/>
    <row r="2178"/>
    <row r="2179"/>
    <row r="2180"/>
    <row r="2181"/>
    <row r="2182"/>
    <row r="2183"/>
    <row r="2184"/>
    <row r="2185"/>
    <row r="2186"/>
    <row r="2187"/>
    <row r="2188"/>
    <row r="2189"/>
    <row r="2190"/>
    <row r="2191"/>
    <row r="2192"/>
    <row r="2193"/>
    <row r="2194"/>
    <row r="2195"/>
    <row r="2196"/>
    <row r="2197"/>
    <row r="2198"/>
    <row r="2199"/>
    <row r="2200"/>
    <row r="2201"/>
    <row r="2202"/>
    <row r="2203"/>
    <row r="2204"/>
    <row r="2205"/>
    <row r="2206"/>
    <row r="2207"/>
    <row r="2208"/>
    <row r="2209"/>
    <row r="2210"/>
    <row r="2211"/>
    <row r="2212"/>
    <row r="2213"/>
    <row r="2214"/>
    <row r="2215"/>
    <row r="2216"/>
    <row r="2217"/>
    <row r="2218"/>
    <row r="2219"/>
    <row r="2220"/>
    <row r="2221"/>
    <row r="2222"/>
    <row r="2223"/>
    <row r="2224"/>
    <row r="2225"/>
    <row r="2226"/>
    <row r="2227"/>
    <row r="2228"/>
    <row r="2229"/>
    <row r="2230"/>
    <row r="2231"/>
    <row r="2232"/>
    <row r="2233"/>
    <row r="2234"/>
    <row r="2235"/>
    <row r="2236"/>
    <row r="2237"/>
    <row r="2238"/>
    <row r="2239"/>
    <row r="2240"/>
    <row r="2241"/>
    <row r="2242"/>
    <row r="2243"/>
    <row r="2244"/>
    <row r="2245"/>
    <row r="2246"/>
    <row r="2247"/>
    <row r="2248"/>
    <row r="2249"/>
    <row r="2250"/>
    <row r="2251"/>
    <row r="2252"/>
    <row r="2253"/>
    <row r="2254"/>
    <row r="2255"/>
    <row r="2256"/>
    <row r="2257"/>
    <row r="2258"/>
    <row r="2259"/>
    <row r="2260"/>
    <row r="2261"/>
    <row r="2262"/>
    <row r="2263"/>
    <row r="2264"/>
    <row r="2265"/>
    <row r="2266"/>
    <row r="2267"/>
    <row r="2268"/>
    <row r="2269"/>
    <row r="2270"/>
    <row r="2271"/>
    <row r="2272"/>
    <row r="2273"/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H2275"/>
  <sheetViews>
    <sheetView workbookViewId="0"/>
  </sheetViews>
  <sheetFormatPr defaultColWidth="12.5703125" defaultRowHeight="15.75" customHeight="1"/>
  <cols>
    <col min="6" max="6" width="16.28515625" customWidth="1"/>
  </cols>
  <sheetData>
    <row r="1" spans="1:8">
      <c r="A1" s="1" t="str">
        <f ca="1">IFERROR(__xludf.UNSUPPORTED(GOOGLEFINANCE("BAC", "price", "01/01/2019", "01/22/2026", "DAILY")),"Date")</f>
        <v>Date</v>
      </c>
      <c r="B1" s="1" t="str">
        <f ca="1">IFERROR(__xludf.UNSUPPORTED("""COMPUTED_VALUE"""),"Close")</f>
        <v>Close</v>
      </c>
      <c r="C1" s="2" t="s">
        <v>13</v>
      </c>
      <c r="E1" s="1" t="s">
        <v>14</v>
      </c>
      <c r="F1" s="2" t="s">
        <v>15</v>
      </c>
      <c r="G1" s="2" t="s">
        <v>16</v>
      </c>
      <c r="H1" s="2" t="s">
        <v>17</v>
      </c>
    </row>
    <row r="2" spans="1:8">
      <c r="A2" s="3">
        <f ca="1">IFERROR(__xludf.UNSUPPORTED("""COMPUTED_VALUE"""),43467.6666666666)</f>
        <v>43467.666666666599</v>
      </c>
      <c r="B2" s="1">
        <f ca="1">IFERROR(__xludf.UNSUPPORTED("""COMPUTED_VALUE"""),24.96)</f>
        <v>24.96</v>
      </c>
      <c r="C2" s="2"/>
      <c r="E2" s="2">
        <f ca="1">AVERAGE(C3:C1775)</f>
        <v>6.343308864159824E-4</v>
      </c>
      <c r="F2" s="2">
        <f ca="1">_xlfn.STDEV.S(C3:C1775)</f>
        <v>2.0782199586765557E-2</v>
      </c>
      <c r="G2" s="2">
        <f ca="1">E2*252</f>
        <v>0.15985138337682755</v>
      </c>
      <c r="H2" s="2">
        <f ca="1">F2*SQRT(252)</f>
        <v>0.32990719082094583</v>
      </c>
    </row>
    <row r="3" spans="1:8">
      <c r="A3" s="3">
        <f ca="1">IFERROR(__xludf.UNSUPPORTED("""COMPUTED_VALUE"""),43468.6666666666)</f>
        <v>43468.666666666599</v>
      </c>
      <c r="B3" s="1">
        <f ca="1">IFERROR(__xludf.UNSUPPORTED("""COMPUTED_VALUE"""),24.56)</f>
        <v>24.56</v>
      </c>
      <c r="C3" s="2">
        <f t="shared" ref="C3:C257" ca="1" si="0">(B3-B2)/B2</f>
        <v>-1.6025641025641111E-2</v>
      </c>
      <c r="F3" s="2"/>
      <c r="G3" s="2"/>
      <c r="H3" s="2"/>
    </row>
    <row r="4" spans="1:8">
      <c r="A4" s="3">
        <f ca="1">IFERROR(__xludf.UNSUPPORTED("""COMPUTED_VALUE"""),43469.6666666666)</f>
        <v>43469.666666666599</v>
      </c>
      <c r="B4" s="1">
        <f ca="1">IFERROR(__xludf.UNSUPPORTED("""COMPUTED_VALUE"""),25.58)</f>
        <v>25.58</v>
      </c>
      <c r="C4" s="2">
        <f t="shared" ca="1" si="0"/>
        <v>4.153094462540715E-2</v>
      </c>
      <c r="F4" s="2"/>
      <c r="G4" s="2"/>
      <c r="H4" s="2"/>
    </row>
    <row r="5" spans="1:8">
      <c r="A5" s="3">
        <f ca="1">IFERROR(__xludf.UNSUPPORTED("""COMPUTED_VALUE"""),43472.6666666666)</f>
        <v>43472.666666666599</v>
      </c>
      <c r="B5" s="1">
        <f ca="1">IFERROR(__xludf.UNSUPPORTED("""COMPUTED_VALUE"""),25.56)</f>
        <v>25.56</v>
      </c>
      <c r="C5" s="2">
        <f t="shared" ca="1" si="0"/>
        <v>-7.818608287724619E-4</v>
      </c>
      <c r="F5" s="2"/>
      <c r="G5" s="2"/>
      <c r="H5" s="2"/>
    </row>
    <row r="6" spans="1:8">
      <c r="A6" s="3">
        <f ca="1">IFERROR(__xludf.UNSUPPORTED("""COMPUTED_VALUE"""),43473.6666666666)</f>
        <v>43473.666666666599</v>
      </c>
      <c r="B6" s="1">
        <f ca="1">IFERROR(__xludf.UNSUPPORTED("""COMPUTED_VALUE"""),25.51)</f>
        <v>25.51</v>
      </c>
      <c r="C6" s="2">
        <f t="shared" ca="1" si="0"/>
        <v>-1.9561815336462114E-3</v>
      </c>
      <c r="F6" s="2"/>
      <c r="G6" s="2"/>
      <c r="H6" s="2"/>
    </row>
    <row r="7" spans="1:8">
      <c r="A7" s="3">
        <f ca="1">IFERROR(__xludf.UNSUPPORTED("""COMPUTED_VALUE"""),43474.6666666666)</f>
        <v>43474.666666666599</v>
      </c>
      <c r="B7" s="1">
        <f ca="1">IFERROR(__xludf.UNSUPPORTED("""COMPUTED_VALUE"""),25.76)</f>
        <v>25.76</v>
      </c>
      <c r="C7" s="2">
        <f t="shared" ca="1" si="0"/>
        <v>9.8000784006272053E-3</v>
      </c>
      <c r="F7" s="2"/>
      <c r="G7" s="2"/>
      <c r="H7" s="2"/>
    </row>
    <row r="8" spans="1:8">
      <c r="A8" s="3">
        <f ca="1">IFERROR(__xludf.UNSUPPORTED("""COMPUTED_VALUE"""),43475.6666666666)</f>
        <v>43475.666666666599</v>
      </c>
      <c r="B8" s="1">
        <f ca="1">IFERROR(__xludf.UNSUPPORTED("""COMPUTED_VALUE"""),25.73)</f>
        <v>25.73</v>
      </c>
      <c r="C8" s="2">
        <f t="shared" ca="1" si="0"/>
        <v>-1.1645962732919695E-3</v>
      </c>
      <c r="F8" s="2"/>
      <c r="G8" s="2"/>
      <c r="H8" s="2"/>
    </row>
    <row r="9" spans="1:8">
      <c r="A9" s="3">
        <f ca="1">IFERROR(__xludf.UNSUPPORTED("""COMPUTED_VALUE"""),43476.6666666666)</f>
        <v>43476.666666666599</v>
      </c>
      <c r="B9" s="1">
        <f ca="1">IFERROR(__xludf.UNSUPPORTED("""COMPUTED_VALUE"""),26.03)</f>
        <v>26.03</v>
      </c>
      <c r="C9" s="2">
        <f t="shared" ca="1" si="0"/>
        <v>1.1659541391371967E-2</v>
      </c>
      <c r="F9" s="2"/>
      <c r="G9" s="2"/>
      <c r="H9" s="2"/>
    </row>
    <row r="10" spans="1:8">
      <c r="A10" s="3">
        <f ca="1">IFERROR(__xludf.UNSUPPORTED("""COMPUTED_VALUE"""),43479.6666666666)</f>
        <v>43479.666666666599</v>
      </c>
      <c r="B10" s="1">
        <f ca="1">IFERROR(__xludf.UNSUPPORTED("""COMPUTED_VALUE"""),26.37)</f>
        <v>26.37</v>
      </c>
      <c r="C10" s="2">
        <f t="shared" ca="1" si="0"/>
        <v>1.3061851709565879E-2</v>
      </c>
      <c r="F10" s="2"/>
      <c r="G10" s="2"/>
      <c r="H10" s="2"/>
    </row>
    <row r="11" spans="1:8">
      <c r="A11" s="3">
        <f ca="1">IFERROR(__xludf.UNSUPPORTED("""COMPUTED_VALUE"""),43480.6666666666)</f>
        <v>43480.666666666599</v>
      </c>
      <c r="B11" s="1">
        <f ca="1">IFERROR(__xludf.UNSUPPORTED("""COMPUTED_VALUE"""),26.55)</f>
        <v>26.55</v>
      </c>
      <c r="C11" s="2">
        <f t="shared" ca="1" si="0"/>
        <v>6.8259385665528898E-3</v>
      </c>
      <c r="F11" s="2"/>
      <c r="G11" s="2"/>
      <c r="H11" s="2"/>
    </row>
    <row r="12" spans="1:8">
      <c r="A12" s="3">
        <f ca="1">IFERROR(__xludf.UNSUPPORTED("""COMPUTED_VALUE"""),43481.6666666666)</f>
        <v>43481.666666666599</v>
      </c>
      <c r="B12" s="1">
        <f ca="1">IFERROR(__xludf.UNSUPPORTED("""COMPUTED_VALUE"""),28.45)</f>
        <v>28.45</v>
      </c>
      <c r="C12" s="2">
        <f t="shared" ca="1" si="0"/>
        <v>7.1563088512240997E-2</v>
      </c>
      <c r="F12" s="2"/>
      <c r="G12" s="2"/>
      <c r="H12" s="2"/>
    </row>
    <row r="13" spans="1:8">
      <c r="A13" s="3">
        <f ca="1">IFERROR(__xludf.UNSUPPORTED("""COMPUTED_VALUE"""),43482.6666666666)</f>
        <v>43482.666666666599</v>
      </c>
      <c r="B13" s="1">
        <f ca="1">IFERROR(__xludf.UNSUPPORTED("""COMPUTED_VALUE"""),28.99)</f>
        <v>28.99</v>
      </c>
      <c r="C13" s="2">
        <f t="shared" ca="1" si="0"/>
        <v>1.8980667838312801E-2</v>
      </c>
      <c r="F13" s="2"/>
      <c r="G13" s="2"/>
      <c r="H13" s="2"/>
    </row>
    <row r="14" spans="1:8">
      <c r="A14" s="3">
        <f ca="1">IFERROR(__xludf.UNSUPPORTED("""COMPUTED_VALUE"""),43483.6666666666)</f>
        <v>43483.666666666599</v>
      </c>
      <c r="B14" s="1">
        <f ca="1">IFERROR(__xludf.UNSUPPORTED("""COMPUTED_VALUE"""),29.3)</f>
        <v>29.3</v>
      </c>
      <c r="C14" s="2">
        <f t="shared" ca="1" si="0"/>
        <v>1.0693342531907634E-2</v>
      </c>
      <c r="F14" s="2"/>
      <c r="G14" s="2"/>
      <c r="H14" s="2"/>
    </row>
    <row r="15" spans="1:8">
      <c r="A15" s="3">
        <f ca="1">IFERROR(__xludf.UNSUPPORTED("""COMPUTED_VALUE"""),43487.6666666666)</f>
        <v>43487.666666666599</v>
      </c>
      <c r="B15" s="1">
        <f ca="1">IFERROR(__xludf.UNSUPPORTED("""COMPUTED_VALUE"""),29.09)</f>
        <v>29.09</v>
      </c>
      <c r="C15" s="2">
        <f t="shared" ca="1" si="0"/>
        <v>-7.167235494880575E-3</v>
      </c>
      <c r="F15" s="2"/>
      <c r="G15" s="2"/>
      <c r="H15" s="2"/>
    </row>
    <row r="16" spans="1:8">
      <c r="A16" s="3">
        <f ca="1">IFERROR(__xludf.UNSUPPORTED("""COMPUTED_VALUE"""),43488.6666666666)</f>
        <v>43488.666666666599</v>
      </c>
      <c r="B16" s="1">
        <f ca="1">IFERROR(__xludf.UNSUPPORTED("""COMPUTED_VALUE"""),28.92)</f>
        <v>28.92</v>
      </c>
      <c r="C16" s="2">
        <f t="shared" ca="1" si="0"/>
        <v>-5.8439326228944023E-3</v>
      </c>
      <c r="F16" s="2"/>
      <c r="G16" s="2"/>
      <c r="H16" s="2"/>
    </row>
    <row r="17" spans="1:3">
      <c r="A17" s="3">
        <f ca="1">IFERROR(__xludf.UNSUPPORTED("""COMPUTED_VALUE"""),43489.6666666666)</f>
        <v>43489.666666666599</v>
      </c>
      <c r="B17" s="1">
        <f ca="1">IFERROR(__xludf.UNSUPPORTED("""COMPUTED_VALUE"""),29.08)</f>
        <v>29.08</v>
      </c>
      <c r="C17" s="2">
        <f t="shared" ca="1" si="0"/>
        <v>5.5325034578145426E-3</v>
      </c>
    </row>
    <row r="18" spans="1:3">
      <c r="A18" s="3">
        <f ca="1">IFERROR(__xludf.UNSUPPORTED("""COMPUTED_VALUE"""),43490.6666666666)</f>
        <v>43490.666666666599</v>
      </c>
      <c r="B18" s="1">
        <f ca="1">IFERROR(__xludf.UNSUPPORTED("""COMPUTED_VALUE"""),29.58)</f>
        <v>29.58</v>
      </c>
      <c r="C18" s="2">
        <f t="shared" ca="1" si="0"/>
        <v>1.7193947730398902E-2</v>
      </c>
    </row>
    <row r="19" spans="1:3">
      <c r="A19" s="3">
        <f ca="1">IFERROR(__xludf.UNSUPPORTED("""COMPUTED_VALUE"""),43493.6666666666)</f>
        <v>43493.666666666599</v>
      </c>
      <c r="B19" s="1">
        <f ca="1">IFERROR(__xludf.UNSUPPORTED("""COMPUTED_VALUE"""),29.63)</f>
        <v>29.63</v>
      </c>
      <c r="C19" s="2">
        <f t="shared" ca="1" si="0"/>
        <v>1.6903313049357915E-3</v>
      </c>
    </row>
    <row r="20" spans="1:3">
      <c r="A20" s="3">
        <f ca="1">IFERROR(__xludf.UNSUPPORTED("""COMPUTED_VALUE"""),43494.6666666666)</f>
        <v>43494.666666666599</v>
      </c>
      <c r="B20" s="1">
        <f ca="1">IFERROR(__xludf.UNSUPPORTED("""COMPUTED_VALUE"""),29.39)</f>
        <v>29.39</v>
      </c>
      <c r="C20" s="2">
        <f t="shared" ca="1" si="0"/>
        <v>-8.0998987512655562E-3</v>
      </c>
    </row>
    <row r="21" spans="1:3">
      <c r="A21" s="3">
        <f ca="1">IFERROR(__xludf.UNSUPPORTED("""COMPUTED_VALUE"""),43495.6666666666)</f>
        <v>43495.666666666599</v>
      </c>
      <c r="B21" s="1">
        <f ca="1">IFERROR(__xludf.UNSUPPORTED("""COMPUTED_VALUE"""),29.07)</f>
        <v>29.07</v>
      </c>
      <c r="C21" s="2">
        <f t="shared" ca="1" si="0"/>
        <v>-1.0888057162300112E-2</v>
      </c>
    </row>
    <row r="22" spans="1:3">
      <c r="A22" s="3">
        <f ca="1">IFERROR(__xludf.UNSUPPORTED("""COMPUTED_VALUE"""),43496.6666666666)</f>
        <v>43496.666666666599</v>
      </c>
      <c r="B22" s="1">
        <f ca="1">IFERROR(__xludf.UNSUPPORTED("""COMPUTED_VALUE"""),28.47)</f>
        <v>28.47</v>
      </c>
      <c r="C22" s="2">
        <f t="shared" ca="1" si="0"/>
        <v>-2.0639834881320998E-2</v>
      </c>
    </row>
    <row r="23" spans="1:3">
      <c r="A23" s="3">
        <f ca="1">IFERROR(__xludf.UNSUPPORTED("""COMPUTED_VALUE"""),43497.6666666666)</f>
        <v>43497.666666666599</v>
      </c>
      <c r="B23" s="1">
        <f ca="1">IFERROR(__xludf.UNSUPPORTED("""COMPUTED_VALUE"""),28.38)</f>
        <v>28.38</v>
      </c>
      <c r="C23" s="2">
        <f t="shared" ca="1" si="0"/>
        <v>-3.1612223393045263E-3</v>
      </c>
    </row>
    <row r="24" spans="1:3">
      <c r="A24" s="3">
        <f ca="1">IFERROR(__xludf.UNSUPPORTED("""COMPUTED_VALUE"""),43500.6666666666)</f>
        <v>43500.666666666599</v>
      </c>
      <c r="B24" s="1">
        <f ca="1">IFERROR(__xludf.UNSUPPORTED("""COMPUTED_VALUE"""),28.88)</f>
        <v>28.88</v>
      </c>
      <c r="C24" s="2">
        <f t="shared" ca="1" si="0"/>
        <v>1.7618040873854827E-2</v>
      </c>
    </row>
    <row r="25" spans="1:3">
      <c r="A25" s="3">
        <f ca="1">IFERROR(__xludf.UNSUPPORTED("""COMPUTED_VALUE"""),43501.6666666666)</f>
        <v>43501.666666666599</v>
      </c>
      <c r="B25" s="1">
        <f ca="1">IFERROR(__xludf.UNSUPPORTED("""COMPUTED_VALUE"""),28.78)</f>
        <v>28.78</v>
      </c>
      <c r="C25" s="2">
        <f t="shared" ca="1" si="0"/>
        <v>-3.4626038781162697E-3</v>
      </c>
    </row>
    <row r="26" spans="1:3">
      <c r="A26" s="3">
        <f ca="1">IFERROR(__xludf.UNSUPPORTED("""COMPUTED_VALUE"""),43502.6666666666)</f>
        <v>43502.666666666599</v>
      </c>
      <c r="B26" s="1">
        <f ca="1">IFERROR(__xludf.UNSUPPORTED("""COMPUTED_VALUE"""),28.73)</f>
        <v>28.73</v>
      </c>
      <c r="C26" s="2">
        <f t="shared" ca="1" si="0"/>
        <v>-1.7373175816539509E-3</v>
      </c>
    </row>
    <row r="27" spans="1:3">
      <c r="A27" s="3">
        <f ca="1">IFERROR(__xludf.UNSUPPORTED("""COMPUTED_VALUE"""),43503.6666666666)</f>
        <v>43503.666666666599</v>
      </c>
      <c r="B27" s="1">
        <f ca="1">IFERROR(__xludf.UNSUPPORTED("""COMPUTED_VALUE"""),28.24)</f>
        <v>28.24</v>
      </c>
      <c r="C27" s="2">
        <f t="shared" ca="1" si="0"/>
        <v>-1.7055342847198118E-2</v>
      </c>
    </row>
    <row r="28" spans="1:3">
      <c r="A28" s="3">
        <f ca="1">IFERROR(__xludf.UNSUPPORTED("""COMPUTED_VALUE"""),43504.6666666666)</f>
        <v>43504.666666666599</v>
      </c>
      <c r="B28" s="1">
        <f ca="1">IFERROR(__xludf.UNSUPPORTED("""COMPUTED_VALUE"""),28.29)</f>
        <v>28.29</v>
      </c>
      <c r="C28" s="2">
        <f t="shared" ca="1" si="0"/>
        <v>1.7705382436260875E-3</v>
      </c>
    </row>
    <row r="29" spans="1:3">
      <c r="A29" s="3">
        <f ca="1">IFERROR(__xludf.UNSUPPORTED("""COMPUTED_VALUE"""),43507.6666666666)</f>
        <v>43507.666666666599</v>
      </c>
      <c r="B29" s="1">
        <f ca="1">IFERROR(__xludf.UNSUPPORTED("""COMPUTED_VALUE"""),28.41)</f>
        <v>28.41</v>
      </c>
      <c r="C29" s="2">
        <f t="shared" ca="1" si="0"/>
        <v>4.2417815482503002E-3</v>
      </c>
    </row>
    <row r="30" spans="1:3">
      <c r="A30" s="3">
        <f ca="1">IFERROR(__xludf.UNSUPPORTED("""COMPUTED_VALUE"""),43508.6666666666)</f>
        <v>43508.666666666599</v>
      </c>
      <c r="B30" s="1">
        <f ca="1">IFERROR(__xludf.UNSUPPORTED("""COMPUTED_VALUE"""),28.69)</f>
        <v>28.69</v>
      </c>
      <c r="C30" s="2">
        <f t="shared" ca="1" si="0"/>
        <v>9.8556846180922614E-3</v>
      </c>
    </row>
    <row r="31" spans="1:3">
      <c r="A31" s="3">
        <f ca="1">IFERROR(__xludf.UNSUPPORTED("""COMPUTED_VALUE"""),43509.6666666666)</f>
        <v>43509.666666666599</v>
      </c>
      <c r="B31" s="1">
        <f ca="1">IFERROR(__xludf.UNSUPPORTED("""COMPUTED_VALUE"""),28.7)</f>
        <v>28.7</v>
      </c>
      <c r="C31" s="2">
        <f t="shared" ca="1" si="0"/>
        <v>3.4855350296263539E-4</v>
      </c>
    </row>
    <row r="32" spans="1:3">
      <c r="A32" s="3">
        <f ca="1">IFERROR(__xludf.UNSUPPORTED("""COMPUTED_VALUE"""),43510.6666666666)</f>
        <v>43510.666666666599</v>
      </c>
      <c r="B32" s="1">
        <f ca="1">IFERROR(__xludf.UNSUPPORTED("""COMPUTED_VALUE"""),28.39)</f>
        <v>28.39</v>
      </c>
      <c r="C32" s="2">
        <f t="shared" ca="1" si="0"/>
        <v>-1.0801393728222952E-2</v>
      </c>
    </row>
    <row r="33" spans="1:3">
      <c r="A33" s="3">
        <f ca="1">IFERROR(__xludf.UNSUPPORTED("""COMPUTED_VALUE"""),43511.6666666666)</f>
        <v>43511.666666666599</v>
      </c>
      <c r="B33" s="1">
        <f ca="1">IFERROR(__xludf.UNSUPPORTED("""COMPUTED_VALUE"""),29.11)</f>
        <v>29.11</v>
      </c>
      <c r="C33" s="2">
        <f t="shared" ca="1" si="0"/>
        <v>2.5361042620641032E-2</v>
      </c>
    </row>
    <row r="34" spans="1:3">
      <c r="A34" s="3">
        <f ca="1">IFERROR(__xludf.UNSUPPORTED("""COMPUTED_VALUE"""),43515.6666666666)</f>
        <v>43515.666666666599</v>
      </c>
      <c r="B34" s="1">
        <f ca="1">IFERROR(__xludf.UNSUPPORTED("""COMPUTED_VALUE"""),29.13)</f>
        <v>29.13</v>
      </c>
      <c r="C34" s="2">
        <f t="shared" ca="1" si="0"/>
        <v>6.8704912401235227E-4</v>
      </c>
    </row>
    <row r="35" spans="1:3">
      <c r="A35" s="3">
        <f ca="1">IFERROR(__xludf.UNSUPPORTED("""COMPUTED_VALUE"""),43516.6666666666)</f>
        <v>43516.666666666599</v>
      </c>
      <c r="B35" s="1">
        <f ca="1">IFERROR(__xludf.UNSUPPORTED("""COMPUTED_VALUE"""),29.41)</f>
        <v>29.41</v>
      </c>
      <c r="C35" s="2">
        <f t="shared" ca="1" si="0"/>
        <v>9.6120837624442557E-3</v>
      </c>
    </row>
    <row r="36" spans="1:3">
      <c r="A36" s="3">
        <f ca="1">IFERROR(__xludf.UNSUPPORTED("""COMPUTED_VALUE"""),43517.6666666666)</f>
        <v>43517.666666666599</v>
      </c>
      <c r="B36" s="1">
        <f ca="1">IFERROR(__xludf.UNSUPPORTED("""COMPUTED_VALUE"""),29.29)</f>
        <v>29.29</v>
      </c>
      <c r="C36" s="2">
        <f t="shared" ca="1" si="0"/>
        <v>-4.0802448146889155E-3</v>
      </c>
    </row>
    <row r="37" spans="1:3">
      <c r="A37" s="3">
        <f ca="1">IFERROR(__xludf.UNSUPPORTED("""COMPUTED_VALUE"""),43518.6666666666)</f>
        <v>43518.666666666599</v>
      </c>
      <c r="B37" s="1">
        <f ca="1">IFERROR(__xludf.UNSUPPORTED("""COMPUTED_VALUE"""),29.08)</f>
        <v>29.08</v>
      </c>
      <c r="C37" s="2">
        <f t="shared" ca="1" si="0"/>
        <v>-7.1696824854899574E-3</v>
      </c>
    </row>
    <row r="38" spans="1:3">
      <c r="A38" s="3">
        <f ca="1">IFERROR(__xludf.UNSUPPORTED("""COMPUTED_VALUE"""),43521.6666666666)</f>
        <v>43521.666666666599</v>
      </c>
      <c r="B38" s="1">
        <f ca="1">IFERROR(__xludf.UNSUPPORTED("""COMPUTED_VALUE"""),29.27)</f>
        <v>29.27</v>
      </c>
      <c r="C38" s="2">
        <f t="shared" ca="1" si="0"/>
        <v>6.5337001375516263E-3</v>
      </c>
    </row>
    <row r="39" spans="1:3">
      <c r="A39" s="3">
        <f ca="1">IFERROR(__xludf.UNSUPPORTED("""COMPUTED_VALUE"""),43522.6666666666)</f>
        <v>43522.666666666599</v>
      </c>
      <c r="B39" s="1">
        <f ca="1">IFERROR(__xludf.UNSUPPORTED("""COMPUTED_VALUE"""),29.29)</f>
        <v>29.29</v>
      </c>
      <c r="C39" s="2">
        <f t="shared" ca="1" si="0"/>
        <v>6.8329347454730354E-4</v>
      </c>
    </row>
    <row r="40" spans="1:3">
      <c r="A40" s="3">
        <f ca="1">IFERROR(__xludf.UNSUPPORTED("""COMPUTED_VALUE"""),43523.6666666666)</f>
        <v>43523.666666666599</v>
      </c>
      <c r="B40" s="1">
        <f ca="1">IFERROR(__xludf.UNSUPPORTED("""COMPUTED_VALUE"""),29.53)</f>
        <v>29.53</v>
      </c>
      <c r="C40" s="2">
        <f t="shared" ca="1" si="0"/>
        <v>8.1939228405599855E-3</v>
      </c>
    </row>
    <row r="41" spans="1:3">
      <c r="A41" s="3">
        <f ca="1">IFERROR(__xludf.UNSUPPORTED("""COMPUTED_VALUE"""),43524.6666666666)</f>
        <v>43524.666666666599</v>
      </c>
      <c r="B41" s="1">
        <f ca="1">IFERROR(__xludf.UNSUPPORTED("""COMPUTED_VALUE"""),29.08)</f>
        <v>29.08</v>
      </c>
      <c r="C41" s="2">
        <f t="shared" ca="1" si="0"/>
        <v>-1.523874026413826E-2</v>
      </c>
    </row>
    <row r="42" spans="1:3">
      <c r="A42" s="3">
        <f ca="1">IFERROR(__xludf.UNSUPPORTED("""COMPUTED_VALUE"""),43525.6666666666)</f>
        <v>43525.666666666599</v>
      </c>
      <c r="B42" s="1">
        <f ca="1">IFERROR(__xludf.UNSUPPORTED("""COMPUTED_VALUE"""),29.31)</f>
        <v>29.31</v>
      </c>
      <c r="C42" s="2">
        <f t="shared" ca="1" si="0"/>
        <v>7.9092159559835083E-3</v>
      </c>
    </row>
    <row r="43" spans="1:3">
      <c r="A43" s="3">
        <f ca="1">IFERROR(__xludf.UNSUPPORTED("""COMPUTED_VALUE"""),43528.6666666666)</f>
        <v>43528.666666666599</v>
      </c>
      <c r="B43" s="1">
        <f ca="1">IFERROR(__xludf.UNSUPPORTED("""COMPUTED_VALUE"""),29.03)</f>
        <v>29.03</v>
      </c>
      <c r="C43" s="2">
        <f t="shared" ca="1" si="0"/>
        <v>-9.55305356533598E-3</v>
      </c>
    </row>
    <row r="44" spans="1:3">
      <c r="A44" s="3">
        <f ca="1">IFERROR(__xludf.UNSUPPORTED("""COMPUTED_VALUE"""),43529.6666666666)</f>
        <v>43529.666666666599</v>
      </c>
      <c r="B44" s="1">
        <f ca="1">IFERROR(__xludf.UNSUPPORTED("""COMPUTED_VALUE"""),29.08)</f>
        <v>29.08</v>
      </c>
      <c r="C44" s="2">
        <f t="shared" ca="1" si="0"/>
        <v>1.7223561832585999E-3</v>
      </c>
    </row>
    <row r="45" spans="1:3">
      <c r="A45" s="3">
        <f ca="1">IFERROR(__xludf.UNSUPPORTED("""COMPUTED_VALUE"""),43530.6666666666)</f>
        <v>43530.666666666599</v>
      </c>
      <c r="B45" s="1">
        <f ca="1">IFERROR(__xludf.UNSUPPORTED("""COMPUTED_VALUE"""),28.84)</f>
        <v>28.84</v>
      </c>
      <c r="C45" s="2">
        <f t="shared" ca="1" si="0"/>
        <v>-8.253094910591419E-3</v>
      </c>
    </row>
    <row r="46" spans="1:3">
      <c r="A46" s="3">
        <f ca="1">IFERROR(__xludf.UNSUPPORTED("""COMPUTED_VALUE"""),43531.6666666666)</f>
        <v>43531.666666666599</v>
      </c>
      <c r="B46" s="1">
        <f ca="1">IFERROR(__xludf.UNSUPPORTED("""COMPUTED_VALUE"""),28.55)</f>
        <v>28.55</v>
      </c>
      <c r="C46" s="2">
        <f t="shared" ca="1" si="0"/>
        <v>-1.0055478502080415E-2</v>
      </c>
    </row>
    <row r="47" spans="1:3">
      <c r="A47" s="3">
        <f ca="1">IFERROR(__xludf.UNSUPPORTED("""COMPUTED_VALUE"""),43532.6666666666)</f>
        <v>43532.666666666599</v>
      </c>
      <c r="B47" s="1">
        <f ca="1">IFERROR(__xludf.UNSUPPORTED("""COMPUTED_VALUE"""),28.65)</f>
        <v>28.65</v>
      </c>
      <c r="C47" s="2">
        <f t="shared" ca="1" si="0"/>
        <v>3.5026269702275962E-3</v>
      </c>
    </row>
    <row r="48" spans="1:3">
      <c r="A48" s="3">
        <f ca="1">IFERROR(__xludf.UNSUPPORTED("""COMPUTED_VALUE"""),43535.6666666666)</f>
        <v>43535.666666666599</v>
      </c>
      <c r="B48" s="1">
        <f ca="1">IFERROR(__xludf.UNSUPPORTED("""COMPUTED_VALUE"""),28.94)</f>
        <v>28.94</v>
      </c>
      <c r="C48" s="2">
        <f t="shared" ca="1" si="0"/>
        <v>1.0122164048865715E-2</v>
      </c>
    </row>
    <row r="49" spans="1:3">
      <c r="A49" s="3">
        <f ca="1">IFERROR(__xludf.UNSUPPORTED("""COMPUTED_VALUE"""),43536.6666666666)</f>
        <v>43536.666666666599</v>
      </c>
      <c r="B49" s="1">
        <f ca="1">IFERROR(__xludf.UNSUPPORTED("""COMPUTED_VALUE"""),28.94)</f>
        <v>28.94</v>
      </c>
      <c r="C49" s="2">
        <f t="shared" ca="1" si="0"/>
        <v>0</v>
      </c>
    </row>
    <row r="50" spans="1:3">
      <c r="A50" s="3">
        <f ca="1">IFERROR(__xludf.UNSUPPORTED("""COMPUTED_VALUE"""),43537.6666666666)</f>
        <v>43537.666666666599</v>
      </c>
      <c r="B50" s="1">
        <f ca="1">IFERROR(__xludf.UNSUPPORTED("""COMPUTED_VALUE"""),29.29)</f>
        <v>29.29</v>
      </c>
      <c r="C50" s="2">
        <f t="shared" ca="1" si="0"/>
        <v>1.2093987560469864E-2</v>
      </c>
    </row>
    <row r="51" spans="1:3">
      <c r="A51" s="3">
        <f ca="1">IFERROR(__xludf.UNSUPPORTED("""COMPUTED_VALUE"""),43538.6666666666)</f>
        <v>43538.666666666599</v>
      </c>
      <c r="B51" s="1">
        <f ca="1">IFERROR(__xludf.UNSUPPORTED("""COMPUTED_VALUE"""),29.46)</f>
        <v>29.46</v>
      </c>
      <c r="C51" s="2">
        <f t="shared" ca="1" si="0"/>
        <v>5.8040286787300003E-3</v>
      </c>
    </row>
    <row r="52" spans="1:3">
      <c r="A52" s="3">
        <f ca="1">IFERROR(__xludf.UNSUPPORTED("""COMPUTED_VALUE"""),43539.6666666666)</f>
        <v>43539.666666666599</v>
      </c>
      <c r="B52" s="1">
        <f ca="1">IFERROR(__xludf.UNSUPPORTED("""COMPUTED_VALUE"""),29.3)</f>
        <v>29.3</v>
      </c>
      <c r="C52" s="2">
        <f t="shared" ca="1" si="0"/>
        <v>-5.4310930074677579E-3</v>
      </c>
    </row>
    <row r="53" spans="1:3">
      <c r="A53" s="3">
        <f ca="1">IFERROR(__xludf.UNSUPPORTED("""COMPUTED_VALUE"""),43542.6666666666)</f>
        <v>43542.666666666599</v>
      </c>
      <c r="B53" s="1">
        <f ca="1">IFERROR(__xludf.UNSUPPORTED("""COMPUTED_VALUE"""),29.82)</f>
        <v>29.82</v>
      </c>
      <c r="C53" s="2">
        <f t="shared" ca="1" si="0"/>
        <v>1.7747440273037526E-2</v>
      </c>
    </row>
    <row r="54" spans="1:3">
      <c r="A54" s="3">
        <f ca="1">IFERROR(__xludf.UNSUPPORTED("""COMPUTED_VALUE"""),43543.6666666666)</f>
        <v>43543.666666666599</v>
      </c>
      <c r="B54" s="1">
        <f ca="1">IFERROR(__xludf.UNSUPPORTED("""COMPUTED_VALUE"""),29.65)</f>
        <v>29.65</v>
      </c>
      <c r="C54" s="2">
        <f t="shared" ca="1" si="0"/>
        <v>-5.7008718980550536E-3</v>
      </c>
    </row>
    <row r="55" spans="1:3">
      <c r="A55" s="3">
        <f ca="1">IFERROR(__xludf.UNSUPPORTED("""COMPUTED_VALUE"""),43544.6666666666)</f>
        <v>43544.666666666599</v>
      </c>
      <c r="B55" s="1">
        <f ca="1">IFERROR(__xludf.UNSUPPORTED("""COMPUTED_VALUE"""),28.64)</f>
        <v>28.64</v>
      </c>
      <c r="C55" s="2">
        <f t="shared" ca="1" si="0"/>
        <v>-3.4064080944350691E-2</v>
      </c>
    </row>
    <row r="56" spans="1:3">
      <c r="A56" s="3">
        <f ca="1">IFERROR(__xludf.UNSUPPORTED("""COMPUTED_VALUE"""),43545.6666666666)</f>
        <v>43545.666666666599</v>
      </c>
      <c r="B56" s="1">
        <f ca="1">IFERROR(__xludf.UNSUPPORTED("""COMPUTED_VALUE"""),28.18)</f>
        <v>28.18</v>
      </c>
      <c r="C56" s="2">
        <f t="shared" ca="1" si="0"/>
        <v>-1.6061452513966509E-2</v>
      </c>
    </row>
    <row r="57" spans="1:3">
      <c r="A57" s="3">
        <f ca="1">IFERROR(__xludf.UNSUPPORTED("""COMPUTED_VALUE"""),43546.6666666666)</f>
        <v>43546.666666666599</v>
      </c>
      <c r="B57" s="1">
        <f ca="1">IFERROR(__xludf.UNSUPPORTED("""COMPUTED_VALUE"""),27.01)</f>
        <v>27.01</v>
      </c>
      <c r="C57" s="2">
        <f t="shared" ca="1" si="0"/>
        <v>-4.1518807665010579E-2</v>
      </c>
    </row>
    <row r="58" spans="1:3">
      <c r="A58" s="3">
        <f ca="1">IFERROR(__xludf.UNSUPPORTED("""COMPUTED_VALUE"""),43549.6666666666)</f>
        <v>43549.666666666599</v>
      </c>
      <c r="B58" s="1">
        <f ca="1">IFERROR(__xludf.UNSUPPORTED("""COMPUTED_VALUE"""),26.84)</f>
        <v>26.84</v>
      </c>
      <c r="C58" s="2">
        <f t="shared" ca="1" si="0"/>
        <v>-6.2939651980748502E-3</v>
      </c>
    </row>
    <row r="59" spans="1:3">
      <c r="A59" s="3">
        <f ca="1">IFERROR(__xludf.UNSUPPORTED("""COMPUTED_VALUE"""),43550.6666666666)</f>
        <v>43550.666666666599</v>
      </c>
      <c r="B59" s="1">
        <f ca="1">IFERROR(__xludf.UNSUPPORTED("""COMPUTED_VALUE"""),27.21)</f>
        <v>27.21</v>
      </c>
      <c r="C59" s="2">
        <f t="shared" ca="1" si="0"/>
        <v>1.3785394932935954E-2</v>
      </c>
    </row>
    <row r="60" spans="1:3">
      <c r="A60" s="3">
        <f ca="1">IFERROR(__xludf.UNSUPPORTED("""COMPUTED_VALUE"""),43551.6666666666)</f>
        <v>43551.666666666599</v>
      </c>
      <c r="B60" s="1">
        <f ca="1">IFERROR(__xludf.UNSUPPORTED("""COMPUTED_VALUE"""),27.03)</f>
        <v>27.03</v>
      </c>
      <c r="C60" s="2">
        <f t="shared" ca="1" si="0"/>
        <v>-6.6152149944873105E-3</v>
      </c>
    </row>
    <row r="61" spans="1:3">
      <c r="A61" s="3">
        <f ca="1">IFERROR(__xludf.UNSUPPORTED("""COMPUTED_VALUE"""),43552.6666666666)</f>
        <v>43552.666666666599</v>
      </c>
      <c r="B61" s="1">
        <f ca="1">IFERROR(__xludf.UNSUPPORTED("""COMPUTED_VALUE"""),27.33)</f>
        <v>27.33</v>
      </c>
      <c r="C61" s="2">
        <f t="shared" ca="1" si="0"/>
        <v>1.1098779134295121E-2</v>
      </c>
    </row>
    <row r="62" spans="1:3">
      <c r="A62" s="3">
        <f ca="1">IFERROR(__xludf.UNSUPPORTED("""COMPUTED_VALUE"""),43553.6666666666)</f>
        <v>43553.666666666599</v>
      </c>
      <c r="B62" s="1">
        <f ca="1">IFERROR(__xludf.UNSUPPORTED("""COMPUTED_VALUE"""),27.59)</f>
        <v>27.59</v>
      </c>
      <c r="C62" s="2">
        <f t="shared" ca="1" si="0"/>
        <v>9.5133552872302077E-3</v>
      </c>
    </row>
    <row r="63" spans="1:3">
      <c r="A63" s="3">
        <f ca="1">IFERROR(__xludf.UNSUPPORTED("""COMPUTED_VALUE"""),43556.6666666666)</f>
        <v>43556.666666666599</v>
      </c>
      <c r="B63" s="1">
        <f ca="1">IFERROR(__xludf.UNSUPPORTED("""COMPUTED_VALUE"""),28.54)</f>
        <v>28.54</v>
      </c>
      <c r="C63" s="2">
        <f t="shared" ca="1" si="0"/>
        <v>3.4432765494744444E-2</v>
      </c>
    </row>
    <row r="64" spans="1:3">
      <c r="A64" s="3">
        <f ca="1">IFERROR(__xludf.UNSUPPORTED("""COMPUTED_VALUE"""),43557.6666666666)</f>
        <v>43557.666666666599</v>
      </c>
      <c r="B64" s="1">
        <f ca="1">IFERROR(__xludf.UNSUPPORTED("""COMPUTED_VALUE"""),28.87)</f>
        <v>28.87</v>
      </c>
      <c r="C64" s="2">
        <f t="shared" ca="1" si="0"/>
        <v>1.1562718990890043E-2</v>
      </c>
    </row>
    <row r="65" spans="1:3">
      <c r="A65" s="3">
        <f ca="1">IFERROR(__xludf.UNSUPPORTED("""COMPUTED_VALUE"""),43558.6666666666)</f>
        <v>43558.666666666599</v>
      </c>
      <c r="B65" s="1">
        <f ca="1">IFERROR(__xludf.UNSUPPORTED("""COMPUTED_VALUE"""),28.84)</f>
        <v>28.84</v>
      </c>
      <c r="C65" s="2">
        <f t="shared" ca="1" si="0"/>
        <v>-1.0391409767925575E-3</v>
      </c>
    </row>
    <row r="66" spans="1:3">
      <c r="A66" s="3">
        <f ca="1">IFERROR(__xludf.UNSUPPORTED("""COMPUTED_VALUE"""),43559.6666666666)</f>
        <v>43559.666666666599</v>
      </c>
      <c r="B66" s="1">
        <f ca="1">IFERROR(__xludf.UNSUPPORTED("""COMPUTED_VALUE"""),29.15)</f>
        <v>29.15</v>
      </c>
      <c r="C66" s="2">
        <f t="shared" ca="1" si="0"/>
        <v>1.0748959778085947E-2</v>
      </c>
    </row>
    <row r="67" spans="1:3">
      <c r="A67" s="3">
        <f ca="1">IFERROR(__xludf.UNSUPPORTED("""COMPUTED_VALUE"""),43560.6666666666)</f>
        <v>43560.666666666599</v>
      </c>
      <c r="B67" s="1">
        <f ca="1">IFERROR(__xludf.UNSUPPORTED("""COMPUTED_VALUE"""),29.08)</f>
        <v>29.08</v>
      </c>
      <c r="C67" s="2">
        <f t="shared" ca="1" si="0"/>
        <v>-2.4013722126929771E-3</v>
      </c>
    </row>
    <row r="68" spans="1:3">
      <c r="A68" s="3">
        <f ca="1">IFERROR(__xludf.UNSUPPORTED("""COMPUTED_VALUE"""),43563.6666666666)</f>
        <v>43563.666666666599</v>
      </c>
      <c r="B68" s="1">
        <f ca="1">IFERROR(__xludf.UNSUPPORTED("""COMPUTED_VALUE"""),29.17)</f>
        <v>29.17</v>
      </c>
      <c r="C68" s="2">
        <f t="shared" ca="1" si="0"/>
        <v>3.0949105914719194E-3</v>
      </c>
    </row>
    <row r="69" spans="1:3">
      <c r="A69" s="3">
        <f ca="1">IFERROR(__xludf.UNSUPPORTED("""COMPUTED_VALUE"""),43564.6666666666)</f>
        <v>43564.666666666599</v>
      </c>
      <c r="B69" s="1">
        <f ca="1">IFERROR(__xludf.UNSUPPORTED("""COMPUTED_VALUE"""),28.89)</f>
        <v>28.89</v>
      </c>
      <c r="C69" s="2">
        <f t="shared" ca="1" si="0"/>
        <v>-9.5989029825163229E-3</v>
      </c>
    </row>
    <row r="70" spans="1:3">
      <c r="A70" s="3">
        <f ca="1">IFERROR(__xludf.UNSUPPORTED("""COMPUTED_VALUE"""),43565.6666666666)</f>
        <v>43565.666666666599</v>
      </c>
      <c r="B70" s="1">
        <f ca="1">IFERROR(__xludf.UNSUPPORTED("""COMPUTED_VALUE"""),29.07)</f>
        <v>29.07</v>
      </c>
      <c r="C70" s="2">
        <f t="shared" ca="1" si="0"/>
        <v>6.2305295950155666E-3</v>
      </c>
    </row>
    <row r="71" spans="1:3">
      <c r="A71" s="3">
        <f ca="1">IFERROR(__xludf.UNSUPPORTED("""COMPUTED_VALUE"""),43566.6666666666)</f>
        <v>43566.666666666599</v>
      </c>
      <c r="B71" s="1">
        <f ca="1">IFERROR(__xludf.UNSUPPORTED("""COMPUTED_VALUE"""),29.07)</f>
        <v>29.07</v>
      </c>
      <c r="C71" s="2">
        <f t="shared" ca="1" si="0"/>
        <v>0</v>
      </c>
    </row>
    <row r="72" spans="1:3">
      <c r="A72" s="3">
        <f ca="1">IFERROR(__xludf.UNSUPPORTED("""COMPUTED_VALUE"""),43567.6666666666)</f>
        <v>43567.666666666599</v>
      </c>
      <c r="B72" s="1">
        <f ca="1">IFERROR(__xludf.UNSUPPORTED("""COMPUTED_VALUE"""),30.17)</f>
        <v>30.17</v>
      </c>
      <c r="C72" s="2">
        <f t="shared" ca="1" si="0"/>
        <v>3.7839697282421786E-2</v>
      </c>
    </row>
    <row r="73" spans="1:3">
      <c r="A73" s="3">
        <f ca="1">IFERROR(__xludf.UNSUPPORTED("""COMPUTED_VALUE"""),43570.6666666666)</f>
        <v>43570.666666666599</v>
      </c>
      <c r="B73" s="1">
        <f ca="1">IFERROR(__xludf.UNSUPPORTED("""COMPUTED_VALUE"""),29.84)</f>
        <v>29.84</v>
      </c>
      <c r="C73" s="2">
        <f t="shared" ca="1" si="0"/>
        <v>-1.0938017898574804E-2</v>
      </c>
    </row>
    <row r="74" spans="1:3">
      <c r="A74" s="3">
        <f ca="1">IFERROR(__xludf.UNSUPPORTED("""COMPUTED_VALUE"""),43571.6666666666)</f>
        <v>43571.666666666599</v>
      </c>
      <c r="B74" s="1">
        <f ca="1">IFERROR(__xludf.UNSUPPORTED("""COMPUTED_VALUE"""),29.88)</f>
        <v>29.88</v>
      </c>
      <c r="C74" s="2">
        <f t="shared" ca="1" si="0"/>
        <v>1.340482573726513E-3</v>
      </c>
    </row>
    <row r="75" spans="1:3">
      <c r="A75" s="3">
        <f ca="1">IFERROR(__xludf.UNSUPPORTED("""COMPUTED_VALUE"""),43572.6666666666)</f>
        <v>43572.666666666599</v>
      </c>
      <c r="B75" s="1">
        <f ca="1">IFERROR(__xludf.UNSUPPORTED("""COMPUTED_VALUE"""),30.03)</f>
        <v>30.03</v>
      </c>
      <c r="C75" s="2">
        <f t="shared" ca="1" si="0"/>
        <v>5.0200803212852117E-3</v>
      </c>
    </row>
    <row r="76" spans="1:3">
      <c r="A76" s="3">
        <f ca="1">IFERROR(__xludf.UNSUPPORTED("""COMPUTED_VALUE"""),43573.6666666666)</f>
        <v>43573.666666666599</v>
      </c>
      <c r="B76" s="1">
        <f ca="1">IFERROR(__xludf.UNSUPPORTED("""COMPUTED_VALUE"""),30.03)</f>
        <v>30.03</v>
      </c>
      <c r="C76" s="2">
        <f t="shared" ca="1" si="0"/>
        <v>0</v>
      </c>
    </row>
    <row r="77" spans="1:3">
      <c r="A77" s="3">
        <f ca="1">IFERROR(__xludf.UNSUPPORTED("""COMPUTED_VALUE"""),43577.6666666666)</f>
        <v>43577.666666666599</v>
      </c>
      <c r="B77" s="1">
        <f ca="1">IFERROR(__xludf.UNSUPPORTED("""COMPUTED_VALUE"""),30.05)</f>
        <v>30.05</v>
      </c>
      <c r="C77" s="2">
        <f t="shared" ca="1" si="0"/>
        <v>6.660006660006518E-4</v>
      </c>
    </row>
    <row r="78" spans="1:3">
      <c r="A78" s="3">
        <f ca="1">IFERROR(__xludf.UNSUPPORTED("""COMPUTED_VALUE"""),43578.6666666666)</f>
        <v>43578.666666666599</v>
      </c>
      <c r="B78" s="1">
        <f ca="1">IFERROR(__xludf.UNSUPPORTED("""COMPUTED_VALUE"""),30.07)</f>
        <v>30.07</v>
      </c>
      <c r="C78" s="2">
        <f t="shared" ca="1" si="0"/>
        <v>6.6555740432610894E-4</v>
      </c>
    </row>
    <row r="79" spans="1:3">
      <c r="A79" s="3">
        <f ca="1">IFERROR(__xludf.UNSUPPORTED("""COMPUTED_VALUE"""),43579.6666666666)</f>
        <v>43579.666666666599</v>
      </c>
      <c r="B79" s="1">
        <f ca="1">IFERROR(__xludf.UNSUPPORTED("""COMPUTED_VALUE"""),30.02)</f>
        <v>30.02</v>
      </c>
      <c r="C79" s="2">
        <f t="shared" ca="1" si="0"/>
        <v>-1.6627868307283243E-3</v>
      </c>
    </row>
    <row r="80" spans="1:3">
      <c r="A80" s="3">
        <f ca="1">IFERROR(__xludf.UNSUPPORTED("""COMPUTED_VALUE"""),43580.6666666666)</f>
        <v>43580.666666666599</v>
      </c>
      <c r="B80" s="1">
        <f ca="1">IFERROR(__xludf.UNSUPPORTED("""COMPUTED_VALUE"""),30.08)</f>
        <v>30.08</v>
      </c>
      <c r="C80" s="2">
        <f t="shared" ca="1" si="0"/>
        <v>1.9986675549633153E-3</v>
      </c>
    </row>
    <row r="81" spans="1:3">
      <c r="A81" s="3">
        <f ca="1">IFERROR(__xludf.UNSUPPORTED("""COMPUTED_VALUE"""),43581.6666666666)</f>
        <v>43581.666666666599</v>
      </c>
      <c r="B81" s="1">
        <f ca="1">IFERROR(__xludf.UNSUPPORTED("""COMPUTED_VALUE"""),30.35)</f>
        <v>30.35</v>
      </c>
      <c r="C81" s="2">
        <f t="shared" ca="1" si="0"/>
        <v>8.9760638297873389E-3</v>
      </c>
    </row>
    <row r="82" spans="1:3">
      <c r="A82" s="3">
        <f ca="1">IFERROR(__xludf.UNSUPPORTED("""COMPUTED_VALUE"""),43584.6666666666)</f>
        <v>43584.666666666599</v>
      </c>
      <c r="B82" s="1">
        <f ca="1">IFERROR(__xludf.UNSUPPORTED("""COMPUTED_VALUE"""),30.77)</f>
        <v>30.77</v>
      </c>
      <c r="C82" s="2">
        <f t="shared" ca="1" si="0"/>
        <v>1.3838550247116907E-2</v>
      </c>
    </row>
    <row r="83" spans="1:3">
      <c r="A83" s="3">
        <f ca="1">IFERROR(__xludf.UNSUPPORTED("""COMPUTED_VALUE"""),43585.6666666666)</f>
        <v>43585.666666666599</v>
      </c>
      <c r="B83" s="1">
        <f ca="1">IFERROR(__xludf.UNSUPPORTED("""COMPUTED_VALUE"""),30.58)</f>
        <v>30.58</v>
      </c>
      <c r="C83" s="2">
        <f t="shared" ca="1" si="0"/>
        <v>-6.1748456288593205E-3</v>
      </c>
    </row>
    <row r="84" spans="1:3">
      <c r="A84" s="3">
        <f ca="1">IFERROR(__xludf.UNSUPPORTED("""COMPUTED_VALUE"""),43586.6666666666)</f>
        <v>43586.666666666599</v>
      </c>
      <c r="B84" s="1">
        <f ca="1">IFERROR(__xludf.UNSUPPORTED("""COMPUTED_VALUE"""),30.26)</f>
        <v>30.26</v>
      </c>
      <c r="C84" s="2">
        <f t="shared" ca="1" si="0"/>
        <v>-1.0464355788096688E-2</v>
      </c>
    </row>
    <row r="85" spans="1:3">
      <c r="A85" s="3">
        <f ca="1">IFERROR(__xludf.UNSUPPORTED("""COMPUTED_VALUE"""),43587.6666666666)</f>
        <v>43587.666666666599</v>
      </c>
      <c r="B85" s="1">
        <f ca="1">IFERROR(__xludf.UNSUPPORTED("""COMPUTED_VALUE"""),30.5)</f>
        <v>30.5</v>
      </c>
      <c r="C85" s="2">
        <f t="shared" ca="1" si="0"/>
        <v>7.9312623925974369E-3</v>
      </c>
    </row>
    <row r="86" spans="1:3">
      <c r="A86" s="3">
        <f ca="1">IFERROR(__xludf.UNSUPPORTED("""COMPUTED_VALUE"""),43588.6666666666)</f>
        <v>43588.666666666599</v>
      </c>
      <c r="B86" s="1">
        <f ca="1">IFERROR(__xludf.UNSUPPORTED("""COMPUTED_VALUE"""),30.71)</f>
        <v>30.71</v>
      </c>
      <c r="C86" s="2">
        <f t="shared" ca="1" si="0"/>
        <v>6.8852459016393724E-3</v>
      </c>
    </row>
    <row r="87" spans="1:3">
      <c r="A87" s="3">
        <f ca="1">IFERROR(__xludf.UNSUPPORTED("""COMPUTED_VALUE"""),43591.6666666666)</f>
        <v>43591.666666666599</v>
      </c>
      <c r="B87" s="1">
        <f ca="1">IFERROR(__xludf.UNSUPPORTED("""COMPUTED_VALUE"""),30.47)</f>
        <v>30.47</v>
      </c>
      <c r="C87" s="2">
        <f t="shared" ca="1" si="0"/>
        <v>-7.8150439596223371E-3</v>
      </c>
    </row>
    <row r="88" spans="1:3">
      <c r="A88" s="3">
        <f ca="1">IFERROR(__xludf.UNSUPPORTED("""COMPUTED_VALUE"""),43592.6666666666)</f>
        <v>43592.666666666599</v>
      </c>
      <c r="B88" s="1">
        <f ca="1">IFERROR(__xludf.UNSUPPORTED("""COMPUTED_VALUE"""),29.92)</f>
        <v>29.92</v>
      </c>
      <c r="C88" s="2">
        <f t="shared" ca="1" si="0"/>
        <v>-1.8050541516245393E-2</v>
      </c>
    </row>
    <row r="89" spans="1:3">
      <c r="A89" s="3">
        <f ca="1">IFERROR(__xludf.UNSUPPORTED("""COMPUTED_VALUE"""),43593.6666666666)</f>
        <v>43593.666666666599</v>
      </c>
      <c r="B89" s="1">
        <f ca="1">IFERROR(__xludf.UNSUPPORTED("""COMPUTED_VALUE"""),29.8)</f>
        <v>29.8</v>
      </c>
      <c r="C89" s="2">
        <f t="shared" ca="1" si="0"/>
        <v>-4.0106951871658088E-3</v>
      </c>
    </row>
    <row r="90" spans="1:3">
      <c r="A90" s="3">
        <f ca="1">IFERROR(__xludf.UNSUPPORTED("""COMPUTED_VALUE"""),43594.6666666666)</f>
        <v>43594.666666666599</v>
      </c>
      <c r="B90" s="1">
        <f ca="1">IFERROR(__xludf.UNSUPPORTED("""COMPUTED_VALUE"""),29.71)</f>
        <v>29.71</v>
      </c>
      <c r="C90" s="2">
        <f t="shared" ca="1" si="0"/>
        <v>-3.0201342281879146E-3</v>
      </c>
    </row>
    <row r="91" spans="1:3">
      <c r="A91" s="3">
        <f ca="1">IFERROR(__xludf.UNSUPPORTED("""COMPUTED_VALUE"""),43595.6666666666)</f>
        <v>43595.666666666599</v>
      </c>
      <c r="B91" s="1">
        <f ca="1">IFERROR(__xludf.UNSUPPORTED("""COMPUTED_VALUE"""),29.58)</f>
        <v>29.58</v>
      </c>
      <c r="C91" s="2">
        <f t="shared" ca="1" si="0"/>
        <v>-4.3756311006396013E-3</v>
      </c>
    </row>
    <row r="92" spans="1:3">
      <c r="A92" s="3">
        <f ca="1">IFERROR(__xludf.UNSUPPORTED("""COMPUTED_VALUE"""),43598.6666666666)</f>
        <v>43598.666666666599</v>
      </c>
      <c r="B92" s="1">
        <f ca="1">IFERROR(__xludf.UNSUPPORTED("""COMPUTED_VALUE"""),28.25)</f>
        <v>28.25</v>
      </c>
      <c r="C92" s="2">
        <f t="shared" ca="1" si="0"/>
        <v>-4.4962812711291357E-2</v>
      </c>
    </row>
    <row r="93" spans="1:3">
      <c r="A93" s="3">
        <f ca="1">IFERROR(__xludf.UNSUPPORTED("""COMPUTED_VALUE"""),43599.6666666666)</f>
        <v>43599.666666666599</v>
      </c>
      <c r="B93" s="1">
        <f ca="1">IFERROR(__xludf.UNSUPPORTED("""COMPUTED_VALUE"""),28.62)</f>
        <v>28.62</v>
      </c>
      <c r="C93" s="2">
        <f t="shared" ca="1" si="0"/>
        <v>1.3097345132743398E-2</v>
      </c>
    </row>
    <row r="94" spans="1:3">
      <c r="A94" s="3">
        <f ca="1">IFERROR(__xludf.UNSUPPORTED("""COMPUTED_VALUE"""),43600.6666666666)</f>
        <v>43600.666666666599</v>
      </c>
      <c r="B94" s="1">
        <f ca="1">IFERROR(__xludf.UNSUPPORTED("""COMPUTED_VALUE"""),28.29)</f>
        <v>28.29</v>
      </c>
      <c r="C94" s="2">
        <f t="shared" ca="1" si="0"/>
        <v>-1.1530398322851217E-2</v>
      </c>
    </row>
    <row r="95" spans="1:3">
      <c r="A95" s="3">
        <f ca="1">IFERROR(__xludf.UNSUPPORTED("""COMPUTED_VALUE"""),43601.6666666666)</f>
        <v>43601.666666666599</v>
      </c>
      <c r="B95" s="1">
        <f ca="1">IFERROR(__xludf.UNSUPPORTED("""COMPUTED_VALUE"""),28.59)</f>
        <v>28.59</v>
      </c>
      <c r="C95" s="2">
        <f t="shared" ca="1" si="0"/>
        <v>1.0604453870625688E-2</v>
      </c>
    </row>
    <row r="96" spans="1:3">
      <c r="A96" s="3">
        <f ca="1">IFERROR(__xludf.UNSUPPORTED("""COMPUTED_VALUE"""),43602.6666666666)</f>
        <v>43602.666666666599</v>
      </c>
      <c r="B96" s="1">
        <f ca="1">IFERROR(__xludf.UNSUPPORTED("""COMPUTED_VALUE"""),28.4)</f>
        <v>28.4</v>
      </c>
      <c r="C96" s="2">
        <f t="shared" ca="1" si="0"/>
        <v>-6.6456803077999749E-3</v>
      </c>
    </row>
    <row r="97" spans="1:3">
      <c r="A97" s="3">
        <f ca="1">IFERROR(__xludf.UNSUPPORTED("""COMPUTED_VALUE"""),43605.6666666666)</f>
        <v>43605.666666666599</v>
      </c>
      <c r="B97" s="1">
        <f ca="1">IFERROR(__xludf.UNSUPPORTED("""COMPUTED_VALUE"""),28.4)</f>
        <v>28.4</v>
      </c>
      <c r="C97" s="2">
        <f t="shared" ca="1" si="0"/>
        <v>0</v>
      </c>
    </row>
    <row r="98" spans="1:3">
      <c r="A98" s="3">
        <f ca="1">IFERROR(__xludf.UNSUPPORTED("""COMPUTED_VALUE"""),43606.6666666666)</f>
        <v>43606.666666666599</v>
      </c>
      <c r="B98" s="1">
        <f ca="1">IFERROR(__xludf.UNSUPPORTED("""COMPUTED_VALUE"""),28.69)</f>
        <v>28.69</v>
      </c>
      <c r="C98" s="2">
        <f t="shared" ca="1" si="0"/>
        <v>1.0211267605633899E-2</v>
      </c>
    </row>
    <row r="99" spans="1:3">
      <c r="A99" s="3">
        <f ca="1">IFERROR(__xludf.UNSUPPORTED("""COMPUTED_VALUE"""),43607.6666666666)</f>
        <v>43607.666666666599</v>
      </c>
      <c r="B99" s="1">
        <f ca="1">IFERROR(__xludf.UNSUPPORTED("""COMPUTED_VALUE"""),28.49)</f>
        <v>28.49</v>
      </c>
      <c r="C99" s="2">
        <f t="shared" ca="1" si="0"/>
        <v>-6.9710700592541947E-3</v>
      </c>
    </row>
    <row r="100" spans="1:3">
      <c r="A100" s="3">
        <f ca="1">IFERROR(__xludf.UNSUPPORTED("""COMPUTED_VALUE"""),43608.6666666666)</f>
        <v>43608.666666666599</v>
      </c>
      <c r="B100" s="1">
        <f ca="1">IFERROR(__xludf.UNSUPPORTED("""COMPUTED_VALUE"""),27.76)</f>
        <v>27.76</v>
      </c>
      <c r="C100" s="2">
        <f t="shared" ca="1" si="0"/>
        <v>-2.5623025623025514E-2</v>
      </c>
    </row>
    <row r="101" spans="1:3">
      <c r="A101" s="3">
        <f ca="1">IFERROR(__xludf.UNSUPPORTED("""COMPUTED_VALUE"""),43609.6666666666)</f>
        <v>43609.666666666599</v>
      </c>
      <c r="B101" s="1">
        <f ca="1">IFERROR(__xludf.UNSUPPORTED("""COMPUTED_VALUE"""),28.18)</f>
        <v>28.18</v>
      </c>
      <c r="C101" s="2">
        <f t="shared" ca="1" si="0"/>
        <v>1.5129682997118088E-2</v>
      </c>
    </row>
    <row r="102" spans="1:3">
      <c r="A102" s="3">
        <f ca="1">IFERROR(__xludf.UNSUPPORTED("""COMPUTED_VALUE"""),43613.6666666666)</f>
        <v>43613.666666666599</v>
      </c>
      <c r="B102" s="1">
        <f ca="1">IFERROR(__xludf.UNSUPPORTED("""COMPUTED_VALUE"""),27.9)</f>
        <v>27.9</v>
      </c>
      <c r="C102" s="2">
        <f t="shared" ca="1" si="0"/>
        <v>-9.9361249112846391E-3</v>
      </c>
    </row>
    <row r="103" spans="1:3">
      <c r="A103" s="3">
        <f ca="1">IFERROR(__xludf.UNSUPPORTED("""COMPUTED_VALUE"""),43614.6666666666)</f>
        <v>43614.666666666599</v>
      </c>
      <c r="B103" s="1">
        <f ca="1">IFERROR(__xludf.UNSUPPORTED("""COMPUTED_VALUE"""),27.75)</f>
        <v>27.75</v>
      </c>
      <c r="C103" s="2">
        <f t="shared" ca="1" si="0"/>
        <v>-5.3763440860214546E-3</v>
      </c>
    </row>
    <row r="104" spans="1:3">
      <c r="A104" s="3">
        <f ca="1">IFERROR(__xludf.UNSUPPORTED("""COMPUTED_VALUE"""),43615.6666666666)</f>
        <v>43615.666666666599</v>
      </c>
      <c r="B104" s="1">
        <f ca="1">IFERROR(__xludf.UNSUPPORTED("""COMPUTED_VALUE"""),27.16)</f>
        <v>27.16</v>
      </c>
      <c r="C104" s="2">
        <f t="shared" ca="1" si="0"/>
        <v>-2.1261261261261256E-2</v>
      </c>
    </row>
    <row r="105" spans="1:3">
      <c r="A105" s="3">
        <f ca="1">IFERROR(__xludf.UNSUPPORTED("""COMPUTED_VALUE"""),43616.6666666666)</f>
        <v>43616.666666666599</v>
      </c>
      <c r="B105" s="1">
        <f ca="1">IFERROR(__xludf.UNSUPPORTED("""COMPUTED_VALUE"""),26.6)</f>
        <v>26.6</v>
      </c>
      <c r="C105" s="2">
        <f t="shared" ca="1" si="0"/>
        <v>-2.0618556701030882E-2</v>
      </c>
    </row>
    <row r="106" spans="1:3">
      <c r="A106" s="3">
        <f ca="1">IFERROR(__xludf.UNSUPPORTED("""COMPUTED_VALUE"""),43619.6666666666)</f>
        <v>43619.666666666599</v>
      </c>
      <c r="B106" s="1">
        <f ca="1">IFERROR(__xludf.UNSUPPORTED("""COMPUTED_VALUE"""),26.68)</f>
        <v>26.68</v>
      </c>
      <c r="C106" s="2">
        <f t="shared" ca="1" si="0"/>
        <v>3.0075187969924168E-3</v>
      </c>
    </row>
    <row r="107" spans="1:3">
      <c r="A107" s="3">
        <f ca="1">IFERROR(__xludf.UNSUPPORTED("""COMPUTED_VALUE"""),43620.6666666666)</f>
        <v>43620.666666666599</v>
      </c>
      <c r="B107" s="1">
        <f ca="1">IFERROR(__xludf.UNSUPPORTED("""COMPUTED_VALUE"""),27.92)</f>
        <v>27.92</v>
      </c>
      <c r="C107" s="2">
        <f t="shared" ca="1" si="0"/>
        <v>4.6476761619190482E-2</v>
      </c>
    </row>
    <row r="108" spans="1:3">
      <c r="A108" s="3">
        <f ca="1">IFERROR(__xludf.UNSUPPORTED("""COMPUTED_VALUE"""),43621.6666666666)</f>
        <v>43621.666666666599</v>
      </c>
      <c r="B108" s="1">
        <f ca="1">IFERROR(__xludf.UNSUPPORTED("""COMPUTED_VALUE"""),27.91)</f>
        <v>27.91</v>
      </c>
      <c r="C108" s="2">
        <f t="shared" ca="1" si="0"/>
        <v>-3.5816618911180384E-4</v>
      </c>
    </row>
    <row r="109" spans="1:3">
      <c r="A109" s="3">
        <f ca="1">IFERROR(__xludf.UNSUPPORTED("""COMPUTED_VALUE"""),43622.6666666666)</f>
        <v>43622.666666666599</v>
      </c>
      <c r="B109" s="1">
        <f ca="1">IFERROR(__xludf.UNSUPPORTED("""COMPUTED_VALUE"""),27.88)</f>
        <v>27.88</v>
      </c>
      <c r="C109" s="2">
        <f t="shared" ca="1" si="0"/>
        <v>-1.0748835542816603E-3</v>
      </c>
    </row>
    <row r="110" spans="1:3">
      <c r="A110" s="3">
        <f ca="1">IFERROR(__xludf.UNSUPPORTED("""COMPUTED_VALUE"""),43623.6666666666)</f>
        <v>43623.666666666599</v>
      </c>
      <c r="B110" s="1">
        <f ca="1">IFERROR(__xludf.UNSUPPORTED("""COMPUTED_VALUE"""),27.53)</f>
        <v>27.53</v>
      </c>
      <c r="C110" s="2">
        <f t="shared" ca="1" si="0"/>
        <v>-1.2553802008608245E-2</v>
      </c>
    </row>
    <row r="111" spans="1:3">
      <c r="A111" s="3">
        <f ca="1">IFERROR(__xludf.UNSUPPORTED("""COMPUTED_VALUE"""),43626.6666666666)</f>
        <v>43626.666666666599</v>
      </c>
      <c r="B111" s="1">
        <f ca="1">IFERROR(__xludf.UNSUPPORTED("""COMPUTED_VALUE"""),28.07)</f>
        <v>28.07</v>
      </c>
      <c r="C111" s="2">
        <f t="shared" ca="1" si="0"/>
        <v>1.9614965492190307E-2</v>
      </c>
    </row>
    <row r="112" spans="1:3">
      <c r="A112" s="3">
        <f ca="1">IFERROR(__xludf.UNSUPPORTED("""COMPUTED_VALUE"""),43627.6666666666)</f>
        <v>43627.666666666599</v>
      </c>
      <c r="B112" s="1">
        <f ca="1">IFERROR(__xludf.UNSUPPORTED("""COMPUTED_VALUE"""),28.24)</f>
        <v>28.24</v>
      </c>
      <c r="C112" s="2">
        <f t="shared" ca="1" si="0"/>
        <v>6.0562878517990077E-3</v>
      </c>
    </row>
    <row r="113" spans="1:3">
      <c r="A113" s="3">
        <f ca="1">IFERROR(__xludf.UNSUPPORTED("""COMPUTED_VALUE"""),43628.6666666666)</f>
        <v>43628.666666666599</v>
      </c>
      <c r="B113" s="1">
        <f ca="1">IFERROR(__xludf.UNSUPPORTED("""COMPUTED_VALUE"""),27.95)</f>
        <v>27.95</v>
      </c>
      <c r="C113" s="2">
        <f t="shared" ca="1" si="0"/>
        <v>-1.0269121813031131E-2</v>
      </c>
    </row>
    <row r="114" spans="1:3">
      <c r="A114" s="3">
        <f ca="1">IFERROR(__xludf.UNSUPPORTED("""COMPUTED_VALUE"""),43629.6666666666)</f>
        <v>43629.666666666599</v>
      </c>
      <c r="B114" s="1">
        <f ca="1">IFERROR(__xludf.UNSUPPORTED("""COMPUTED_VALUE"""),27.94)</f>
        <v>27.94</v>
      </c>
      <c r="C114" s="2">
        <f t="shared" ca="1" si="0"/>
        <v>-3.5778175313051915E-4</v>
      </c>
    </row>
    <row r="115" spans="1:3">
      <c r="A115" s="3">
        <f ca="1">IFERROR(__xludf.UNSUPPORTED("""COMPUTED_VALUE"""),43630.6666666666)</f>
        <v>43630.666666666599</v>
      </c>
      <c r="B115" s="1">
        <f ca="1">IFERROR(__xludf.UNSUPPORTED("""COMPUTED_VALUE"""),28.04)</f>
        <v>28.04</v>
      </c>
      <c r="C115" s="2">
        <f t="shared" ca="1" si="0"/>
        <v>3.5790980672869674E-3</v>
      </c>
    </row>
    <row r="116" spans="1:3">
      <c r="A116" s="3">
        <f ca="1">IFERROR(__xludf.UNSUPPORTED("""COMPUTED_VALUE"""),43633.6666666666)</f>
        <v>43633.666666666599</v>
      </c>
      <c r="B116" s="1">
        <f ca="1">IFERROR(__xludf.UNSUPPORTED("""COMPUTED_VALUE"""),27.93)</f>
        <v>27.93</v>
      </c>
      <c r="C116" s="2">
        <f t="shared" ca="1" si="0"/>
        <v>-3.9229671897289386E-3</v>
      </c>
    </row>
    <row r="117" spans="1:3">
      <c r="A117" s="3">
        <f ca="1">IFERROR(__xludf.UNSUPPORTED("""COMPUTED_VALUE"""),43634.6666666666)</f>
        <v>43634.666666666599</v>
      </c>
      <c r="B117" s="1">
        <f ca="1">IFERROR(__xludf.UNSUPPORTED("""COMPUTED_VALUE"""),28.62)</f>
        <v>28.62</v>
      </c>
      <c r="C117" s="2">
        <f t="shared" ca="1" si="0"/>
        <v>2.4704618689581143E-2</v>
      </c>
    </row>
    <row r="118" spans="1:3">
      <c r="A118" s="3">
        <f ca="1">IFERROR(__xludf.UNSUPPORTED("""COMPUTED_VALUE"""),43635.6666666666)</f>
        <v>43635.666666666599</v>
      </c>
      <c r="B118" s="1">
        <f ca="1">IFERROR(__xludf.UNSUPPORTED("""COMPUTED_VALUE"""),28.32)</f>
        <v>28.32</v>
      </c>
      <c r="C118" s="2">
        <f t="shared" ca="1" si="0"/>
        <v>-1.0482180293501073E-2</v>
      </c>
    </row>
    <row r="119" spans="1:3">
      <c r="A119" s="3">
        <f ca="1">IFERROR(__xludf.UNSUPPORTED("""COMPUTED_VALUE"""),43636.6666666666)</f>
        <v>43636.666666666599</v>
      </c>
      <c r="B119" s="1">
        <f ca="1">IFERROR(__xludf.UNSUPPORTED("""COMPUTED_VALUE"""),28.27)</f>
        <v>28.27</v>
      </c>
      <c r="C119" s="2">
        <f t="shared" ca="1" si="0"/>
        <v>-1.765536723163867E-3</v>
      </c>
    </row>
    <row r="120" spans="1:3">
      <c r="A120" s="3">
        <f ca="1">IFERROR(__xludf.UNSUPPORTED("""COMPUTED_VALUE"""),43637.6666666666)</f>
        <v>43637.666666666599</v>
      </c>
      <c r="B120" s="1">
        <f ca="1">IFERROR(__xludf.UNSUPPORTED("""COMPUTED_VALUE"""),28.12)</f>
        <v>28.12</v>
      </c>
      <c r="C120" s="2">
        <f t="shared" ca="1" si="0"/>
        <v>-5.3059780686239332E-3</v>
      </c>
    </row>
    <row r="121" spans="1:3">
      <c r="A121" s="3">
        <f ca="1">IFERROR(__xludf.UNSUPPORTED("""COMPUTED_VALUE"""),43640.6666666666)</f>
        <v>43640.666666666599</v>
      </c>
      <c r="B121" s="1">
        <f ca="1">IFERROR(__xludf.UNSUPPORTED("""COMPUTED_VALUE"""),27.98)</f>
        <v>27.98</v>
      </c>
      <c r="C121" s="2">
        <f t="shared" ca="1" si="0"/>
        <v>-4.9786628733997354E-3</v>
      </c>
    </row>
    <row r="122" spans="1:3">
      <c r="A122" s="3">
        <f ca="1">IFERROR(__xludf.UNSUPPORTED("""COMPUTED_VALUE"""),43641.6666666666)</f>
        <v>43641.666666666599</v>
      </c>
      <c r="B122" s="1">
        <f ca="1">IFERROR(__xludf.UNSUPPORTED("""COMPUTED_VALUE"""),27.76)</f>
        <v>27.76</v>
      </c>
      <c r="C122" s="2">
        <f t="shared" ca="1" si="0"/>
        <v>-7.8627591136525687E-3</v>
      </c>
    </row>
    <row r="123" spans="1:3">
      <c r="A123" s="3">
        <f ca="1">IFERROR(__xludf.UNSUPPORTED("""COMPUTED_VALUE"""),43642.6666666666)</f>
        <v>43642.666666666599</v>
      </c>
      <c r="B123" s="1">
        <f ca="1">IFERROR(__xludf.UNSUPPORTED("""COMPUTED_VALUE"""),27.91)</f>
        <v>27.91</v>
      </c>
      <c r="C123" s="2">
        <f t="shared" ca="1" si="0"/>
        <v>5.4034582132564324E-3</v>
      </c>
    </row>
    <row r="124" spans="1:3">
      <c r="A124" s="3">
        <f ca="1">IFERROR(__xludf.UNSUPPORTED("""COMPUTED_VALUE"""),43643.6666666666)</f>
        <v>43643.666666666599</v>
      </c>
      <c r="B124" s="1">
        <f ca="1">IFERROR(__xludf.UNSUPPORTED("""COMPUTED_VALUE"""),28.21)</f>
        <v>28.21</v>
      </c>
      <c r="C124" s="2">
        <f t="shared" ca="1" si="0"/>
        <v>1.0748835542816221E-2</v>
      </c>
    </row>
    <row r="125" spans="1:3">
      <c r="A125" s="3">
        <f ca="1">IFERROR(__xludf.UNSUPPORTED("""COMPUTED_VALUE"""),43644.6666666666)</f>
        <v>43644.666666666599</v>
      </c>
      <c r="B125" s="1">
        <f ca="1">IFERROR(__xludf.UNSUPPORTED("""COMPUTED_VALUE"""),29)</f>
        <v>29</v>
      </c>
      <c r="C125" s="2">
        <f t="shared" ca="1" si="0"/>
        <v>2.8004253810705391E-2</v>
      </c>
    </row>
    <row r="126" spans="1:3">
      <c r="A126" s="3">
        <f ca="1">IFERROR(__xludf.UNSUPPORTED("""COMPUTED_VALUE"""),43647.6666666666)</f>
        <v>43647.666666666599</v>
      </c>
      <c r="B126" s="1">
        <f ca="1">IFERROR(__xludf.UNSUPPORTED("""COMPUTED_VALUE"""),29.42)</f>
        <v>29.42</v>
      </c>
      <c r="C126" s="2">
        <f t="shared" ca="1" si="0"/>
        <v>1.4482758620689713E-2</v>
      </c>
    </row>
    <row r="127" spans="1:3">
      <c r="A127" s="3">
        <f ca="1">IFERROR(__xludf.UNSUPPORTED("""COMPUTED_VALUE"""),43648.6666666666)</f>
        <v>43648.666666666599</v>
      </c>
      <c r="B127" s="1">
        <f ca="1">IFERROR(__xludf.UNSUPPORTED("""COMPUTED_VALUE"""),29.15)</f>
        <v>29.15</v>
      </c>
      <c r="C127" s="2">
        <f t="shared" ca="1" si="0"/>
        <v>-9.1774303195106422E-3</v>
      </c>
    </row>
    <row r="128" spans="1:3">
      <c r="A128" s="3">
        <f ca="1">IFERROR(__xludf.UNSUPPORTED("""COMPUTED_VALUE"""),43649.5416666666)</f>
        <v>43649.541666666599</v>
      </c>
      <c r="B128" s="1">
        <f ca="1">IFERROR(__xludf.UNSUPPORTED("""COMPUTED_VALUE"""),29.05)</f>
        <v>29.05</v>
      </c>
      <c r="C128" s="2">
        <f t="shared" ca="1" si="0"/>
        <v>-3.430531732418452E-3</v>
      </c>
    </row>
    <row r="129" spans="1:3">
      <c r="A129" s="3">
        <f ca="1">IFERROR(__xludf.UNSUPPORTED("""COMPUTED_VALUE"""),43651.6666666666)</f>
        <v>43651.666666666599</v>
      </c>
      <c r="B129" s="1">
        <f ca="1">IFERROR(__xludf.UNSUPPORTED("""COMPUTED_VALUE"""),29.26)</f>
        <v>29.26</v>
      </c>
      <c r="C129" s="2">
        <f t="shared" ca="1" si="0"/>
        <v>7.2289156626506312E-3</v>
      </c>
    </row>
    <row r="130" spans="1:3">
      <c r="A130" s="3">
        <f ca="1">IFERROR(__xludf.UNSUPPORTED("""COMPUTED_VALUE"""),43654.6666666666)</f>
        <v>43654.666666666599</v>
      </c>
      <c r="B130" s="1">
        <f ca="1">IFERROR(__xludf.UNSUPPORTED("""COMPUTED_VALUE"""),29.2)</f>
        <v>29.2</v>
      </c>
      <c r="C130" s="2">
        <f t="shared" ca="1" si="0"/>
        <v>-2.0505809979494967E-3</v>
      </c>
    </row>
    <row r="131" spans="1:3">
      <c r="A131" s="3">
        <f ca="1">IFERROR(__xludf.UNSUPPORTED("""COMPUTED_VALUE"""),43655.6666666666)</f>
        <v>43655.666666666599</v>
      </c>
      <c r="B131" s="1">
        <f ca="1">IFERROR(__xludf.UNSUPPORTED("""COMPUTED_VALUE"""),29.35)</f>
        <v>29.35</v>
      </c>
      <c r="C131" s="2">
        <f t="shared" ca="1" si="0"/>
        <v>5.1369863013699365E-3</v>
      </c>
    </row>
    <row r="132" spans="1:3">
      <c r="A132" s="3">
        <f ca="1">IFERROR(__xludf.UNSUPPORTED("""COMPUTED_VALUE"""),43656.6666666666)</f>
        <v>43656.666666666599</v>
      </c>
      <c r="B132" s="1">
        <f ca="1">IFERROR(__xludf.UNSUPPORTED("""COMPUTED_VALUE"""),29.02)</f>
        <v>29.02</v>
      </c>
      <c r="C132" s="2">
        <f t="shared" ca="1" si="0"/>
        <v>-1.124361158432715E-2</v>
      </c>
    </row>
    <row r="133" spans="1:3">
      <c r="A133" s="3">
        <f ca="1">IFERROR(__xludf.UNSUPPORTED("""COMPUTED_VALUE"""),43657.6666666666)</f>
        <v>43657.666666666599</v>
      </c>
      <c r="B133" s="1">
        <f ca="1">IFERROR(__xludf.UNSUPPORTED("""COMPUTED_VALUE"""),29.36)</f>
        <v>29.36</v>
      </c>
      <c r="C133" s="2">
        <f t="shared" ca="1" si="0"/>
        <v>1.1716057891109575E-2</v>
      </c>
    </row>
    <row r="134" spans="1:3">
      <c r="A134" s="3">
        <f ca="1">IFERROR(__xludf.UNSUPPORTED("""COMPUTED_VALUE"""),43658.6666666666)</f>
        <v>43658.666666666599</v>
      </c>
      <c r="B134" s="1">
        <f ca="1">IFERROR(__xludf.UNSUPPORTED("""COMPUTED_VALUE"""),29.45)</f>
        <v>29.45</v>
      </c>
      <c r="C134" s="2">
        <f t="shared" ca="1" si="0"/>
        <v>3.0653950953678428E-3</v>
      </c>
    </row>
    <row r="135" spans="1:3">
      <c r="A135" s="3">
        <f ca="1">IFERROR(__xludf.UNSUPPORTED("""COMPUTED_VALUE"""),43661.6666666666)</f>
        <v>43661.666666666599</v>
      </c>
      <c r="B135" s="1">
        <f ca="1">IFERROR(__xludf.UNSUPPORTED("""COMPUTED_VALUE"""),29.22)</f>
        <v>29.22</v>
      </c>
      <c r="C135" s="2">
        <f t="shared" ca="1" si="0"/>
        <v>-7.8098471986417801E-3</v>
      </c>
    </row>
    <row r="136" spans="1:3">
      <c r="A136" s="3">
        <f ca="1">IFERROR(__xludf.UNSUPPORTED("""COMPUTED_VALUE"""),43662.6666666666)</f>
        <v>43662.666666666599</v>
      </c>
      <c r="B136" s="1">
        <f ca="1">IFERROR(__xludf.UNSUPPORTED("""COMPUTED_VALUE"""),28.99)</f>
        <v>28.99</v>
      </c>
      <c r="C136" s="2">
        <f t="shared" ca="1" si="0"/>
        <v>-7.8713210130048061E-3</v>
      </c>
    </row>
    <row r="137" spans="1:3">
      <c r="A137" s="3">
        <f ca="1">IFERROR(__xludf.UNSUPPORTED("""COMPUTED_VALUE"""),43663.6666666666)</f>
        <v>43663.666666666599</v>
      </c>
      <c r="B137" s="1">
        <f ca="1">IFERROR(__xludf.UNSUPPORTED("""COMPUTED_VALUE"""),29.19)</f>
        <v>29.19</v>
      </c>
      <c r="C137" s="2">
        <f t="shared" ca="1" si="0"/>
        <v>6.8989306657469074E-3</v>
      </c>
    </row>
    <row r="138" spans="1:3">
      <c r="A138" s="3">
        <f ca="1">IFERROR(__xludf.UNSUPPORTED("""COMPUTED_VALUE"""),43664.6666666666)</f>
        <v>43664.666666666599</v>
      </c>
      <c r="B138" s="1">
        <f ca="1">IFERROR(__xludf.UNSUPPORTED("""COMPUTED_VALUE"""),29.48)</f>
        <v>29.48</v>
      </c>
      <c r="C138" s="2">
        <f t="shared" ca="1" si="0"/>
        <v>9.934909215484726E-3</v>
      </c>
    </row>
    <row r="139" spans="1:3">
      <c r="A139" s="3">
        <f ca="1">IFERROR(__xludf.UNSUPPORTED("""COMPUTED_VALUE"""),43665.6666666666)</f>
        <v>43665.666666666599</v>
      </c>
      <c r="B139" s="1">
        <f ca="1">IFERROR(__xludf.UNSUPPORTED("""COMPUTED_VALUE"""),29.4)</f>
        <v>29.4</v>
      </c>
      <c r="C139" s="2">
        <f t="shared" ca="1" si="0"/>
        <v>-2.7137042062415823E-3</v>
      </c>
    </row>
    <row r="140" spans="1:3">
      <c r="A140" s="3">
        <f ca="1">IFERROR(__xludf.UNSUPPORTED("""COMPUTED_VALUE"""),43668.6666666666)</f>
        <v>43668.666666666599</v>
      </c>
      <c r="B140" s="1">
        <f ca="1">IFERROR(__xludf.UNSUPPORTED("""COMPUTED_VALUE"""),29.57)</f>
        <v>29.57</v>
      </c>
      <c r="C140" s="2">
        <f t="shared" ca="1" si="0"/>
        <v>5.7823129251701267E-3</v>
      </c>
    </row>
    <row r="141" spans="1:3">
      <c r="A141" s="3">
        <f ca="1">IFERROR(__xludf.UNSUPPORTED("""COMPUTED_VALUE"""),43669.6666666666)</f>
        <v>43669.666666666599</v>
      </c>
      <c r="B141" s="1">
        <f ca="1">IFERROR(__xludf.UNSUPPORTED("""COMPUTED_VALUE"""),30.25)</f>
        <v>30.25</v>
      </c>
      <c r="C141" s="2">
        <f t="shared" ca="1" si="0"/>
        <v>2.2996280013527215E-2</v>
      </c>
    </row>
    <row r="142" spans="1:3">
      <c r="A142" s="3">
        <f ca="1">IFERROR(__xludf.UNSUPPORTED("""COMPUTED_VALUE"""),43670.6666666666)</f>
        <v>43670.666666666599</v>
      </c>
      <c r="B142" s="1">
        <f ca="1">IFERROR(__xludf.UNSUPPORTED("""COMPUTED_VALUE"""),30.67)</f>
        <v>30.67</v>
      </c>
      <c r="C142" s="2">
        <f t="shared" ca="1" si="0"/>
        <v>1.3884297520661214E-2</v>
      </c>
    </row>
    <row r="143" spans="1:3">
      <c r="A143" s="3">
        <f ca="1">IFERROR(__xludf.UNSUPPORTED("""COMPUTED_VALUE"""),43671.6666666666)</f>
        <v>43671.666666666599</v>
      </c>
      <c r="B143" s="1">
        <f ca="1">IFERROR(__xludf.UNSUPPORTED("""COMPUTED_VALUE"""),30.34)</f>
        <v>30.34</v>
      </c>
      <c r="C143" s="2">
        <f t="shared" ca="1" si="0"/>
        <v>-1.0759700032605211E-2</v>
      </c>
    </row>
    <row r="144" spans="1:3">
      <c r="A144" s="3">
        <f ca="1">IFERROR(__xludf.UNSUPPORTED("""COMPUTED_VALUE"""),43672.6666666666)</f>
        <v>43672.666666666599</v>
      </c>
      <c r="B144" s="1">
        <f ca="1">IFERROR(__xludf.UNSUPPORTED("""COMPUTED_VALUE"""),30.77)</f>
        <v>30.77</v>
      </c>
      <c r="C144" s="2">
        <f t="shared" ca="1" si="0"/>
        <v>1.4172709294660505E-2</v>
      </c>
    </row>
    <row r="145" spans="1:3">
      <c r="A145" s="3">
        <f ca="1">IFERROR(__xludf.UNSUPPORTED("""COMPUTED_VALUE"""),43675.6666666666)</f>
        <v>43675.666666666599</v>
      </c>
      <c r="B145" s="1">
        <f ca="1">IFERROR(__xludf.UNSUPPORTED("""COMPUTED_VALUE"""),30.52)</f>
        <v>30.52</v>
      </c>
      <c r="C145" s="2">
        <f t="shared" ca="1" si="0"/>
        <v>-8.1247968800779984E-3</v>
      </c>
    </row>
    <row r="146" spans="1:3">
      <c r="A146" s="3">
        <f ca="1">IFERROR(__xludf.UNSUPPORTED("""COMPUTED_VALUE"""),43676.6666666666)</f>
        <v>43676.666666666599</v>
      </c>
      <c r="B146" s="1">
        <f ca="1">IFERROR(__xludf.UNSUPPORTED("""COMPUTED_VALUE"""),30.89)</f>
        <v>30.89</v>
      </c>
      <c r="C146" s="2">
        <f t="shared" ca="1" si="0"/>
        <v>1.212319790301445E-2</v>
      </c>
    </row>
    <row r="147" spans="1:3">
      <c r="A147" s="3">
        <f ca="1">IFERROR(__xludf.UNSUPPORTED("""COMPUTED_VALUE"""),43677.6666666666)</f>
        <v>43677.666666666599</v>
      </c>
      <c r="B147" s="1">
        <f ca="1">IFERROR(__xludf.UNSUPPORTED("""COMPUTED_VALUE"""),30.68)</f>
        <v>30.68</v>
      </c>
      <c r="C147" s="2">
        <f t="shared" ca="1" si="0"/>
        <v>-6.7983166073163114E-3</v>
      </c>
    </row>
    <row r="148" spans="1:3">
      <c r="A148" s="3">
        <f ca="1">IFERROR(__xludf.UNSUPPORTED("""COMPUTED_VALUE"""),43678.6666666666)</f>
        <v>43678.666666666599</v>
      </c>
      <c r="B148" s="1">
        <f ca="1">IFERROR(__xludf.UNSUPPORTED("""COMPUTED_VALUE"""),29.49)</f>
        <v>29.49</v>
      </c>
      <c r="C148" s="2">
        <f t="shared" ca="1" si="0"/>
        <v>-3.8787483702737983E-2</v>
      </c>
    </row>
    <row r="149" spans="1:3">
      <c r="A149" s="3">
        <f ca="1">IFERROR(__xludf.UNSUPPORTED("""COMPUTED_VALUE"""),43679.6666666666)</f>
        <v>43679.666666666599</v>
      </c>
      <c r="B149" s="1">
        <f ca="1">IFERROR(__xludf.UNSUPPORTED("""COMPUTED_VALUE"""),29.38)</f>
        <v>29.38</v>
      </c>
      <c r="C149" s="2">
        <f t="shared" ca="1" si="0"/>
        <v>-3.7300779925398251E-3</v>
      </c>
    </row>
    <row r="150" spans="1:3">
      <c r="A150" s="3">
        <f ca="1">IFERROR(__xludf.UNSUPPORTED("""COMPUTED_VALUE"""),43682.6666666666)</f>
        <v>43682.666666666599</v>
      </c>
      <c r="B150" s="1">
        <f ca="1">IFERROR(__xludf.UNSUPPORTED("""COMPUTED_VALUE"""),28.08)</f>
        <v>28.08</v>
      </c>
      <c r="C150" s="2">
        <f t="shared" ca="1" si="0"/>
        <v>-4.4247787610619496E-2</v>
      </c>
    </row>
    <row r="151" spans="1:3">
      <c r="A151" s="3">
        <f ca="1">IFERROR(__xludf.UNSUPPORTED("""COMPUTED_VALUE"""),43683.6666666666)</f>
        <v>43683.666666666599</v>
      </c>
      <c r="B151" s="1">
        <f ca="1">IFERROR(__xludf.UNSUPPORTED("""COMPUTED_VALUE"""),28.42)</f>
        <v>28.42</v>
      </c>
      <c r="C151" s="2">
        <f t="shared" ca="1" si="0"/>
        <v>1.2108262108262231E-2</v>
      </c>
    </row>
    <row r="152" spans="1:3">
      <c r="A152" s="3">
        <f ca="1">IFERROR(__xludf.UNSUPPORTED("""COMPUTED_VALUE"""),43684.6666666666)</f>
        <v>43684.666666666599</v>
      </c>
      <c r="B152" s="1">
        <f ca="1">IFERROR(__xludf.UNSUPPORTED("""COMPUTED_VALUE"""),27.89)</f>
        <v>27.89</v>
      </c>
      <c r="C152" s="2">
        <f t="shared" ca="1" si="0"/>
        <v>-1.8648838845883219E-2</v>
      </c>
    </row>
    <row r="153" spans="1:3">
      <c r="A153" s="3">
        <f ca="1">IFERROR(__xludf.UNSUPPORTED("""COMPUTED_VALUE"""),43685.6666666666)</f>
        <v>43685.666666666599</v>
      </c>
      <c r="B153" s="1">
        <f ca="1">IFERROR(__xludf.UNSUPPORTED("""COMPUTED_VALUE"""),28.38)</f>
        <v>28.38</v>
      </c>
      <c r="C153" s="2">
        <f t="shared" ca="1" si="0"/>
        <v>1.7569021154535621E-2</v>
      </c>
    </row>
    <row r="154" spans="1:3">
      <c r="A154" s="3">
        <f ca="1">IFERROR(__xludf.UNSUPPORTED("""COMPUTED_VALUE"""),43686.6666666666)</f>
        <v>43686.666666666599</v>
      </c>
      <c r="B154" s="1">
        <f ca="1">IFERROR(__xludf.UNSUPPORTED("""COMPUTED_VALUE"""),28.33)</f>
        <v>28.33</v>
      </c>
      <c r="C154" s="2">
        <f t="shared" ca="1" si="0"/>
        <v>-1.7618040873855077E-3</v>
      </c>
    </row>
    <row r="155" spans="1:3">
      <c r="A155" s="3">
        <f ca="1">IFERROR(__xludf.UNSUPPORTED("""COMPUTED_VALUE"""),43689.6666666666)</f>
        <v>43689.666666666599</v>
      </c>
      <c r="B155" s="1">
        <f ca="1">IFERROR(__xludf.UNSUPPORTED("""COMPUTED_VALUE"""),27.64)</f>
        <v>27.64</v>
      </c>
      <c r="C155" s="2">
        <f t="shared" ca="1" si="0"/>
        <v>-2.4355806565478214E-2</v>
      </c>
    </row>
    <row r="156" spans="1:3">
      <c r="A156" s="3">
        <f ca="1">IFERROR(__xludf.UNSUPPORTED("""COMPUTED_VALUE"""),43690.6666666666)</f>
        <v>43690.666666666599</v>
      </c>
      <c r="B156" s="1">
        <f ca="1">IFERROR(__xludf.UNSUPPORTED("""COMPUTED_VALUE"""),27.72)</f>
        <v>27.72</v>
      </c>
      <c r="C156" s="2">
        <f t="shared" ca="1" si="0"/>
        <v>2.8943560057886502E-3</v>
      </c>
    </row>
    <row r="157" spans="1:3">
      <c r="A157" s="3">
        <f ca="1">IFERROR(__xludf.UNSUPPORTED("""COMPUTED_VALUE"""),43691.6666666666)</f>
        <v>43691.666666666599</v>
      </c>
      <c r="B157" s="1">
        <f ca="1">IFERROR(__xludf.UNSUPPORTED("""COMPUTED_VALUE"""),26.42)</f>
        <v>26.42</v>
      </c>
      <c r="C157" s="2">
        <f t="shared" ca="1" si="0"/>
        <v>-4.6897546897546799E-2</v>
      </c>
    </row>
    <row r="158" spans="1:3">
      <c r="A158" s="3">
        <f ca="1">IFERROR(__xludf.UNSUPPORTED("""COMPUTED_VALUE"""),43692.6666666666)</f>
        <v>43692.666666666599</v>
      </c>
      <c r="B158" s="1">
        <f ca="1">IFERROR(__xludf.UNSUPPORTED("""COMPUTED_VALUE"""),26.25)</f>
        <v>26.25</v>
      </c>
      <c r="C158" s="2">
        <f t="shared" ca="1" si="0"/>
        <v>-6.4345193035579744E-3</v>
      </c>
    </row>
    <row r="159" spans="1:3">
      <c r="A159" s="3">
        <f ca="1">IFERROR(__xludf.UNSUPPORTED("""COMPUTED_VALUE"""),43693.6666666666)</f>
        <v>43693.666666666599</v>
      </c>
      <c r="B159" s="1">
        <f ca="1">IFERROR(__xludf.UNSUPPORTED("""COMPUTED_VALUE"""),27.03)</f>
        <v>27.03</v>
      </c>
      <c r="C159" s="2">
        <f t="shared" ca="1" si="0"/>
        <v>2.9714285714285759E-2</v>
      </c>
    </row>
    <row r="160" spans="1:3">
      <c r="A160" s="3">
        <f ca="1">IFERROR(__xludf.UNSUPPORTED("""COMPUTED_VALUE"""),43696.6666666666)</f>
        <v>43696.666666666599</v>
      </c>
      <c r="B160" s="1">
        <f ca="1">IFERROR(__xludf.UNSUPPORTED("""COMPUTED_VALUE"""),27.27)</f>
        <v>27.27</v>
      </c>
      <c r="C160" s="2">
        <f t="shared" ca="1" si="0"/>
        <v>8.8790233074361232E-3</v>
      </c>
    </row>
    <row r="161" spans="1:3">
      <c r="A161" s="3">
        <f ca="1">IFERROR(__xludf.UNSUPPORTED("""COMPUTED_VALUE"""),43697.6666666666)</f>
        <v>43697.666666666599</v>
      </c>
      <c r="B161" s="1">
        <f ca="1">IFERROR(__xludf.UNSUPPORTED("""COMPUTED_VALUE"""),26.72)</f>
        <v>26.72</v>
      </c>
      <c r="C161" s="2">
        <f t="shared" ca="1" si="0"/>
        <v>-2.0168683535020195E-2</v>
      </c>
    </row>
    <row r="162" spans="1:3">
      <c r="A162" s="3">
        <f ca="1">IFERROR(__xludf.UNSUPPORTED("""COMPUTED_VALUE"""),43698.6666666666)</f>
        <v>43698.666666666599</v>
      </c>
      <c r="B162" s="1">
        <f ca="1">IFERROR(__xludf.UNSUPPORTED("""COMPUTED_VALUE"""),26.93)</f>
        <v>26.93</v>
      </c>
      <c r="C162" s="2">
        <f t="shared" ca="1" si="0"/>
        <v>7.859281437125781E-3</v>
      </c>
    </row>
    <row r="163" spans="1:3">
      <c r="A163" s="3">
        <f ca="1">IFERROR(__xludf.UNSUPPORTED("""COMPUTED_VALUE"""),43699.6666666666)</f>
        <v>43699.666666666599</v>
      </c>
      <c r="B163" s="1">
        <f ca="1">IFERROR(__xludf.UNSUPPORTED("""COMPUTED_VALUE"""),27.19)</f>
        <v>27.19</v>
      </c>
      <c r="C163" s="2">
        <f t="shared" ca="1" si="0"/>
        <v>9.6546602302265711E-3</v>
      </c>
    </row>
    <row r="164" spans="1:3">
      <c r="A164" s="3">
        <f ca="1">IFERROR(__xludf.UNSUPPORTED("""COMPUTED_VALUE"""),43700.6666666666)</f>
        <v>43700.666666666599</v>
      </c>
      <c r="B164" s="1">
        <f ca="1">IFERROR(__xludf.UNSUPPORTED("""COMPUTED_VALUE"""),26.47)</f>
        <v>26.47</v>
      </c>
      <c r="C164" s="2">
        <f t="shared" ca="1" si="0"/>
        <v>-2.6480323648400236E-2</v>
      </c>
    </row>
    <row r="165" spans="1:3">
      <c r="A165" s="3">
        <f ca="1">IFERROR(__xludf.UNSUPPORTED("""COMPUTED_VALUE"""),43703.6666666666)</f>
        <v>43703.666666666599</v>
      </c>
      <c r="B165" s="1">
        <f ca="1">IFERROR(__xludf.UNSUPPORTED("""COMPUTED_VALUE"""),26.78)</f>
        <v>26.78</v>
      </c>
      <c r="C165" s="2">
        <f t="shared" ca="1" si="0"/>
        <v>1.1711371363808171E-2</v>
      </c>
    </row>
    <row r="166" spans="1:3">
      <c r="A166" s="3">
        <f ca="1">IFERROR(__xludf.UNSUPPORTED("""COMPUTED_VALUE"""),43704.6666666666)</f>
        <v>43704.666666666599</v>
      </c>
      <c r="B166" s="1">
        <f ca="1">IFERROR(__xludf.UNSUPPORTED("""COMPUTED_VALUE"""),26.47)</f>
        <v>26.47</v>
      </c>
      <c r="C166" s="2">
        <f t="shared" ca="1" si="0"/>
        <v>-1.1575802837938845E-2</v>
      </c>
    </row>
    <row r="167" spans="1:3">
      <c r="A167" s="3">
        <f ca="1">IFERROR(__xludf.UNSUPPORTED("""COMPUTED_VALUE"""),43705.6666666666)</f>
        <v>43705.666666666599</v>
      </c>
      <c r="B167" s="1">
        <f ca="1">IFERROR(__xludf.UNSUPPORTED("""COMPUTED_VALUE"""),26.85)</f>
        <v>26.85</v>
      </c>
      <c r="C167" s="2">
        <f t="shared" ca="1" si="0"/>
        <v>1.4355874574990653E-2</v>
      </c>
    </row>
    <row r="168" spans="1:3">
      <c r="A168" s="3">
        <f ca="1">IFERROR(__xludf.UNSUPPORTED("""COMPUTED_VALUE"""),43706.6666666666)</f>
        <v>43706.666666666599</v>
      </c>
      <c r="B168" s="1">
        <f ca="1">IFERROR(__xludf.UNSUPPORTED("""COMPUTED_VALUE"""),27.33)</f>
        <v>27.33</v>
      </c>
      <c r="C168" s="2">
        <f t="shared" ca="1" si="0"/>
        <v>1.7877094972066923E-2</v>
      </c>
    </row>
    <row r="169" spans="1:3">
      <c r="A169" s="3">
        <f ca="1">IFERROR(__xludf.UNSUPPORTED("""COMPUTED_VALUE"""),43707.6666666666)</f>
        <v>43707.666666666599</v>
      </c>
      <c r="B169" s="1">
        <f ca="1">IFERROR(__xludf.UNSUPPORTED("""COMPUTED_VALUE"""),27.51)</f>
        <v>27.51</v>
      </c>
      <c r="C169" s="2">
        <f t="shared" ca="1" si="0"/>
        <v>6.5861690450056088E-3</v>
      </c>
    </row>
    <row r="170" spans="1:3">
      <c r="A170" s="3">
        <f ca="1">IFERROR(__xludf.UNSUPPORTED("""COMPUTED_VALUE"""),43711.6666666666)</f>
        <v>43711.666666666599</v>
      </c>
      <c r="B170" s="1">
        <f ca="1">IFERROR(__xludf.UNSUPPORTED("""COMPUTED_VALUE"""),27.05)</f>
        <v>27.05</v>
      </c>
      <c r="C170" s="2">
        <f t="shared" ca="1" si="0"/>
        <v>-1.6721192293711409E-2</v>
      </c>
    </row>
    <row r="171" spans="1:3">
      <c r="A171" s="3">
        <f ca="1">IFERROR(__xludf.UNSUPPORTED("""COMPUTED_VALUE"""),43712.6666666666)</f>
        <v>43712.666666666599</v>
      </c>
      <c r="B171" s="1">
        <f ca="1">IFERROR(__xludf.UNSUPPORTED("""COMPUTED_VALUE"""),27.49)</f>
        <v>27.49</v>
      </c>
      <c r="C171" s="2">
        <f t="shared" ca="1" si="0"/>
        <v>1.6266173752310452E-2</v>
      </c>
    </row>
    <row r="172" spans="1:3">
      <c r="A172" s="3">
        <f ca="1">IFERROR(__xludf.UNSUPPORTED("""COMPUTED_VALUE"""),43713.6666666666)</f>
        <v>43713.666666666599</v>
      </c>
      <c r="B172" s="1">
        <f ca="1">IFERROR(__xludf.UNSUPPORTED("""COMPUTED_VALUE"""),28.12)</f>
        <v>28.12</v>
      </c>
      <c r="C172" s="2">
        <f t="shared" ca="1" si="0"/>
        <v>2.2917424518006643E-2</v>
      </c>
    </row>
    <row r="173" spans="1:3">
      <c r="A173" s="3">
        <f ca="1">IFERROR(__xludf.UNSUPPORTED("""COMPUTED_VALUE"""),43714.6666666666)</f>
        <v>43714.666666666599</v>
      </c>
      <c r="B173" s="1">
        <f ca="1">IFERROR(__xludf.UNSUPPORTED("""COMPUTED_VALUE"""),27.73)</f>
        <v>27.73</v>
      </c>
      <c r="C173" s="2">
        <f t="shared" ca="1" si="0"/>
        <v>-1.3869132290184941E-2</v>
      </c>
    </row>
    <row r="174" spans="1:3">
      <c r="A174" s="3">
        <f ca="1">IFERROR(__xludf.UNSUPPORTED("""COMPUTED_VALUE"""),43717.6666666666)</f>
        <v>43717.666666666599</v>
      </c>
      <c r="B174" s="1">
        <f ca="1">IFERROR(__xludf.UNSUPPORTED("""COMPUTED_VALUE"""),28.63)</f>
        <v>28.63</v>
      </c>
      <c r="C174" s="2">
        <f t="shared" ca="1" si="0"/>
        <v>3.2455824017309724E-2</v>
      </c>
    </row>
    <row r="175" spans="1:3">
      <c r="A175" s="3">
        <f ca="1">IFERROR(__xludf.UNSUPPORTED("""COMPUTED_VALUE"""),43718.6666666666)</f>
        <v>43718.666666666599</v>
      </c>
      <c r="B175" s="1">
        <f ca="1">IFERROR(__xludf.UNSUPPORTED("""COMPUTED_VALUE"""),29.35)</f>
        <v>29.35</v>
      </c>
      <c r="C175" s="2">
        <f t="shared" ca="1" si="0"/>
        <v>2.5148445686343082E-2</v>
      </c>
    </row>
    <row r="176" spans="1:3">
      <c r="A176" s="3">
        <f ca="1">IFERROR(__xludf.UNSUPPORTED("""COMPUTED_VALUE"""),43719.6666666666)</f>
        <v>43719.666666666599</v>
      </c>
      <c r="B176" s="1">
        <f ca="1">IFERROR(__xludf.UNSUPPORTED("""COMPUTED_VALUE"""),29.46)</f>
        <v>29.46</v>
      </c>
      <c r="C176" s="2">
        <f t="shared" ca="1" si="0"/>
        <v>3.7478705281090096E-3</v>
      </c>
    </row>
    <row r="177" spans="1:3">
      <c r="A177" s="3">
        <f ca="1">IFERROR(__xludf.UNSUPPORTED("""COMPUTED_VALUE"""),43720.6666666666)</f>
        <v>43720.666666666599</v>
      </c>
      <c r="B177" s="1">
        <f ca="1">IFERROR(__xludf.UNSUPPORTED("""COMPUTED_VALUE"""),29.67)</f>
        <v>29.67</v>
      </c>
      <c r="C177" s="2">
        <f t="shared" ca="1" si="0"/>
        <v>7.1283095723014547E-3</v>
      </c>
    </row>
    <row r="178" spans="1:3">
      <c r="A178" s="3">
        <f ca="1">IFERROR(__xludf.UNSUPPORTED("""COMPUTED_VALUE"""),43721.6666666666)</f>
        <v>43721.666666666599</v>
      </c>
      <c r="B178" s="1">
        <f ca="1">IFERROR(__xludf.UNSUPPORTED("""COMPUTED_VALUE"""),30.17)</f>
        <v>30.17</v>
      </c>
      <c r="C178" s="2">
        <f t="shared" ca="1" si="0"/>
        <v>1.6852039096730703E-2</v>
      </c>
    </row>
    <row r="179" spans="1:3">
      <c r="A179" s="3">
        <f ca="1">IFERROR(__xludf.UNSUPPORTED("""COMPUTED_VALUE"""),43724.6666666666)</f>
        <v>43724.666666666599</v>
      </c>
      <c r="B179" s="1">
        <f ca="1">IFERROR(__xludf.UNSUPPORTED("""COMPUTED_VALUE"""),30.13)</f>
        <v>30.13</v>
      </c>
      <c r="C179" s="2">
        <f t="shared" ca="1" si="0"/>
        <v>-1.3258203513424826E-3</v>
      </c>
    </row>
    <row r="180" spans="1:3">
      <c r="A180" s="3">
        <f ca="1">IFERROR(__xludf.UNSUPPORTED("""COMPUTED_VALUE"""),43725.6666666666)</f>
        <v>43725.666666666599</v>
      </c>
      <c r="B180" s="1">
        <f ca="1">IFERROR(__xludf.UNSUPPORTED("""COMPUTED_VALUE"""),29.94)</f>
        <v>29.94</v>
      </c>
      <c r="C180" s="2">
        <f t="shared" ca="1" si="0"/>
        <v>-6.3060073016925899E-3</v>
      </c>
    </row>
    <row r="181" spans="1:3">
      <c r="A181" s="3">
        <f ca="1">IFERROR(__xludf.UNSUPPORTED("""COMPUTED_VALUE"""),43726.6666666666)</f>
        <v>43726.666666666599</v>
      </c>
      <c r="B181" s="1">
        <f ca="1">IFERROR(__xludf.UNSUPPORTED("""COMPUTED_VALUE"""),30)</f>
        <v>30</v>
      </c>
      <c r="C181" s="2">
        <f t="shared" ca="1" si="0"/>
        <v>2.0040080160320215E-3</v>
      </c>
    </row>
    <row r="182" spans="1:3">
      <c r="A182" s="3">
        <f ca="1">IFERROR(__xludf.UNSUPPORTED("""COMPUTED_VALUE"""),43727.6666666666)</f>
        <v>43727.666666666599</v>
      </c>
      <c r="B182" s="1">
        <f ca="1">IFERROR(__xludf.UNSUPPORTED("""COMPUTED_VALUE"""),29.82)</f>
        <v>29.82</v>
      </c>
      <c r="C182" s="2">
        <f t="shared" ca="1" si="0"/>
        <v>-5.9999999999999906E-3</v>
      </c>
    </row>
    <row r="183" spans="1:3">
      <c r="A183" s="3">
        <f ca="1">IFERROR(__xludf.UNSUPPORTED("""COMPUTED_VALUE"""),43728.6666666666)</f>
        <v>43728.666666666599</v>
      </c>
      <c r="B183" s="1">
        <f ca="1">IFERROR(__xludf.UNSUPPORTED("""COMPUTED_VALUE"""),29.59)</f>
        <v>29.59</v>
      </c>
      <c r="C183" s="2">
        <f t="shared" ca="1" si="0"/>
        <v>-7.7129443326626563E-3</v>
      </c>
    </row>
    <row r="184" spans="1:3">
      <c r="A184" s="3">
        <f ca="1">IFERROR(__xludf.UNSUPPORTED("""COMPUTED_VALUE"""),43731.6666666666)</f>
        <v>43731.666666666599</v>
      </c>
      <c r="B184" s="1">
        <f ca="1">IFERROR(__xludf.UNSUPPORTED("""COMPUTED_VALUE"""),29.52)</f>
        <v>29.52</v>
      </c>
      <c r="C184" s="2">
        <f t="shared" ca="1" si="0"/>
        <v>-2.3656640757012599E-3</v>
      </c>
    </row>
    <row r="185" spans="1:3">
      <c r="A185" s="3">
        <f ca="1">IFERROR(__xludf.UNSUPPORTED("""COMPUTED_VALUE"""),43732.6666666666)</f>
        <v>43732.666666666599</v>
      </c>
      <c r="B185" s="1">
        <f ca="1">IFERROR(__xludf.UNSUPPORTED("""COMPUTED_VALUE"""),28.94)</f>
        <v>28.94</v>
      </c>
      <c r="C185" s="2">
        <f t="shared" ca="1" si="0"/>
        <v>-1.9647696476964713E-2</v>
      </c>
    </row>
    <row r="186" spans="1:3">
      <c r="A186" s="3">
        <f ca="1">IFERROR(__xludf.UNSUPPORTED("""COMPUTED_VALUE"""),43733.6666666666)</f>
        <v>43733.666666666599</v>
      </c>
      <c r="B186" s="1">
        <f ca="1">IFERROR(__xludf.UNSUPPORTED("""COMPUTED_VALUE"""),29.25)</f>
        <v>29.25</v>
      </c>
      <c r="C186" s="2">
        <f t="shared" ca="1" si="0"/>
        <v>1.0711817553559043E-2</v>
      </c>
    </row>
    <row r="187" spans="1:3">
      <c r="A187" s="3">
        <f ca="1">IFERROR(__xludf.UNSUPPORTED("""COMPUTED_VALUE"""),43734.6666666666)</f>
        <v>43734.666666666599</v>
      </c>
      <c r="B187" s="1">
        <f ca="1">IFERROR(__xludf.UNSUPPORTED("""COMPUTED_VALUE"""),29.13)</f>
        <v>29.13</v>
      </c>
      <c r="C187" s="2">
        <f t="shared" ca="1" si="0"/>
        <v>-4.1025641025641364E-3</v>
      </c>
    </row>
    <row r="188" spans="1:3">
      <c r="A188" s="3">
        <f ca="1">IFERROR(__xludf.UNSUPPORTED("""COMPUTED_VALUE"""),43735.6666666666)</f>
        <v>43735.666666666599</v>
      </c>
      <c r="B188" s="1">
        <f ca="1">IFERROR(__xludf.UNSUPPORTED("""COMPUTED_VALUE"""),29.35)</f>
        <v>29.35</v>
      </c>
      <c r="C188" s="2">
        <f t="shared" ca="1" si="0"/>
        <v>7.5523515276348244E-3</v>
      </c>
    </row>
    <row r="189" spans="1:3">
      <c r="A189" s="3">
        <f ca="1">IFERROR(__xludf.UNSUPPORTED("""COMPUTED_VALUE"""),43738.6666666666)</f>
        <v>43738.666666666599</v>
      </c>
      <c r="B189" s="1">
        <f ca="1">IFERROR(__xludf.UNSUPPORTED("""COMPUTED_VALUE"""),29.17)</f>
        <v>29.17</v>
      </c>
      <c r="C189" s="2">
        <f t="shared" ca="1" si="0"/>
        <v>-6.1328790459965832E-3</v>
      </c>
    </row>
    <row r="190" spans="1:3">
      <c r="A190" s="3">
        <f ca="1">IFERROR(__xludf.UNSUPPORTED("""COMPUTED_VALUE"""),43739.6666666666)</f>
        <v>43739.666666666599</v>
      </c>
      <c r="B190" s="1">
        <f ca="1">IFERROR(__xludf.UNSUPPORTED("""COMPUTED_VALUE"""),28.44)</f>
        <v>28.44</v>
      </c>
      <c r="C190" s="2">
        <f t="shared" ca="1" si="0"/>
        <v>-2.5025711347274611E-2</v>
      </c>
    </row>
    <row r="191" spans="1:3">
      <c r="A191" s="3">
        <f ca="1">IFERROR(__xludf.UNSUPPORTED("""COMPUTED_VALUE"""),43740.6666666666)</f>
        <v>43740.666666666599</v>
      </c>
      <c r="B191" s="1">
        <f ca="1">IFERROR(__xludf.UNSUPPORTED("""COMPUTED_VALUE"""),27.84)</f>
        <v>27.84</v>
      </c>
      <c r="C191" s="2">
        <f t="shared" ca="1" si="0"/>
        <v>-2.1097046413502157E-2</v>
      </c>
    </row>
    <row r="192" spans="1:3">
      <c r="A192" s="3">
        <f ca="1">IFERROR(__xludf.UNSUPPORTED("""COMPUTED_VALUE"""),43741.6666666666)</f>
        <v>43741.666666666599</v>
      </c>
      <c r="B192" s="1">
        <f ca="1">IFERROR(__xludf.UNSUPPORTED("""COMPUTED_VALUE"""),27.81)</f>
        <v>27.81</v>
      </c>
      <c r="C192" s="2">
        <f t="shared" ca="1" si="0"/>
        <v>-1.0775862068965925E-3</v>
      </c>
    </row>
    <row r="193" spans="1:3">
      <c r="A193" s="3">
        <f ca="1">IFERROR(__xludf.UNSUPPORTED("""COMPUTED_VALUE"""),43742.6666666666)</f>
        <v>43742.666666666599</v>
      </c>
      <c r="B193" s="1">
        <f ca="1">IFERROR(__xludf.UNSUPPORTED("""COMPUTED_VALUE"""),28.37)</f>
        <v>28.37</v>
      </c>
      <c r="C193" s="2">
        <f t="shared" ca="1" si="0"/>
        <v>2.0136641495864881E-2</v>
      </c>
    </row>
    <row r="194" spans="1:3">
      <c r="A194" s="3">
        <f ca="1">IFERROR(__xludf.UNSUPPORTED("""COMPUTED_VALUE"""),43745.6666666666)</f>
        <v>43745.666666666599</v>
      </c>
      <c r="B194" s="1">
        <f ca="1">IFERROR(__xludf.UNSUPPORTED("""COMPUTED_VALUE"""),28.31)</f>
        <v>28.31</v>
      </c>
      <c r="C194" s="2">
        <f t="shared" ca="1" si="0"/>
        <v>-2.1149101163201365E-3</v>
      </c>
    </row>
    <row r="195" spans="1:3">
      <c r="A195" s="3">
        <f ca="1">IFERROR(__xludf.UNSUPPORTED("""COMPUTED_VALUE"""),43746.6666666666)</f>
        <v>43746.666666666599</v>
      </c>
      <c r="B195" s="1">
        <f ca="1">IFERROR(__xludf.UNSUPPORTED("""COMPUTED_VALUE"""),27.63)</f>
        <v>27.63</v>
      </c>
      <c r="C195" s="2">
        <f t="shared" ca="1" si="0"/>
        <v>-2.4019780996114438E-2</v>
      </c>
    </row>
    <row r="196" spans="1:3">
      <c r="A196" s="3">
        <f ca="1">IFERROR(__xludf.UNSUPPORTED("""COMPUTED_VALUE"""),43747.6666666666)</f>
        <v>43747.666666666599</v>
      </c>
      <c r="B196" s="1">
        <f ca="1">IFERROR(__xludf.UNSUPPORTED("""COMPUTED_VALUE"""),27.89)</f>
        <v>27.89</v>
      </c>
      <c r="C196" s="2">
        <f t="shared" ca="1" si="0"/>
        <v>9.4100615273254272E-3</v>
      </c>
    </row>
    <row r="197" spans="1:3">
      <c r="A197" s="3">
        <f ca="1">IFERROR(__xludf.UNSUPPORTED("""COMPUTED_VALUE"""),43748.6666666666)</f>
        <v>43748.666666666599</v>
      </c>
      <c r="B197" s="1">
        <f ca="1">IFERROR(__xludf.UNSUPPORTED("""COMPUTED_VALUE"""),28.45)</f>
        <v>28.45</v>
      </c>
      <c r="C197" s="2">
        <f t="shared" ca="1" si="0"/>
        <v>2.0078881319469298E-2</v>
      </c>
    </row>
    <row r="198" spans="1:3">
      <c r="A198" s="3">
        <f ca="1">IFERROR(__xludf.UNSUPPORTED("""COMPUTED_VALUE"""),43749.6666666666)</f>
        <v>43749.666666666599</v>
      </c>
      <c r="B198" s="1">
        <f ca="1">IFERROR(__xludf.UNSUPPORTED("""COMPUTED_VALUE"""),28.91)</f>
        <v>28.91</v>
      </c>
      <c r="C198" s="2">
        <f t="shared" ca="1" si="0"/>
        <v>1.6168717047451701E-2</v>
      </c>
    </row>
    <row r="199" spans="1:3">
      <c r="A199" s="3">
        <f ca="1">IFERROR(__xludf.UNSUPPORTED("""COMPUTED_VALUE"""),43752.6666666666)</f>
        <v>43752.666666666599</v>
      </c>
      <c r="B199" s="1">
        <f ca="1">IFERROR(__xludf.UNSUPPORTED("""COMPUTED_VALUE"""),29.14)</f>
        <v>29.14</v>
      </c>
      <c r="C199" s="2">
        <f t="shared" ca="1" si="0"/>
        <v>7.9557246627464696E-3</v>
      </c>
    </row>
    <row r="200" spans="1:3">
      <c r="A200" s="3">
        <f ca="1">IFERROR(__xludf.UNSUPPORTED("""COMPUTED_VALUE"""),43753.6666666666)</f>
        <v>43753.666666666599</v>
      </c>
      <c r="B200" s="1">
        <f ca="1">IFERROR(__xludf.UNSUPPORTED("""COMPUTED_VALUE"""),29.73)</f>
        <v>29.73</v>
      </c>
      <c r="C200" s="2">
        <f t="shared" ca="1" si="0"/>
        <v>2.0247083047357579E-2</v>
      </c>
    </row>
    <row r="201" spans="1:3">
      <c r="A201" s="3">
        <f ca="1">IFERROR(__xludf.UNSUPPORTED("""COMPUTED_VALUE"""),43754.6666666666)</f>
        <v>43754.666666666599</v>
      </c>
      <c r="B201" s="1">
        <f ca="1">IFERROR(__xludf.UNSUPPORTED("""COMPUTED_VALUE"""),30.17)</f>
        <v>30.17</v>
      </c>
      <c r="C201" s="2">
        <f t="shared" ca="1" si="0"/>
        <v>1.4799865455768627E-2</v>
      </c>
    </row>
    <row r="202" spans="1:3">
      <c r="A202" s="3">
        <f ca="1">IFERROR(__xludf.UNSUPPORTED("""COMPUTED_VALUE"""),43755.6666666666)</f>
        <v>43755.666666666599</v>
      </c>
      <c r="B202" s="1">
        <f ca="1">IFERROR(__xludf.UNSUPPORTED("""COMPUTED_VALUE"""),30.26)</f>
        <v>30.26</v>
      </c>
      <c r="C202" s="2">
        <f t="shared" ca="1" si="0"/>
        <v>2.9830957905203795E-3</v>
      </c>
    </row>
    <row r="203" spans="1:3">
      <c r="A203" s="3">
        <f ca="1">IFERROR(__xludf.UNSUPPORTED("""COMPUTED_VALUE"""),43756.6666666666)</f>
        <v>43756.666666666599</v>
      </c>
      <c r="B203" s="1">
        <f ca="1">IFERROR(__xludf.UNSUPPORTED("""COMPUTED_VALUE"""),30.35)</f>
        <v>30.35</v>
      </c>
      <c r="C203" s="2">
        <f t="shared" ca="1" si="0"/>
        <v>2.9742233972240534E-3</v>
      </c>
    </row>
    <row r="204" spans="1:3">
      <c r="A204" s="3">
        <f ca="1">IFERROR(__xludf.UNSUPPORTED("""COMPUTED_VALUE"""),43759.6666666666)</f>
        <v>43759.666666666599</v>
      </c>
      <c r="B204" s="1">
        <f ca="1">IFERROR(__xludf.UNSUPPORTED("""COMPUTED_VALUE"""),31.02)</f>
        <v>31.02</v>
      </c>
      <c r="C204" s="2">
        <f t="shared" ca="1" si="0"/>
        <v>2.2075782537067483E-2</v>
      </c>
    </row>
    <row r="205" spans="1:3">
      <c r="A205" s="3">
        <f ca="1">IFERROR(__xludf.UNSUPPORTED("""COMPUTED_VALUE"""),43760.6666666666)</f>
        <v>43760.666666666599</v>
      </c>
      <c r="B205" s="1">
        <f ca="1">IFERROR(__xludf.UNSUPPORTED("""COMPUTED_VALUE"""),31.2)</f>
        <v>31.2</v>
      </c>
      <c r="C205" s="2">
        <f t="shared" ca="1" si="0"/>
        <v>5.8027079303674955E-3</v>
      </c>
    </row>
    <row r="206" spans="1:3">
      <c r="A206" s="3">
        <f ca="1">IFERROR(__xludf.UNSUPPORTED("""COMPUTED_VALUE"""),43761.6666666666)</f>
        <v>43761.666666666599</v>
      </c>
      <c r="B206" s="1">
        <f ca="1">IFERROR(__xludf.UNSUPPORTED("""COMPUTED_VALUE"""),31.42)</f>
        <v>31.42</v>
      </c>
      <c r="C206" s="2">
        <f t="shared" ca="1" si="0"/>
        <v>7.0512820512821286E-3</v>
      </c>
    </row>
    <row r="207" spans="1:3">
      <c r="A207" s="3">
        <f ca="1">IFERROR(__xludf.UNSUPPORTED("""COMPUTED_VALUE"""),43762.6666666666)</f>
        <v>43762.666666666599</v>
      </c>
      <c r="B207" s="1">
        <f ca="1">IFERROR(__xludf.UNSUPPORTED("""COMPUTED_VALUE"""),31.36)</f>
        <v>31.36</v>
      </c>
      <c r="C207" s="2">
        <f t="shared" ca="1" si="0"/>
        <v>-1.9096117122852408E-3</v>
      </c>
    </row>
    <row r="208" spans="1:3">
      <c r="A208" s="3">
        <f ca="1">IFERROR(__xludf.UNSUPPORTED("""COMPUTED_VALUE"""),43763.6666666666)</f>
        <v>43763.666666666599</v>
      </c>
      <c r="B208" s="1">
        <f ca="1">IFERROR(__xludf.UNSUPPORTED("""COMPUTED_VALUE"""),31.72)</f>
        <v>31.72</v>
      </c>
      <c r="C208" s="2">
        <f t="shared" ca="1" si="0"/>
        <v>1.1479591836734675E-2</v>
      </c>
    </row>
    <row r="209" spans="1:3">
      <c r="A209" s="3">
        <f ca="1">IFERROR(__xludf.UNSUPPORTED("""COMPUTED_VALUE"""),43766.6666666666)</f>
        <v>43766.666666666599</v>
      </c>
      <c r="B209" s="1">
        <f ca="1">IFERROR(__xludf.UNSUPPORTED("""COMPUTED_VALUE"""),31.84)</f>
        <v>31.84</v>
      </c>
      <c r="C209" s="2">
        <f t="shared" ca="1" si="0"/>
        <v>3.7831021437579131E-3</v>
      </c>
    </row>
    <row r="210" spans="1:3">
      <c r="A210" s="3">
        <f ca="1">IFERROR(__xludf.UNSUPPORTED("""COMPUTED_VALUE"""),43767.6666666666)</f>
        <v>43767.666666666599</v>
      </c>
      <c r="B210" s="1">
        <f ca="1">IFERROR(__xludf.UNSUPPORTED("""COMPUTED_VALUE"""),32.07)</f>
        <v>32.07</v>
      </c>
      <c r="C210" s="2">
        <f t="shared" ca="1" si="0"/>
        <v>7.2236180904522744E-3</v>
      </c>
    </row>
    <row r="211" spans="1:3">
      <c r="A211" s="3">
        <f ca="1">IFERROR(__xludf.UNSUPPORTED("""COMPUTED_VALUE"""),43768.6666666666)</f>
        <v>43768.666666666599</v>
      </c>
      <c r="B211" s="1">
        <f ca="1">IFERROR(__xludf.UNSUPPORTED("""COMPUTED_VALUE"""),31.62)</f>
        <v>31.62</v>
      </c>
      <c r="C211" s="2">
        <f t="shared" ca="1" si="0"/>
        <v>-1.4031805425631408E-2</v>
      </c>
    </row>
    <row r="212" spans="1:3">
      <c r="A212" s="3">
        <f ca="1">IFERROR(__xludf.UNSUPPORTED("""COMPUTED_VALUE"""),43769.6666666666)</f>
        <v>43769.666666666599</v>
      </c>
      <c r="B212" s="1">
        <f ca="1">IFERROR(__xludf.UNSUPPORTED("""COMPUTED_VALUE"""),31.27)</f>
        <v>31.27</v>
      </c>
      <c r="C212" s="2">
        <f t="shared" ca="1" si="0"/>
        <v>-1.1068943706514909E-2</v>
      </c>
    </row>
    <row r="213" spans="1:3">
      <c r="A213" s="3">
        <f ca="1">IFERROR(__xludf.UNSUPPORTED("""COMPUTED_VALUE"""),43770.6666666666)</f>
        <v>43770.666666666599</v>
      </c>
      <c r="B213" s="1">
        <f ca="1">IFERROR(__xludf.UNSUPPORTED("""COMPUTED_VALUE"""),31.8)</f>
        <v>31.8</v>
      </c>
      <c r="C213" s="2">
        <f t="shared" ca="1" si="0"/>
        <v>1.6949152542372919E-2</v>
      </c>
    </row>
    <row r="214" spans="1:3">
      <c r="A214" s="3">
        <f ca="1">IFERROR(__xludf.UNSUPPORTED("""COMPUTED_VALUE"""),43773.6666666666)</f>
        <v>43773.666666666599</v>
      </c>
      <c r="B214" s="1">
        <f ca="1">IFERROR(__xludf.UNSUPPORTED("""COMPUTED_VALUE"""),32.4)</f>
        <v>32.4</v>
      </c>
      <c r="C214" s="2">
        <f t="shared" ca="1" si="0"/>
        <v>1.886792452830182E-2</v>
      </c>
    </row>
    <row r="215" spans="1:3">
      <c r="A215" s="3">
        <f ca="1">IFERROR(__xludf.UNSUPPORTED("""COMPUTED_VALUE"""),43774.6666666666)</f>
        <v>43774.666666666599</v>
      </c>
      <c r="B215" s="1">
        <f ca="1">IFERROR(__xludf.UNSUPPORTED("""COMPUTED_VALUE"""),32.82)</f>
        <v>32.82</v>
      </c>
      <c r="C215" s="2">
        <f t="shared" ca="1" si="0"/>
        <v>1.2962962962963016E-2</v>
      </c>
    </row>
    <row r="216" spans="1:3">
      <c r="A216" s="3">
        <f ca="1">IFERROR(__xludf.UNSUPPORTED("""COMPUTED_VALUE"""),43775.6666666666)</f>
        <v>43775.666666666599</v>
      </c>
      <c r="B216" s="1">
        <f ca="1">IFERROR(__xludf.UNSUPPORTED("""COMPUTED_VALUE"""),32.79)</f>
        <v>32.79</v>
      </c>
      <c r="C216" s="2">
        <f t="shared" ca="1" si="0"/>
        <v>-9.1407678244976036E-4</v>
      </c>
    </row>
    <row r="217" spans="1:3">
      <c r="A217" s="3">
        <f ca="1">IFERROR(__xludf.UNSUPPORTED("""COMPUTED_VALUE"""),43776.6666666666)</f>
        <v>43776.666666666599</v>
      </c>
      <c r="B217" s="1">
        <f ca="1">IFERROR(__xludf.UNSUPPORTED("""COMPUTED_VALUE"""),33.23)</f>
        <v>33.229999999999997</v>
      </c>
      <c r="C217" s="2">
        <f t="shared" ca="1" si="0"/>
        <v>1.3418725221103926E-2</v>
      </c>
    </row>
    <row r="218" spans="1:3">
      <c r="A218" s="3">
        <f ca="1">IFERROR(__xludf.UNSUPPORTED("""COMPUTED_VALUE"""),43777.6666666666)</f>
        <v>43777.666666666599</v>
      </c>
      <c r="B218" s="1">
        <f ca="1">IFERROR(__xludf.UNSUPPORTED("""COMPUTED_VALUE"""),33.26)</f>
        <v>33.26</v>
      </c>
      <c r="C218" s="2">
        <f t="shared" ca="1" si="0"/>
        <v>9.0279867589530968E-4</v>
      </c>
    </row>
    <row r="219" spans="1:3">
      <c r="A219" s="3">
        <f ca="1">IFERROR(__xludf.UNSUPPORTED("""COMPUTED_VALUE"""),43780.6666666666)</f>
        <v>43780.666666666599</v>
      </c>
      <c r="B219" s="1">
        <f ca="1">IFERROR(__xludf.UNSUPPORTED("""COMPUTED_VALUE"""),33.18)</f>
        <v>33.18</v>
      </c>
      <c r="C219" s="2">
        <f t="shared" ca="1" si="0"/>
        <v>-2.4052916416114943E-3</v>
      </c>
    </row>
    <row r="220" spans="1:3">
      <c r="A220" s="3">
        <f ca="1">IFERROR(__xludf.UNSUPPORTED("""COMPUTED_VALUE"""),43781.6666666666)</f>
        <v>43781.666666666599</v>
      </c>
      <c r="B220" s="1">
        <f ca="1">IFERROR(__xludf.UNSUPPORTED("""COMPUTED_VALUE"""),33.09)</f>
        <v>33.090000000000003</v>
      </c>
      <c r="C220" s="2">
        <f t="shared" ca="1" si="0"/>
        <v>-2.7124773960215884E-3</v>
      </c>
    </row>
    <row r="221" spans="1:3">
      <c r="A221" s="3">
        <f ca="1">IFERROR(__xludf.UNSUPPORTED("""COMPUTED_VALUE"""),43782.6666666666)</f>
        <v>43782.666666666599</v>
      </c>
      <c r="B221" s="1">
        <f ca="1">IFERROR(__xludf.UNSUPPORTED("""COMPUTED_VALUE"""),32.79)</f>
        <v>32.79</v>
      </c>
      <c r="C221" s="2">
        <f t="shared" ca="1" si="0"/>
        <v>-9.0661831368994937E-3</v>
      </c>
    </row>
    <row r="222" spans="1:3">
      <c r="A222" s="3">
        <f ca="1">IFERROR(__xludf.UNSUPPORTED("""COMPUTED_VALUE"""),43783.6666666666)</f>
        <v>43783.666666666599</v>
      </c>
      <c r="B222" s="1">
        <f ca="1">IFERROR(__xludf.UNSUPPORTED("""COMPUTED_VALUE"""),32.7)</f>
        <v>32.700000000000003</v>
      </c>
      <c r="C222" s="2">
        <f t="shared" ca="1" si="0"/>
        <v>-2.744739249771159E-3</v>
      </c>
    </row>
    <row r="223" spans="1:3">
      <c r="A223" s="3">
        <f ca="1">IFERROR(__xludf.UNSUPPORTED("""COMPUTED_VALUE"""),43784.6666666666)</f>
        <v>43784.666666666599</v>
      </c>
      <c r="B223" s="1">
        <f ca="1">IFERROR(__xludf.UNSUPPORTED("""COMPUTED_VALUE"""),32.93)</f>
        <v>32.93</v>
      </c>
      <c r="C223" s="2">
        <f t="shared" ca="1" si="0"/>
        <v>7.0336391437307907E-3</v>
      </c>
    </row>
    <row r="224" spans="1:3">
      <c r="A224" s="3">
        <f ca="1">IFERROR(__xludf.UNSUPPORTED("""COMPUTED_VALUE"""),43787.6666666666)</f>
        <v>43787.666666666599</v>
      </c>
      <c r="B224" s="1">
        <f ca="1">IFERROR(__xludf.UNSUPPORTED("""COMPUTED_VALUE"""),32.96)</f>
        <v>32.96</v>
      </c>
      <c r="C224" s="2">
        <f t="shared" ca="1" si="0"/>
        <v>9.1102338293352978E-4</v>
      </c>
    </row>
    <row r="225" spans="1:3">
      <c r="A225" s="3">
        <f ca="1">IFERROR(__xludf.UNSUPPORTED("""COMPUTED_VALUE"""),43788.6666666666)</f>
        <v>43788.666666666599</v>
      </c>
      <c r="B225" s="1">
        <f ca="1">IFERROR(__xludf.UNSUPPORTED("""COMPUTED_VALUE"""),32.94)</f>
        <v>32.94</v>
      </c>
      <c r="C225" s="2">
        <f t="shared" ca="1" si="0"/>
        <v>-6.0679611650494918E-4</v>
      </c>
    </row>
    <row r="226" spans="1:3">
      <c r="A226" s="3">
        <f ca="1">IFERROR(__xludf.UNSUPPORTED("""COMPUTED_VALUE"""),43789.6666666666)</f>
        <v>43789.666666666599</v>
      </c>
      <c r="B226" s="1">
        <f ca="1">IFERROR(__xludf.UNSUPPORTED("""COMPUTED_VALUE"""),32.69)</f>
        <v>32.69</v>
      </c>
      <c r="C226" s="2">
        <f t="shared" ca="1" si="0"/>
        <v>-7.5895567698846395E-3</v>
      </c>
    </row>
    <row r="227" spans="1:3">
      <c r="A227" s="3">
        <f ca="1">IFERROR(__xludf.UNSUPPORTED("""COMPUTED_VALUE"""),43790.6666666666)</f>
        <v>43790.666666666599</v>
      </c>
      <c r="B227" s="1">
        <f ca="1">IFERROR(__xludf.UNSUPPORTED("""COMPUTED_VALUE"""),32.84)</f>
        <v>32.840000000000003</v>
      </c>
      <c r="C227" s="2">
        <f t="shared" ca="1" si="0"/>
        <v>4.5885591924137567E-3</v>
      </c>
    </row>
    <row r="228" spans="1:3">
      <c r="A228" s="3">
        <f ca="1">IFERROR(__xludf.UNSUPPORTED("""COMPUTED_VALUE"""),43791.6666666666)</f>
        <v>43791.666666666599</v>
      </c>
      <c r="B228" s="1">
        <f ca="1">IFERROR(__xludf.UNSUPPORTED("""COMPUTED_VALUE"""),33.18)</f>
        <v>33.18</v>
      </c>
      <c r="C228" s="2">
        <f t="shared" ca="1" si="0"/>
        <v>1.0353227771010848E-2</v>
      </c>
    </row>
    <row r="229" spans="1:3">
      <c r="A229" s="3">
        <f ca="1">IFERROR(__xludf.UNSUPPORTED("""COMPUTED_VALUE"""),43794.6666666666)</f>
        <v>43794.666666666599</v>
      </c>
      <c r="B229" s="1">
        <f ca="1">IFERROR(__xludf.UNSUPPORTED("""COMPUTED_VALUE"""),33.47)</f>
        <v>33.47</v>
      </c>
      <c r="C229" s="2">
        <f t="shared" ca="1" si="0"/>
        <v>8.7402049427365621E-3</v>
      </c>
    </row>
    <row r="230" spans="1:3">
      <c r="A230" s="3">
        <f ca="1">IFERROR(__xludf.UNSUPPORTED("""COMPUTED_VALUE"""),43795.6666666666)</f>
        <v>43795.666666666599</v>
      </c>
      <c r="B230" s="1">
        <f ca="1">IFERROR(__xludf.UNSUPPORTED("""COMPUTED_VALUE"""),33.35)</f>
        <v>33.35</v>
      </c>
      <c r="C230" s="2">
        <f t="shared" ca="1" si="0"/>
        <v>-3.5853002688974438E-3</v>
      </c>
    </row>
    <row r="231" spans="1:3">
      <c r="A231" s="3">
        <f ca="1">IFERROR(__xludf.UNSUPPORTED("""COMPUTED_VALUE"""),43796.6666666666)</f>
        <v>43796.666666666599</v>
      </c>
      <c r="B231" s="1">
        <f ca="1">IFERROR(__xludf.UNSUPPORTED("""COMPUTED_VALUE"""),33.42)</f>
        <v>33.42</v>
      </c>
      <c r="C231" s="2">
        <f t="shared" ca="1" si="0"/>
        <v>2.0989505247376397E-3</v>
      </c>
    </row>
    <row r="232" spans="1:3">
      <c r="A232" s="3">
        <f ca="1">IFERROR(__xludf.UNSUPPORTED("""COMPUTED_VALUE"""),43798.5416666666)</f>
        <v>43798.541666666599</v>
      </c>
      <c r="B232" s="1">
        <f ca="1">IFERROR(__xludf.UNSUPPORTED("""COMPUTED_VALUE"""),33.32)</f>
        <v>33.32</v>
      </c>
      <c r="C232" s="2">
        <f t="shared" ca="1" si="0"/>
        <v>-2.9922202274087796E-3</v>
      </c>
    </row>
    <row r="233" spans="1:3">
      <c r="A233" s="3">
        <f ca="1">IFERROR(__xludf.UNSUPPORTED("""COMPUTED_VALUE"""),43801.6666666666)</f>
        <v>43801.666666666599</v>
      </c>
      <c r="B233" s="1">
        <f ca="1">IFERROR(__xludf.UNSUPPORTED("""COMPUTED_VALUE"""),33.43)</f>
        <v>33.43</v>
      </c>
      <c r="C233" s="2">
        <f t="shared" ca="1" si="0"/>
        <v>3.3013205282112672E-3</v>
      </c>
    </row>
    <row r="234" spans="1:3">
      <c r="A234" s="3">
        <f ca="1">IFERROR(__xludf.UNSUPPORTED("""COMPUTED_VALUE"""),43802.6666666666)</f>
        <v>43802.666666666599</v>
      </c>
      <c r="B234" s="1">
        <f ca="1">IFERROR(__xludf.UNSUPPORTED("""COMPUTED_VALUE"""),32.84)</f>
        <v>32.840000000000003</v>
      </c>
      <c r="C234" s="2">
        <f t="shared" ca="1" si="0"/>
        <v>-1.7648818426562858E-2</v>
      </c>
    </row>
    <row r="235" spans="1:3">
      <c r="A235" s="3">
        <f ca="1">IFERROR(__xludf.UNSUPPORTED("""COMPUTED_VALUE"""),43803.6666666666)</f>
        <v>43803.666666666599</v>
      </c>
      <c r="B235" s="1">
        <f ca="1">IFERROR(__xludf.UNSUPPORTED("""COMPUTED_VALUE"""),33.15)</f>
        <v>33.15</v>
      </c>
      <c r="C235" s="2">
        <f t="shared" ca="1" si="0"/>
        <v>9.4397076735686699E-3</v>
      </c>
    </row>
    <row r="236" spans="1:3">
      <c r="A236" s="3">
        <f ca="1">IFERROR(__xludf.UNSUPPORTED("""COMPUTED_VALUE"""),43804.6666666666)</f>
        <v>43804.666666666599</v>
      </c>
      <c r="B236" s="1">
        <f ca="1">IFERROR(__xludf.UNSUPPORTED("""COMPUTED_VALUE"""),33.09)</f>
        <v>33.090000000000003</v>
      </c>
      <c r="C236" s="2">
        <f t="shared" ca="1" si="0"/>
        <v>-1.8099547511310761E-3</v>
      </c>
    </row>
    <row r="237" spans="1:3">
      <c r="A237" s="3">
        <f ca="1">IFERROR(__xludf.UNSUPPORTED("""COMPUTED_VALUE"""),43805.6666666666)</f>
        <v>43805.666666666599</v>
      </c>
      <c r="B237" s="1">
        <f ca="1">IFERROR(__xludf.UNSUPPORTED("""COMPUTED_VALUE"""),33.67)</f>
        <v>33.67</v>
      </c>
      <c r="C237" s="2">
        <f t="shared" ca="1" si="0"/>
        <v>1.7527954064672054E-2</v>
      </c>
    </row>
    <row r="238" spans="1:3">
      <c r="A238" s="3">
        <f ca="1">IFERROR(__xludf.UNSUPPORTED("""COMPUTED_VALUE"""),43808.6666666666)</f>
        <v>43808.666666666599</v>
      </c>
      <c r="B238" s="1">
        <f ca="1">IFERROR(__xludf.UNSUPPORTED("""COMPUTED_VALUE"""),33.51)</f>
        <v>33.51</v>
      </c>
      <c r="C238" s="2">
        <f t="shared" ca="1" si="0"/>
        <v>-4.7520047520048618E-3</v>
      </c>
    </row>
    <row r="239" spans="1:3">
      <c r="A239" s="3">
        <f ca="1">IFERROR(__xludf.UNSUPPORTED("""COMPUTED_VALUE"""),43809.6666666666)</f>
        <v>43809.666666666599</v>
      </c>
      <c r="B239" s="1">
        <f ca="1">IFERROR(__xludf.UNSUPPORTED("""COMPUTED_VALUE"""),33.53)</f>
        <v>33.53</v>
      </c>
      <c r="C239" s="2">
        <f t="shared" ca="1" si="0"/>
        <v>5.968367651448263E-4</v>
      </c>
    </row>
    <row r="240" spans="1:3">
      <c r="A240" s="3">
        <f ca="1">IFERROR(__xludf.UNSUPPORTED("""COMPUTED_VALUE"""),43810.6666666666)</f>
        <v>43810.666666666599</v>
      </c>
      <c r="B240" s="1">
        <f ca="1">IFERROR(__xludf.UNSUPPORTED("""COMPUTED_VALUE"""),33.64)</f>
        <v>33.64</v>
      </c>
      <c r="C240" s="2">
        <f t="shared" ca="1" si="0"/>
        <v>3.280644199224558E-3</v>
      </c>
    </row>
    <row r="241" spans="1:3">
      <c r="A241" s="3">
        <f ca="1">IFERROR(__xludf.UNSUPPORTED("""COMPUTED_VALUE"""),43811.6666666666)</f>
        <v>43811.666666666599</v>
      </c>
      <c r="B241" s="1">
        <f ca="1">IFERROR(__xludf.UNSUPPORTED("""COMPUTED_VALUE"""),34.68)</f>
        <v>34.68</v>
      </c>
      <c r="C241" s="2">
        <f t="shared" ca="1" si="0"/>
        <v>3.091557669441139E-2</v>
      </c>
    </row>
    <row r="242" spans="1:3">
      <c r="A242" s="3">
        <f ca="1">IFERROR(__xludf.UNSUPPORTED("""COMPUTED_VALUE"""),43812.6666666666)</f>
        <v>43812.666666666599</v>
      </c>
      <c r="B242" s="1">
        <f ca="1">IFERROR(__xludf.UNSUPPORTED("""COMPUTED_VALUE"""),34.44)</f>
        <v>34.44</v>
      </c>
      <c r="C242" s="2">
        <f t="shared" ca="1" si="0"/>
        <v>-6.9204152249135523E-3</v>
      </c>
    </row>
    <row r="243" spans="1:3">
      <c r="A243" s="3">
        <f ca="1">IFERROR(__xludf.UNSUPPORTED("""COMPUTED_VALUE"""),43815.6666666666)</f>
        <v>43815.666666666599</v>
      </c>
      <c r="B243" s="1">
        <f ca="1">IFERROR(__xludf.UNSUPPORTED("""COMPUTED_VALUE"""),34.7)</f>
        <v>34.700000000000003</v>
      </c>
      <c r="C243" s="2">
        <f t="shared" ca="1" si="0"/>
        <v>7.549361207897942E-3</v>
      </c>
    </row>
    <row r="244" spans="1:3">
      <c r="A244" s="3">
        <f ca="1">IFERROR(__xludf.UNSUPPORTED("""COMPUTED_VALUE"""),43816.6666666666)</f>
        <v>43816.666666666599</v>
      </c>
      <c r="B244" s="1">
        <f ca="1">IFERROR(__xludf.UNSUPPORTED("""COMPUTED_VALUE"""),35.04)</f>
        <v>35.04</v>
      </c>
      <c r="C244" s="2">
        <f t="shared" ca="1" si="0"/>
        <v>9.7982708933716505E-3</v>
      </c>
    </row>
    <row r="245" spans="1:3">
      <c r="A245" s="3">
        <f ca="1">IFERROR(__xludf.UNSUPPORTED("""COMPUTED_VALUE"""),43817.6666666666)</f>
        <v>43817.666666666599</v>
      </c>
      <c r="B245" s="1">
        <f ca="1">IFERROR(__xludf.UNSUPPORTED("""COMPUTED_VALUE"""),35.11)</f>
        <v>35.11</v>
      </c>
      <c r="C245" s="2">
        <f t="shared" ca="1" si="0"/>
        <v>1.9977168949771771E-3</v>
      </c>
    </row>
    <row r="246" spans="1:3">
      <c r="A246" s="3">
        <f ca="1">IFERROR(__xludf.UNSUPPORTED("""COMPUTED_VALUE"""),43818.6666666666)</f>
        <v>43818.666666666599</v>
      </c>
      <c r="B246" s="1">
        <f ca="1">IFERROR(__xludf.UNSUPPORTED("""COMPUTED_VALUE"""),34.95)</f>
        <v>34.950000000000003</v>
      </c>
      <c r="C246" s="2">
        <f t="shared" ca="1" si="0"/>
        <v>-4.5571062375390657E-3</v>
      </c>
    </row>
    <row r="247" spans="1:3">
      <c r="A247" s="3">
        <f ca="1">IFERROR(__xludf.UNSUPPORTED("""COMPUTED_VALUE"""),43819.6666666666)</f>
        <v>43819.666666666599</v>
      </c>
      <c r="B247" s="1">
        <f ca="1">IFERROR(__xludf.UNSUPPORTED("""COMPUTED_VALUE"""),34.96)</f>
        <v>34.96</v>
      </c>
      <c r="C247" s="2">
        <f t="shared" ca="1" si="0"/>
        <v>2.8612303290409183E-4</v>
      </c>
    </row>
    <row r="248" spans="1:3">
      <c r="A248" s="3">
        <f ca="1">IFERROR(__xludf.UNSUPPORTED("""COMPUTED_VALUE"""),43822.6666666666)</f>
        <v>43822.666666666599</v>
      </c>
      <c r="B248" s="1">
        <f ca="1">IFERROR(__xludf.UNSUPPORTED("""COMPUTED_VALUE"""),35.17)</f>
        <v>35.17</v>
      </c>
      <c r="C248" s="2">
        <f t="shared" ca="1" si="0"/>
        <v>6.0068649885583764E-3</v>
      </c>
    </row>
    <row r="249" spans="1:3">
      <c r="A249" s="3">
        <f ca="1">IFERROR(__xludf.UNSUPPORTED("""COMPUTED_VALUE"""),43823.5416666666)</f>
        <v>43823.541666666599</v>
      </c>
      <c r="B249" s="1">
        <f ca="1">IFERROR(__xludf.UNSUPPORTED("""COMPUTED_VALUE"""),35.22)</f>
        <v>35.22</v>
      </c>
      <c r="C249" s="2">
        <f t="shared" ca="1" si="0"/>
        <v>1.4216661927778549E-3</v>
      </c>
    </row>
    <row r="250" spans="1:3">
      <c r="A250" s="3">
        <f ca="1">IFERROR(__xludf.UNSUPPORTED("""COMPUTED_VALUE"""),43825.6666666666)</f>
        <v>43825.666666666599</v>
      </c>
      <c r="B250" s="1">
        <f ca="1">IFERROR(__xludf.UNSUPPORTED("""COMPUTED_VALUE"""),35.52)</f>
        <v>35.520000000000003</v>
      </c>
      <c r="C250" s="2">
        <f t="shared" ca="1" si="0"/>
        <v>8.5178875638842778E-3</v>
      </c>
    </row>
    <row r="251" spans="1:3">
      <c r="A251" s="3">
        <f ca="1">IFERROR(__xludf.UNSUPPORTED("""COMPUTED_VALUE"""),43826.6666666666)</f>
        <v>43826.666666666599</v>
      </c>
      <c r="B251" s="1">
        <f ca="1">IFERROR(__xludf.UNSUPPORTED("""COMPUTED_VALUE"""),35.35)</f>
        <v>35.35</v>
      </c>
      <c r="C251" s="2">
        <f t="shared" ca="1" si="0"/>
        <v>-4.7860360360360834E-3</v>
      </c>
    </row>
    <row r="252" spans="1:3">
      <c r="A252" s="3">
        <f ca="1">IFERROR(__xludf.UNSUPPORTED("""COMPUTED_VALUE"""),43829.6666666666)</f>
        <v>43829.666666666599</v>
      </c>
      <c r="B252" s="1">
        <f ca="1">IFERROR(__xludf.UNSUPPORTED("""COMPUTED_VALUE"""),35.15)</f>
        <v>35.15</v>
      </c>
      <c r="C252" s="2">
        <f t="shared" ca="1" si="0"/>
        <v>-5.6577086280057377E-3</v>
      </c>
    </row>
    <row r="253" spans="1:3">
      <c r="A253" s="3">
        <f ca="1">IFERROR(__xludf.UNSUPPORTED("""COMPUTED_VALUE"""),43830.6666666666)</f>
        <v>43830.666666666599</v>
      </c>
      <c r="B253" s="1">
        <f ca="1">IFERROR(__xludf.UNSUPPORTED("""COMPUTED_VALUE"""),35.22)</f>
        <v>35.22</v>
      </c>
      <c r="C253" s="2">
        <f t="shared" ca="1" si="0"/>
        <v>1.9914651493598942E-3</v>
      </c>
    </row>
    <row r="254" spans="1:3">
      <c r="A254" s="3">
        <f ca="1">IFERROR(__xludf.UNSUPPORTED("""COMPUTED_VALUE"""),43832.6666666666)</f>
        <v>43832.666666666599</v>
      </c>
      <c r="B254" s="1">
        <f ca="1">IFERROR(__xludf.UNSUPPORTED("""COMPUTED_VALUE"""),35.64)</f>
        <v>35.64</v>
      </c>
      <c r="C254" s="2">
        <f t="shared" ca="1" si="0"/>
        <v>1.1925042589437869E-2</v>
      </c>
    </row>
    <row r="255" spans="1:3">
      <c r="A255" s="3">
        <f ca="1">IFERROR(__xludf.UNSUPPORTED("""COMPUTED_VALUE"""),43833.6666666666)</f>
        <v>43833.666666666599</v>
      </c>
      <c r="B255" s="1">
        <f ca="1">IFERROR(__xludf.UNSUPPORTED("""COMPUTED_VALUE"""),34.9)</f>
        <v>34.9</v>
      </c>
      <c r="C255" s="2">
        <f t="shared" ca="1" si="0"/>
        <v>-2.0763187429854151E-2</v>
      </c>
    </row>
    <row r="256" spans="1:3">
      <c r="A256" s="3">
        <f ca="1">IFERROR(__xludf.UNSUPPORTED("""COMPUTED_VALUE"""),43836.6666666666)</f>
        <v>43836.666666666599</v>
      </c>
      <c r="B256" s="1">
        <f ca="1">IFERROR(__xludf.UNSUPPORTED("""COMPUTED_VALUE"""),34.85)</f>
        <v>34.85</v>
      </c>
      <c r="C256" s="2">
        <f t="shared" ca="1" si="0"/>
        <v>-1.43266475644691E-3</v>
      </c>
    </row>
    <row r="257" spans="1:3">
      <c r="A257" s="3">
        <f ca="1">IFERROR(__xludf.UNSUPPORTED("""COMPUTED_VALUE"""),43837.6666666666)</f>
        <v>43837.666666666599</v>
      </c>
      <c r="B257" s="1">
        <f ca="1">IFERROR(__xludf.UNSUPPORTED("""COMPUTED_VALUE"""),34.62)</f>
        <v>34.619999999999997</v>
      </c>
      <c r="C257" s="2">
        <f t="shared" ca="1" si="0"/>
        <v>-6.5997130559542032E-3</v>
      </c>
    </row>
    <row r="258" spans="1:3">
      <c r="A258" s="3">
        <f ca="1">IFERROR(__xludf.UNSUPPORTED("""COMPUTED_VALUE"""),43838.6666666666)</f>
        <v>43838.666666666599</v>
      </c>
      <c r="B258" s="1">
        <f ca="1">IFERROR(__xludf.UNSUPPORTED("""COMPUTED_VALUE"""),34.97)</f>
        <v>34.97</v>
      </c>
      <c r="C258" s="2">
        <f t="shared" ref="C258:C512" ca="1" si="1">(B258-B257)/B257</f>
        <v>1.0109763142692128E-2</v>
      </c>
    </row>
    <row r="259" spans="1:3">
      <c r="A259" s="3">
        <f ca="1">IFERROR(__xludf.UNSUPPORTED("""COMPUTED_VALUE"""),43839.6666666666)</f>
        <v>43839.666666666599</v>
      </c>
      <c r="B259" s="1">
        <f ca="1">IFERROR(__xludf.UNSUPPORTED("""COMPUTED_VALUE"""),35.03)</f>
        <v>35.03</v>
      </c>
      <c r="C259" s="2">
        <f t="shared" ca="1" si="1"/>
        <v>1.7157563625965764E-3</v>
      </c>
    </row>
    <row r="260" spans="1:3">
      <c r="A260" s="3">
        <f ca="1">IFERROR(__xludf.UNSUPPORTED("""COMPUTED_VALUE"""),43840.6666666666)</f>
        <v>43840.666666666599</v>
      </c>
      <c r="B260" s="1">
        <f ca="1">IFERROR(__xludf.UNSUPPORTED("""COMPUTED_VALUE"""),34.74)</f>
        <v>34.74</v>
      </c>
      <c r="C260" s="2">
        <f t="shared" ca="1" si="1"/>
        <v>-8.2786183271481347E-3</v>
      </c>
    </row>
    <row r="261" spans="1:3">
      <c r="A261" s="3">
        <f ca="1">IFERROR(__xludf.UNSUPPORTED("""COMPUTED_VALUE"""),43843.6666666666)</f>
        <v>43843.666666666599</v>
      </c>
      <c r="B261" s="1">
        <f ca="1">IFERROR(__xludf.UNSUPPORTED("""COMPUTED_VALUE"""),35.06)</f>
        <v>35.06</v>
      </c>
      <c r="C261" s="2">
        <f t="shared" ca="1" si="1"/>
        <v>9.2112838226827941E-3</v>
      </c>
    </row>
    <row r="262" spans="1:3">
      <c r="A262" s="3">
        <f ca="1">IFERROR(__xludf.UNSUPPORTED("""COMPUTED_VALUE"""),43844.6666666666)</f>
        <v>43844.666666666599</v>
      </c>
      <c r="B262" s="1">
        <f ca="1">IFERROR(__xludf.UNSUPPORTED("""COMPUTED_VALUE"""),35.32)</f>
        <v>35.32</v>
      </c>
      <c r="C262" s="2">
        <f t="shared" ca="1" si="1"/>
        <v>7.4158585282372499E-3</v>
      </c>
    </row>
    <row r="263" spans="1:3">
      <c r="A263" s="3">
        <f ca="1">IFERROR(__xludf.UNSUPPORTED("""COMPUTED_VALUE"""),43845.6666666666)</f>
        <v>43845.666666666599</v>
      </c>
      <c r="B263" s="1">
        <f ca="1">IFERROR(__xludf.UNSUPPORTED("""COMPUTED_VALUE"""),34.67)</f>
        <v>34.67</v>
      </c>
      <c r="C263" s="2">
        <f t="shared" ca="1" si="1"/>
        <v>-1.8403171007927481E-2</v>
      </c>
    </row>
    <row r="264" spans="1:3">
      <c r="A264" s="3">
        <f ca="1">IFERROR(__xludf.UNSUPPORTED("""COMPUTED_VALUE"""),43846.6666666666)</f>
        <v>43846.666666666599</v>
      </c>
      <c r="B264" s="1">
        <f ca="1">IFERROR(__xludf.UNSUPPORTED("""COMPUTED_VALUE"""),34.72)</f>
        <v>34.72</v>
      </c>
      <c r="C264" s="2">
        <f t="shared" ca="1" si="1"/>
        <v>1.4421690222093208E-3</v>
      </c>
    </row>
    <row r="265" spans="1:3">
      <c r="A265" s="3">
        <f ca="1">IFERROR(__xludf.UNSUPPORTED("""COMPUTED_VALUE"""),43847.6666666666)</f>
        <v>43847.666666666599</v>
      </c>
      <c r="B265" s="1">
        <f ca="1">IFERROR(__xludf.UNSUPPORTED("""COMPUTED_VALUE"""),34.71)</f>
        <v>34.71</v>
      </c>
      <c r="C265" s="2">
        <f t="shared" ca="1" si="1"/>
        <v>-2.880184331796662E-4</v>
      </c>
    </row>
    <row r="266" spans="1:3">
      <c r="A266" s="3">
        <f ca="1">IFERROR(__xludf.UNSUPPORTED("""COMPUTED_VALUE"""),43851.6666666666)</f>
        <v>43851.666666666599</v>
      </c>
      <c r="B266" s="1">
        <f ca="1">IFERROR(__xludf.UNSUPPORTED("""COMPUTED_VALUE"""),34.26)</f>
        <v>34.26</v>
      </c>
      <c r="C266" s="2">
        <f t="shared" ca="1" si="1"/>
        <v>-1.2964563526361361E-2</v>
      </c>
    </row>
    <row r="267" spans="1:3">
      <c r="A267" s="3">
        <f ca="1">IFERROR(__xludf.UNSUPPORTED("""COMPUTED_VALUE"""),43852.6666666666)</f>
        <v>43852.666666666599</v>
      </c>
      <c r="B267" s="1">
        <f ca="1">IFERROR(__xludf.UNSUPPORTED("""COMPUTED_VALUE"""),34.36)</f>
        <v>34.36</v>
      </c>
      <c r="C267" s="2">
        <f t="shared" ca="1" si="1"/>
        <v>2.9188558085231006E-3</v>
      </c>
    </row>
    <row r="268" spans="1:3">
      <c r="A268" s="3">
        <f ca="1">IFERROR(__xludf.UNSUPPORTED("""COMPUTED_VALUE"""),43853.6666666666)</f>
        <v>43853.666666666599</v>
      </c>
      <c r="B268" s="1">
        <f ca="1">IFERROR(__xludf.UNSUPPORTED("""COMPUTED_VALUE"""),34.12)</f>
        <v>34.119999999999997</v>
      </c>
      <c r="C268" s="2">
        <f t="shared" ca="1" si="1"/>
        <v>-6.9848661233993595E-3</v>
      </c>
    </row>
    <row r="269" spans="1:3">
      <c r="A269" s="3">
        <f ca="1">IFERROR(__xludf.UNSUPPORTED("""COMPUTED_VALUE"""),43854.6666666666)</f>
        <v>43854.666666666599</v>
      </c>
      <c r="B269" s="1">
        <f ca="1">IFERROR(__xludf.UNSUPPORTED("""COMPUTED_VALUE"""),33.54)</f>
        <v>33.54</v>
      </c>
      <c r="C269" s="2">
        <f t="shared" ca="1" si="1"/>
        <v>-1.6998827667057397E-2</v>
      </c>
    </row>
    <row r="270" spans="1:3">
      <c r="A270" s="3">
        <f ca="1">IFERROR(__xludf.UNSUPPORTED("""COMPUTED_VALUE"""),43857.6666666666)</f>
        <v>43857.666666666599</v>
      </c>
      <c r="B270" s="1">
        <f ca="1">IFERROR(__xludf.UNSUPPORTED("""COMPUTED_VALUE"""),32.85)</f>
        <v>32.85</v>
      </c>
      <c r="C270" s="2">
        <f t="shared" ca="1" si="1"/>
        <v>-2.0572450805008878E-2</v>
      </c>
    </row>
    <row r="271" spans="1:3">
      <c r="A271" s="3">
        <f ca="1">IFERROR(__xludf.UNSUPPORTED("""COMPUTED_VALUE"""),43858.6666666666)</f>
        <v>43858.666666666599</v>
      </c>
      <c r="B271" s="1">
        <f ca="1">IFERROR(__xludf.UNSUPPORTED("""COMPUTED_VALUE"""),33.24)</f>
        <v>33.24</v>
      </c>
      <c r="C271" s="2">
        <f t="shared" ca="1" si="1"/>
        <v>1.1872146118721477E-2</v>
      </c>
    </row>
    <row r="272" spans="1:3">
      <c r="A272" s="3">
        <f ca="1">IFERROR(__xludf.UNSUPPORTED("""COMPUTED_VALUE"""),43859.6666666666)</f>
        <v>43859.666666666599</v>
      </c>
      <c r="B272" s="1">
        <f ca="1">IFERROR(__xludf.UNSUPPORTED("""COMPUTED_VALUE"""),33.01)</f>
        <v>33.01</v>
      </c>
      <c r="C272" s="2">
        <f t="shared" ca="1" si="1"/>
        <v>-6.9193742478942232E-3</v>
      </c>
    </row>
    <row r="273" spans="1:3">
      <c r="A273" s="3">
        <f ca="1">IFERROR(__xludf.UNSUPPORTED("""COMPUTED_VALUE"""),43860.6666666666)</f>
        <v>43860.666666666599</v>
      </c>
      <c r="B273" s="1">
        <f ca="1">IFERROR(__xludf.UNSUPPORTED("""COMPUTED_VALUE"""),33.48)</f>
        <v>33.479999999999997</v>
      </c>
      <c r="C273" s="2">
        <f t="shared" ca="1" si="1"/>
        <v>1.4238109663738228E-2</v>
      </c>
    </row>
    <row r="274" spans="1:3">
      <c r="A274" s="3">
        <f ca="1">IFERROR(__xludf.UNSUPPORTED("""COMPUTED_VALUE"""),43861.6666666666)</f>
        <v>43861.666666666599</v>
      </c>
      <c r="B274" s="1">
        <f ca="1">IFERROR(__xludf.UNSUPPORTED("""COMPUTED_VALUE"""),32.83)</f>
        <v>32.83</v>
      </c>
      <c r="C274" s="2">
        <f t="shared" ca="1" si="1"/>
        <v>-1.9414575866188728E-2</v>
      </c>
    </row>
    <row r="275" spans="1:3">
      <c r="A275" s="3">
        <f ca="1">IFERROR(__xludf.UNSUPPORTED("""COMPUTED_VALUE"""),43864.6666666666)</f>
        <v>43864.666666666599</v>
      </c>
      <c r="B275" s="1">
        <f ca="1">IFERROR(__xludf.UNSUPPORTED("""COMPUTED_VALUE"""),32.97)</f>
        <v>32.97</v>
      </c>
      <c r="C275" s="2">
        <f t="shared" ca="1" si="1"/>
        <v>4.2643923240938339E-3</v>
      </c>
    </row>
    <row r="276" spans="1:3">
      <c r="A276" s="3">
        <f ca="1">IFERROR(__xludf.UNSUPPORTED("""COMPUTED_VALUE"""),43865.6666666666)</f>
        <v>43865.666666666599</v>
      </c>
      <c r="B276" s="1">
        <f ca="1">IFERROR(__xludf.UNSUPPORTED("""COMPUTED_VALUE"""),33.62)</f>
        <v>33.619999999999997</v>
      </c>
      <c r="C276" s="2">
        <f t="shared" ca="1" si="1"/>
        <v>1.9714892326357251E-2</v>
      </c>
    </row>
    <row r="277" spans="1:3">
      <c r="A277" s="3">
        <f ca="1">IFERROR(__xludf.UNSUPPORTED("""COMPUTED_VALUE"""),43866.6666666666)</f>
        <v>43866.666666666599</v>
      </c>
      <c r="B277" s="1">
        <f ca="1">IFERROR(__xludf.UNSUPPORTED("""COMPUTED_VALUE"""),34.71)</f>
        <v>34.71</v>
      </c>
      <c r="C277" s="2">
        <f t="shared" ca="1" si="1"/>
        <v>3.2421177870315392E-2</v>
      </c>
    </row>
    <row r="278" spans="1:3">
      <c r="A278" s="3">
        <f ca="1">IFERROR(__xludf.UNSUPPORTED("""COMPUTED_VALUE"""),43867.6666666666)</f>
        <v>43867.666666666599</v>
      </c>
      <c r="B278" s="1">
        <f ca="1">IFERROR(__xludf.UNSUPPORTED("""COMPUTED_VALUE"""),34.67)</f>
        <v>34.67</v>
      </c>
      <c r="C278" s="2">
        <f t="shared" ca="1" si="1"/>
        <v>-1.1524056467876447E-3</v>
      </c>
    </row>
    <row r="279" spans="1:3">
      <c r="A279" s="3">
        <f ca="1">IFERROR(__xludf.UNSUPPORTED("""COMPUTED_VALUE"""),43868.6666666666)</f>
        <v>43868.666666666599</v>
      </c>
      <c r="B279" s="1">
        <f ca="1">IFERROR(__xludf.UNSUPPORTED("""COMPUTED_VALUE"""),34.61)</f>
        <v>34.61</v>
      </c>
      <c r="C279" s="2">
        <f t="shared" ca="1" si="1"/>
        <v>-1.7306028266513491E-3</v>
      </c>
    </row>
    <row r="280" spans="1:3">
      <c r="A280" s="3">
        <f ca="1">IFERROR(__xludf.UNSUPPORTED("""COMPUTED_VALUE"""),43871.6666666666)</f>
        <v>43871.666666666599</v>
      </c>
      <c r="B280" s="1">
        <f ca="1">IFERROR(__xludf.UNSUPPORTED("""COMPUTED_VALUE"""),34.69)</f>
        <v>34.69</v>
      </c>
      <c r="C280" s="2">
        <f t="shared" ca="1" si="1"/>
        <v>2.3114706732157843E-3</v>
      </c>
    </row>
    <row r="281" spans="1:3">
      <c r="A281" s="3">
        <f ca="1">IFERROR(__xludf.UNSUPPORTED("""COMPUTED_VALUE"""),43872.6666666666)</f>
        <v>43872.666666666599</v>
      </c>
      <c r="B281" s="1">
        <f ca="1">IFERROR(__xludf.UNSUPPORTED("""COMPUTED_VALUE"""),34.77)</f>
        <v>34.770000000000003</v>
      </c>
      <c r="C281" s="2">
        <f t="shared" ca="1" si="1"/>
        <v>2.30614009801111E-3</v>
      </c>
    </row>
    <row r="282" spans="1:3">
      <c r="A282" s="3">
        <f ca="1">IFERROR(__xludf.UNSUPPORTED("""COMPUTED_VALUE"""),43873.6666666666)</f>
        <v>43873.666666666599</v>
      </c>
      <c r="B282" s="1">
        <f ca="1">IFERROR(__xludf.UNSUPPORTED("""COMPUTED_VALUE"""),34.92)</f>
        <v>34.92</v>
      </c>
      <c r="C282" s="2">
        <f t="shared" ca="1" si="1"/>
        <v>4.314063848144911E-3</v>
      </c>
    </row>
    <row r="283" spans="1:3">
      <c r="A283" s="3">
        <f ca="1">IFERROR(__xludf.UNSUPPORTED("""COMPUTED_VALUE"""),43874.6666666666)</f>
        <v>43874.666666666599</v>
      </c>
      <c r="B283" s="1">
        <f ca="1">IFERROR(__xludf.UNSUPPORTED("""COMPUTED_VALUE"""),34.91)</f>
        <v>34.909999999999997</v>
      </c>
      <c r="C283" s="2">
        <f t="shared" ca="1" si="1"/>
        <v>-2.8636884307002049E-4</v>
      </c>
    </row>
    <row r="284" spans="1:3">
      <c r="A284" s="3">
        <f ca="1">IFERROR(__xludf.UNSUPPORTED("""COMPUTED_VALUE"""),43875.6666666666)</f>
        <v>43875.666666666599</v>
      </c>
      <c r="B284" s="1">
        <f ca="1">IFERROR(__xludf.UNSUPPORTED("""COMPUTED_VALUE"""),34.85)</f>
        <v>34.85</v>
      </c>
      <c r="C284" s="2">
        <f t="shared" ca="1" si="1"/>
        <v>-1.7187052420508501E-3</v>
      </c>
    </row>
    <row r="285" spans="1:3">
      <c r="A285" s="3">
        <f ca="1">IFERROR(__xludf.UNSUPPORTED("""COMPUTED_VALUE"""),43879.6666666666)</f>
        <v>43879.666666666599</v>
      </c>
      <c r="B285" s="1">
        <f ca="1">IFERROR(__xludf.UNSUPPORTED("""COMPUTED_VALUE"""),34.27)</f>
        <v>34.270000000000003</v>
      </c>
      <c r="C285" s="2">
        <f t="shared" ca="1" si="1"/>
        <v>-1.6642754662840695E-2</v>
      </c>
    </row>
    <row r="286" spans="1:3">
      <c r="A286" s="3">
        <f ca="1">IFERROR(__xludf.UNSUPPORTED("""COMPUTED_VALUE"""),43880.6666666666)</f>
        <v>43880.666666666599</v>
      </c>
      <c r="B286" s="1">
        <f ca="1">IFERROR(__xludf.UNSUPPORTED("""COMPUTED_VALUE"""),34.72)</f>
        <v>34.72</v>
      </c>
      <c r="C286" s="2">
        <f t="shared" ca="1" si="1"/>
        <v>1.3131018383425612E-2</v>
      </c>
    </row>
    <row r="287" spans="1:3">
      <c r="A287" s="3">
        <f ca="1">IFERROR(__xludf.UNSUPPORTED("""COMPUTED_VALUE"""),43881.6666666666)</f>
        <v>43881.666666666599</v>
      </c>
      <c r="B287" s="1">
        <f ca="1">IFERROR(__xludf.UNSUPPORTED("""COMPUTED_VALUE"""),34.85)</f>
        <v>34.85</v>
      </c>
      <c r="C287" s="2">
        <f t="shared" ca="1" si="1"/>
        <v>3.7442396313364795E-3</v>
      </c>
    </row>
    <row r="288" spans="1:3">
      <c r="A288" s="3">
        <f ca="1">IFERROR(__xludf.UNSUPPORTED("""COMPUTED_VALUE"""),43882.6666666666)</f>
        <v>43882.666666666599</v>
      </c>
      <c r="B288" s="1">
        <f ca="1">IFERROR(__xludf.UNSUPPORTED("""COMPUTED_VALUE"""),34.36)</f>
        <v>34.36</v>
      </c>
      <c r="C288" s="2">
        <f t="shared" ca="1" si="1"/>
        <v>-1.4060258249641376E-2</v>
      </c>
    </row>
    <row r="289" spans="1:3">
      <c r="A289" s="3">
        <f ca="1">IFERROR(__xludf.UNSUPPORTED("""COMPUTED_VALUE"""),43885.6666666666)</f>
        <v>43885.666666666599</v>
      </c>
      <c r="B289" s="1">
        <f ca="1">IFERROR(__xludf.UNSUPPORTED("""COMPUTED_VALUE"""),32.73)</f>
        <v>32.729999999999997</v>
      </c>
      <c r="C289" s="2">
        <f t="shared" ca="1" si="1"/>
        <v>-4.7438882421420331E-2</v>
      </c>
    </row>
    <row r="290" spans="1:3">
      <c r="A290" s="3">
        <f ca="1">IFERROR(__xludf.UNSUPPORTED("""COMPUTED_VALUE"""),43886.6666666666)</f>
        <v>43886.666666666599</v>
      </c>
      <c r="B290" s="1">
        <f ca="1">IFERROR(__xludf.UNSUPPORTED("""COMPUTED_VALUE"""),31.08)</f>
        <v>31.08</v>
      </c>
      <c r="C290" s="2">
        <f t="shared" ca="1" si="1"/>
        <v>-5.0412465627864306E-2</v>
      </c>
    </row>
    <row r="291" spans="1:3">
      <c r="A291" s="3">
        <f ca="1">IFERROR(__xludf.UNSUPPORTED("""COMPUTED_VALUE"""),43887.6666666666)</f>
        <v>43887.666666666599</v>
      </c>
      <c r="B291" s="1">
        <f ca="1">IFERROR(__xludf.UNSUPPORTED("""COMPUTED_VALUE"""),30.63)</f>
        <v>30.63</v>
      </c>
      <c r="C291" s="2">
        <f t="shared" ca="1" si="1"/>
        <v>-1.4478764478764457E-2</v>
      </c>
    </row>
    <row r="292" spans="1:3">
      <c r="A292" s="3">
        <f ca="1">IFERROR(__xludf.UNSUPPORTED("""COMPUTED_VALUE"""),43888.6666666666)</f>
        <v>43888.666666666599</v>
      </c>
      <c r="B292" s="1">
        <f ca="1">IFERROR(__xludf.UNSUPPORTED("""COMPUTED_VALUE"""),29.13)</f>
        <v>29.13</v>
      </c>
      <c r="C292" s="2">
        <f t="shared" ca="1" si="1"/>
        <v>-4.8971596474045052E-2</v>
      </c>
    </row>
    <row r="293" spans="1:3">
      <c r="A293" s="3">
        <f ca="1">IFERROR(__xludf.UNSUPPORTED("""COMPUTED_VALUE"""),43889.6666666666)</f>
        <v>43889.666666666599</v>
      </c>
      <c r="B293" s="1">
        <f ca="1">IFERROR(__xludf.UNSUPPORTED("""COMPUTED_VALUE"""),28.5)</f>
        <v>28.5</v>
      </c>
      <c r="C293" s="2">
        <f t="shared" ca="1" si="1"/>
        <v>-2.162718846549945E-2</v>
      </c>
    </row>
    <row r="294" spans="1:3">
      <c r="A294" s="3">
        <f ca="1">IFERROR(__xludf.UNSUPPORTED("""COMPUTED_VALUE"""),43892.6666666666)</f>
        <v>43892.666666666599</v>
      </c>
      <c r="B294" s="1">
        <f ca="1">IFERROR(__xludf.UNSUPPORTED("""COMPUTED_VALUE"""),29.37)</f>
        <v>29.37</v>
      </c>
      <c r="C294" s="2">
        <f t="shared" ca="1" si="1"/>
        <v>3.0526315789473721E-2</v>
      </c>
    </row>
    <row r="295" spans="1:3">
      <c r="A295" s="3">
        <f ca="1">IFERROR(__xludf.UNSUPPORTED("""COMPUTED_VALUE"""),43893.6666666666)</f>
        <v>43893.666666666599</v>
      </c>
      <c r="B295" s="1">
        <f ca="1">IFERROR(__xludf.UNSUPPORTED("""COMPUTED_VALUE"""),27.75)</f>
        <v>27.75</v>
      </c>
      <c r="C295" s="2">
        <f t="shared" ca="1" si="1"/>
        <v>-5.5158324821246205E-2</v>
      </c>
    </row>
    <row r="296" spans="1:3">
      <c r="A296" s="3">
        <f ca="1">IFERROR(__xludf.UNSUPPORTED("""COMPUTED_VALUE"""),43894.6666666666)</f>
        <v>43894.666666666599</v>
      </c>
      <c r="B296" s="1">
        <f ca="1">IFERROR(__xludf.UNSUPPORTED("""COMPUTED_VALUE"""),28.39)</f>
        <v>28.39</v>
      </c>
      <c r="C296" s="2">
        <f t="shared" ca="1" si="1"/>
        <v>2.3063063063063084E-2</v>
      </c>
    </row>
    <row r="297" spans="1:3">
      <c r="A297" s="3">
        <f ca="1">IFERROR(__xludf.UNSUPPORTED("""COMPUTED_VALUE"""),43895.6666666666)</f>
        <v>43895.666666666599</v>
      </c>
      <c r="B297" s="1">
        <f ca="1">IFERROR(__xludf.UNSUPPORTED("""COMPUTED_VALUE"""),26.78)</f>
        <v>26.78</v>
      </c>
      <c r="C297" s="2">
        <f t="shared" ca="1" si="1"/>
        <v>-5.6710109193377926E-2</v>
      </c>
    </row>
    <row r="298" spans="1:3">
      <c r="A298" s="3">
        <f ca="1">IFERROR(__xludf.UNSUPPORTED("""COMPUTED_VALUE"""),43896.6666666666)</f>
        <v>43896.666666666599</v>
      </c>
      <c r="B298" s="1">
        <f ca="1">IFERROR(__xludf.UNSUPPORTED("""COMPUTED_VALUE"""),25.71)</f>
        <v>25.71</v>
      </c>
      <c r="C298" s="2">
        <f t="shared" ca="1" si="1"/>
        <v>-3.9955190440627342E-2</v>
      </c>
    </row>
    <row r="299" spans="1:3">
      <c r="A299" s="3">
        <f ca="1">IFERROR(__xludf.UNSUPPORTED("""COMPUTED_VALUE"""),43899.6666666666)</f>
        <v>43899.666666666599</v>
      </c>
      <c r="B299" s="1">
        <f ca="1">IFERROR(__xludf.UNSUPPORTED("""COMPUTED_VALUE"""),21.93)</f>
        <v>21.93</v>
      </c>
      <c r="C299" s="2">
        <f t="shared" ca="1" si="1"/>
        <v>-0.14702450408401405</v>
      </c>
    </row>
    <row r="300" spans="1:3">
      <c r="A300" s="3">
        <f ca="1">IFERROR(__xludf.UNSUPPORTED("""COMPUTED_VALUE"""),43900.6666666666)</f>
        <v>43900.666666666599</v>
      </c>
      <c r="B300" s="1">
        <f ca="1">IFERROR(__xludf.UNSUPPORTED("""COMPUTED_VALUE"""),23.61)</f>
        <v>23.61</v>
      </c>
      <c r="C300" s="2">
        <f t="shared" ca="1" si="1"/>
        <v>7.6607387140902858E-2</v>
      </c>
    </row>
    <row r="301" spans="1:3">
      <c r="A301" s="3">
        <f ca="1">IFERROR(__xludf.UNSUPPORTED("""COMPUTED_VALUE"""),43901.6666666666)</f>
        <v>43901.666666666599</v>
      </c>
      <c r="B301" s="1">
        <f ca="1">IFERROR(__xludf.UNSUPPORTED("""COMPUTED_VALUE"""),22.67)</f>
        <v>22.67</v>
      </c>
      <c r="C301" s="2">
        <f t="shared" ca="1" si="1"/>
        <v>-3.9813638288860559E-2</v>
      </c>
    </row>
    <row r="302" spans="1:3">
      <c r="A302" s="3">
        <f ca="1">IFERROR(__xludf.UNSUPPORTED("""COMPUTED_VALUE"""),43902.6666666666)</f>
        <v>43902.666666666599</v>
      </c>
      <c r="B302" s="1">
        <f ca="1">IFERROR(__xludf.UNSUPPORTED("""COMPUTED_VALUE"""),20.51)</f>
        <v>20.51</v>
      </c>
      <c r="C302" s="2">
        <f t="shared" ca="1" si="1"/>
        <v>-9.5280105866784301E-2</v>
      </c>
    </row>
    <row r="303" spans="1:3">
      <c r="A303" s="3">
        <f ca="1">IFERROR(__xludf.UNSUPPORTED("""COMPUTED_VALUE"""),43903.6666666666)</f>
        <v>43903.666666666599</v>
      </c>
      <c r="B303" s="1">
        <f ca="1">IFERROR(__xludf.UNSUPPORTED("""COMPUTED_VALUE"""),24.16)</f>
        <v>24.16</v>
      </c>
      <c r="C303" s="2">
        <f t="shared" ca="1" si="1"/>
        <v>0.17796196977084341</v>
      </c>
    </row>
    <row r="304" spans="1:3">
      <c r="A304" s="3">
        <f ca="1">IFERROR(__xludf.UNSUPPORTED("""COMPUTED_VALUE"""),43906.6666666666)</f>
        <v>43906.666666666599</v>
      </c>
      <c r="B304" s="1">
        <f ca="1">IFERROR(__xludf.UNSUPPORTED("""COMPUTED_VALUE"""),20.44)</f>
        <v>20.440000000000001</v>
      </c>
      <c r="C304" s="2">
        <f t="shared" ca="1" si="1"/>
        <v>-0.15397350993377479</v>
      </c>
    </row>
    <row r="305" spans="1:3">
      <c r="A305" s="3">
        <f ca="1">IFERROR(__xludf.UNSUPPORTED("""COMPUTED_VALUE"""),43907.6666666666)</f>
        <v>43907.666666666599</v>
      </c>
      <c r="B305" s="1">
        <f ca="1">IFERROR(__xludf.UNSUPPORTED("""COMPUTED_VALUE"""),21.98)</f>
        <v>21.98</v>
      </c>
      <c r="C305" s="2">
        <f t="shared" ca="1" si="1"/>
        <v>7.5342465753424612E-2</v>
      </c>
    </row>
    <row r="306" spans="1:3">
      <c r="A306" s="3">
        <f ca="1">IFERROR(__xludf.UNSUPPORTED("""COMPUTED_VALUE"""),43908.6666666666)</f>
        <v>43908.666666666599</v>
      </c>
      <c r="B306" s="1">
        <f ca="1">IFERROR(__xludf.UNSUPPORTED("""COMPUTED_VALUE"""),20.79)</f>
        <v>20.79</v>
      </c>
      <c r="C306" s="2">
        <f t="shared" ca="1" si="1"/>
        <v>-5.4140127388535089E-2</v>
      </c>
    </row>
    <row r="307" spans="1:3">
      <c r="A307" s="3">
        <f ca="1">IFERROR(__xludf.UNSUPPORTED("""COMPUTED_VALUE"""),43909.6666666666)</f>
        <v>43909.666666666599</v>
      </c>
      <c r="B307" s="1">
        <f ca="1">IFERROR(__xludf.UNSUPPORTED("""COMPUTED_VALUE"""),21.2)</f>
        <v>21.2</v>
      </c>
      <c r="C307" s="2">
        <f t="shared" ca="1" si="1"/>
        <v>1.9721019721019729E-2</v>
      </c>
    </row>
    <row r="308" spans="1:3">
      <c r="A308" s="3">
        <f ca="1">IFERROR(__xludf.UNSUPPORTED("""COMPUTED_VALUE"""),43910.6666666666)</f>
        <v>43910.666666666599</v>
      </c>
      <c r="B308" s="1">
        <f ca="1">IFERROR(__xludf.UNSUPPORTED("""COMPUTED_VALUE"""),19.67)</f>
        <v>19.670000000000002</v>
      </c>
      <c r="C308" s="2">
        <f t="shared" ca="1" si="1"/>
        <v>-7.2169811320754604E-2</v>
      </c>
    </row>
    <row r="309" spans="1:3">
      <c r="A309" s="3">
        <f ca="1">IFERROR(__xludf.UNSUPPORTED("""COMPUTED_VALUE"""),43913.6666666666)</f>
        <v>43913.666666666599</v>
      </c>
      <c r="B309" s="1">
        <f ca="1">IFERROR(__xludf.UNSUPPORTED("""COMPUTED_VALUE"""),18.08)</f>
        <v>18.079999999999998</v>
      </c>
      <c r="C309" s="2">
        <f t="shared" ca="1" si="1"/>
        <v>-8.0833756990340788E-2</v>
      </c>
    </row>
    <row r="310" spans="1:3">
      <c r="A310" s="3">
        <f ca="1">IFERROR(__xludf.UNSUPPORTED("""COMPUTED_VALUE"""),43914.6666666666)</f>
        <v>43914.666666666599</v>
      </c>
      <c r="B310" s="1">
        <f ca="1">IFERROR(__xludf.UNSUPPORTED("""COMPUTED_VALUE"""),21.03)</f>
        <v>21.03</v>
      </c>
      <c r="C310" s="2">
        <f t="shared" ca="1" si="1"/>
        <v>0.16316371681415948</v>
      </c>
    </row>
    <row r="311" spans="1:3">
      <c r="A311" s="3">
        <f ca="1">IFERROR(__xludf.UNSUPPORTED("""COMPUTED_VALUE"""),43915.6666666666)</f>
        <v>43915.666666666599</v>
      </c>
      <c r="B311" s="1">
        <f ca="1">IFERROR(__xludf.UNSUPPORTED("""COMPUTED_VALUE"""),21.1)</f>
        <v>21.1</v>
      </c>
      <c r="C311" s="2">
        <f t="shared" ca="1" si="1"/>
        <v>3.3285782215882209E-3</v>
      </c>
    </row>
    <row r="312" spans="1:3">
      <c r="A312" s="3">
        <f ca="1">IFERROR(__xludf.UNSUPPORTED("""COMPUTED_VALUE"""),43916.6666666666)</f>
        <v>43916.666666666599</v>
      </c>
      <c r="B312" s="1">
        <f ca="1">IFERROR(__xludf.UNSUPPORTED("""COMPUTED_VALUE"""),22.72)</f>
        <v>22.72</v>
      </c>
      <c r="C312" s="2">
        <f t="shared" ca="1" si="1"/>
        <v>7.6777251184834E-2</v>
      </c>
    </row>
    <row r="313" spans="1:3">
      <c r="A313" s="3">
        <f ca="1">IFERROR(__xludf.UNSUPPORTED("""COMPUTED_VALUE"""),43917.6666666666)</f>
        <v>43917.666666666599</v>
      </c>
      <c r="B313" s="1">
        <f ca="1">IFERROR(__xludf.UNSUPPORTED("""COMPUTED_VALUE"""),21.6)</f>
        <v>21.6</v>
      </c>
      <c r="C313" s="2">
        <f t="shared" ca="1" si="1"/>
        <v>-4.9295774647887217E-2</v>
      </c>
    </row>
    <row r="314" spans="1:3">
      <c r="A314" s="3">
        <f ca="1">IFERROR(__xludf.UNSUPPORTED("""COMPUTED_VALUE"""),43920.6666666666)</f>
        <v>43920.666666666599</v>
      </c>
      <c r="B314" s="1">
        <f ca="1">IFERROR(__xludf.UNSUPPORTED("""COMPUTED_VALUE"""),22.04)</f>
        <v>22.04</v>
      </c>
      <c r="C314" s="2">
        <f t="shared" ca="1" si="1"/>
        <v>2.0370370370370264E-2</v>
      </c>
    </row>
    <row r="315" spans="1:3">
      <c r="A315" s="3">
        <f ca="1">IFERROR(__xludf.UNSUPPORTED("""COMPUTED_VALUE"""),43921.6666666666)</f>
        <v>43921.666666666599</v>
      </c>
      <c r="B315" s="1">
        <f ca="1">IFERROR(__xludf.UNSUPPORTED("""COMPUTED_VALUE"""),21.23)</f>
        <v>21.23</v>
      </c>
      <c r="C315" s="2">
        <f t="shared" ca="1" si="1"/>
        <v>-3.6751361161524443E-2</v>
      </c>
    </row>
    <row r="316" spans="1:3">
      <c r="A316" s="3">
        <f ca="1">IFERROR(__xludf.UNSUPPORTED("""COMPUTED_VALUE"""),43922.6666666666)</f>
        <v>43922.666666666599</v>
      </c>
      <c r="B316" s="1">
        <f ca="1">IFERROR(__xludf.UNSUPPORTED("""COMPUTED_VALUE"""),19.77)</f>
        <v>19.77</v>
      </c>
      <c r="C316" s="2">
        <f t="shared" ca="1" si="1"/>
        <v>-6.87706076307113E-2</v>
      </c>
    </row>
    <row r="317" spans="1:3">
      <c r="A317" s="3">
        <f ca="1">IFERROR(__xludf.UNSUPPORTED("""COMPUTED_VALUE"""),43923.6666666666)</f>
        <v>43923.666666666599</v>
      </c>
      <c r="B317" s="1">
        <f ca="1">IFERROR(__xludf.UNSUPPORTED("""COMPUTED_VALUE"""),20.57)</f>
        <v>20.57</v>
      </c>
      <c r="C317" s="2">
        <f t="shared" ca="1" si="1"/>
        <v>4.0465351542741564E-2</v>
      </c>
    </row>
    <row r="318" spans="1:3">
      <c r="A318" s="3">
        <f ca="1">IFERROR(__xludf.UNSUPPORTED("""COMPUTED_VALUE"""),43924.6666666666)</f>
        <v>43924.666666666599</v>
      </c>
      <c r="B318" s="1">
        <f ca="1">IFERROR(__xludf.UNSUPPORTED("""COMPUTED_VALUE"""),20.03)</f>
        <v>20.03</v>
      </c>
      <c r="C318" s="2">
        <f t="shared" ca="1" si="1"/>
        <v>-2.6251823043266852E-2</v>
      </c>
    </row>
    <row r="319" spans="1:3">
      <c r="A319" s="3">
        <f ca="1">IFERROR(__xludf.UNSUPPORTED("""COMPUTED_VALUE"""),43927.6666666666)</f>
        <v>43927.666666666599</v>
      </c>
      <c r="B319" s="1">
        <f ca="1">IFERROR(__xludf.UNSUPPORTED("""COMPUTED_VALUE"""),21.39)</f>
        <v>21.39</v>
      </c>
      <c r="C319" s="2">
        <f t="shared" ca="1" si="1"/>
        <v>6.7898152770843698E-2</v>
      </c>
    </row>
    <row r="320" spans="1:3">
      <c r="A320" s="3">
        <f ca="1">IFERROR(__xludf.UNSUPPORTED("""COMPUTED_VALUE"""),43928.6666666666)</f>
        <v>43928.666666666599</v>
      </c>
      <c r="B320" s="1">
        <f ca="1">IFERROR(__xludf.UNSUPPORTED("""COMPUTED_VALUE"""),22.14)</f>
        <v>22.14</v>
      </c>
      <c r="C320" s="2">
        <f t="shared" ca="1" si="1"/>
        <v>3.5063113604488078E-2</v>
      </c>
    </row>
    <row r="321" spans="1:3">
      <c r="A321" s="3">
        <f ca="1">IFERROR(__xludf.UNSUPPORTED("""COMPUTED_VALUE"""),43929.6666666666)</f>
        <v>43929.666666666599</v>
      </c>
      <c r="B321" s="1">
        <f ca="1">IFERROR(__xludf.UNSUPPORTED("""COMPUTED_VALUE"""),23.45)</f>
        <v>23.45</v>
      </c>
      <c r="C321" s="2">
        <f t="shared" ca="1" si="1"/>
        <v>5.9168925022583502E-2</v>
      </c>
    </row>
    <row r="322" spans="1:3">
      <c r="A322" s="3">
        <f ca="1">IFERROR(__xludf.UNSUPPORTED("""COMPUTED_VALUE"""),43930.6666666666)</f>
        <v>43930.666666666599</v>
      </c>
      <c r="B322" s="1">
        <f ca="1">IFERROR(__xludf.UNSUPPORTED("""COMPUTED_VALUE"""),24.86)</f>
        <v>24.86</v>
      </c>
      <c r="C322" s="2">
        <f t="shared" ca="1" si="1"/>
        <v>6.0127931769722823E-2</v>
      </c>
    </row>
    <row r="323" spans="1:3">
      <c r="A323" s="3">
        <f ca="1">IFERROR(__xludf.UNSUPPORTED("""COMPUTED_VALUE"""),43934.6666666666)</f>
        <v>43934.666666666599</v>
      </c>
      <c r="B323" s="1">
        <f ca="1">IFERROR(__xludf.UNSUPPORTED("""COMPUTED_VALUE"""),23.92)</f>
        <v>23.92</v>
      </c>
      <c r="C323" s="2">
        <f t="shared" ca="1" si="1"/>
        <v>-3.7811745776347452E-2</v>
      </c>
    </row>
    <row r="324" spans="1:3">
      <c r="A324" s="3">
        <f ca="1">IFERROR(__xludf.UNSUPPORTED("""COMPUTED_VALUE"""),43935.6666666666)</f>
        <v>43935.666666666599</v>
      </c>
      <c r="B324" s="1">
        <f ca="1">IFERROR(__xludf.UNSUPPORTED("""COMPUTED_VALUE"""),23.73)</f>
        <v>23.73</v>
      </c>
      <c r="C324" s="2">
        <f t="shared" ca="1" si="1"/>
        <v>-7.9431438127090838E-3</v>
      </c>
    </row>
    <row r="325" spans="1:3">
      <c r="A325" s="3">
        <f ca="1">IFERROR(__xludf.UNSUPPORTED("""COMPUTED_VALUE"""),43936.6666666666)</f>
        <v>43936.666666666599</v>
      </c>
      <c r="B325" s="1">
        <f ca="1">IFERROR(__xludf.UNSUPPORTED("""COMPUTED_VALUE"""),22.19)</f>
        <v>22.19</v>
      </c>
      <c r="C325" s="2">
        <f t="shared" ca="1" si="1"/>
        <v>-6.4896755162241845E-2</v>
      </c>
    </row>
    <row r="326" spans="1:3">
      <c r="A326" s="3">
        <f ca="1">IFERROR(__xludf.UNSUPPORTED("""COMPUTED_VALUE"""),43937.6666666666)</f>
        <v>43937.666666666599</v>
      </c>
      <c r="B326" s="1">
        <f ca="1">IFERROR(__xludf.UNSUPPORTED("""COMPUTED_VALUE"""),21.42)</f>
        <v>21.42</v>
      </c>
      <c r="C326" s="2">
        <f t="shared" ca="1" si="1"/>
        <v>-3.4700315457413228E-2</v>
      </c>
    </row>
    <row r="327" spans="1:3">
      <c r="A327" s="3">
        <f ca="1">IFERROR(__xludf.UNSUPPORTED("""COMPUTED_VALUE"""),43938.6666666666)</f>
        <v>43938.666666666599</v>
      </c>
      <c r="B327" s="1">
        <f ca="1">IFERROR(__xludf.UNSUPPORTED("""COMPUTED_VALUE"""),23.28)</f>
        <v>23.28</v>
      </c>
      <c r="C327" s="2">
        <f t="shared" ca="1" si="1"/>
        <v>8.6834733893557392E-2</v>
      </c>
    </row>
    <row r="328" spans="1:3">
      <c r="A328" s="3">
        <f ca="1">IFERROR(__xludf.UNSUPPORTED("""COMPUTED_VALUE"""),43941.6666666666)</f>
        <v>43941.666666666599</v>
      </c>
      <c r="B328" s="1">
        <f ca="1">IFERROR(__xludf.UNSUPPORTED("""COMPUTED_VALUE"""),22.5)</f>
        <v>22.5</v>
      </c>
      <c r="C328" s="2">
        <f t="shared" ca="1" si="1"/>
        <v>-3.3505154639175305E-2</v>
      </c>
    </row>
    <row r="329" spans="1:3">
      <c r="A329" s="3">
        <f ca="1">IFERROR(__xludf.UNSUPPORTED("""COMPUTED_VALUE"""),43942.6666666666)</f>
        <v>43942.666666666599</v>
      </c>
      <c r="B329" s="1">
        <f ca="1">IFERROR(__xludf.UNSUPPORTED("""COMPUTED_VALUE"""),21.64)</f>
        <v>21.64</v>
      </c>
      <c r="C329" s="2">
        <f t="shared" ca="1" si="1"/>
        <v>-3.8222222222222199E-2</v>
      </c>
    </row>
    <row r="330" spans="1:3">
      <c r="A330" s="3">
        <f ca="1">IFERROR(__xludf.UNSUPPORTED("""COMPUTED_VALUE"""),43943.6666666666)</f>
        <v>43943.666666666599</v>
      </c>
      <c r="B330" s="1">
        <f ca="1">IFERROR(__xludf.UNSUPPORTED("""COMPUTED_VALUE"""),21.8)</f>
        <v>21.8</v>
      </c>
      <c r="C330" s="2">
        <f t="shared" ca="1" si="1"/>
        <v>7.3937153419593405E-3</v>
      </c>
    </row>
    <row r="331" spans="1:3">
      <c r="A331" s="3">
        <f ca="1">IFERROR(__xludf.UNSUPPORTED("""COMPUTED_VALUE"""),43944.6666666666)</f>
        <v>43944.666666666599</v>
      </c>
      <c r="B331" s="1">
        <f ca="1">IFERROR(__xludf.UNSUPPORTED("""COMPUTED_VALUE"""),21.87)</f>
        <v>21.87</v>
      </c>
      <c r="C331" s="2">
        <f t="shared" ca="1" si="1"/>
        <v>3.2110091743119394E-3</v>
      </c>
    </row>
    <row r="332" spans="1:3">
      <c r="A332" s="3">
        <f ca="1">IFERROR(__xludf.UNSUPPORTED("""COMPUTED_VALUE"""),43945.6666666666)</f>
        <v>43945.666666666599</v>
      </c>
      <c r="B332" s="1">
        <f ca="1">IFERROR(__xludf.UNSUPPORTED("""COMPUTED_VALUE"""),22.18)</f>
        <v>22.18</v>
      </c>
      <c r="C332" s="2">
        <f t="shared" ca="1" si="1"/>
        <v>1.417466849565609E-2</v>
      </c>
    </row>
    <row r="333" spans="1:3">
      <c r="A333" s="3">
        <f ca="1">IFERROR(__xludf.UNSUPPORTED("""COMPUTED_VALUE"""),43948.6666666666)</f>
        <v>43948.666666666599</v>
      </c>
      <c r="B333" s="1">
        <f ca="1">IFERROR(__xludf.UNSUPPORTED("""COMPUTED_VALUE"""),23.47)</f>
        <v>23.47</v>
      </c>
      <c r="C333" s="2">
        <f t="shared" ca="1" si="1"/>
        <v>5.8160504959422862E-2</v>
      </c>
    </row>
    <row r="334" spans="1:3">
      <c r="A334" s="3">
        <f ca="1">IFERROR(__xludf.UNSUPPORTED("""COMPUTED_VALUE"""),43949.6666666666)</f>
        <v>43949.666666666599</v>
      </c>
      <c r="B334" s="1">
        <f ca="1">IFERROR(__xludf.UNSUPPORTED("""COMPUTED_VALUE"""),23.89)</f>
        <v>23.89</v>
      </c>
      <c r="C334" s="2">
        <f t="shared" ca="1" si="1"/>
        <v>1.7895185342991126E-2</v>
      </c>
    </row>
    <row r="335" spans="1:3">
      <c r="A335" s="3">
        <f ca="1">IFERROR(__xludf.UNSUPPORTED("""COMPUTED_VALUE"""),43950.6666666666)</f>
        <v>43950.666666666599</v>
      </c>
      <c r="B335" s="1">
        <f ca="1">IFERROR(__xludf.UNSUPPORTED("""COMPUTED_VALUE"""),24.78)</f>
        <v>24.78</v>
      </c>
      <c r="C335" s="2">
        <f t="shared" ca="1" si="1"/>
        <v>3.7254081205525348E-2</v>
      </c>
    </row>
    <row r="336" spans="1:3">
      <c r="A336" s="3">
        <f ca="1">IFERROR(__xludf.UNSUPPORTED("""COMPUTED_VALUE"""),43951.6666666666)</f>
        <v>43951.666666666599</v>
      </c>
      <c r="B336" s="1">
        <f ca="1">IFERROR(__xludf.UNSUPPORTED("""COMPUTED_VALUE"""),24.05)</f>
        <v>24.05</v>
      </c>
      <c r="C336" s="2">
        <f t="shared" ca="1" si="1"/>
        <v>-2.9459241323648119E-2</v>
      </c>
    </row>
    <row r="337" spans="1:3">
      <c r="A337" s="3">
        <f ca="1">IFERROR(__xludf.UNSUPPORTED("""COMPUTED_VALUE"""),43952.6666666666)</f>
        <v>43952.666666666599</v>
      </c>
      <c r="B337" s="1">
        <f ca="1">IFERROR(__xludf.UNSUPPORTED("""COMPUTED_VALUE"""),23.08)</f>
        <v>23.08</v>
      </c>
      <c r="C337" s="2">
        <f t="shared" ca="1" si="1"/>
        <v>-4.0332640332640432E-2</v>
      </c>
    </row>
    <row r="338" spans="1:3">
      <c r="A338" s="3">
        <f ca="1">IFERROR(__xludf.UNSUPPORTED("""COMPUTED_VALUE"""),43955.6666666666)</f>
        <v>43955.666666666599</v>
      </c>
      <c r="B338" s="1">
        <f ca="1">IFERROR(__xludf.UNSUPPORTED("""COMPUTED_VALUE"""),22.93)</f>
        <v>22.93</v>
      </c>
      <c r="C338" s="2">
        <f t="shared" ca="1" si="1"/>
        <v>-6.4991334488734226E-3</v>
      </c>
    </row>
    <row r="339" spans="1:3">
      <c r="A339" s="3">
        <f ca="1">IFERROR(__xludf.UNSUPPORTED("""COMPUTED_VALUE"""),43956.6666666666)</f>
        <v>43956.666666666599</v>
      </c>
      <c r="B339" s="1">
        <f ca="1">IFERROR(__xludf.UNSUPPORTED("""COMPUTED_VALUE"""),22.66)</f>
        <v>22.66</v>
      </c>
      <c r="C339" s="2">
        <f t="shared" ca="1" si="1"/>
        <v>-1.1774967291757504E-2</v>
      </c>
    </row>
    <row r="340" spans="1:3">
      <c r="A340" s="3">
        <f ca="1">IFERROR(__xludf.UNSUPPORTED("""COMPUTED_VALUE"""),43957.6666666666)</f>
        <v>43957.666666666599</v>
      </c>
      <c r="B340" s="1">
        <f ca="1">IFERROR(__xludf.UNSUPPORTED("""COMPUTED_VALUE"""),22.35)</f>
        <v>22.35</v>
      </c>
      <c r="C340" s="2">
        <f t="shared" ca="1" si="1"/>
        <v>-1.3680494263018478E-2</v>
      </c>
    </row>
    <row r="341" spans="1:3">
      <c r="A341" s="3">
        <f ca="1">IFERROR(__xludf.UNSUPPORTED("""COMPUTED_VALUE"""),43958.6666666666)</f>
        <v>43958.666666666599</v>
      </c>
      <c r="B341" s="1">
        <f ca="1">IFERROR(__xludf.UNSUPPORTED("""COMPUTED_VALUE"""),22.84)</f>
        <v>22.84</v>
      </c>
      <c r="C341" s="2">
        <f t="shared" ca="1" si="1"/>
        <v>2.1923937360178898E-2</v>
      </c>
    </row>
    <row r="342" spans="1:3">
      <c r="A342" s="3">
        <f ca="1">IFERROR(__xludf.UNSUPPORTED("""COMPUTED_VALUE"""),43959.6666666666)</f>
        <v>43959.666666666599</v>
      </c>
      <c r="B342" s="1">
        <f ca="1">IFERROR(__xludf.UNSUPPORTED("""COMPUTED_VALUE"""),23.57)</f>
        <v>23.57</v>
      </c>
      <c r="C342" s="2">
        <f t="shared" ca="1" si="1"/>
        <v>3.1961471103327511E-2</v>
      </c>
    </row>
    <row r="343" spans="1:3">
      <c r="A343" s="3">
        <f ca="1">IFERROR(__xludf.UNSUPPORTED("""COMPUTED_VALUE"""),43962.6666666666)</f>
        <v>43962.666666666599</v>
      </c>
      <c r="B343" s="1">
        <f ca="1">IFERROR(__xludf.UNSUPPORTED("""COMPUTED_VALUE"""),22.58)</f>
        <v>22.58</v>
      </c>
      <c r="C343" s="2">
        <f t="shared" ca="1" si="1"/>
        <v>-4.2002545608824861E-2</v>
      </c>
    </row>
    <row r="344" spans="1:3">
      <c r="A344" s="3">
        <f ca="1">IFERROR(__xludf.UNSUPPORTED("""COMPUTED_VALUE"""),43963.6666666666)</f>
        <v>43963.666666666599</v>
      </c>
      <c r="B344" s="1">
        <f ca="1">IFERROR(__xludf.UNSUPPORTED("""COMPUTED_VALUE"""),21.87)</f>
        <v>21.87</v>
      </c>
      <c r="C344" s="2">
        <f t="shared" ca="1" si="1"/>
        <v>-3.1443755535872336E-2</v>
      </c>
    </row>
    <row r="345" spans="1:3">
      <c r="A345" s="3">
        <f ca="1">IFERROR(__xludf.UNSUPPORTED("""COMPUTED_VALUE"""),43964.6666666666)</f>
        <v>43964.666666666599</v>
      </c>
      <c r="B345" s="1">
        <f ca="1">IFERROR(__xludf.UNSUPPORTED("""COMPUTED_VALUE"""),20.87)</f>
        <v>20.87</v>
      </c>
      <c r="C345" s="2">
        <f t="shared" ca="1" si="1"/>
        <v>-4.5724737082761771E-2</v>
      </c>
    </row>
    <row r="346" spans="1:3">
      <c r="A346" s="3">
        <f ca="1">IFERROR(__xludf.UNSUPPORTED("""COMPUTED_VALUE"""),43965.6666666666)</f>
        <v>43965.666666666599</v>
      </c>
      <c r="B346" s="1">
        <f ca="1">IFERROR(__xludf.UNSUPPORTED("""COMPUTED_VALUE"""),21.71)</f>
        <v>21.71</v>
      </c>
      <c r="C346" s="2">
        <f t="shared" ca="1" si="1"/>
        <v>4.0249161475802576E-2</v>
      </c>
    </row>
    <row r="347" spans="1:3">
      <c r="A347" s="3">
        <f ca="1">IFERROR(__xludf.UNSUPPORTED("""COMPUTED_VALUE"""),43966.6666666666)</f>
        <v>43966.666666666599</v>
      </c>
      <c r="B347" s="1">
        <f ca="1">IFERROR(__xludf.UNSUPPORTED("""COMPUTED_VALUE"""),21.44)</f>
        <v>21.44</v>
      </c>
      <c r="C347" s="2">
        <f t="shared" ca="1" si="1"/>
        <v>-1.2436665131275889E-2</v>
      </c>
    </row>
    <row r="348" spans="1:3">
      <c r="A348" s="3">
        <f ca="1">IFERROR(__xludf.UNSUPPORTED("""COMPUTED_VALUE"""),43969.6666666666)</f>
        <v>43969.666666666599</v>
      </c>
      <c r="B348" s="1">
        <f ca="1">IFERROR(__xludf.UNSUPPORTED("""COMPUTED_VALUE"""),22.93)</f>
        <v>22.93</v>
      </c>
      <c r="C348" s="2">
        <f t="shared" ca="1" si="1"/>
        <v>6.9496268656716334E-2</v>
      </c>
    </row>
    <row r="349" spans="1:3">
      <c r="A349" s="3">
        <f ca="1">IFERROR(__xludf.UNSUPPORTED("""COMPUTED_VALUE"""),43970.6666666666)</f>
        <v>43970.666666666599</v>
      </c>
      <c r="B349" s="1">
        <f ca="1">IFERROR(__xludf.UNSUPPORTED("""COMPUTED_VALUE"""),22.21)</f>
        <v>22.21</v>
      </c>
      <c r="C349" s="2">
        <f t="shared" ca="1" si="1"/>
        <v>-3.1399912778020012E-2</v>
      </c>
    </row>
    <row r="350" spans="1:3">
      <c r="A350" s="3">
        <f ca="1">IFERROR(__xludf.UNSUPPORTED("""COMPUTED_VALUE"""),43971.6666666666)</f>
        <v>43971.666666666599</v>
      </c>
      <c r="B350" s="1">
        <f ca="1">IFERROR(__xludf.UNSUPPORTED("""COMPUTED_VALUE"""),22.91)</f>
        <v>22.91</v>
      </c>
      <c r="C350" s="2">
        <f t="shared" ca="1" si="1"/>
        <v>3.1517334533993663E-2</v>
      </c>
    </row>
    <row r="351" spans="1:3">
      <c r="A351" s="3">
        <f ca="1">IFERROR(__xludf.UNSUPPORTED("""COMPUTED_VALUE"""),43972.6666666666)</f>
        <v>43972.666666666599</v>
      </c>
      <c r="B351" s="1">
        <f ca="1">IFERROR(__xludf.UNSUPPORTED("""COMPUTED_VALUE"""),22.9)</f>
        <v>22.9</v>
      </c>
      <c r="C351" s="2">
        <f t="shared" ca="1" si="1"/>
        <v>-4.3649061545183602E-4</v>
      </c>
    </row>
    <row r="352" spans="1:3">
      <c r="A352" s="3">
        <f ca="1">IFERROR(__xludf.UNSUPPORTED("""COMPUTED_VALUE"""),43973.6666666666)</f>
        <v>43973.666666666599</v>
      </c>
      <c r="B352" s="1">
        <f ca="1">IFERROR(__xludf.UNSUPPORTED("""COMPUTED_VALUE"""),22.66)</f>
        <v>22.66</v>
      </c>
      <c r="C352" s="2">
        <f t="shared" ca="1" si="1"/>
        <v>-1.0480349344978098E-2</v>
      </c>
    </row>
    <row r="353" spans="1:3">
      <c r="A353" s="3">
        <f ca="1">IFERROR(__xludf.UNSUPPORTED("""COMPUTED_VALUE"""),43977.6666666666)</f>
        <v>43977.666666666599</v>
      </c>
      <c r="B353" s="1">
        <f ca="1">IFERROR(__xludf.UNSUPPORTED("""COMPUTED_VALUE"""),24.28)</f>
        <v>24.28</v>
      </c>
      <c r="C353" s="2">
        <f t="shared" ca="1" si="1"/>
        <v>7.1491615180935608E-2</v>
      </c>
    </row>
    <row r="354" spans="1:3">
      <c r="A354" s="3">
        <f ca="1">IFERROR(__xludf.UNSUPPORTED("""COMPUTED_VALUE"""),43978.6666666666)</f>
        <v>43978.666666666599</v>
      </c>
      <c r="B354" s="1">
        <f ca="1">IFERROR(__xludf.UNSUPPORTED("""COMPUTED_VALUE"""),25.98)</f>
        <v>25.98</v>
      </c>
      <c r="C354" s="2">
        <f t="shared" ca="1" si="1"/>
        <v>7.001647446457987E-2</v>
      </c>
    </row>
    <row r="355" spans="1:3">
      <c r="A355" s="3">
        <f ca="1">IFERROR(__xludf.UNSUPPORTED("""COMPUTED_VALUE"""),43979.6666666666)</f>
        <v>43979.666666666599</v>
      </c>
      <c r="B355" s="1">
        <f ca="1">IFERROR(__xludf.UNSUPPORTED("""COMPUTED_VALUE"""),24.86)</f>
        <v>24.86</v>
      </c>
      <c r="C355" s="2">
        <f t="shared" ca="1" si="1"/>
        <v>-4.3110084680523519E-2</v>
      </c>
    </row>
    <row r="356" spans="1:3">
      <c r="A356" s="3">
        <f ca="1">IFERROR(__xludf.UNSUPPORTED("""COMPUTED_VALUE"""),43980.6666666666)</f>
        <v>43980.666666666599</v>
      </c>
      <c r="B356" s="1">
        <f ca="1">IFERROR(__xludf.UNSUPPORTED("""COMPUTED_VALUE"""),24.12)</f>
        <v>24.12</v>
      </c>
      <c r="C356" s="2">
        <f t="shared" ca="1" si="1"/>
        <v>-2.9766693483507582E-2</v>
      </c>
    </row>
    <row r="357" spans="1:3">
      <c r="A357" s="3">
        <f ca="1">IFERROR(__xludf.UNSUPPORTED("""COMPUTED_VALUE"""),43983.6666666666)</f>
        <v>43983.666666666599</v>
      </c>
      <c r="B357" s="1">
        <f ca="1">IFERROR(__xludf.UNSUPPORTED("""COMPUTED_VALUE"""),24.61)</f>
        <v>24.61</v>
      </c>
      <c r="C357" s="2">
        <f t="shared" ca="1" si="1"/>
        <v>2.0315091210613534E-2</v>
      </c>
    </row>
    <row r="358" spans="1:3">
      <c r="A358" s="3">
        <f ca="1">IFERROR(__xludf.UNSUPPORTED("""COMPUTED_VALUE"""),43984.6666666666)</f>
        <v>43984.666666666599</v>
      </c>
      <c r="B358" s="1">
        <f ca="1">IFERROR(__xludf.UNSUPPORTED("""COMPUTED_VALUE"""),24.84)</f>
        <v>24.84</v>
      </c>
      <c r="C358" s="2">
        <f t="shared" ca="1" si="1"/>
        <v>9.3457943925233829E-3</v>
      </c>
    </row>
    <row r="359" spans="1:3">
      <c r="A359" s="3">
        <f ca="1">IFERROR(__xludf.UNSUPPORTED("""COMPUTED_VALUE"""),43985.6666666666)</f>
        <v>43985.666666666599</v>
      </c>
      <c r="B359" s="1">
        <f ca="1">IFERROR(__xludf.UNSUPPORTED("""COMPUTED_VALUE"""),25.99)</f>
        <v>25.99</v>
      </c>
      <c r="C359" s="2">
        <f t="shared" ca="1" si="1"/>
        <v>4.6296296296296238E-2</v>
      </c>
    </row>
    <row r="360" spans="1:3">
      <c r="A360" s="3">
        <f ca="1">IFERROR(__xludf.UNSUPPORTED("""COMPUTED_VALUE"""),43986.6666666666)</f>
        <v>43986.666666666599</v>
      </c>
      <c r="B360" s="1">
        <f ca="1">IFERROR(__xludf.UNSUPPORTED("""COMPUTED_VALUE"""),26.78)</f>
        <v>26.78</v>
      </c>
      <c r="C360" s="2">
        <f t="shared" ca="1" si="1"/>
        <v>3.0396306271643046E-2</v>
      </c>
    </row>
    <row r="361" spans="1:3">
      <c r="A361" s="3">
        <f ca="1">IFERROR(__xludf.UNSUPPORTED("""COMPUTED_VALUE"""),43987.6666666666)</f>
        <v>43987.666666666599</v>
      </c>
      <c r="B361" s="1">
        <f ca="1">IFERROR(__xludf.UNSUPPORTED("""COMPUTED_VALUE"""),28.11)</f>
        <v>28.11</v>
      </c>
      <c r="C361" s="2">
        <f t="shared" ca="1" si="1"/>
        <v>4.9663928304704938E-2</v>
      </c>
    </row>
    <row r="362" spans="1:3">
      <c r="A362" s="3">
        <f ca="1">IFERROR(__xludf.UNSUPPORTED("""COMPUTED_VALUE"""),43990.6666666666)</f>
        <v>43990.666666666599</v>
      </c>
      <c r="B362" s="1">
        <f ca="1">IFERROR(__xludf.UNSUPPORTED("""COMPUTED_VALUE"""),28.54)</f>
        <v>28.54</v>
      </c>
      <c r="C362" s="2">
        <f t="shared" ca="1" si="1"/>
        <v>1.5297047314123078E-2</v>
      </c>
    </row>
    <row r="363" spans="1:3">
      <c r="A363" s="3">
        <f ca="1">IFERROR(__xludf.UNSUPPORTED("""COMPUTED_VALUE"""),43991.6666666666)</f>
        <v>43991.666666666599</v>
      </c>
      <c r="B363" s="1">
        <f ca="1">IFERROR(__xludf.UNSUPPORTED("""COMPUTED_VALUE"""),28.22)</f>
        <v>28.22</v>
      </c>
      <c r="C363" s="2">
        <f t="shared" ca="1" si="1"/>
        <v>-1.1212333566923626E-2</v>
      </c>
    </row>
    <row r="364" spans="1:3">
      <c r="A364" s="3">
        <f ca="1">IFERROR(__xludf.UNSUPPORTED("""COMPUTED_VALUE"""),43992.6666666666)</f>
        <v>43992.666666666599</v>
      </c>
      <c r="B364" s="1">
        <f ca="1">IFERROR(__xludf.UNSUPPORTED("""COMPUTED_VALUE"""),26.6)</f>
        <v>26.6</v>
      </c>
      <c r="C364" s="2">
        <f t="shared" ca="1" si="1"/>
        <v>-5.7406094968107634E-2</v>
      </c>
    </row>
    <row r="365" spans="1:3">
      <c r="A365" s="3">
        <f ca="1">IFERROR(__xludf.UNSUPPORTED("""COMPUTED_VALUE"""),43993.6666666666)</f>
        <v>43993.666666666599</v>
      </c>
      <c r="B365" s="1">
        <f ca="1">IFERROR(__xludf.UNSUPPORTED("""COMPUTED_VALUE"""),23.93)</f>
        <v>23.93</v>
      </c>
      <c r="C365" s="2">
        <f t="shared" ca="1" si="1"/>
        <v>-0.10037593984962412</v>
      </c>
    </row>
    <row r="366" spans="1:3">
      <c r="A366" s="3">
        <f ca="1">IFERROR(__xludf.UNSUPPORTED("""COMPUTED_VALUE"""),43994.6666666666)</f>
        <v>43994.666666666599</v>
      </c>
      <c r="B366" s="1">
        <f ca="1">IFERROR(__xludf.UNSUPPORTED("""COMPUTED_VALUE"""),24.78)</f>
        <v>24.78</v>
      </c>
      <c r="C366" s="2">
        <f t="shared" ca="1" si="1"/>
        <v>3.5520267446719656E-2</v>
      </c>
    </row>
    <row r="367" spans="1:3">
      <c r="A367" s="3">
        <f ca="1">IFERROR(__xludf.UNSUPPORTED("""COMPUTED_VALUE"""),43997.6666666666)</f>
        <v>43997.666666666599</v>
      </c>
      <c r="B367" s="1">
        <f ca="1">IFERROR(__xludf.UNSUPPORTED("""COMPUTED_VALUE"""),25.15)</f>
        <v>25.15</v>
      </c>
      <c r="C367" s="2">
        <f t="shared" ca="1" si="1"/>
        <v>1.4931396287328386E-2</v>
      </c>
    </row>
    <row r="368" spans="1:3">
      <c r="A368" s="3">
        <f ca="1">IFERROR(__xludf.UNSUPPORTED("""COMPUTED_VALUE"""),43998.6666666666)</f>
        <v>43998.666666666599</v>
      </c>
      <c r="B368" s="1">
        <f ca="1">IFERROR(__xludf.UNSUPPORTED("""COMPUTED_VALUE"""),25.8)</f>
        <v>25.8</v>
      </c>
      <c r="C368" s="2">
        <f t="shared" ca="1" si="1"/>
        <v>2.5844930417495117E-2</v>
      </c>
    </row>
    <row r="369" spans="1:3">
      <c r="A369" s="3">
        <f ca="1">IFERROR(__xludf.UNSUPPORTED("""COMPUTED_VALUE"""),43999.6666666666)</f>
        <v>43999.666666666599</v>
      </c>
      <c r="B369" s="1">
        <f ca="1">IFERROR(__xludf.UNSUPPORTED("""COMPUTED_VALUE"""),25)</f>
        <v>25</v>
      </c>
      <c r="C369" s="2">
        <f t="shared" ca="1" si="1"/>
        <v>-3.1007751937984523E-2</v>
      </c>
    </row>
    <row r="370" spans="1:3">
      <c r="A370" s="3">
        <f ca="1">IFERROR(__xludf.UNSUPPORTED("""COMPUTED_VALUE"""),44000.6666666666)</f>
        <v>44000.666666666599</v>
      </c>
      <c r="B370" s="1">
        <f ca="1">IFERROR(__xludf.UNSUPPORTED("""COMPUTED_VALUE"""),25.04)</f>
        <v>25.04</v>
      </c>
      <c r="C370" s="2">
        <f t="shared" ca="1" si="1"/>
        <v>1.5999999999999658E-3</v>
      </c>
    </row>
    <row r="371" spans="1:3">
      <c r="A371" s="3">
        <f ca="1">IFERROR(__xludf.UNSUPPORTED("""COMPUTED_VALUE"""),44001.6666666666)</f>
        <v>44001.666666666599</v>
      </c>
      <c r="B371" s="1">
        <f ca="1">IFERROR(__xludf.UNSUPPORTED("""COMPUTED_VALUE"""),25.25)</f>
        <v>25.25</v>
      </c>
      <c r="C371" s="2">
        <f t="shared" ca="1" si="1"/>
        <v>8.3865814696485966E-3</v>
      </c>
    </row>
    <row r="372" spans="1:3">
      <c r="A372" s="3">
        <f ca="1">IFERROR(__xludf.UNSUPPORTED("""COMPUTED_VALUE"""),44004.6666666666)</f>
        <v>44004.666666666599</v>
      </c>
      <c r="B372" s="1">
        <f ca="1">IFERROR(__xludf.UNSUPPORTED("""COMPUTED_VALUE"""),24.62)</f>
        <v>24.62</v>
      </c>
      <c r="C372" s="2">
        <f t="shared" ca="1" si="1"/>
        <v>-2.495049504950491E-2</v>
      </c>
    </row>
    <row r="373" spans="1:3">
      <c r="A373" s="3">
        <f ca="1">IFERROR(__xludf.UNSUPPORTED("""COMPUTED_VALUE"""),44005.6666666666)</f>
        <v>44005.666666666599</v>
      </c>
      <c r="B373" s="1">
        <f ca="1">IFERROR(__xludf.UNSUPPORTED("""COMPUTED_VALUE"""),24.79)</f>
        <v>24.79</v>
      </c>
      <c r="C373" s="2">
        <f t="shared" ca="1" si="1"/>
        <v>6.9049553208772605E-3</v>
      </c>
    </row>
    <row r="374" spans="1:3">
      <c r="A374" s="3">
        <f ca="1">IFERROR(__xludf.UNSUPPORTED("""COMPUTED_VALUE"""),44006.6666666666)</f>
        <v>44006.666666666599</v>
      </c>
      <c r="B374" s="1">
        <f ca="1">IFERROR(__xludf.UNSUPPORTED("""COMPUTED_VALUE"""),23.81)</f>
        <v>23.81</v>
      </c>
      <c r="C374" s="2">
        <f t="shared" ca="1" si="1"/>
        <v>-3.9532069382815671E-2</v>
      </c>
    </row>
    <row r="375" spans="1:3">
      <c r="A375" s="3">
        <f ca="1">IFERROR(__xludf.UNSUPPORTED("""COMPUTED_VALUE"""),44007.6666666666)</f>
        <v>44007.666666666599</v>
      </c>
      <c r="B375" s="1">
        <f ca="1">IFERROR(__xludf.UNSUPPORTED("""COMPUTED_VALUE"""),24.72)</f>
        <v>24.72</v>
      </c>
      <c r="C375" s="2">
        <f t="shared" ca="1" si="1"/>
        <v>3.82192356152877E-2</v>
      </c>
    </row>
    <row r="376" spans="1:3">
      <c r="A376" s="3">
        <f ca="1">IFERROR(__xludf.UNSUPPORTED("""COMPUTED_VALUE"""),44008.6666666666)</f>
        <v>44008.666666666599</v>
      </c>
      <c r="B376" s="1">
        <f ca="1">IFERROR(__xludf.UNSUPPORTED("""COMPUTED_VALUE"""),23.15)</f>
        <v>23.15</v>
      </c>
      <c r="C376" s="2">
        <f t="shared" ca="1" si="1"/>
        <v>-6.3511326860841433E-2</v>
      </c>
    </row>
    <row r="377" spans="1:3">
      <c r="A377" s="3">
        <f ca="1">IFERROR(__xludf.UNSUPPORTED("""COMPUTED_VALUE"""),44011.6666666666)</f>
        <v>44011.666666666599</v>
      </c>
      <c r="B377" s="1">
        <f ca="1">IFERROR(__xludf.UNSUPPORTED("""COMPUTED_VALUE"""),23.39)</f>
        <v>23.39</v>
      </c>
      <c r="C377" s="2">
        <f t="shared" ca="1" si="1"/>
        <v>1.0367170626349979E-2</v>
      </c>
    </row>
    <row r="378" spans="1:3">
      <c r="A378" s="3">
        <f ca="1">IFERROR(__xludf.UNSUPPORTED("""COMPUTED_VALUE"""),44012.6666666666)</f>
        <v>44012.666666666599</v>
      </c>
      <c r="B378" s="1">
        <f ca="1">IFERROR(__xludf.UNSUPPORTED("""COMPUTED_VALUE"""),23.75)</f>
        <v>23.75</v>
      </c>
      <c r="C378" s="2">
        <f t="shared" ca="1" si="1"/>
        <v>1.5391192817443328E-2</v>
      </c>
    </row>
    <row r="379" spans="1:3">
      <c r="A379" s="3">
        <f ca="1">IFERROR(__xludf.UNSUPPORTED("""COMPUTED_VALUE"""),44013.6666666666)</f>
        <v>44013.666666666599</v>
      </c>
      <c r="B379" s="1">
        <f ca="1">IFERROR(__xludf.UNSUPPORTED("""COMPUTED_VALUE"""),23.26)</f>
        <v>23.26</v>
      </c>
      <c r="C379" s="2">
        <f t="shared" ca="1" si="1"/>
        <v>-2.0631578947368355E-2</v>
      </c>
    </row>
    <row r="380" spans="1:3">
      <c r="A380" s="3">
        <f ca="1">IFERROR(__xludf.UNSUPPORTED("""COMPUTED_VALUE"""),44014.6666666666)</f>
        <v>44014.666666666599</v>
      </c>
      <c r="B380" s="1">
        <f ca="1">IFERROR(__xludf.UNSUPPORTED("""COMPUTED_VALUE"""),23.29)</f>
        <v>23.29</v>
      </c>
      <c r="C380" s="2">
        <f t="shared" ca="1" si="1"/>
        <v>1.2897678417883741E-3</v>
      </c>
    </row>
    <row r="381" spans="1:3">
      <c r="A381" s="3">
        <f ca="1">IFERROR(__xludf.UNSUPPORTED("""COMPUTED_VALUE"""),44018.6666666666)</f>
        <v>44018.666666666599</v>
      </c>
      <c r="B381" s="1">
        <f ca="1">IFERROR(__xludf.UNSUPPORTED("""COMPUTED_VALUE"""),23.66)</f>
        <v>23.66</v>
      </c>
      <c r="C381" s="2">
        <f t="shared" ca="1" si="1"/>
        <v>1.5886646629454746E-2</v>
      </c>
    </row>
    <row r="382" spans="1:3">
      <c r="A382" s="3">
        <f ca="1">IFERROR(__xludf.UNSUPPORTED("""COMPUTED_VALUE"""),44019.6666666666)</f>
        <v>44019.666666666599</v>
      </c>
      <c r="B382" s="1">
        <f ca="1">IFERROR(__xludf.UNSUPPORTED("""COMPUTED_VALUE"""),23.01)</f>
        <v>23.01</v>
      </c>
      <c r="C382" s="2">
        <f t="shared" ca="1" si="1"/>
        <v>-2.7472527472527413E-2</v>
      </c>
    </row>
    <row r="383" spans="1:3">
      <c r="A383" s="3">
        <f ca="1">IFERROR(__xludf.UNSUPPORTED("""COMPUTED_VALUE"""),44020.6666666666)</f>
        <v>44020.666666666599</v>
      </c>
      <c r="B383" s="1">
        <f ca="1">IFERROR(__xludf.UNSUPPORTED("""COMPUTED_VALUE"""),23.1)</f>
        <v>23.1</v>
      </c>
      <c r="C383" s="2">
        <f t="shared" ca="1" si="1"/>
        <v>3.9113428943937352E-3</v>
      </c>
    </row>
    <row r="384" spans="1:3">
      <c r="A384" s="3">
        <f ca="1">IFERROR(__xludf.UNSUPPORTED("""COMPUTED_VALUE"""),44021.6666666666)</f>
        <v>44021.666666666599</v>
      </c>
      <c r="B384" s="1">
        <f ca="1">IFERROR(__xludf.UNSUPPORTED("""COMPUTED_VALUE"""),22.77)</f>
        <v>22.77</v>
      </c>
      <c r="C384" s="2">
        <f t="shared" ca="1" si="1"/>
        <v>-1.4285714285714365E-2</v>
      </c>
    </row>
    <row r="385" spans="1:3">
      <c r="A385" s="3">
        <f ca="1">IFERROR(__xludf.UNSUPPORTED("""COMPUTED_VALUE"""),44022.6666666666)</f>
        <v>44022.666666666599</v>
      </c>
      <c r="B385" s="1">
        <f ca="1">IFERROR(__xludf.UNSUPPORTED("""COMPUTED_VALUE"""),24.02)</f>
        <v>24.02</v>
      </c>
      <c r="C385" s="2">
        <f t="shared" ca="1" si="1"/>
        <v>5.4896794027228808E-2</v>
      </c>
    </row>
    <row r="386" spans="1:3">
      <c r="A386" s="3">
        <f ca="1">IFERROR(__xludf.UNSUPPORTED("""COMPUTED_VALUE"""),44025.6666666666)</f>
        <v>44025.666666666599</v>
      </c>
      <c r="B386" s="1">
        <f ca="1">IFERROR(__xludf.UNSUPPORTED("""COMPUTED_VALUE"""),24.19)</f>
        <v>24.19</v>
      </c>
      <c r="C386" s="2">
        <f t="shared" ca="1" si="1"/>
        <v>7.0774354704413699E-3</v>
      </c>
    </row>
    <row r="387" spans="1:3">
      <c r="A387" s="3">
        <f ca="1">IFERROR(__xludf.UNSUPPORTED("""COMPUTED_VALUE"""),44026.6666666666)</f>
        <v>44026.666666666599</v>
      </c>
      <c r="B387" s="1">
        <f ca="1">IFERROR(__xludf.UNSUPPORTED("""COMPUTED_VALUE"""),24.14)</f>
        <v>24.14</v>
      </c>
      <c r="C387" s="2">
        <f t="shared" ca="1" si="1"/>
        <v>-2.0669698222406246E-3</v>
      </c>
    </row>
    <row r="388" spans="1:3">
      <c r="A388" s="3">
        <f ca="1">IFERROR(__xludf.UNSUPPORTED("""COMPUTED_VALUE"""),44027.6666666666)</f>
        <v>44027.666666666599</v>
      </c>
      <c r="B388" s="1">
        <f ca="1">IFERROR(__xludf.UNSUPPORTED("""COMPUTED_VALUE"""),24.6)</f>
        <v>24.6</v>
      </c>
      <c r="C388" s="2">
        <f t="shared" ca="1" si="1"/>
        <v>1.90555095277548E-2</v>
      </c>
    </row>
    <row r="389" spans="1:3">
      <c r="A389" s="3">
        <f ca="1">IFERROR(__xludf.UNSUPPORTED("""COMPUTED_VALUE"""),44028.6666666666)</f>
        <v>44028.666666666599</v>
      </c>
      <c r="B389" s="1">
        <f ca="1">IFERROR(__xludf.UNSUPPORTED("""COMPUTED_VALUE"""),23.93)</f>
        <v>23.93</v>
      </c>
      <c r="C389" s="2">
        <f t="shared" ca="1" si="1"/>
        <v>-2.7235772357723644E-2</v>
      </c>
    </row>
    <row r="390" spans="1:3">
      <c r="A390" s="3">
        <f ca="1">IFERROR(__xludf.UNSUPPORTED("""COMPUTED_VALUE"""),44029.6666666666)</f>
        <v>44029.666666666599</v>
      </c>
      <c r="B390" s="1">
        <f ca="1">IFERROR(__xludf.UNSUPPORTED("""COMPUTED_VALUE"""),23.22)</f>
        <v>23.22</v>
      </c>
      <c r="C390" s="2">
        <f t="shared" ca="1" si="1"/>
        <v>-2.9669870455495229E-2</v>
      </c>
    </row>
    <row r="391" spans="1:3">
      <c r="A391" s="3">
        <f ca="1">IFERROR(__xludf.UNSUPPORTED("""COMPUTED_VALUE"""),44032.6666666666)</f>
        <v>44032.666666666599</v>
      </c>
      <c r="B391" s="1">
        <f ca="1">IFERROR(__xludf.UNSUPPORTED("""COMPUTED_VALUE"""),23.58)</f>
        <v>23.58</v>
      </c>
      <c r="C391" s="2">
        <f t="shared" ca="1" si="1"/>
        <v>1.5503875968992224E-2</v>
      </c>
    </row>
    <row r="392" spans="1:3">
      <c r="A392" s="3">
        <f ca="1">IFERROR(__xludf.UNSUPPORTED("""COMPUTED_VALUE"""),44033.6666666666)</f>
        <v>44033.666666666599</v>
      </c>
      <c r="B392" s="1">
        <f ca="1">IFERROR(__xludf.UNSUPPORTED("""COMPUTED_VALUE"""),24.42)</f>
        <v>24.42</v>
      </c>
      <c r="C392" s="2">
        <f t="shared" ca="1" si="1"/>
        <v>3.5623409669211341E-2</v>
      </c>
    </row>
    <row r="393" spans="1:3">
      <c r="A393" s="3">
        <f ca="1">IFERROR(__xludf.UNSUPPORTED("""COMPUTED_VALUE"""),44034.6666666666)</f>
        <v>44034.666666666599</v>
      </c>
      <c r="B393" s="1">
        <f ca="1">IFERROR(__xludf.UNSUPPORTED("""COMPUTED_VALUE"""),24.31)</f>
        <v>24.31</v>
      </c>
      <c r="C393" s="2">
        <f t="shared" ca="1" si="1"/>
        <v>-4.5045045045046268E-3</v>
      </c>
    </row>
    <row r="394" spans="1:3">
      <c r="A394" s="3">
        <f ca="1">IFERROR(__xludf.UNSUPPORTED("""COMPUTED_VALUE"""),44035.6666666666)</f>
        <v>44035.666666666599</v>
      </c>
      <c r="B394" s="1">
        <f ca="1">IFERROR(__xludf.UNSUPPORTED("""COMPUTED_VALUE"""),24.54)</f>
        <v>24.54</v>
      </c>
      <c r="C394" s="2">
        <f t="shared" ca="1" si="1"/>
        <v>9.4611271081859495E-3</v>
      </c>
    </row>
    <row r="395" spans="1:3">
      <c r="A395" s="3">
        <f ca="1">IFERROR(__xludf.UNSUPPORTED("""COMPUTED_VALUE"""),44036.6666666666)</f>
        <v>44036.666666666599</v>
      </c>
      <c r="B395" s="1">
        <f ca="1">IFERROR(__xludf.UNSUPPORTED("""COMPUTED_VALUE"""),24.35)</f>
        <v>24.35</v>
      </c>
      <c r="C395" s="2">
        <f t="shared" ca="1" si="1"/>
        <v>-7.7424612876934688E-3</v>
      </c>
    </row>
    <row r="396" spans="1:3">
      <c r="A396" s="3">
        <f ca="1">IFERROR(__xludf.UNSUPPORTED("""COMPUTED_VALUE"""),44039.6666666666)</f>
        <v>44039.666666666599</v>
      </c>
      <c r="B396" s="1">
        <f ca="1">IFERROR(__xludf.UNSUPPORTED("""COMPUTED_VALUE"""),24.14)</f>
        <v>24.14</v>
      </c>
      <c r="C396" s="2">
        <f t="shared" ca="1" si="1"/>
        <v>-8.6242299794661529E-3</v>
      </c>
    </row>
    <row r="397" spans="1:3">
      <c r="A397" s="3">
        <f ca="1">IFERROR(__xludf.UNSUPPORTED("""COMPUTED_VALUE"""),44040.6666666666)</f>
        <v>44040.666666666599</v>
      </c>
      <c r="B397" s="1">
        <f ca="1">IFERROR(__xludf.UNSUPPORTED("""COMPUTED_VALUE"""),24.36)</f>
        <v>24.36</v>
      </c>
      <c r="C397" s="2">
        <f t="shared" ca="1" si="1"/>
        <v>9.1135045567522308E-3</v>
      </c>
    </row>
    <row r="398" spans="1:3">
      <c r="A398" s="3">
        <f ca="1">IFERROR(__xludf.UNSUPPORTED("""COMPUTED_VALUE"""),44041.6666666666)</f>
        <v>44041.666666666599</v>
      </c>
      <c r="B398" s="1">
        <f ca="1">IFERROR(__xludf.UNSUPPORTED("""COMPUTED_VALUE"""),25.27)</f>
        <v>25.27</v>
      </c>
      <c r="C398" s="2">
        <f t="shared" ca="1" si="1"/>
        <v>3.735632183908047E-2</v>
      </c>
    </row>
    <row r="399" spans="1:3">
      <c r="A399" s="3">
        <f ca="1">IFERROR(__xludf.UNSUPPORTED("""COMPUTED_VALUE"""),44042.6666666666)</f>
        <v>44042.666666666599</v>
      </c>
      <c r="B399" s="1">
        <f ca="1">IFERROR(__xludf.UNSUPPORTED("""COMPUTED_VALUE"""),24.84)</f>
        <v>24.84</v>
      </c>
      <c r="C399" s="2">
        <f t="shared" ca="1" si="1"/>
        <v>-1.7016224772457449E-2</v>
      </c>
    </row>
    <row r="400" spans="1:3">
      <c r="A400" s="3">
        <f ca="1">IFERROR(__xludf.UNSUPPORTED("""COMPUTED_VALUE"""),44043.6666666666)</f>
        <v>44043.666666666599</v>
      </c>
      <c r="B400" s="1">
        <f ca="1">IFERROR(__xludf.UNSUPPORTED("""COMPUTED_VALUE"""),24.88)</f>
        <v>24.88</v>
      </c>
      <c r="C400" s="2">
        <f t="shared" ca="1" si="1"/>
        <v>1.6103059581320108E-3</v>
      </c>
    </row>
    <row r="401" spans="1:3">
      <c r="A401" s="3">
        <f ca="1">IFERROR(__xludf.UNSUPPORTED("""COMPUTED_VALUE"""),44046.6666666666)</f>
        <v>44046.666666666599</v>
      </c>
      <c r="B401" s="1">
        <f ca="1">IFERROR(__xludf.UNSUPPORTED("""COMPUTED_VALUE"""),24.99)</f>
        <v>24.99</v>
      </c>
      <c r="C401" s="2">
        <f t="shared" ca="1" si="1"/>
        <v>4.421221864951746E-3</v>
      </c>
    </row>
    <row r="402" spans="1:3">
      <c r="A402" s="3">
        <f ca="1">IFERROR(__xludf.UNSUPPORTED("""COMPUTED_VALUE"""),44047.6666666666)</f>
        <v>44047.666666666599</v>
      </c>
      <c r="B402" s="1">
        <f ca="1">IFERROR(__xludf.UNSUPPORTED("""COMPUTED_VALUE"""),25.01)</f>
        <v>25.01</v>
      </c>
      <c r="C402" s="2">
        <f t="shared" ca="1" si="1"/>
        <v>8.0032012805134566E-4</v>
      </c>
    </row>
    <row r="403" spans="1:3">
      <c r="A403" s="3">
        <f ca="1">IFERROR(__xludf.UNSUPPORTED("""COMPUTED_VALUE"""),44048.6666666666)</f>
        <v>44048.666666666599</v>
      </c>
      <c r="B403" s="1">
        <f ca="1">IFERROR(__xludf.UNSUPPORTED("""COMPUTED_VALUE"""),25.39)</f>
        <v>25.39</v>
      </c>
      <c r="C403" s="2">
        <f t="shared" ca="1" si="1"/>
        <v>1.5193922431027549E-2</v>
      </c>
    </row>
    <row r="404" spans="1:3">
      <c r="A404" s="3">
        <f ca="1">IFERROR(__xludf.UNSUPPORTED("""COMPUTED_VALUE"""),44049.6666666666)</f>
        <v>44049.666666666599</v>
      </c>
      <c r="B404" s="1">
        <f ca="1">IFERROR(__xludf.UNSUPPORTED("""COMPUTED_VALUE"""),25.47)</f>
        <v>25.47</v>
      </c>
      <c r="C404" s="2">
        <f t="shared" ca="1" si="1"/>
        <v>3.1508467900747653E-3</v>
      </c>
    </row>
    <row r="405" spans="1:3">
      <c r="A405" s="3">
        <f ca="1">IFERROR(__xludf.UNSUPPORTED("""COMPUTED_VALUE"""),44050.6666666666)</f>
        <v>44050.666666666599</v>
      </c>
      <c r="B405" s="1">
        <f ca="1">IFERROR(__xludf.UNSUPPORTED("""COMPUTED_VALUE"""),26.11)</f>
        <v>26.11</v>
      </c>
      <c r="C405" s="2">
        <f t="shared" ca="1" si="1"/>
        <v>2.5127601099332573E-2</v>
      </c>
    </row>
    <row r="406" spans="1:3">
      <c r="A406" s="3">
        <f ca="1">IFERROR(__xludf.UNSUPPORTED("""COMPUTED_VALUE"""),44053.6666666666)</f>
        <v>44053.666666666599</v>
      </c>
      <c r="B406" s="1">
        <f ca="1">IFERROR(__xludf.UNSUPPORTED("""COMPUTED_VALUE"""),26.56)</f>
        <v>26.56</v>
      </c>
      <c r="C406" s="2">
        <f t="shared" ca="1" si="1"/>
        <v>1.7234775947912652E-2</v>
      </c>
    </row>
    <row r="407" spans="1:3">
      <c r="A407" s="3">
        <f ca="1">IFERROR(__xludf.UNSUPPORTED("""COMPUTED_VALUE"""),44054.6666666666)</f>
        <v>44054.666666666599</v>
      </c>
      <c r="B407" s="1">
        <f ca="1">IFERROR(__xludf.UNSUPPORTED("""COMPUTED_VALUE"""),26.92)</f>
        <v>26.92</v>
      </c>
      <c r="C407" s="2">
        <f t="shared" ca="1" si="1"/>
        <v>1.3554216867469993E-2</v>
      </c>
    </row>
    <row r="408" spans="1:3">
      <c r="A408" s="3">
        <f ca="1">IFERROR(__xludf.UNSUPPORTED("""COMPUTED_VALUE"""),44055.6666666666)</f>
        <v>44055.666666666599</v>
      </c>
      <c r="B408" s="1">
        <f ca="1">IFERROR(__xludf.UNSUPPORTED("""COMPUTED_VALUE"""),26.73)</f>
        <v>26.73</v>
      </c>
      <c r="C408" s="2">
        <f t="shared" ca="1" si="1"/>
        <v>-7.0579494799406116E-3</v>
      </c>
    </row>
    <row r="409" spans="1:3">
      <c r="A409" s="3">
        <f ca="1">IFERROR(__xludf.UNSUPPORTED("""COMPUTED_VALUE"""),44056.6666666666)</f>
        <v>44056.666666666599</v>
      </c>
      <c r="B409" s="1">
        <f ca="1">IFERROR(__xludf.UNSUPPORTED("""COMPUTED_VALUE"""),26.35)</f>
        <v>26.35</v>
      </c>
      <c r="C409" s="2">
        <f t="shared" ca="1" si="1"/>
        <v>-1.4216236438458624E-2</v>
      </c>
    </row>
    <row r="410" spans="1:3">
      <c r="A410" s="3">
        <f ca="1">IFERROR(__xludf.UNSUPPORTED("""COMPUTED_VALUE"""),44057.6666666666)</f>
        <v>44057.666666666599</v>
      </c>
      <c r="B410" s="1">
        <f ca="1">IFERROR(__xludf.UNSUPPORTED("""COMPUTED_VALUE"""),26.47)</f>
        <v>26.47</v>
      </c>
      <c r="C410" s="2">
        <f t="shared" ca="1" si="1"/>
        <v>4.5540796963945895E-3</v>
      </c>
    </row>
    <row r="411" spans="1:3">
      <c r="A411" s="3">
        <f ca="1">IFERROR(__xludf.UNSUPPORTED("""COMPUTED_VALUE"""),44060.6666666666)</f>
        <v>44060.666666666599</v>
      </c>
      <c r="B411" s="1">
        <f ca="1">IFERROR(__xludf.UNSUPPORTED("""COMPUTED_VALUE"""),25.9)</f>
        <v>25.9</v>
      </c>
      <c r="C411" s="2">
        <f t="shared" ca="1" si="1"/>
        <v>-2.1533811862485843E-2</v>
      </c>
    </row>
    <row r="412" spans="1:3">
      <c r="A412" s="3">
        <f ca="1">IFERROR(__xludf.UNSUPPORTED("""COMPUTED_VALUE"""),44061.6666666666)</f>
        <v>44061.666666666599</v>
      </c>
      <c r="B412" s="1">
        <f ca="1">IFERROR(__xludf.UNSUPPORTED("""COMPUTED_VALUE"""),25.53)</f>
        <v>25.53</v>
      </c>
      <c r="C412" s="2">
        <f t="shared" ca="1" si="1"/>
        <v>-1.4285714285714188E-2</v>
      </c>
    </row>
    <row r="413" spans="1:3">
      <c r="A413" s="3">
        <f ca="1">IFERROR(__xludf.UNSUPPORTED("""COMPUTED_VALUE"""),44062.6666666666)</f>
        <v>44062.666666666599</v>
      </c>
      <c r="B413" s="1">
        <f ca="1">IFERROR(__xludf.UNSUPPORTED("""COMPUTED_VALUE"""),25.5)</f>
        <v>25.5</v>
      </c>
      <c r="C413" s="2">
        <f t="shared" ca="1" si="1"/>
        <v>-1.1750881316099152E-3</v>
      </c>
    </row>
    <row r="414" spans="1:3">
      <c r="A414" s="3">
        <f ca="1">IFERROR(__xludf.UNSUPPORTED("""COMPUTED_VALUE"""),44063.6666666666)</f>
        <v>44063.666666666599</v>
      </c>
      <c r="B414" s="1">
        <f ca="1">IFERROR(__xludf.UNSUPPORTED("""COMPUTED_VALUE"""),25.1)</f>
        <v>25.1</v>
      </c>
      <c r="C414" s="2">
        <f t="shared" ca="1" si="1"/>
        <v>-1.5686274509803866E-2</v>
      </c>
    </row>
    <row r="415" spans="1:3">
      <c r="A415" s="3">
        <f ca="1">IFERROR(__xludf.UNSUPPORTED("""COMPUTED_VALUE"""),44064.6666666666)</f>
        <v>44064.666666666599</v>
      </c>
      <c r="B415" s="1">
        <f ca="1">IFERROR(__xludf.UNSUPPORTED("""COMPUTED_VALUE"""),24.98)</f>
        <v>24.98</v>
      </c>
      <c r="C415" s="2">
        <f t="shared" ca="1" si="1"/>
        <v>-4.780876494023944E-3</v>
      </c>
    </row>
    <row r="416" spans="1:3">
      <c r="A416" s="3">
        <f ca="1">IFERROR(__xludf.UNSUPPORTED("""COMPUTED_VALUE"""),44067.6666666666)</f>
        <v>44067.666666666599</v>
      </c>
      <c r="B416" s="1">
        <f ca="1">IFERROR(__xludf.UNSUPPORTED("""COMPUTED_VALUE"""),25.69)</f>
        <v>25.69</v>
      </c>
      <c r="C416" s="2">
        <f t="shared" ca="1" si="1"/>
        <v>2.8422738190552476E-2</v>
      </c>
    </row>
    <row r="417" spans="1:3">
      <c r="A417" s="3">
        <f ca="1">IFERROR(__xludf.UNSUPPORTED("""COMPUTED_VALUE"""),44068.6666666666)</f>
        <v>44068.666666666599</v>
      </c>
      <c r="B417" s="1">
        <f ca="1">IFERROR(__xludf.UNSUPPORTED("""COMPUTED_VALUE"""),26)</f>
        <v>26</v>
      </c>
      <c r="C417" s="2">
        <f t="shared" ca="1" si="1"/>
        <v>1.2066952121447984E-2</v>
      </c>
    </row>
    <row r="418" spans="1:3">
      <c r="A418" s="3">
        <f ca="1">IFERROR(__xludf.UNSUPPORTED("""COMPUTED_VALUE"""),44069.6666666666)</f>
        <v>44069.666666666599</v>
      </c>
      <c r="B418" s="1">
        <f ca="1">IFERROR(__xludf.UNSUPPORTED("""COMPUTED_VALUE"""),25.56)</f>
        <v>25.56</v>
      </c>
      <c r="C418" s="2">
        <f t="shared" ca="1" si="1"/>
        <v>-1.6923076923076971E-2</v>
      </c>
    </row>
    <row r="419" spans="1:3">
      <c r="A419" s="3">
        <f ca="1">IFERROR(__xludf.UNSUPPORTED("""COMPUTED_VALUE"""),44070.6666666666)</f>
        <v>44070.666666666599</v>
      </c>
      <c r="B419" s="1">
        <f ca="1">IFERROR(__xludf.UNSUPPORTED("""COMPUTED_VALUE"""),26.05)</f>
        <v>26.05</v>
      </c>
      <c r="C419" s="2">
        <f t="shared" ca="1" si="1"/>
        <v>1.9170579029734038E-2</v>
      </c>
    </row>
    <row r="420" spans="1:3">
      <c r="A420" s="3">
        <f ca="1">IFERROR(__xludf.UNSUPPORTED("""COMPUTED_VALUE"""),44071.6666666666)</f>
        <v>44071.666666666599</v>
      </c>
      <c r="B420" s="1">
        <f ca="1">IFERROR(__xludf.UNSUPPORTED("""COMPUTED_VALUE"""),26.3)</f>
        <v>26.3</v>
      </c>
      <c r="C420" s="2">
        <f t="shared" ca="1" si="1"/>
        <v>9.5969289827255271E-3</v>
      </c>
    </row>
    <row r="421" spans="1:3">
      <c r="A421" s="3">
        <f ca="1">IFERROR(__xludf.UNSUPPORTED("""COMPUTED_VALUE"""),44074.6666666666)</f>
        <v>44074.666666666599</v>
      </c>
      <c r="B421" s="1">
        <f ca="1">IFERROR(__xludf.UNSUPPORTED("""COMPUTED_VALUE"""),25.74)</f>
        <v>25.74</v>
      </c>
      <c r="C421" s="2">
        <f t="shared" ca="1" si="1"/>
        <v>-2.1292775665399326E-2</v>
      </c>
    </row>
    <row r="422" spans="1:3">
      <c r="A422" s="3">
        <f ca="1">IFERROR(__xludf.UNSUPPORTED("""COMPUTED_VALUE"""),44075.6666666666)</f>
        <v>44075.666666666599</v>
      </c>
      <c r="B422" s="1">
        <f ca="1">IFERROR(__xludf.UNSUPPORTED("""COMPUTED_VALUE"""),25.71)</f>
        <v>25.71</v>
      </c>
      <c r="C422" s="2">
        <f t="shared" ca="1" si="1"/>
        <v>-1.1655011655010716E-3</v>
      </c>
    </row>
    <row r="423" spans="1:3">
      <c r="A423" s="3">
        <f ca="1">IFERROR(__xludf.UNSUPPORTED("""COMPUTED_VALUE"""),44076.6666666666)</f>
        <v>44076.666666666599</v>
      </c>
      <c r="B423" s="1">
        <f ca="1">IFERROR(__xludf.UNSUPPORTED("""COMPUTED_VALUE"""),26.02)</f>
        <v>26.02</v>
      </c>
      <c r="C423" s="2">
        <f t="shared" ca="1" si="1"/>
        <v>1.2057565149747131E-2</v>
      </c>
    </row>
    <row r="424" spans="1:3">
      <c r="A424" s="3">
        <f ca="1">IFERROR(__xludf.UNSUPPORTED("""COMPUTED_VALUE"""),44077.6666666666)</f>
        <v>44077.666666666599</v>
      </c>
      <c r="B424" s="1">
        <f ca="1">IFERROR(__xludf.UNSUPPORTED("""COMPUTED_VALUE"""),25.66)</f>
        <v>25.66</v>
      </c>
      <c r="C424" s="2">
        <f t="shared" ca="1" si="1"/>
        <v>-1.3835511145272846E-2</v>
      </c>
    </row>
    <row r="425" spans="1:3">
      <c r="A425" s="3">
        <f ca="1">IFERROR(__xludf.UNSUPPORTED("""COMPUTED_VALUE"""),44078.6666666666)</f>
        <v>44078.666666666599</v>
      </c>
      <c r="B425" s="1">
        <f ca="1">IFERROR(__xludf.UNSUPPORTED("""COMPUTED_VALUE"""),26.54)</f>
        <v>26.54</v>
      </c>
      <c r="C425" s="2">
        <f t="shared" ca="1" si="1"/>
        <v>3.4294621979734957E-2</v>
      </c>
    </row>
    <row r="426" spans="1:3">
      <c r="A426" s="3">
        <f ca="1">IFERROR(__xludf.UNSUPPORTED("""COMPUTED_VALUE"""),44082.6666666666)</f>
        <v>44082.666666666599</v>
      </c>
      <c r="B426" s="1">
        <f ca="1">IFERROR(__xludf.UNSUPPORTED("""COMPUTED_VALUE"""),25.48)</f>
        <v>25.48</v>
      </c>
      <c r="C426" s="2">
        <f t="shared" ca="1" si="1"/>
        <v>-3.9939713639788953E-2</v>
      </c>
    </row>
    <row r="427" spans="1:3">
      <c r="A427" s="3">
        <f ca="1">IFERROR(__xludf.UNSUPPORTED("""COMPUTED_VALUE"""),44083.6666666666)</f>
        <v>44083.666666666599</v>
      </c>
      <c r="B427" s="1">
        <f ca="1">IFERROR(__xludf.UNSUPPORTED("""COMPUTED_VALUE"""),25.51)</f>
        <v>25.51</v>
      </c>
      <c r="C427" s="2">
        <f t="shared" ca="1" si="1"/>
        <v>1.1773940345369363E-3</v>
      </c>
    </row>
    <row r="428" spans="1:3">
      <c r="A428" s="3">
        <f ca="1">IFERROR(__xludf.UNSUPPORTED("""COMPUTED_VALUE"""),44084.6666666666)</f>
        <v>44084.666666666599</v>
      </c>
      <c r="B428" s="1">
        <f ca="1">IFERROR(__xludf.UNSUPPORTED("""COMPUTED_VALUE"""),25.14)</f>
        <v>25.14</v>
      </c>
      <c r="C428" s="2">
        <f t="shared" ca="1" si="1"/>
        <v>-1.4504116032928302E-2</v>
      </c>
    </row>
    <row r="429" spans="1:3">
      <c r="A429" s="3">
        <f ca="1">IFERROR(__xludf.UNSUPPORTED("""COMPUTED_VALUE"""),44085.6666666666)</f>
        <v>44085.666666666599</v>
      </c>
      <c r="B429" s="1">
        <f ca="1">IFERROR(__xludf.UNSUPPORTED("""COMPUTED_VALUE"""),25.5)</f>
        <v>25.5</v>
      </c>
      <c r="C429" s="2">
        <f t="shared" ca="1" si="1"/>
        <v>1.4319809069212387E-2</v>
      </c>
    </row>
    <row r="430" spans="1:3">
      <c r="A430" s="3">
        <f ca="1">IFERROR(__xludf.UNSUPPORTED("""COMPUTED_VALUE"""),44088.6666666666)</f>
        <v>44088.666666666599</v>
      </c>
      <c r="B430" s="1">
        <f ca="1">IFERROR(__xludf.UNSUPPORTED("""COMPUTED_VALUE"""),25.75)</f>
        <v>25.75</v>
      </c>
      <c r="C430" s="2">
        <f t="shared" ca="1" si="1"/>
        <v>9.8039215686274508E-3</v>
      </c>
    </row>
    <row r="431" spans="1:3">
      <c r="A431" s="3">
        <f ca="1">IFERROR(__xludf.UNSUPPORTED("""COMPUTED_VALUE"""),44089.6666666666)</f>
        <v>44089.666666666599</v>
      </c>
      <c r="B431" s="1">
        <f ca="1">IFERROR(__xludf.UNSUPPORTED("""COMPUTED_VALUE"""),25.28)</f>
        <v>25.28</v>
      </c>
      <c r="C431" s="2">
        <f t="shared" ca="1" si="1"/>
        <v>-1.8252427184465975E-2</v>
      </c>
    </row>
    <row r="432" spans="1:3">
      <c r="A432" s="3">
        <f ca="1">IFERROR(__xludf.UNSUPPORTED("""COMPUTED_VALUE"""),44090.6666666666)</f>
        <v>44090.666666666599</v>
      </c>
      <c r="B432" s="1">
        <f ca="1">IFERROR(__xludf.UNSUPPORTED("""COMPUTED_VALUE"""),25.6)</f>
        <v>25.6</v>
      </c>
      <c r="C432" s="2">
        <f t="shared" ca="1" si="1"/>
        <v>1.2658227848101276E-2</v>
      </c>
    </row>
    <row r="433" spans="1:3">
      <c r="A433" s="3">
        <f ca="1">IFERROR(__xludf.UNSUPPORTED("""COMPUTED_VALUE"""),44091.6666666666)</f>
        <v>44091.666666666599</v>
      </c>
      <c r="B433" s="1">
        <f ca="1">IFERROR(__xludf.UNSUPPORTED("""COMPUTED_VALUE"""),25.35)</f>
        <v>25.35</v>
      </c>
      <c r="C433" s="2">
        <f t="shared" ca="1" si="1"/>
        <v>-9.765625E-3</v>
      </c>
    </row>
    <row r="434" spans="1:3">
      <c r="A434" s="3">
        <f ca="1">IFERROR(__xludf.UNSUPPORTED("""COMPUTED_VALUE"""),44092.6666666666)</f>
        <v>44092.666666666599</v>
      </c>
      <c r="B434" s="1">
        <f ca="1">IFERROR(__xludf.UNSUPPORTED("""COMPUTED_VALUE"""),25.21)</f>
        <v>25.21</v>
      </c>
      <c r="C434" s="2">
        <f t="shared" ca="1" si="1"/>
        <v>-5.5226824457593913E-3</v>
      </c>
    </row>
    <row r="435" spans="1:3">
      <c r="A435" s="3">
        <f ca="1">IFERROR(__xludf.UNSUPPORTED("""COMPUTED_VALUE"""),44095.6666666666)</f>
        <v>44095.666666666599</v>
      </c>
      <c r="B435" s="1">
        <f ca="1">IFERROR(__xludf.UNSUPPORTED("""COMPUTED_VALUE"""),24.47)</f>
        <v>24.47</v>
      </c>
      <c r="C435" s="2">
        <f t="shared" ca="1" si="1"/>
        <v>-2.9353431178104007E-2</v>
      </c>
    </row>
    <row r="436" spans="1:3">
      <c r="A436" s="3">
        <f ca="1">IFERROR(__xludf.UNSUPPORTED("""COMPUTED_VALUE"""),44096.6666666666)</f>
        <v>44096.666666666599</v>
      </c>
      <c r="B436" s="1">
        <f ca="1">IFERROR(__xludf.UNSUPPORTED("""COMPUTED_VALUE"""),23.94)</f>
        <v>23.94</v>
      </c>
      <c r="C436" s="2">
        <f t="shared" ca="1" si="1"/>
        <v>-2.1659174499386907E-2</v>
      </c>
    </row>
    <row r="437" spans="1:3">
      <c r="A437" s="3">
        <f ca="1">IFERROR(__xludf.UNSUPPORTED("""COMPUTED_VALUE"""),44097.6666666666)</f>
        <v>44097.666666666599</v>
      </c>
      <c r="B437" s="1">
        <f ca="1">IFERROR(__xludf.UNSUPPORTED("""COMPUTED_VALUE"""),23.26)</f>
        <v>23.26</v>
      </c>
      <c r="C437" s="2">
        <f t="shared" ca="1" si="1"/>
        <v>-2.8404344193817866E-2</v>
      </c>
    </row>
    <row r="438" spans="1:3">
      <c r="A438" s="3">
        <f ca="1">IFERROR(__xludf.UNSUPPORTED("""COMPUTED_VALUE"""),44098.6666666666)</f>
        <v>44098.666666666599</v>
      </c>
      <c r="B438" s="1">
        <f ca="1">IFERROR(__xludf.UNSUPPORTED("""COMPUTED_VALUE"""),23.34)</f>
        <v>23.34</v>
      </c>
      <c r="C438" s="2">
        <f t="shared" ca="1" si="1"/>
        <v>3.4393809114358679E-3</v>
      </c>
    </row>
    <row r="439" spans="1:3">
      <c r="A439" s="3">
        <f ca="1">IFERROR(__xludf.UNSUPPORTED("""COMPUTED_VALUE"""),44099.6666666666)</f>
        <v>44099.666666666599</v>
      </c>
      <c r="B439" s="1">
        <f ca="1">IFERROR(__xludf.UNSUPPORTED("""COMPUTED_VALUE"""),23.49)</f>
        <v>23.49</v>
      </c>
      <c r="C439" s="2">
        <f t="shared" ca="1" si="1"/>
        <v>6.4267352185089369E-3</v>
      </c>
    </row>
    <row r="440" spans="1:3">
      <c r="A440" s="3">
        <f ca="1">IFERROR(__xludf.UNSUPPORTED("""COMPUTED_VALUE"""),44102.6666666666)</f>
        <v>44102.666666666599</v>
      </c>
      <c r="B440" s="1">
        <f ca="1">IFERROR(__xludf.UNSUPPORTED("""COMPUTED_VALUE"""),24.09)</f>
        <v>24.09</v>
      </c>
      <c r="C440" s="2">
        <f t="shared" ca="1" si="1"/>
        <v>2.5542784163473879E-2</v>
      </c>
    </row>
    <row r="441" spans="1:3">
      <c r="A441" s="3">
        <f ca="1">IFERROR(__xludf.UNSUPPORTED("""COMPUTED_VALUE"""),44103.6666666666)</f>
        <v>44103.666666666599</v>
      </c>
      <c r="B441" s="1">
        <f ca="1">IFERROR(__xludf.UNSUPPORTED("""COMPUTED_VALUE"""),23.77)</f>
        <v>23.77</v>
      </c>
      <c r="C441" s="2">
        <f t="shared" ca="1" si="1"/>
        <v>-1.3283520132835213E-2</v>
      </c>
    </row>
    <row r="442" spans="1:3">
      <c r="A442" s="3">
        <f ca="1">IFERROR(__xludf.UNSUPPORTED("""COMPUTED_VALUE"""),44104.6666666666)</f>
        <v>44104.666666666599</v>
      </c>
      <c r="B442" s="1">
        <f ca="1">IFERROR(__xludf.UNSUPPORTED("""COMPUTED_VALUE"""),24.09)</f>
        <v>24.09</v>
      </c>
      <c r="C442" s="2">
        <f t="shared" ca="1" si="1"/>
        <v>1.3462347496844775E-2</v>
      </c>
    </row>
    <row r="443" spans="1:3">
      <c r="A443" s="3">
        <f ca="1">IFERROR(__xludf.UNSUPPORTED("""COMPUTED_VALUE"""),44105.6666666666)</f>
        <v>44105.666666666599</v>
      </c>
      <c r="B443" s="1">
        <f ca="1">IFERROR(__xludf.UNSUPPORTED("""COMPUTED_VALUE"""),24.1)</f>
        <v>24.1</v>
      </c>
      <c r="C443" s="2">
        <f t="shared" ca="1" si="1"/>
        <v>4.1511000415116493E-4</v>
      </c>
    </row>
    <row r="444" spans="1:3">
      <c r="A444" s="3">
        <f ca="1">IFERROR(__xludf.UNSUPPORTED("""COMPUTED_VALUE"""),44106.6666666666)</f>
        <v>44106.666666666599</v>
      </c>
      <c r="B444" s="1">
        <f ca="1">IFERROR(__xludf.UNSUPPORTED("""COMPUTED_VALUE"""),24.21)</f>
        <v>24.21</v>
      </c>
      <c r="C444" s="2">
        <f t="shared" ca="1" si="1"/>
        <v>4.5643153526970714E-3</v>
      </c>
    </row>
    <row r="445" spans="1:3">
      <c r="A445" s="3">
        <f ca="1">IFERROR(__xludf.UNSUPPORTED("""COMPUTED_VALUE"""),44109.6666666666)</f>
        <v>44109.666666666599</v>
      </c>
      <c r="B445" s="1">
        <f ca="1">IFERROR(__xludf.UNSUPPORTED("""COMPUTED_VALUE"""),24.62)</f>
        <v>24.62</v>
      </c>
      <c r="C445" s="2">
        <f t="shared" ca="1" si="1"/>
        <v>1.6935150764147051E-2</v>
      </c>
    </row>
    <row r="446" spans="1:3">
      <c r="A446" s="3">
        <f ca="1">IFERROR(__xludf.UNSUPPORTED("""COMPUTED_VALUE"""),44110.6666666666)</f>
        <v>44110.666666666599</v>
      </c>
      <c r="B446" s="1">
        <f ca="1">IFERROR(__xludf.UNSUPPORTED("""COMPUTED_VALUE"""),24.37)</f>
        <v>24.37</v>
      </c>
      <c r="C446" s="2">
        <f t="shared" ca="1" si="1"/>
        <v>-1.0154346060113728E-2</v>
      </c>
    </row>
    <row r="447" spans="1:3">
      <c r="A447" s="3">
        <f ca="1">IFERROR(__xludf.UNSUPPORTED("""COMPUTED_VALUE"""),44111.6666666666)</f>
        <v>44111.666666666599</v>
      </c>
      <c r="B447" s="1">
        <f ca="1">IFERROR(__xludf.UNSUPPORTED("""COMPUTED_VALUE"""),24.88)</f>
        <v>24.88</v>
      </c>
      <c r="C447" s="2">
        <f t="shared" ca="1" si="1"/>
        <v>2.0927369716864916E-2</v>
      </c>
    </row>
    <row r="448" spans="1:3">
      <c r="A448" s="3">
        <f ca="1">IFERROR(__xludf.UNSUPPORTED("""COMPUTED_VALUE"""),44112.6666666666)</f>
        <v>44112.666666666599</v>
      </c>
      <c r="B448" s="1">
        <f ca="1">IFERROR(__xludf.UNSUPPORTED("""COMPUTED_VALUE"""),25.24)</f>
        <v>25.24</v>
      </c>
      <c r="C448" s="2">
        <f t="shared" ca="1" si="1"/>
        <v>1.4469453376205766E-2</v>
      </c>
    </row>
    <row r="449" spans="1:3">
      <c r="A449" s="3">
        <f ca="1">IFERROR(__xludf.UNSUPPORTED("""COMPUTED_VALUE"""),44113.6666666666)</f>
        <v>44113.666666666599</v>
      </c>
      <c r="B449" s="1">
        <f ca="1">IFERROR(__xludf.UNSUPPORTED("""COMPUTED_VALUE"""),25.36)</f>
        <v>25.36</v>
      </c>
      <c r="C449" s="2">
        <f t="shared" ca="1" si="1"/>
        <v>4.7543581616482176E-3</v>
      </c>
    </row>
    <row r="450" spans="1:3">
      <c r="A450" s="3">
        <f ca="1">IFERROR(__xludf.UNSUPPORTED("""COMPUTED_VALUE"""),44116.6666666666)</f>
        <v>44116.666666666599</v>
      </c>
      <c r="B450" s="1">
        <f ca="1">IFERROR(__xludf.UNSUPPORTED("""COMPUTED_VALUE"""),25.68)</f>
        <v>25.68</v>
      </c>
      <c r="C450" s="2">
        <f t="shared" ca="1" si="1"/>
        <v>1.2618296529968466E-2</v>
      </c>
    </row>
    <row r="451" spans="1:3">
      <c r="A451" s="3">
        <f ca="1">IFERROR(__xludf.UNSUPPORTED("""COMPUTED_VALUE"""),44117.6666666666)</f>
        <v>44117.666666666599</v>
      </c>
      <c r="B451" s="1">
        <f ca="1">IFERROR(__xludf.UNSUPPORTED("""COMPUTED_VALUE"""),24.95)</f>
        <v>24.95</v>
      </c>
      <c r="C451" s="2">
        <f t="shared" ca="1" si="1"/>
        <v>-2.8426791277258584E-2</v>
      </c>
    </row>
    <row r="452" spans="1:3">
      <c r="A452" s="3">
        <f ca="1">IFERROR(__xludf.UNSUPPORTED("""COMPUTED_VALUE"""),44118.6666666666)</f>
        <v>44118.666666666599</v>
      </c>
      <c r="B452" s="1">
        <f ca="1">IFERROR(__xludf.UNSUPPORTED("""COMPUTED_VALUE"""),23.62)</f>
        <v>23.62</v>
      </c>
      <c r="C452" s="2">
        <f t="shared" ca="1" si="1"/>
        <v>-5.3306613226452838E-2</v>
      </c>
    </row>
    <row r="453" spans="1:3">
      <c r="A453" s="3">
        <f ca="1">IFERROR(__xludf.UNSUPPORTED("""COMPUTED_VALUE"""),44119.6666666666)</f>
        <v>44119.666666666599</v>
      </c>
      <c r="B453" s="1">
        <f ca="1">IFERROR(__xludf.UNSUPPORTED("""COMPUTED_VALUE"""),24.15)</f>
        <v>24.15</v>
      </c>
      <c r="C453" s="2">
        <f t="shared" ca="1" si="1"/>
        <v>2.2438611346316577E-2</v>
      </c>
    </row>
    <row r="454" spans="1:3">
      <c r="A454" s="3">
        <f ca="1">IFERROR(__xludf.UNSUPPORTED("""COMPUTED_VALUE"""),44120.6666666666)</f>
        <v>44120.666666666599</v>
      </c>
      <c r="B454" s="1">
        <f ca="1">IFERROR(__xludf.UNSUPPORTED("""COMPUTED_VALUE"""),24.24)</f>
        <v>24.24</v>
      </c>
      <c r="C454" s="2">
        <f t="shared" ca="1" si="1"/>
        <v>3.7267080745341558E-3</v>
      </c>
    </row>
    <row r="455" spans="1:3">
      <c r="A455" s="3">
        <f ca="1">IFERROR(__xludf.UNSUPPORTED("""COMPUTED_VALUE"""),44123.6666666666)</f>
        <v>44123.666666666599</v>
      </c>
      <c r="B455" s="1">
        <f ca="1">IFERROR(__xludf.UNSUPPORTED("""COMPUTED_VALUE"""),23.72)</f>
        <v>23.72</v>
      </c>
      <c r="C455" s="2">
        <f t="shared" ca="1" si="1"/>
        <v>-2.1452145214521438E-2</v>
      </c>
    </row>
    <row r="456" spans="1:3">
      <c r="A456" s="3">
        <f ca="1">IFERROR(__xludf.UNSUPPORTED("""COMPUTED_VALUE"""),44124.6666666666)</f>
        <v>44124.666666666599</v>
      </c>
      <c r="B456" s="1">
        <f ca="1">IFERROR(__xludf.UNSUPPORTED("""COMPUTED_VALUE"""),24.14)</f>
        <v>24.14</v>
      </c>
      <c r="C456" s="2">
        <f t="shared" ca="1" si="1"/>
        <v>1.7706576728499228E-2</v>
      </c>
    </row>
    <row r="457" spans="1:3">
      <c r="A457" s="3">
        <f ca="1">IFERROR(__xludf.UNSUPPORTED("""COMPUTED_VALUE"""),44125.6666666666)</f>
        <v>44125.666666666599</v>
      </c>
      <c r="B457" s="1">
        <f ca="1">IFERROR(__xludf.UNSUPPORTED("""COMPUTED_VALUE"""),24.05)</f>
        <v>24.05</v>
      </c>
      <c r="C457" s="2">
        <f t="shared" ca="1" si="1"/>
        <v>-3.7282518641259259E-3</v>
      </c>
    </row>
    <row r="458" spans="1:3">
      <c r="A458" s="3">
        <f ca="1">IFERROR(__xludf.UNSUPPORTED("""COMPUTED_VALUE"""),44126.6666666666)</f>
        <v>44126.666666666599</v>
      </c>
      <c r="B458" s="1">
        <f ca="1">IFERROR(__xludf.UNSUPPORTED("""COMPUTED_VALUE"""),24.87)</f>
        <v>24.87</v>
      </c>
      <c r="C458" s="2">
        <f t="shared" ca="1" si="1"/>
        <v>3.4095634095634104E-2</v>
      </c>
    </row>
    <row r="459" spans="1:3">
      <c r="A459" s="3">
        <f ca="1">IFERROR(__xludf.UNSUPPORTED("""COMPUTED_VALUE"""),44127.6666666666)</f>
        <v>44127.666666666599</v>
      </c>
      <c r="B459" s="1">
        <f ca="1">IFERROR(__xludf.UNSUPPORTED("""COMPUTED_VALUE"""),24.9)</f>
        <v>24.9</v>
      </c>
      <c r="C459" s="2">
        <f t="shared" ca="1" si="1"/>
        <v>1.206272617611483E-3</v>
      </c>
    </row>
    <row r="460" spans="1:3">
      <c r="A460" s="3">
        <f ca="1">IFERROR(__xludf.UNSUPPORTED("""COMPUTED_VALUE"""),44130.6666666666)</f>
        <v>44130.666666666599</v>
      </c>
      <c r="B460" s="1">
        <f ca="1">IFERROR(__xludf.UNSUPPORTED("""COMPUTED_VALUE"""),24.54)</f>
        <v>24.54</v>
      </c>
      <c r="C460" s="2">
        <f t="shared" ca="1" si="1"/>
        <v>-1.4457831325301183E-2</v>
      </c>
    </row>
    <row r="461" spans="1:3">
      <c r="A461" s="3">
        <f ca="1">IFERROR(__xludf.UNSUPPORTED("""COMPUTED_VALUE"""),44131.6666666666)</f>
        <v>44131.666666666599</v>
      </c>
      <c r="B461" s="1">
        <f ca="1">IFERROR(__xludf.UNSUPPORTED("""COMPUTED_VALUE"""),23.85)</f>
        <v>23.85</v>
      </c>
      <c r="C461" s="2">
        <f t="shared" ca="1" si="1"/>
        <v>-2.8117359413202841E-2</v>
      </c>
    </row>
    <row r="462" spans="1:3">
      <c r="A462" s="3">
        <f ca="1">IFERROR(__xludf.UNSUPPORTED("""COMPUTED_VALUE"""),44132.6666666666)</f>
        <v>44132.666666666599</v>
      </c>
      <c r="B462" s="1">
        <f ca="1">IFERROR(__xludf.UNSUPPORTED("""COMPUTED_VALUE"""),23.47)</f>
        <v>23.47</v>
      </c>
      <c r="C462" s="2">
        <f t="shared" ca="1" si="1"/>
        <v>-1.59329140461217E-2</v>
      </c>
    </row>
    <row r="463" spans="1:3">
      <c r="A463" s="3">
        <f ca="1">IFERROR(__xludf.UNSUPPORTED("""COMPUTED_VALUE"""),44133.6666666666)</f>
        <v>44133.666666666599</v>
      </c>
      <c r="B463" s="1">
        <f ca="1">IFERROR(__xludf.UNSUPPORTED("""COMPUTED_VALUE"""),23.54)</f>
        <v>23.54</v>
      </c>
      <c r="C463" s="2">
        <f t="shared" ca="1" si="1"/>
        <v>2.982530890498521E-3</v>
      </c>
    </row>
    <row r="464" spans="1:3">
      <c r="A464" s="3">
        <f ca="1">IFERROR(__xludf.UNSUPPORTED("""COMPUTED_VALUE"""),44134.6666666666)</f>
        <v>44134.666666666599</v>
      </c>
      <c r="B464" s="1">
        <f ca="1">IFERROR(__xludf.UNSUPPORTED("""COMPUTED_VALUE"""),23.7)</f>
        <v>23.7</v>
      </c>
      <c r="C464" s="2">
        <f t="shared" ca="1" si="1"/>
        <v>6.7969413763806349E-3</v>
      </c>
    </row>
    <row r="465" spans="1:3">
      <c r="A465" s="3">
        <f ca="1">IFERROR(__xludf.UNSUPPORTED("""COMPUTED_VALUE"""),44137.6666666666)</f>
        <v>44137.666666666599</v>
      </c>
      <c r="B465" s="1">
        <f ca="1">IFERROR(__xludf.UNSUPPORTED("""COMPUTED_VALUE"""),24.08)</f>
        <v>24.08</v>
      </c>
      <c r="C465" s="2">
        <f t="shared" ca="1" si="1"/>
        <v>1.6033755274261562E-2</v>
      </c>
    </row>
    <row r="466" spans="1:3">
      <c r="A466" s="3">
        <f ca="1">IFERROR(__xludf.UNSUPPORTED("""COMPUTED_VALUE"""),44138.6666666666)</f>
        <v>44138.666666666599</v>
      </c>
      <c r="B466" s="1">
        <f ca="1">IFERROR(__xludf.UNSUPPORTED("""COMPUTED_VALUE"""),24.69)</f>
        <v>24.69</v>
      </c>
      <c r="C466" s="2">
        <f t="shared" ca="1" si="1"/>
        <v>2.5332225913621387E-2</v>
      </c>
    </row>
    <row r="467" spans="1:3">
      <c r="A467" s="3">
        <f ca="1">IFERROR(__xludf.UNSUPPORTED("""COMPUTED_VALUE"""),44139.6666666666)</f>
        <v>44139.666666666599</v>
      </c>
      <c r="B467" s="1">
        <f ca="1">IFERROR(__xludf.UNSUPPORTED("""COMPUTED_VALUE"""),23.68)</f>
        <v>23.68</v>
      </c>
      <c r="C467" s="2">
        <f t="shared" ca="1" si="1"/>
        <v>-4.0907249898744495E-2</v>
      </c>
    </row>
    <row r="468" spans="1:3">
      <c r="A468" s="3">
        <f ca="1">IFERROR(__xludf.UNSUPPORTED("""COMPUTED_VALUE"""),44140.6666666666)</f>
        <v>44140.666666666599</v>
      </c>
      <c r="B468" s="1">
        <f ca="1">IFERROR(__xludf.UNSUPPORTED("""COMPUTED_VALUE"""),24.61)</f>
        <v>24.61</v>
      </c>
      <c r="C468" s="2">
        <f t="shared" ca="1" si="1"/>
        <v>3.9273648648648636E-2</v>
      </c>
    </row>
    <row r="469" spans="1:3">
      <c r="A469" s="3">
        <f ca="1">IFERROR(__xludf.UNSUPPORTED("""COMPUTED_VALUE"""),44141.6666666666)</f>
        <v>44141.666666666599</v>
      </c>
      <c r="B469" s="1">
        <f ca="1">IFERROR(__xludf.UNSUPPORTED("""COMPUTED_VALUE"""),24.31)</f>
        <v>24.31</v>
      </c>
      <c r="C469" s="2">
        <f t="shared" ca="1" si="1"/>
        <v>-1.2190166598943548E-2</v>
      </c>
    </row>
    <row r="470" spans="1:3">
      <c r="A470" s="3">
        <f ca="1">IFERROR(__xludf.UNSUPPORTED("""COMPUTED_VALUE"""),44144.6666666666)</f>
        <v>44144.666666666599</v>
      </c>
      <c r="B470" s="1">
        <f ca="1">IFERROR(__xludf.UNSUPPORTED("""COMPUTED_VALUE"""),27.76)</f>
        <v>27.76</v>
      </c>
      <c r="C470" s="2">
        <f t="shared" ca="1" si="1"/>
        <v>0.14191690662278911</v>
      </c>
    </row>
    <row r="471" spans="1:3">
      <c r="A471" s="3">
        <f ca="1">IFERROR(__xludf.UNSUPPORTED("""COMPUTED_VALUE"""),44145.6666666666)</f>
        <v>44145.666666666599</v>
      </c>
      <c r="B471" s="1">
        <f ca="1">IFERROR(__xludf.UNSUPPORTED("""COMPUTED_VALUE"""),27.66)</f>
        <v>27.66</v>
      </c>
      <c r="C471" s="2">
        <f t="shared" ca="1" si="1"/>
        <v>-3.6023054755043738E-3</v>
      </c>
    </row>
    <row r="472" spans="1:3">
      <c r="A472" s="3">
        <f ca="1">IFERROR(__xludf.UNSUPPORTED("""COMPUTED_VALUE"""),44146.6666666666)</f>
        <v>44146.666666666599</v>
      </c>
      <c r="B472" s="1">
        <f ca="1">IFERROR(__xludf.UNSUPPORTED("""COMPUTED_VALUE"""),27.34)</f>
        <v>27.34</v>
      </c>
      <c r="C472" s="2">
        <f t="shared" ca="1" si="1"/>
        <v>-1.1569052783803336E-2</v>
      </c>
    </row>
    <row r="473" spans="1:3">
      <c r="A473" s="3">
        <f ca="1">IFERROR(__xludf.UNSUPPORTED("""COMPUTED_VALUE"""),44147.6666666666)</f>
        <v>44147.666666666599</v>
      </c>
      <c r="B473" s="1">
        <f ca="1">IFERROR(__xludf.UNSUPPORTED("""COMPUTED_VALUE"""),26.69)</f>
        <v>26.69</v>
      </c>
      <c r="C473" s="2">
        <f t="shared" ca="1" si="1"/>
        <v>-2.3774689100219407E-2</v>
      </c>
    </row>
    <row r="474" spans="1:3">
      <c r="A474" s="3">
        <f ca="1">IFERROR(__xludf.UNSUPPORTED("""COMPUTED_VALUE"""),44148.6666666666)</f>
        <v>44148.666666666599</v>
      </c>
      <c r="B474" s="1">
        <f ca="1">IFERROR(__xludf.UNSUPPORTED("""COMPUTED_VALUE"""),27)</f>
        <v>27</v>
      </c>
      <c r="C474" s="2">
        <f t="shared" ca="1" si="1"/>
        <v>1.1614837017609543E-2</v>
      </c>
    </row>
    <row r="475" spans="1:3">
      <c r="A475" s="3">
        <f ca="1">IFERROR(__xludf.UNSUPPORTED("""COMPUTED_VALUE"""),44151.6666666666)</f>
        <v>44151.666666666599</v>
      </c>
      <c r="B475" s="1">
        <f ca="1">IFERROR(__xludf.UNSUPPORTED("""COMPUTED_VALUE"""),27.58)</f>
        <v>27.58</v>
      </c>
      <c r="C475" s="2">
        <f t="shared" ca="1" si="1"/>
        <v>2.1481481481481417E-2</v>
      </c>
    </row>
    <row r="476" spans="1:3">
      <c r="A476" s="3">
        <f ca="1">IFERROR(__xludf.UNSUPPORTED("""COMPUTED_VALUE"""),44152.6666666666)</f>
        <v>44152.666666666599</v>
      </c>
      <c r="B476" s="1">
        <f ca="1">IFERROR(__xludf.UNSUPPORTED("""COMPUTED_VALUE"""),27.55)</f>
        <v>27.55</v>
      </c>
      <c r="C476" s="2">
        <f t="shared" ca="1" si="1"/>
        <v>-1.08774474256699E-3</v>
      </c>
    </row>
    <row r="477" spans="1:3">
      <c r="A477" s="3">
        <f ca="1">IFERROR(__xludf.UNSUPPORTED("""COMPUTED_VALUE"""),44153.6666666666)</f>
        <v>44153.666666666599</v>
      </c>
      <c r="B477" s="1">
        <f ca="1">IFERROR(__xludf.UNSUPPORTED("""COMPUTED_VALUE"""),26.98)</f>
        <v>26.98</v>
      </c>
      <c r="C477" s="2">
        <f t="shared" ca="1" si="1"/>
        <v>-2.0689655172413803E-2</v>
      </c>
    </row>
    <row r="478" spans="1:3">
      <c r="A478" s="3">
        <f ca="1">IFERROR(__xludf.UNSUPPORTED("""COMPUTED_VALUE"""),44154.6666666666)</f>
        <v>44154.666666666599</v>
      </c>
      <c r="B478" s="1">
        <f ca="1">IFERROR(__xludf.UNSUPPORTED("""COMPUTED_VALUE"""),26.98)</f>
        <v>26.98</v>
      </c>
      <c r="C478" s="2">
        <f t="shared" ca="1" si="1"/>
        <v>0</v>
      </c>
    </row>
    <row r="479" spans="1:3">
      <c r="A479" s="3">
        <f ca="1">IFERROR(__xludf.UNSUPPORTED("""COMPUTED_VALUE"""),44155.6666666666)</f>
        <v>44155.666666666599</v>
      </c>
      <c r="B479" s="1">
        <f ca="1">IFERROR(__xludf.UNSUPPORTED("""COMPUTED_VALUE"""),26.81)</f>
        <v>26.81</v>
      </c>
      <c r="C479" s="2">
        <f t="shared" ca="1" si="1"/>
        <v>-6.3009636767976914E-3</v>
      </c>
    </row>
    <row r="480" spans="1:3">
      <c r="A480" s="3">
        <f ca="1">IFERROR(__xludf.UNSUPPORTED("""COMPUTED_VALUE"""),44158.6666666666)</f>
        <v>44158.666666666599</v>
      </c>
      <c r="B480" s="1">
        <f ca="1">IFERROR(__xludf.UNSUPPORTED("""COMPUTED_VALUE"""),27.39)</f>
        <v>27.39</v>
      </c>
      <c r="C480" s="2">
        <f t="shared" ca="1" si="1"/>
        <v>2.1633718761656168E-2</v>
      </c>
    </row>
    <row r="481" spans="1:3">
      <c r="A481" s="3">
        <f ca="1">IFERROR(__xludf.UNSUPPORTED("""COMPUTED_VALUE"""),44159.6666666666)</f>
        <v>44159.666666666599</v>
      </c>
      <c r="B481" s="1">
        <f ca="1">IFERROR(__xludf.UNSUPPORTED("""COMPUTED_VALUE"""),28.98)</f>
        <v>28.98</v>
      </c>
      <c r="C481" s="2">
        <f t="shared" ca="1" si="1"/>
        <v>5.8050383351588165E-2</v>
      </c>
    </row>
    <row r="482" spans="1:3">
      <c r="A482" s="3">
        <f ca="1">IFERROR(__xludf.UNSUPPORTED("""COMPUTED_VALUE"""),44160.6666666666)</f>
        <v>44160.666666666599</v>
      </c>
      <c r="B482" s="1">
        <f ca="1">IFERROR(__xludf.UNSUPPORTED("""COMPUTED_VALUE"""),29.03)</f>
        <v>29.03</v>
      </c>
      <c r="C482" s="2">
        <f t="shared" ca="1" si="1"/>
        <v>1.7253278122843585E-3</v>
      </c>
    </row>
    <row r="483" spans="1:3">
      <c r="A483" s="3">
        <f ca="1">IFERROR(__xludf.UNSUPPORTED("""COMPUTED_VALUE"""),44162.5416666666)</f>
        <v>44162.541666666599</v>
      </c>
      <c r="B483" s="1">
        <f ca="1">IFERROR(__xludf.UNSUPPORTED("""COMPUTED_VALUE"""),28.99)</f>
        <v>28.99</v>
      </c>
      <c r="C483" s="2">
        <f t="shared" ca="1" si="1"/>
        <v>-1.3778849466070512E-3</v>
      </c>
    </row>
    <row r="484" spans="1:3">
      <c r="A484" s="3">
        <f ca="1">IFERROR(__xludf.UNSUPPORTED("""COMPUTED_VALUE"""),44165.6666666666)</f>
        <v>44165.666666666599</v>
      </c>
      <c r="B484" s="1">
        <f ca="1">IFERROR(__xludf.UNSUPPORTED("""COMPUTED_VALUE"""),28.16)</f>
        <v>28.16</v>
      </c>
      <c r="C484" s="2">
        <f t="shared" ca="1" si="1"/>
        <v>-2.8630562262849202E-2</v>
      </c>
    </row>
    <row r="485" spans="1:3">
      <c r="A485" s="3">
        <f ca="1">IFERROR(__xludf.UNSUPPORTED("""COMPUTED_VALUE"""),44166.6666666666)</f>
        <v>44166.666666666599</v>
      </c>
      <c r="B485" s="1">
        <f ca="1">IFERROR(__xludf.UNSUPPORTED("""COMPUTED_VALUE"""),28.69)</f>
        <v>28.69</v>
      </c>
      <c r="C485" s="2">
        <f t="shared" ca="1" si="1"/>
        <v>1.8821022727272766E-2</v>
      </c>
    </row>
    <row r="486" spans="1:3">
      <c r="A486" s="3">
        <f ca="1">IFERROR(__xludf.UNSUPPORTED("""COMPUTED_VALUE"""),44167.6666666666)</f>
        <v>44167.666666666599</v>
      </c>
      <c r="B486" s="1">
        <f ca="1">IFERROR(__xludf.UNSUPPORTED("""COMPUTED_VALUE"""),29.06)</f>
        <v>29.06</v>
      </c>
      <c r="C486" s="2">
        <f t="shared" ca="1" si="1"/>
        <v>1.2896479609619987E-2</v>
      </c>
    </row>
    <row r="487" spans="1:3">
      <c r="A487" s="3">
        <f ca="1">IFERROR(__xludf.UNSUPPORTED("""COMPUTED_VALUE"""),44168.6666666666)</f>
        <v>44168.666666666599</v>
      </c>
      <c r="B487" s="1">
        <f ca="1">IFERROR(__xludf.UNSUPPORTED("""COMPUTED_VALUE"""),28.91)</f>
        <v>28.91</v>
      </c>
      <c r="C487" s="2">
        <f t="shared" ca="1" si="1"/>
        <v>-5.1617343427391117E-3</v>
      </c>
    </row>
    <row r="488" spans="1:3">
      <c r="A488" s="3">
        <f ca="1">IFERROR(__xludf.UNSUPPORTED("""COMPUTED_VALUE"""),44169.6666666666)</f>
        <v>44169.666666666599</v>
      </c>
      <c r="B488" s="1">
        <f ca="1">IFERROR(__xludf.UNSUPPORTED("""COMPUTED_VALUE"""),29.29)</f>
        <v>29.29</v>
      </c>
      <c r="C488" s="2">
        <f t="shared" ca="1" si="1"/>
        <v>1.3144240747146282E-2</v>
      </c>
    </row>
    <row r="489" spans="1:3">
      <c r="A489" s="3">
        <f ca="1">IFERROR(__xludf.UNSUPPORTED("""COMPUTED_VALUE"""),44172.6666666666)</f>
        <v>44172.666666666599</v>
      </c>
      <c r="B489" s="1">
        <f ca="1">IFERROR(__xludf.UNSUPPORTED("""COMPUTED_VALUE"""),29.09)</f>
        <v>29.09</v>
      </c>
      <c r="C489" s="2">
        <f t="shared" ca="1" si="1"/>
        <v>-6.8282690337999078E-3</v>
      </c>
    </row>
    <row r="490" spans="1:3">
      <c r="A490" s="3">
        <f ca="1">IFERROR(__xludf.UNSUPPORTED("""COMPUTED_VALUE"""),44173.6666666666)</f>
        <v>44173.666666666599</v>
      </c>
      <c r="B490" s="1">
        <f ca="1">IFERROR(__xludf.UNSUPPORTED("""COMPUTED_VALUE"""),28.93)</f>
        <v>28.93</v>
      </c>
      <c r="C490" s="2">
        <f t="shared" ca="1" si="1"/>
        <v>-5.5001718803712662E-3</v>
      </c>
    </row>
    <row r="491" spans="1:3">
      <c r="A491" s="3">
        <f ca="1">IFERROR(__xludf.UNSUPPORTED("""COMPUTED_VALUE"""),44174.6666666666)</f>
        <v>44174.666666666599</v>
      </c>
      <c r="B491" s="1">
        <f ca="1">IFERROR(__xludf.UNSUPPORTED("""COMPUTED_VALUE"""),28.8)</f>
        <v>28.8</v>
      </c>
      <c r="C491" s="2">
        <f t="shared" ca="1" si="1"/>
        <v>-4.4936052540614935E-3</v>
      </c>
    </row>
    <row r="492" spans="1:3">
      <c r="A492" s="3">
        <f ca="1">IFERROR(__xludf.UNSUPPORTED("""COMPUTED_VALUE"""),44175.6666666666)</f>
        <v>44175.666666666599</v>
      </c>
      <c r="B492" s="1">
        <f ca="1">IFERROR(__xludf.UNSUPPORTED("""COMPUTED_VALUE"""),29.11)</f>
        <v>29.11</v>
      </c>
      <c r="C492" s="2">
        <f t="shared" ca="1" si="1"/>
        <v>1.0763888888888844E-2</v>
      </c>
    </row>
    <row r="493" spans="1:3">
      <c r="A493" s="3">
        <f ca="1">IFERROR(__xludf.UNSUPPORTED("""COMPUTED_VALUE"""),44176.6666666666)</f>
        <v>44176.666666666599</v>
      </c>
      <c r="B493" s="1">
        <f ca="1">IFERROR(__xludf.UNSUPPORTED("""COMPUTED_VALUE"""),28.57)</f>
        <v>28.57</v>
      </c>
      <c r="C493" s="2">
        <f t="shared" ca="1" si="1"/>
        <v>-1.8550326348333878E-2</v>
      </c>
    </row>
    <row r="494" spans="1:3">
      <c r="A494" s="3">
        <f ca="1">IFERROR(__xludf.UNSUPPORTED("""COMPUTED_VALUE"""),44179.6666666666)</f>
        <v>44179.666666666599</v>
      </c>
      <c r="B494" s="1">
        <f ca="1">IFERROR(__xludf.UNSUPPORTED("""COMPUTED_VALUE"""),28.22)</f>
        <v>28.22</v>
      </c>
      <c r="C494" s="2">
        <f t="shared" ca="1" si="1"/>
        <v>-1.225061253062658E-2</v>
      </c>
    </row>
    <row r="495" spans="1:3">
      <c r="A495" s="3">
        <f ca="1">IFERROR(__xludf.UNSUPPORTED("""COMPUTED_VALUE"""),44180.6666666666)</f>
        <v>44180.666666666599</v>
      </c>
      <c r="B495" s="1">
        <f ca="1">IFERROR(__xludf.UNSUPPORTED("""COMPUTED_VALUE"""),28.64)</f>
        <v>28.64</v>
      </c>
      <c r="C495" s="2">
        <f t="shared" ca="1" si="1"/>
        <v>1.488306165839836E-2</v>
      </c>
    </row>
    <row r="496" spans="1:3">
      <c r="A496" s="3">
        <f ca="1">IFERROR(__xludf.UNSUPPORTED("""COMPUTED_VALUE"""),44181.6666666666)</f>
        <v>44181.666666666599</v>
      </c>
      <c r="B496" s="1">
        <f ca="1">IFERROR(__xludf.UNSUPPORTED("""COMPUTED_VALUE"""),28.72)</f>
        <v>28.72</v>
      </c>
      <c r="C496" s="2">
        <f t="shared" ca="1" si="1"/>
        <v>2.7932960893854151E-3</v>
      </c>
    </row>
    <row r="497" spans="1:3">
      <c r="A497" s="3">
        <f ca="1">IFERROR(__xludf.UNSUPPORTED("""COMPUTED_VALUE"""),44182.6666666666)</f>
        <v>44182.666666666599</v>
      </c>
      <c r="B497" s="1">
        <f ca="1">IFERROR(__xludf.UNSUPPORTED("""COMPUTED_VALUE"""),28.83)</f>
        <v>28.83</v>
      </c>
      <c r="C497" s="2">
        <f t="shared" ca="1" si="1"/>
        <v>3.8300835654595904E-3</v>
      </c>
    </row>
    <row r="498" spans="1:3">
      <c r="A498" s="3">
        <f ca="1">IFERROR(__xludf.UNSUPPORTED("""COMPUTED_VALUE"""),44183.6666666666)</f>
        <v>44183.666666666599</v>
      </c>
      <c r="B498" s="1">
        <f ca="1">IFERROR(__xludf.UNSUPPORTED("""COMPUTED_VALUE"""),28.67)</f>
        <v>28.67</v>
      </c>
      <c r="C498" s="2">
        <f t="shared" ca="1" si="1"/>
        <v>-5.5497745404091779E-3</v>
      </c>
    </row>
    <row r="499" spans="1:3">
      <c r="A499" s="3">
        <f ca="1">IFERROR(__xludf.UNSUPPORTED("""COMPUTED_VALUE"""),44186.6666666666)</f>
        <v>44186.666666666599</v>
      </c>
      <c r="B499" s="1">
        <f ca="1">IFERROR(__xludf.UNSUPPORTED("""COMPUTED_VALUE"""),29.74)</f>
        <v>29.74</v>
      </c>
      <c r="C499" s="2">
        <f t="shared" ca="1" si="1"/>
        <v>3.7321241716079409E-2</v>
      </c>
    </row>
    <row r="500" spans="1:3">
      <c r="A500" s="3">
        <f ca="1">IFERROR(__xludf.UNSUPPORTED("""COMPUTED_VALUE"""),44187.6666666666)</f>
        <v>44187.666666666599</v>
      </c>
      <c r="B500" s="1">
        <f ca="1">IFERROR(__xludf.UNSUPPORTED("""COMPUTED_VALUE"""),29.21)</f>
        <v>29.21</v>
      </c>
      <c r="C500" s="2">
        <f t="shared" ca="1" si="1"/>
        <v>-1.7821116341627356E-2</v>
      </c>
    </row>
    <row r="501" spans="1:3">
      <c r="A501" s="3">
        <f ca="1">IFERROR(__xludf.UNSUPPORTED("""COMPUTED_VALUE"""),44188.6666666666)</f>
        <v>44188.666666666599</v>
      </c>
      <c r="B501" s="1">
        <f ca="1">IFERROR(__xludf.UNSUPPORTED("""COMPUTED_VALUE"""),30.05)</f>
        <v>30.05</v>
      </c>
      <c r="C501" s="2">
        <f t="shared" ca="1" si="1"/>
        <v>2.8757274905854155E-2</v>
      </c>
    </row>
    <row r="502" spans="1:3">
      <c r="A502" s="3">
        <f ca="1">IFERROR(__xludf.UNSUPPORTED("""COMPUTED_VALUE"""),44189.5416666666)</f>
        <v>44189.541666666599</v>
      </c>
      <c r="B502" s="1">
        <f ca="1">IFERROR(__xludf.UNSUPPORTED("""COMPUTED_VALUE"""),29.96)</f>
        <v>29.96</v>
      </c>
      <c r="C502" s="2">
        <f t="shared" ca="1" si="1"/>
        <v>-2.9950083194675492E-3</v>
      </c>
    </row>
    <row r="503" spans="1:3">
      <c r="A503" s="3">
        <f ca="1">IFERROR(__xludf.UNSUPPORTED("""COMPUTED_VALUE"""),44193.6666666666)</f>
        <v>44193.666666666599</v>
      </c>
      <c r="B503" s="1">
        <f ca="1">IFERROR(__xludf.UNSUPPORTED("""COMPUTED_VALUE"""),30.13)</f>
        <v>30.13</v>
      </c>
      <c r="C503" s="2">
        <f t="shared" ca="1" si="1"/>
        <v>5.6742323097462664E-3</v>
      </c>
    </row>
    <row r="504" spans="1:3">
      <c r="A504" s="3">
        <f ca="1">IFERROR(__xludf.UNSUPPORTED("""COMPUTED_VALUE"""),44194.6666666666)</f>
        <v>44194.666666666599</v>
      </c>
      <c r="B504" s="1">
        <f ca="1">IFERROR(__xludf.UNSUPPORTED("""COMPUTED_VALUE"""),30.01)</f>
        <v>30.01</v>
      </c>
      <c r="C504" s="2">
        <f t="shared" ca="1" si="1"/>
        <v>-3.9827414537005456E-3</v>
      </c>
    </row>
    <row r="505" spans="1:3">
      <c r="A505" s="3">
        <f ca="1">IFERROR(__xludf.UNSUPPORTED("""COMPUTED_VALUE"""),44195.6666666666)</f>
        <v>44195.666666666599</v>
      </c>
      <c r="B505" s="1">
        <f ca="1">IFERROR(__xludf.UNSUPPORTED("""COMPUTED_VALUE"""),29.98)</f>
        <v>29.98</v>
      </c>
      <c r="C505" s="2">
        <f t="shared" ca="1" si="1"/>
        <v>-9.9966677774079101E-4</v>
      </c>
    </row>
    <row r="506" spans="1:3">
      <c r="A506" s="3">
        <f ca="1">IFERROR(__xludf.UNSUPPORTED("""COMPUTED_VALUE"""),44196.6666666666)</f>
        <v>44196.666666666599</v>
      </c>
      <c r="B506" s="1">
        <f ca="1">IFERROR(__xludf.UNSUPPORTED("""COMPUTED_VALUE"""),30.31)</f>
        <v>30.31</v>
      </c>
      <c r="C506" s="2">
        <f t="shared" ca="1" si="1"/>
        <v>1.1007338225483599E-2</v>
      </c>
    </row>
    <row r="507" spans="1:3">
      <c r="A507" s="3">
        <f ca="1">IFERROR(__xludf.UNSUPPORTED("""COMPUTED_VALUE"""),44200.6666666666)</f>
        <v>44200.666666666599</v>
      </c>
      <c r="B507" s="1">
        <f ca="1">IFERROR(__xludf.UNSUPPORTED("""COMPUTED_VALUE"""),30.03)</f>
        <v>30.03</v>
      </c>
      <c r="C507" s="2">
        <f t="shared" ca="1" si="1"/>
        <v>-9.2378752886835228E-3</v>
      </c>
    </row>
    <row r="508" spans="1:3">
      <c r="A508" s="3">
        <f ca="1">IFERROR(__xludf.UNSUPPORTED("""COMPUTED_VALUE"""),44201.6666666666)</f>
        <v>44201.666666666599</v>
      </c>
      <c r="B508" s="1">
        <f ca="1">IFERROR(__xludf.UNSUPPORTED("""COMPUTED_VALUE"""),30.26)</f>
        <v>30.26</v>
      </c>
      <c r="C508" s="2">
        <f t="shared" ca="1" si="1"/>
        <v>7.6590076590076729E-3</v>
      </c>
    </row>
    <row r="509" spans="1:3">
      <c r="A509" s="3">
        <f ca="1">IFERROR(__xludf.UNSUPPORTED("""COMPUTED_VALUE"""),44202.6666666666)</f>
        <v>44202.666666666599</v>
      </c>
      <c r="B509" s="1">
        <f ca="1">IFERROR(__xludf.UNSUPPORTED("""COMPUTED_VALUE"""),32.15)</f>
        <v>32.15</v>
      </c>
      <c r="C509" s="2">
        <f t="shared" ca="1" si="1"/>
        <v>6.2458691341705119E-2</v>
      </c>
    </row>
    <row r="510" spans="1:3">
      <c r="A510" s="3">
        <f ca="1">IFERROR(__xludf.UNSUPPORTED("""COMPUTED_VALUE"""),44203.6666666666)</f>
        <v>44203.666666666599</v>
      </c>
      <c r="B510" s="1">
        <f ca="1">IFERROR(__xludf.UNSUPPORTED("""COMPUTED_VALUE"""),32.86)</f>
        <v>32.86</v>
      </c>
      <c r="C510" s="2">
        <f t="shared" ca="1" si="1"/>
        <v>2.2083981337480588E-2</v>
      </c>
    </row>
    <row r="511" spans="1:3">
      <c r="A511" s="3">
        <f ca="1">IFERROR(__xludf.UNSUPPORTED("""COMPUTED_VALUE"""),44204.6666666666)</f>
        <v>44204.666666666599</v>
      </c>
      <c r="B511" s="1">
        <f ca="1">IFERROR(__xludf.UNSUPPORTED("""COMPUTED_VALUE"""),32.53)</f>
        <v>32.53</v>
      </c>
      <c r="C511" s="2">
        <f t="shared" ca="1" si="1"/>
        <v>-1.0042604990870308E-2</v>
      </c>
    </row>
    <row r="512" spans="1:3">
      <c r="A512" s="3">
        <f ca="1">IFERROR(__xludf.UNSUPPORTED("""COMPUTED_VALUE"""),44207.6666666666)</f>
        <v>44207.666666666599</v>
      </c>
      <c r="B512" s="1">
        <f ca="1">IFERROR(__xludf.UNSUPPORTED("""COMPUTED_VALUE"""),33.07)</f>
        <v>33.07</v>
      </c>
      <c r="C512" s="2">
        <f t="shared" ca="1" si="1"/>
        <v>1.6600061481709165E-2</v>
      </c>
    </row>
    <row r="513" spans="1:3">
      <c r="A513" s="3">
        <f ca="1">IFERROR(__xludf.UNSUPPORTED("""COMPUTED_VALUE"""),44208.6666666666)</f>
        <v>44208.666666666599</v>
      </c>
      <c r="B513" s="1">
        <f ca="1">IFERROR(__xludf.UNSUPPORTED("""COMPUTED_VALUE"""),33.66)</f>
        <v>33.659999999999997</v>
      </c>
      <c r="C513" s="2">
        <f t="shared" ref="C513:C767" ca="1" si="2">(B513-B512)/B512</f>
        <v>1.7840943453280807E-2</v>
      </c>
    </row>
    <row r="514" spans="1:3">
      <c r="A514" s="3">
        <f ca="1">IFERROR(__xludf.UNSUPPORTED("""COMPUTED_VALUE"""),44209.6666666666)</f>
        <v>44209.666666666599</v>
      </c>
      <c r="B514" s="1">
        <f ca="1">IFERROR(__xludf.UNSUPPORTED("""COMPUTED_VALUE"""),33.46)</f>
        <v>33.46</v>
      </c>
      <c r="C514" s="2">
        <f t="shared" ca="1" si="2"/>
        <v>-5.9417706476528748E-3</v>
      </c>
    </row>
    <row r="515" spans="1:3">
      <c r="A515" s="3">
        <f ca="1">IFERROR(__xludf.UNSUPPORTED("""COMPUTED_VALUE"""),44210.6666666666)</f>
        <v>44210.666666666599</v>
      </c>
      <c r="B515" s="1">
        <f ca="1">IFERROR(__xludf.UNSUPPORTED("""COMPUTED_VALUE"""),33.99)</f>
        <v>33.99</v>
      </c>
      <c r="C515" s="2">
        <f t="shared" ca="1" si="2"/>
        <v>1.5839808726838048E-2</v>
      </c>
    </row>
    <row r="516" spans="1:3">
      <c r="A516" s="3">
        <f ca="1">IFERROR(__xludf.UNSUPPORTED("""COMPUTED_VALUE"""),44211.6666666666)</f>
        <v>44211.666666666599</v>
      </c>
      <c r="B516" s="1">
        <f ca="1">IFERROR(__xludf.UNSUPPORTED("""COMPUTED_VALUE"""),33.01)</f>
        <v>33.01</v>
      </c>
      <c r="C516" s="2">
        <f t="shared" ca="1" si="2"/>
        <v>-2.8832009414533802E-2</v>
      </c>
    </row>
    <row r="517" spans="1:3">
      <c r="A517" s="3">
        <f ca="1">IFERROR(__xludf.UNSUPPORTED("""COMPUTED_VALUE"""),44215.6666666666)</f>
        <v>44215.666666666599</v>
      </c>
      <c r="B517" s="1">
        <f ca="1">IFERROR(__xludf.UNSUPPORTED("""COMPUTED_VALUE"""),32.77)</f>
        <v>32.770000000000003</v>
      </c>
      <c r="C517" s="2">
        <f t="shared" ca="1" si="2"/>
        <v>-7.2705240836108721E-3</v>
      </c>
    </row>
    <row r="518" spans="1:3">
      <c r="A518" s="3">
        <f ca="1">IFERROR(__xludf.UNSUPPORTED("""COMPUTED_VALUE"""),44216.6666666666)</f>
        <v>44216.666666666599</v>
      </c>
      <c r="B518" s="1">
        <f ca="1">IFERROR(__xludf.UNSUPPORTED("""COMPUTED_VALUE"""),32.34)</f>
        <v>32.340000000000003</v>
      </c>
      <c r="C518" s="2">
        <f t="shared" ca="1" si="2"/>
        <v>-1.3121757705218177E-2</v>
      </c>
    </row>
    <row r="519" spans="1:3">
      <c r="A519" s="3">
        <f ca="1">IFERROR(__xludf.UNSUPPORTED("""COMPUTED_VALUE"""),44217.6666666666)</f>
        <v>44217.666666666599</v>
      </c>
      <c r="B519" s="1">
        <f ca="1">IFERROR(__xludf.UNSUPPORTED("""COMPUTED_VALUE"""),31.77)</f>
        <v>31.77</v>
      </c>
      <c r="C519" s="2">
        <f t="shared" ca="1" si="2"/>
        <v>-1.7625231910946313E-2</v>
      </c>
    </row>
    <row r="520" spans="1:3">
      <c r="A520" s="3">
        <f ca="1">IFERROR(__xludf.UNSUPPORTED("""COMPUTED_VALUE"""),44218.6666666666)</f>
        <v>44218.666666666599</v>
      </c>
      <c r="B520" s="1">
        <f ca="1">IFERROR(__xludf.UNSUPPORTED("""COMPUTED_VALUE"""),31.55)</f>
        <v>31.55</v>
      </c>
      <c r="C520" s="2">
        <f t="shared" ca="1" si="2"/>
        <v>-6.9247717972930082E-3</v>
      </c>
    </row>
    <row r="521" spans="1:3">
      <c r="A521" s="3">
        <f ca="1">IFERROR(__xludf.UNSUPPORTED("""COMPUTED_VALUE"""),44221.6666666666)</f>
        <v>44221.666666666599</v>
      </c>
      <c r="B521" s="1">
        <f ca="1">IFERROR(__xludf.UNSUPPORTED("""COMPUTED_VALUE"""),31.16)</f>
        <v>31.16</v>
      </c>
      <c r="C521" s="2">
        <f t="shared" ca="1" si="2"/>
        <v>-1.2361331220285279E-2</v>
      </c>
    </row>
    <row r="522" spans="1:3">
      <c r="A522" s="3">
        <f ca="1">IFERROR(__xludf.UNSUPPORTED("""COMPUTED_VALUE"""),44222.6666666666)</f>
        <v>44222.666666666599</v>
      </c>
      <c r="B522" s="1">
        <f ca="1">IFERROR(__xludf.UNSUPPORTED("""COMPUTED_VALUE"""),30.94)</f>
        <v>30.94</v>
      </c>
      <c r="C522" s="2">
        <f t="shared" ca="1" si="2"/>
        <v>-7.0603337612323127E-3</v>
      </c>
    </row>
    <row r="523" spans="1:3">
      <c r="A523" s="3">
        <f ca="1">IFERROR(__xludf.UNSUPPORTED("""COMPUTED_VALUE"""),44223.6666666666)</f>
        <v>44223.666666666599</v>
      </c>
      <c r="B523" s="1">
        <f ca="1">IFERROR(__xludf.UNSUPPORTED("""COMPUTED_VALUE"""),29.83)</f>
        <v>29.83</v>
      </c>
      <c r="C523" s="2">
        <f t="shared" ca="1" si="2"/>
        <v>-3.5875888817065382E-2</v>
      </c>
    </row>
    <row r="524" spans="1:3">
      <c r="A524" s="3">
        <f ca="1">IFERROR(__xludf.UNSUPPORTED("""COMPUTED_VALUE"""),44224.6666666666)</f>
        <v>44224.666666666599</v>
      </c>
      <c r="B524" s="1">
        <f ca="1">IFERROR(__xludf.UNSUPPORTED("""COMPUTED_VALUE"""),30.32)</f>
        <v>30.32</v>
      </c>
      <c r="C524" s="2">
        <f t="shared" ca="1" si="2"/>
        <v>1.6426416359369828E-2</v>
      </c>
    </row>
    <row r="525" spans="1:3">
      <c r="A525" s="3">
        <f ca="1">IFERROR(__xludf.UNSUPPORTED("""COMPUTED_VALUE"""),44225.6666666666)</f>
        <v>44225.666666666599</v>
      </c>
      <c r="B525" s="1">
        <f ca="1">IFERROR(__xludf.UNSUPPORTED("""COMPUTED_VALUE"""),29.65)</f>
        <v>29.65</v>
      </c>
      <c r="C525" s="2">
        <f t="shared" ca="1" si="2"/>
        <v>-2.2097625329815358E-2</v>
      </c>
    </row>
    <row r="526" spans="1:3">
      <c r="A526" s="3">
        <f ca="1">IFERROR(__xludf.UNSUPPORTED("""COMPUTED_VALUE"""),44228.6666666666)</f>
        <v>44228.666666666599</v>
      </c>
      <c r="B526" s="1">
        <f ca="1">IFERROR(__xludf.UNSUPPORTED("""COMPUTED_VALUE"""),29.96)</f>
        <v>29.96</v>
      </c>
      <c r="C526" s="2">
        <f t="shared" ca="1" si="2"/>
        <v>1.0455311973018628E-2</v>
      </c>
    </row>
    <row r="527" spans="1:3">
      <c r="A527" s="3">
        <f ca="1">IFERROR(__xludf.UNSUPPORTED("""COMPUTED_VALUE"""),44229.6666666666)</f>
        <v>44229.666666666599</v>
      </c>
      <c r="B527" s="1">
        <f ca="1">IFERROR(__xludf.UNSUPPORTED("""COMPUTED_VALUE"""),31.03)</f>
        <v>31.03</v>
      </c>
      <c r="C527" s="2">
        <f t="shared" ca="1" si="2"/>
        <v>3.5714285714285726E-2</v>
      </c>
    </row>
    <row r="528" spans="1:3">
      <c r="A528" s="3">
        <f ca="1">IFERROR(__xludf.UNSUPPORTED("""COMPUTED_VALUE"""),44230.6666666666)</f>
        <v>44230.666666666599</v>
      </c>
      <c r="B528" s="1">
        <f ca="1">IFERROR(__xludf.UNSUPPORTED("""COMPUTED_VALUE"""),31.58)</f>
        <v>31.58</v>
      </c>
      <c r="C528" s="2">
        <f t="shared" ca="1" si="2"/>
        <v>1.7724782468578702E-2</v>
      </c>
    </row>
    <row r="529" spans="1:3">
      <c r="A529" s="3">
        <f ca="1">IFERROR(__xludf.UNSUPPORTED("""COMPUTED_VALUE"""),44231.6666666666)</f>
        <v>44231.666666666599</v>
      </c>
      <c r="B529" s="1">
        <f ca="1">IFERROR(__xludf.UNSUPPORTED("""COMPUTED_VALUE"""),32.5)</f>
        <v>32.5</v>
      </c>
      <c r="C529" s="2">
        <f t="shared" ca="1" si="2"/>
        <v>2.9132362254591569E-2</v>
      </c>
    </row>
    <row r="530" spans="1:3">
      <c r="A530" s="3">
        <f ca="1">IFERROR(__xludf.UNSUPPORTED("""COMPUTED_VALUE"""),44232.6666666666)</f>
        <v>44232.666666666599</v>
      </c>
      <c r="B530" s="1">
        <f ca="1">IFERROR(__xludf.UNSUPPORTED("""COMPUTED_VALUE"""),32.37)</f>
        <v>32.369999999999997</v>
      </c>
      <c r="C530" s="2">
        <f t="shared" ca="1" si="2"/>
        <v>-4.000000000000079E-3</v>
      </c>
    </row>
    <row r="531" spans="1:3">
      <c r="A531" s="3">
        <f ca="1">IFERROR(__xludf.UNSUPPORTED("""COMPUTED_VALUE"""),44235.6666666666)</f>
        <v>44235.666666666599</v>
      </c>
      <c r="B531" s="1">
        <f ca="1">IFERROR(__xludf.UNSUPPORTED("""COMPUTED_VALUE"""),33.09)</f>
        <v>33.090000000000003</v>
      </c>
      <c r="C531" s="2">
        <f t="shared" ca="1" si="2"/>
        <v>2.2242817423540503E-2</v>
      </c>
    </row>
    <row r="532" spans="1:3">
      <c r="A532" s="3">
        <f ca="1">IFERROR(__xludf.UNSUPPORTED("""COMPUTED_VALUE"""),44236.6666666666)</f>
        <v>44236.666666666599</v>
      </c>
      <c r="B532" s="1">
        <f ca="1">IFERROR(__xludf.UNSUPPORTED("""COMPUTED_VALUE"""),32.95)</f>
        <v>32.950000000000003</v>
      </c>
      <c r="C532" s="2">
        <f t="shared" ca="1" si="2"/>
        <v>-4.230885463886387E-3</v>
      </c>
    </row>
    <row r="533" spans="1:3">
      <c r="A533" s="3">
        <f ca="1">IFERROR(__xludf.UNSUPPORTED("""COMPUTED_VALUE"""),44237.6666666666)</f>
        <v>44237.666666666599</v>
      </c>
      <c r="B533" s="1">
        <f ca="1">IFERROR(__xludf.UNSUPPORTED("""COMPUTED_VALUE"""),32.98)</f>
        <v>32.979999999999997</v>
      </c>
      <c r="C533" s="2">
        <f t="shared" ca="1" si="2"/>
        <v>9.1047040971150314E-4</v>
      </c>
    </row>
    <row r="534" spans="1:3">
      <c r="A534" s="3">
        <f ca="1">IFERROR(__xludf.UNSUPPORTED("""COMPUTED_VALUE"""),44238.6666666666)</f>
        <v>44238.666666666599</v>
      </c>
      <c r="B534" s="1">
        <f ca="1">IFERROR(__xludf.UNSUPPORTED("""COMPUTED_VALUE"""),32.88)</f>
        <v>32.880000000000003</v>
      </c>
      <c r="C534" s="2">
        <f t="shared" ca="1" si="2"/>
        <v>-3.0321406913279055E-3</v>
      </c>
    </row>
    <row r="535" spans="1:3">
      <c r="A535" s="3">
        <f ca="1">IFERROR(__xludf.UNSUPPORTED("""COMPUTED_VALUE"""),44239.6666666666)</f>
        <v>44239.666666666599</v>
      </c>
      <c r="B535" s="1">
        <f ca="1">IFERROR(__xludf.UNSUPPORTED("""COMPUTED_VALUE"""),33.37)</f>
        <v>33.369999999999997</v>
      </c>
      <c r="C535" s="2">
        <f t="shared" ca="1" si="2"/>
        <v>1.4902676399026607E-2</v>
      </c>
    </row>
    <row r="536" spans="1:3">
      <c r="A536" s="3">
        <f ca="1">IFERROR(__xludf.UNSUPPORTED("""COMPUTED_VALUE"""),44243.6666666666)</f>
        <v>44243.666666666599</v>
      </c>
      <c r="B536" s="1">
        <f ca="1">IFERROR(__xludf.UNSUPPORTED("""COMPUTED_VALUE"""),34.27)</f>
        <v>34.270000000000003</v>
      </c>
      <c r="C536" s="2">
        <f t="shared" ca="1" si="2"/>
        <v>2.6970332634102659E-2</v>
      </c>
    </row>
    <row r="537" spans="1:3">
      <c r="A537" s="3">
        <f ca="1">IFERROR(__xludf.UNSUPPORTED("""COMPUTED_VALUE"""),44244.6666666666)</f>
        <v>44244.666666666599</v>
      </c>
      <c r="B537" s="1">
        <f ca="1">IFERROR(__xludf.UNSUPPORTED("""COMPUTED_VALUE"""),34.41)</f>
        <v>34.409999999999997</v>
      </c>
      <c r="C537" s="2">
        <f t="shared" ca="1" si="2"/>
        <v>4.0852057192878157E-3</v>
      </c>
    </row>
    <row r="538" spans="1:3">
      <c r="A538" s="3">
        <f ca="1">IFERROR(__xludf.UNSUPPORTED("""COMPUTED_VALUE"""),44245.6666666666)</f>
        <v>44245.666666666599</v>
      </c>
      <c r="B538" s="1">
        <f ca="1">IFERROR(__xludf.UNSUPPORTED("""COMPUTED_VALUE"""),34.19)</f>
        <v>34.19</v>
      </c>
      <c r="C538" s="2">
        <f t="shared" ca="1" si="2"/>
        <v>-6.3934902644579737E-3</v>
      </c>
    </row>
    <row r="539" spans="1:3">
      <c r="A539" s="3">
        <f ca="1">IFERROR(__xludf.UNSUPPORTED("""COMPUTED_VALUE"""),44246.6666666666)</f>
        <v>44246.666666666599</v>
      </c>
      <c r="B539" s="1">
        <f ca="1">IFERROR(__xludf.UNSUPPORTED("""COMPUTED_VALUE"""),34.54)</f>
        <v>34.54</v>
      </c>
      <c r="C539" s="2">
        <f t="shared" ca="1" si="2"/>
        <v>1.0236911377595831E-2</v>
      </c>
    </row>
    <row r="540" spans="1:3">
      <c r="A540" s="3">
        <f ca="1">IFERROR(__xludf.UNSUPPORTED("""COMPUTED_VALUE"""),44249.6666666666)</f>
        <v>44249.666666666599</v>
      </c>
      <c r="B540" s="1">
        <f ca="1">IFERROR(__xludf.UNSUPPORTED("""COMPUTED_VALUE"""),35.15)</f>
        <v>35.15</v>
      </c>
      <c r="C540" s="2">
        <f t="shared" ca="1" si="2"/>
        <v>1.7660683265778791E-2</v>
      </c>
    </row>
    <row r="541" spans="1:3">
      <c r="A541" s="3">
        <f ca="1">IFERROR(__xludf.UNSUPPORTED("""COMPUTED_VALUE"""),44250.6666666666)</f>
        <v>44250.666666666599</v>
      </c>
      <c r="B541" s="1">
        <f ca="1">IFERROR(__xludf.UNSUPPORTED("""COMPUTED_VALUE"""),35.52)</f>
        <v>35.520000000000003</v>
      </c>
      <c r="C541" s="2">
        <f t="shared" ca="1" si="2"/>
        <v>1.0526315789473814E-2</v>
      </c>
    </row>
    <row r="542" spans="1:3">
      <c r="A542" s="3">
        <f ca="1">IFERROR(__xludf.UNSUPPORTED("""COMPUTED_VALUE"""),44251.6666666666)</f>
        <v>44251.666666666599</v>
      </c>
      <c r="B542" s="1">
        <f ca="1">IFERROR(__xludf.UNSUPPORTED("""COMPUTED_VALUE"""),36.38)</f>
        <v>36.380000000000003</v>
      </c>
      <c r="C542" s="2">
        <f t="shared" ca="1" si="2"/>
        <v>2.4211711711711693E-2</v>
      </c>
    </row>
    <row r="543" spans="1:3">
      <c r="A543" s="3">
        <f ca="1">IFERROR(__xludf.UNSUPPORTED("""COMPUTED_VALUE"""),44252.6666666666)</f>
        <v>44252.666666666599</v>
      </c>
      <c r="B543" s="1">
        <f ca="1">IFERROR(__xludf.UNSUPPORTED("""COMPUTED_VALUE"""),35.93)</f>
        <v>35.93</v>
      </c>
      <c r="C543" s="2">
        <f t="shared" ca="1" si="2"/>
        <v>-1.2369433754810413E-2</v>
      </c>
    </row>
    <row r="544" spans="1:3">
      <c r="A544" s="3">
        <f ca="1">IFERROR(__xludf.UNSUPPORTED("""COMPUTED_VALUE"""),44253.6666666666)</f>
        <v>44253.666666666599</v>
      </c>
      <c r="B544" s="1">
        <f ca="1">IFERROR(__xludf.UNSUPPORTED("""COMPUTED_VALUE"""),34.71)</f>
        <v>34.71</v>
      </c>
      <c r="C544" s="2">
        <f t="shared" ca="1" si="2"/>
        <v>-3.3954912329529609E-2</v>
      </c>
    </row>
    <row r="545" spans="1:3">
      <c r="A545" s="3">
        <f ca="1">IFERROR(__xludf.UNSUPPORTED("""COMPUTED_VALUE"""),44256.6666666666)</f>
        <v>44256.666666666599</v>
      </c>
      <c r="B545" s="1">
        <f ca="1">IFERROR(__xludf.UNSUPPORTED("""COMPUTED_VALUE"""),35.79)</f>
        <v>35.79</v>
      </c>
      <c r="C545" s="2">
        <f t="shared" ca="1" si="2"/>
        <v>3.111495246326702E-2</v>
      </c>
    </row>
    <row r="546" spans="1:3">
      <c r="A546" s="3">
        <f ca="1">IFERROR(__xludf.UNSUPPORTED("""COMPUTED_VALUE"""),44257.6666666666)</f>
        <v>44257.666666666599</v>
      </c>
      <c r="B546" s="1">
        <f ca="1">IFERROR(__xludf.UNSUPPORTED("""COMPUTED_VALUE"""),35.53)</f>
        <v>35.53</v>
      </c>
      <c r="C546" s="2">
        <f t="shared" ca="1" si="2"/>
        <v>-7.2645990500139149E-3</v>
      </c>
    </row>
    <row r="547" spans="1:3">
      <c r="A547" s="3">
        <f ca="1">IFERROR(__xludf.UNSUPPORTED("""COMPUTED_VALUE"""),44258.6666666666)</f>
        <v>44258.666666666599</v>
      </c>
      <c r="B547" s="1">
        <f ca="1">IFERROR(__xludf.UNSUPPORTED("""COMPUTED_VALUE"""),36.42)</f>
        <v>36.42</v>
      </c>
      <c r="C547" s="2">
        <f t="shared" ca="1" si="2"/>
        <v>2.5049254151421348E-2</v>
      </c>
    </row>
    <row r="548" spans="1:3">
      <c r="A548" s="3">
        <f ca="1">IFERROR(__xludf.UNSUPPORTED("""COMPUTED_VALUE"""),44259.6666666666)</f>
        <v>44259.666666666599</v>
      </c>
      <c r="B548" s="1">
        <f ca="1">IFERROR(__xludf.UNSUPPORTED("""COMPUTED_VALUE"""),36.5)</f>
        <v>36.5</v>
      </c>
      <c r="C548" s="2">
        <f t="shared" ca="1" si="2"/>
        <v>2.196595277320107E-3</v>
      </c>
    </row>
    <row r="549" spans="1:3">
      <c r="A549" s="3">
        <f ca="1">IFERROR(__xludf.UNSUPPORTED("""COMPUTED_VALUE"""),44260.6666666666)</f>
        <v>44260.666666666599</v>
      </c>
      <c r="B549" s="1">
        <f ca="1">IFERROR(__xludf.UNSUPPORTED("""COMPUTED_VALUE"""),36.93)</f>
        <v>36.93</v>
      </c>
      <c r="C549" s="2">
        <f t="shared" ca="1" si="2"/>
        <v>1.1780821917808212E-2</v>
      </c>
    </row>
    <row r="550" spans="1:3">
      <c r="A550" s="3">
        <f ca="1">IFERROR(__xludf.UNSUPPORTED("""COMPUTED_VALUE"""),44263.6666666666)</f>
        <v>44263.666666666599</v>
      </c>
      <c r="B550" s="1">
        <f ca="1">IFERROR(__xludf.UNSUPPORTED("""COMPUTED_VALUE"""),37.13)</f>
        <v>37.130000000000003</v>
      </c>
      <c r="C550" s="2">
        <f t="shared" ca="1" si="2"/>
        <v>5.4156512320607322E-3</v>
      </c>
    </row>
    <row r="551" spans="1:3">
      <c r="A551" s="3">
        <f ca="1">IFERROR(__xludf.UNSUPPORTED("""COMPUTED_VALUE"""),44264.6666666666)</f>
        <v>44264.666666666599</v>
      </c>
      <c r="B551" s="1">
        <f ca="1">IFERROR(__xludf.UNSUPPORTED("""COMPUTED_VALUE"""),36.32)</f>
        <v>36.32</v>
      </c>
      <c r="C551" s="2">
        <f t="shared" ca="1" si="2"/>
        <v>-2.1815243738217135E-2</v>
      </c>
    </row>
    <row r="552" spans="1:3">
      <c r="A552" s="3">
        <f ca="1">IFERROR(__xludf.UNSUPPORTED("""COMPUTED_VALUE"""),44265.6666666666)</f>
        <v>44265.666666666599</v>
      </c>
      <c r="B552" s="1">
        <f ca="1">IFERROR(__xludf.UNSUPPORTED("""COMPUTED_VALUE"""),37.37)</f>
        <v>37.369999999999997</v>
      </c>
      <c r="C552" s="2">
        <f t="shared" ca="1" si="2"/>
        <v>2.890969162995587E-2</v>
      </c>
    </row>
    <row r="553" spans="1:3">
      <c r="A553" s="3">
        <f ca="1">IFERROR(__xludf.UNSUPPORTED("""COMPUTED_VALUE"""),44266.6666666666)</f>
        <v>44266.666666666599</v>
      </c>
      <c r="B553" s="1">
        <f ca="1">IFERROR(__xludf.UNSUPPORTED("""COMPUTED_VALUE"""),37.24)</f>
        <v>37.24</v>
      </c>
      <c r="C553" s="2">
        <f t="shared" ca="1" si="2"/>
        <v>-3.4787262510033571E-3</v>
      </c>
    </row>
    <row r="554" spans="1:3">
      <c r="A554" s="3">
        <f ca="1">IFERROR(__xludf.UNSUPPORTED("""COMPUTED_VALUE"""),44267.6666666666)</f>
        <v>44267.666666666599</v>
      </c>
      <c r="B554" s="1">
        <f ca="1">IFERROR(__xludf.UNSUPPORTED("""COMPUTED_VALUE"""),37.94)</f>
        <v>37.94</v>
      </c>
      <c r="C554" s="2">
        <f t="shared" ca="1" si="2"/>
        <v>1.8796992481202892E-2</v>
      </c>
    </row>
    <row r="555" spans="1:3">
      <c r="A555" s="3">
        <f ca="1">IFERROR(__xludf.UNSUPPORTED("""COMPUTED_VALUE"""),44270.6666666666)</f>
        <v>44270.666666666599</v>
      </c>
      <c r="B555" s="1">
        <f ca="1">IFERROR(__xludf.UNSUPPORTED("""COMPUTED_VALUE"""),37.75)</f>
        <v>37.75</v>
      </c>
      <c r="C555" s="2">
        <f t="shared" ca="1" si="2"/>
        <v>-5.0079072219293029E-3</v>
      </c>
    </row>
    <row r="556" spans="1:3">
      <c r="A556" s="3">
        <f ca="1">IFERROR(__xludf.UNSUPPORTED("""COMPUTED_VALUE"""),44271.6666666666)</f>
        <v>44271.666666666599</v>
      </c>
      <c r="B556" s="1">
        <f ca="1">IFERROR(__xludf.UNSUPPORTED("""COMPUTED_VALUE"""),37.64)</f>
        <v>37.64</v>
      </c>
      <c r="C556" s="2">
        <f t="shared" ca="1" si="2"/>
        <v>-2.9139072847681967E-3</v>
      </c>
    </row>
    <row r="557" spans="1:3">
      <c r="A557" s="3">
        <f ca="1">IFERROR(__xludf.UNSUPPORTED("""COMPUTED_VALUE"""),44272.6666666666)</f>
        <v>44272.666666666599</v>
      </c>
      <c r="B557" s="1">
        <f ca="1">IFERROR(__xludf.UNSUPPORTED("""COMPUTED_VALUE"""),37.95)</f>
        <v>37.950000000000003</v>
      </c>
      <c r="C557" s="2">
        <f t="shared" ca="1" si="2"/>
        <v>8.2359192348565955E-3</v>
      </c>
    </row>
    <row r="558" spans="1:3">
      <c r="A558" s="3">
        <f ca="1">IFERROR(__xludf.UNSUPPORTED("""COMPUTED_VALUE"""),44273.6666666666)</f>
        <v>44273.666666666599</v>
      </c>
      <c r="B558" s="1">
        <f ca="1">IFERROR(__xludf.UNSUPPORTED("""COMPUTED_VALUE"""),38.94)</f>
        <v>38.94</v>
      </c>
      <c r="C558" s="2">
        <f t="shared" ca="1" si="2"/>
        <v>2.6086956521738994E-2</v>
      </c>
    </row>
    <row r="559" spans="1:3">
      <c r="A559" s="3">
        <f ca="1">IFERROR(__xludf.UNSUPPORTED("""COMPUTED_VALUE"""),44274.6666666666)</f>
        <v>44274.666666666599</v>
      </c>
      <c r="B559" s="1">
        <f ca="1">IFERROR(__xludf.UNSUPPORTED("""COMPUTED_VALUE"""),38.53)</f>
        <v>38.53</v>
      </c>
      <c r="C559" s="2">
        <f t="shared" ca="1" si="2"/>
        <v>-1.0529019003595187E-2</v>
      </c>
    </row>
    <row r="560" spans="1:3">
      <c r="A560" s="3">
        <f ca="1">IFERROR(__xludf.UNSUPPORTED("""COMPUTED_VALUE"""),44277.6666666666)</f>
        <v>44277.666666666599</v>
      </c>
      <c r="B560" s="1">
        <f ca="1">IFERROR(__xludf.UNSUPPORTED("""COMPUTED_VALUE"""),37.66)</f>
        <v>37.659999999999997</v>
      </c>
      <c r="C560" s="2">
        <f t="shared" ca="1" si="2"/>
        <v>-2.2579807941863601E-2</v>
      </c>
    </row>
    <row r="561" spans="1:3">
      <c r="A561" s="3">
        <f ca="1">IFERROR(__xludf.UNSUPPORTED("""COMPUTED_VALUE"""),44278.6666666666)</f>
        <v>44278.666666666599</v>
      </c>
      <c r="B561" s="1">
        <f ca="1">IFERROR(__xludf.UNSUPPORTED("""COMPUTED_VALUE"""),36.9)</f>
        <v>36.9</v>
      </c>
      <c r="C561" s="2">
        <f t="shared" ca="1" si="2"/>
        <v>-2.0180562931492247E-2</v>
      </c>
    </row>
    <row r="562" spans="1:3">
      <c r="A562" s="3">
        <f ca="1">IFERROR(__xludf.UNSUPPORTED("""COMPUTED_VALUE"""),44279.6666666666)</f>
        <v>44279.666666666599</v>
      </c>
      <c r="B562" s="1">
        <f ca="1">IFERROR(__xludf.UNSUPPORTED("""COMPUTED_VALUE"""),36.9)</f>
        <v>36.9</v>
      </c>
      <c r="C562" s="2">
        <f t="shared" ca="1" si="2"/>
        <v>0</v>
      </c>
    </row>
    <row r="563" spans="1:3">
      <c r="A563" s="3">
        <f ca="1">IFERROR(__xludf.UNSUPPORTED("""COMPUTED_VALUE"""),44280.6666666666)</f>
        <v>44280.666666666599</v>
      </c>
      <c r="B563" s="1">
        <f ca="1">IFERROR(__xludf.UNSUPPORTED("""COMPUTED_VALUE"""),37.66)</f>
        <v>37.659999999999997</v>
      </c>
      <c r="C563" s="2">
        <f t="shared" ca="1" si="2"/>
        <v>2.0596205962059567E-2</v>
      </c>
    </row>
    <row r="564" spans="1:3">
      <c r="A564" s="3">
        <f ca="1">IFERROR(__xludf.UNSUPPORTED("""COMPUTED_VALUE"""),44281.6666666666)</f>
        <v>44281.666666666599</v>
      </c>
      <c r="B564" s="1">
        <f ca="1">IFERROR(__xludf.UNSUPPORTED("""COMPUTED_VALUE"""),38.68)</f>
        <v>38.68</v>
      </c>
      <c r="C564" s="2">
        <f t="shared" ca="1" si="2"/>
        <v>2.7084439723845014E-2</v>
      </c>
    </row>
    <row r="565" spans="1:3">
      <c r="A565" s="3">
        <f ca="1">IFERROR(__xludf.UNSUPPORTED("""COMPUTED_VALUE"""),44284.6666666666)</f>
        <v>44284.666666666599</v>
      </c>
      <c r="B565" s="1">
        <f ca="1">IFERROR(__xludf.UNSUPPORTED("""COMPUTED_VALUE"""),38.31)</f>
        <v>38.31</v>
      </c>
      <c r="C565" s="2">
        <f t="shared" ca="1" si="2"/>
        <v>-9.5656670113753225E-3</v>
      </c>
    </row>
    <row r="566" spans="1:3">
      <c r="A566" s="3">
        <f ca="1">IFERROR(__xludf.UNSUPPORTED("""COMPUTED_VALUE"""),44285.6666666666)</f>
        <v>44285.666666666599</v>
      </c>
      <c r="B566" s="1">
        <f ca="1">IFERROR(__xludf.UNSUPPORTED("""COMPUTED_VALUE"""),38.99)</f>
        <v>38.99</v>
      </c>
      <c r="C566" s="2">
        <f t="shared" ca="1" si="2"/>
        <v>1.7749934742886966E-2</v>
      </c>
    </row>
    <row r="567" spans="1:3">
      <c r="A567" s="3">
        <f ca="1">IFERROR(__xludf.UNSUPPORTED("""COMPUTED_VALUE"""),44286.6666666666)</f>
        <v>44286.666666666599</v>
      </c>
      <c r="B567" s="1">
        <f ca="1">IFERROR(__xludf.UNSUPPORTED("""COMPUTED_VALUE"""),38.69)</f>
        <v>38.69</v>
      </c>
      <c r="C567" s="2">
        <f t="shared" ca="1" si="2"/>
        <v>-7.6942805847654335E-3</v>
      </c>
    </row>
    <row r="568" spans="1:3">
      <c r="A568" s="3">
        <f ca="1">IFERROR(__xludf.UNSUPPORTED("""COMPUTED_VALUE"""),44287.6666666666)</f>
        <v>44287.666666666599</v>
      </c>
      <c r="B568" s="1">
        <f ca="1">IFERROR(__xludf.UNSUPPORTED("""COMPUTED_VALUE"""),39.49)</f>
        <v>39.49</v>
      </c>
      <c r="C568" s="2">
        <f t="shared" ca="1" si="2"/>
        <v>2.0677177565262453E-2</v>
      </c>
    </row>
    <row r="569" spans="1:3">
      <c r="A569" s="3">
        <f ca="1">IFERROR(__xludf.UNSUPPORTED("""COMPUTED_VALUE"""),44291.6666666666)</f>
        <v>44291.666666666599</v>
      </c>
      <c r="B569" s="1">
        <f ca="1">IFERROR(__xludf.UNSUPPORTED("""COMPUTED_VALUE"""),39.8)</f>
        <v>39.799999999999997</v>
      </c>
      <c r="C569" s="2">
        <f t="shared" ca="1" si="2"/>
        <v>7.8500886300327966E-3</v>
      </c>
    </row>
    <row r="570" spans="1:3">
      <c r="A570" s="3">
        <f ca="1">IFERROR(__xludf.UNSUPPORTED("""COMPUTED_VALUE"""),44292.6666666666)</f>
        <v>44292.666666666599</v>
      </c>
      <c r="B570" s="1">
        <f ca="1">IFERROR(__xludf.UNSUPPORTED("""COMPUTED_VALUE"""),39.69)</f>
        <v>39.69</v>
      </c>
      <c r="C570" s="2">
        <f t="shared" ca="1" si="2"/>
        <v>-2.7638190954773728E-3</v>
      </c>
    </row>
    <row r="571" spans="1:3">
      <c r="A571" s="3">
        <f ca="1">IFERROR(__xludf.UNSUPPORTED("""COMPUTED_VALUE"""),44293.6666666666)</f>
        <v>44293.666666666599</v>
      </c>
      <c r="B571" s="1">
        <f ca="1">IFERROR(__xludf.UNSUPPORTED("""COMPUTED_VALUE"""),40.05)</f>
        <v>40.049999999999997</v>
      </c>
      <c r="C571" s="2">
        <f t="shared" ca="1" si="2"/>
        <v>9.0702947845804852E-3</v>
      </c>
    </row>
    <row r="572" spans="1:3">
      <c r="A572" s="3">
        <f ca="1">IFERROR(__xludf.UNSUPPORTED("""COMPUTED_VALUE"""),44294.6666666666)</f>
        <v>44294.666666666599</v>
      </c>
      <c r="B572" s="1">
        <f ca="1">IFERROR(__xludf.UNSUPPORTED("""COMPUTED_VALUE"""),39.7)</f>
        <v>39.700000000000003</v>
      </c>
      <c r="C572" s="2">
        <f t="shared" ca="1" si="2"/>
        <v>-8.7390761548063502E-3</v>
      </c>
    </row>
    <row r="573" spans="1:3">
      <c r="A573" s="3">
        <f ca="1">IFERROR(__xludf.UNSUPPORTED("""COMPUTED_VALUE"""),44295.6666666666)</f>
        <v>44295.666666666599</v>
      </c>
      <c r="B573" s="1">
        <f ca="1">IFERROR(__xludf.UNSUPPORTED("""COMPUTED_VALUE"""),39.99)</f>
        <v>39.99</v>
      </c>
      <c r="C573" s="2">
        <f t="shared" ca="1" si="2"/>
        <v>7.3047858942065268E-3</v>
      </c>
    </row>
    <row r="574" spans="1:3">
      <c r="A574" s="3">
        <f ca="1">IFERROR(__xludf.UNSUPPORTED("""COMPUTED_VALUE"""),44298.6666666666)</f>
        <v>44298.666666666599</v>
      </c>
      <c r="B574" s="1">
        <f ca="1">IFERROR(__xludf.UNSUPPORTED("""COMPUTED_VALUE"""),40.06)</f>
        <v>40.06</v>
      </c>
      <c r="C574" s="2">
        <f t="shared" ca="1" si="2"/>
        <v>1.7504376094023577E-3</v>
      </c>
    </row>
    <row r="575" spans="1:3">
      <c r="A575" s="3">
        <f ca="1">IFERROR(__xludf.UNSUPPORTED("""COMPUTED_VALUE"""),44299.6666666666)</f>
        <v>44299.666666666599</v>
      </c>
      <c r="B575" s="1">
        <f ca="1">IFERROR(__xludf.UNSUPPORTED("""COMPUTED_VALUE"""),39.32)</f>
        <v>39.32</v>
      </c>
      <c r="C575" s="2">
        <f t="shared" ca="1" si="2"/>
        <v>-1.8472291562656066E-2</v>
      </c>
    </row>
    <row r="576" spans="1:3">
      <c r="A576" s="3">
        <f ca="1">IFERROR(__xludf.UNSUPPORTED("""COMPUTED_VALUE"""),44300.6666666666)</f>
        <v>44300.666666666599</v>
      </c>
      <c r="B576" s="1">
        <f ca="1">IFERROR(__xludf.UNSUPPORTED("""COMPUTED_VALUE"""),39.88)</f>
        <v>39.880000000000003</v>
      </c>
      <c r="C576" s="2">
        <f t="shared" ca="1" si="2"/>
        <v>1.4242115971515826E-2</v>
      </c>
    </row>
    <row r="577" spans="1:3">
      <c r="A577" s="3">
        <f ca="1">IFERROR(__xludf.UNSUPPORTED("""COMPUTED_VALUE"""),44301.6666666666)</f>
        <v>44301.666666666599</v>
      </c>
      <c r="B577" s="1">
        <f ca="1">IFERROR(__xludf.UNSUPPORTED("""COMPUTED_VALUE"""),38.74)</f>
        <v>38.74</v>
      </c>
      <c r="C577" s="2">
        <f t="shared" ca="1" si="2"/>
        <v>-2.8585757271815459E-2</v>
      </c>
    </row>
    <row r="578" spans="1:3">
      <c r="A578" s="3">
        <f ca="1">IFERROR(__xludf.UNSUPPORTED("""COMPUTED_VALUE"""),44302.6666666666)</f>
        <v>44302.666666666599</v>
      </c>
      <c r="B578" s="1">
        <f ca="1">IFERROR(__xludf.UNSUPPORTED("""COMPUTED_VALUE"""),39.15)</f>
        <v>39.15</v>
      </c>
      <c r="C578" s="2">
        <f t="shared" ca="1" si="2"/>
        <v>1.0583376355188348E-2</v>
      </c>
    </row>
    <row r="579" spans="1:3">
      <c r="A579" s="3">
        <f ca="1">IFERROR(__xludf.UNSUPPORTED("""COMPUTED_VALUE"""),44305.6666666666)</f>
        <v>44305.666666666599</v>
      </c>
      <c r="B579" s="1">
        <f ca="1">IFERROR(__xludf.UNSUPPORTED("""COMPUTED_VALUE"""),39.17)</f>
        <v>39.17</v>
      </c>
      <c r="C579" s="2">
        <f t="shared" ca="1" si="2"/>
        <v>5.1085568326955622E-4</v>
      </c>
    </row>
    <row r="580" spans="1:3">
      <c r="A580" s="3">
        <f ca="1">IFERROR(__xludf.UNSUPPORTED("""COMPUTED_VALUE"""),44306.6666666666)</f>
        <v>44306.666666666599</v>
      </c>
      <c r="B580" s="1">
        <f ca="1">IFERROR(__xludf.UNSUPPORTED("""COMPUTED_VALUE"""),38.08)</f>
        <v>38.08</v>
      </c>
      <c r="C580" s="2">
        <f t="shared" ca="1" si="2"/>
        <v>-2.7827418943068762E-2</v>
      </c>
    </row>
    <row r="581" spans="1:3">
      <c r="A581" s="3">
        <f ca="1">IFERROR(__xludf.UNSUPPORTED("""COMPUTED_VALUE"""),44307.6666666666)</f>
        <v>44307.666666666599</v>
      </c>
      <c r="B581" s="1">
        <f ca="1">IFERROR(__xludf.UNSUPPORTED("""COMPUTED_VALUE"""),38.72)</f>
        <v>38.72</v>
      </c>
      <c r="C581" s="2">
        <f t="shared" ca="1" si="2"/>
        <v>1.6806722689075647E-2</v>
      </c>
    </row>
    <row r="582" spans="1:3">
      <c r="A582" s="3">
        <f ca="1">IFERROR(__xludf.UNSUPPORTED("""COMPUTED_VALUE"""),44308.6666666666)</f>
        <v>44308.666666666599</v>
      </c>
      <c r="B582" s="1">
        <f ca="1">IFERROR(__xludf.UNSUPPORTED("""COMPUTED_VALUE"""),38.36)</f>
        <v>38.36</v>
      </c>
      <c r="C582" s="2">
        <f t="shared" ca="1" si="2"/>
        <v>-9.2975206611570112E-3</v>
      </c>
    </row>
    <row r="583" spans="1:3">
      <c r="A583" s="3">
        <f ca="1">IFERROR(__xludf.UNSUPPORTED("""COMPUTED_VALUE"""),44309.6666666666)</f>
        <v>44309.666666666599</v>
      </c>
      <c r="B583" s="1">
        <f ca="1">IFERROR(__xludf.UNSUPPORTED("""COMPUTED_VALUE"""),39.18)</f>
        <v>39.18</v>
      </c>
      <c r="C583" s="2">
        <f t="shared" ca="1" si="2"/>
        <v>2.1376433785192918E-2</v>
      </c>
    </row>
    <row r="584" spans="1:3">
      <c r="A584" s="3">
        <f ca="1">IFERROR(__xludf.UNSUPPORTED("""COMPUTED_VALUE"""),44312.6666666666)</f>
        <v>44312.666666666599</v>
      </c>
      <c r="B584" s="1">
        <f ca="1">IFERROR(__xludf.UNSUPPORTED("""COMPUTED_VALUE"""),39.41)</f>
        <v>39.409999999999997</v>
      </c>
      <c r="C584" s="2">
        <f t="shared" ca="1" si="2"/>
        <v>5.8703420112301398E-3</v>
      </c>
    </row>
    <row r="585" spans="1:3">
      <c r="A585" s="3">
        <f ca="1">IFERROR(__xludf.UNSUPPORTED("""COMPUTED_VALUE"""),44313.6666666666)</f>
        <v>44313.666666666599</v>
      </c>
      <c r="B585" s="1">
        <f ca="1">IFERROR(__xludf.UNSUPPORTED("""COMPUTED_VALUE"""),39.88)</f>
        <v>39.880000000000003</v>
      </c>
      <c r="C585" s="2">
        <f t="shared" ca="1" si="2"/>
        <v>1.1925907130170161E-2</v>
      </c>
    </row>
    <row r="586" spans="1:3">
      <c r="A586" s="3">
        <f ca="1">IFERROR(__xludf.UNSUPPORTED("""COMPUTED_VALUE"""),44314.6666666666)</f>
        <v>44314.666666666599</v>
      </c>
      <c r="B586" s="1">
        <f ca="1">IFERROR(__xludf.UNSUPPORTED("""COMPUTED_VALUE"""),40.03)</f>
        <v>40.03</v>
      </c>
      <c r="C586" s="2">
        <f t="shared" ca="1" si="2"/>
        <v>3.7612838515546283E-3</v>
      </c>
    </row>
    <row r="587" spans="1:3">
      <c r="A587" s="3">
        <f ca="1">IFERROR(__xludf.UNSUPPORTED("""COMPUTED_VALUE"""),44315.6666666666)</f>
        <v>44315.666666666599</v>
      </c>
      <c r="B587" s="1">
        <f ca="1">IFERROR(__xludf.UNSUPPORTED("""COMPUTED_VALUE"""),41.11)</f>
        <v>41.11</v>
      </c>
      <c r="C587" s="2">
        <f t="shared" ca="1" si="2"/>
        <v>2.697976517611787E-2</v>
      </c>
    </row>
    <row r="588" spans="1:3">
      <c r="A588" s="3">
        <f ca="1">IFERROR(__xludf.UNSUPPORTED("""COMPUTED_VALUE"""),44316.6666666666)</f>
        <v>44316.666666666599</v>
      </c>
      <c r="B588" s="1">
        <f ca="1">IFERROR(__xludf.UNSUPPORTED("""COMPUTED_VALUE"""),40.53)</f>
        <v>40.53</v>
      </c>
      <c r="C588" s="2">
        <f t="shared" ca="1" si="2"/>
        <v>-1.4108489418632894E-2</v>
      </c>
    </row>
    <row r="589" spans="1:3">
      <c r="A589" s="3">
        <f ca="1">IFERROR(__xludf.UNSUPPORTED("""COMPUTED_VALUE"""),44319.6666666666)</f>
        <v>44319.666666666599</v>
      </c>
      <c r="B589" s="1">
        <f ca="1">IFERROR(__xludf.UNSUPPORTED("""COMPUTED_VALUE"""),40.56)</f>
        <v>40.56</v>
      </c>
      <c r="C589" s="2">
        <f t="shared" ca="1" si="2"/>
        <v>7.4019245003703767E-4</v>
      </c>
    </row>
    <row r="590" spans="1:3">
      <c r="A590" s="3">
        <f ca="1">IFERROR(__xludf.UNSUPPORTED("""COMPUTED_VALUE"""),44320.6666666666)</f>
        <v>44320.666666666599</v>
      </c>
      <c r="B590" s="1">
        <f ca="1">IFERROR(__xludf.UNSUPPORTED("""COMPUTED_VALUE"""),41)</f>
        <v>41</v>
      </c>
      <c r="C590" s="2">
        <f t="shared" ca="1" si="2"/>
        <v>1.084812623274156E-2</v>
      </c>
    </row>
    <row r="591" spans="1:3">
      <c r="A591" s="3">
        <f ca="1">IFERROR(__xludf.UNSUPPORTED("""COMPUTED_VALUE"""),44321.6666666666)</f>
        <v>44321.666666666599</v>
      </c>
      <c r="B591" s="1">
        <f ca="1">IFERROR(__xludf.UNSUPPORTED("""COMPUTED_VALUE"""),41.39)</f>
        <v>41.39</v>
      </c>
      <c r="C591" s="2">
        <f t="shared" ca="1" si="2"/>
        <v>9.5121951219512332E-3</v>
      </c>
    </row>
    <row r="592" spans="1:3">
      <c r="A592" s="3">
        <f ca="1">IFERROR(__xludf.UNSUPPORTED("""COMPUTED_VALUE"""),44322.6666666666)</f>
        <v>44322.666666666599</v>
      </c>
      <c r="B592" s="1">
        <f ca="1">IFERROR(__xludf.UNSUPPORTED("""COMPUTED_VALUE"""),42.01)</f>
        <v>42.01</v>
      </c>
      <c r="C592" s="2">
        <f t="shared" ca="1" si="2"/>
        <v>1.4979463638559976E-2</v>
      </c>
    </row>
    <row r="593" spans="1:3">
      <c r="A593" s="3">
        <f ca="1">IFERROR(__xludf.UNSUPPORTED("""COMPUTED_VALUE"""),44323.6666666666)</f>
        <v>44323.666666666599</v>
      </c>
      <c r="B593" s="1">
        <f ca="1">IFERROR(__xludf.UNSUPPORTED("""COMPUTED_VALUE"""),42.18)</f>
        <v>42.18</v>
      </c>
      <c r="C593" s="2">
        <f t="shared" ca="1" si="2"/>
        <v>4.0466555582004691E-3</v>
      </c>
    </row>
    <row r="594" spans="1:3">
      <c r="A594" s="3">
        <f ca="1">IFERROR(__xludf.UNSUPPORTED("""COMPUTED_VALUE"""),44326.6666666666)</f>
        <v>44326.666666666599</v>
      </c>
      <c r="B594" s="1">
        <f ca="1">IFERROR(__xludf.UNSUPPORTED("""COMPUTED_VALUE"""),42.05)</f>
        <v>42.05</v>
      </c>
      <c r="C594" s="2">
        <f t="shared" ca="1" si="2"/>
        <v>-3.0820293978189323E-3</v>
      </c>
    </row>
    <row r="595" spans="1:3">
      <c r="A595" s="3">
        <f ca="1">IFERROR(__xludf.UNSUPPORTED("""COMPUTED_VALUE"""),44327.6666666666)</f>
        <v>44327.666666666599</v>
      </c>
      <c r="B595" s="1">
        <f ca="1">IFERROR(__xludf.UNSUPPORTED("""COMPUTED_VALUE"""),41.57)</f>
        <v>41.57</v>
      </c>
      <c r="C595" s="2">
        <f t="shared" ca="1" si="2"/>
        <v>-1.1414982164090296E-2</v>
      </c>
    </row>
    <row r="596" spans="1:3">
      <c r="A596" s="3">
        <f ca="1">IFERROR(__xludf.UNSUPPORTED("""COMPUTED_VALUE"""),44328.6666666666)</f>
        <v>44328.666666666599</v>
      </c>
      <c r="B596" s="1">
        <f ca="1">IFERROR(__xludf.UNSUPPORTED("""COMPUTED_VALUE"""),41.18)</f>
        <v>41.18</v>
      </c>
      <c r="C596" s="2">
        <f t="shared" ca="1" si="2"/>
        <v>-9.3817656964156979E-3</v>
      </c>
    </row>
    <row r="597" spans="1:3">
      <c r="A597" s="3">
        <f ca="1">IFERROR(__xludf.UNSUPPORTED("""COMPUTED_VALUE"""),44329.6666666666)</f>
        <v>44329.666666666599</v>
      </c>
      <c r="B597" s="1">
        <f ca="1">IFERROR(__xludf.UNSUPPORTED("""COMPUTED_VALUE"""),41.84)</f>
        <v>41.84</v>
      </c>
      <c r="C597" s="2">
        <f t="shared" ca="1" si="2"/>
        <v>1.6027197668771337E-2</v>
      </c>
    </row>
    <row r="598" spans="1:3">
      <c r="A598" s="3">
        <f ca="1">IFERROR(__xludf.UNSUPPORTED("""COMPUTED_VALUE"""),44330.6666666666)</f>
        <v>44330.666666666599</v>
      </c>
      <c r="B598" s="1">
        <f ca="1">IFERROR(__xludf.UNSUPPORTED("""COMPUTED_VALUE"""),42.36)</f>
        <v>42.36</v>
      </c>
      <c r="C598" s="2">
        <f t="shared" ca="1" si="2"/>
        <v>1.2428298279158603E-2</v>
      </c>
    </row>
    <row r="599" spans="1:3">
      <c r="A599" s="3">
        <f ca="1">IFERROR(__xludf.UNSUPPORTED("""COMPUTED_VALUE"""),44333.6666666666)</f>
        <v>44333.666666666599</v>
      </c>
      <c r="B599" s="1">
        <f ca="1">IFERROR(__xludf.UNSUPPORTED("""COMPUTED_VALUE"""),42.74)</f>
        <v>42.74</v>
      </c>
      <c r="C599" s="2">
        <f t="shared" ca="1" si="2"/>
        <v>8.9707271010387758E-3</v>
      </c>
    </row>
    <row r="600" spans="1:3">
      <c r="A600" s="3">
        <f ca="1">IFERROR(__xludf.UNSUPPORTED("""COMPUTED_VALUE"""),44334.6666666666)</f>
        <v>44334.666666666599</v>
      </c>
      <c r="B600" s="1">
        <f ca="1">IFERROR(__xludf.UNSUPPORTED("""COMPUTED_VALUE"""),42.16)</f>
        <v>42.16</v>
      </c>
      <c r="C600" s="2">
        <f t="shared" ca="1" si="2"/>
        <v>-1.3570425830603776E-2</v>
      </c>
    </row>
    <row r="601" spans="1:3">
      <c r="A601" s="3">
        <f ca="1">IFERROR(__xludf.UNSUPPORTED("""COMPUTED_VALUE"""),44335.6666666666)</f>
        <v>44335.666666666599</v>
      </c>
      <c r="B601" s="1">
        <f ca="1">IFERROR(__xludf.UNSUPPORTED("""COMPUTED_VALUE"""),41.97)</f>
        <v>41.97</v>
      </c>
      <c r="C601" s="2">
        <f t="shared" ca="1" si="2"/>
        <v>-4.5066413662238555E-3</v>
      </c>
    </row>
    <row r="602" spans="1:3">
      <c r="A602" s="3">
        <f ca="1">IFERROR(__xludf.UNSUPPORTED("""COMPUTED_VALUE"""),44336.6666666666)</f>
        <v>44336.666666666599</v>
      </c>
      <c r="B602" s="1">
        <f ca="1">IFERROR(__xludf.UNSUPPORTED("""COMPUTED_VALUE"""),41.87)</f>
        <v>41.87</v>
      </c>
      <c r="C602" s="2">
        <f t="shared" ca="1" si="2"/>
        <v>-2.3826542768644607E-3</v>
      </c>
    </row>
    <row r="603" spans="1:3">
      <c r="A603" s="3">
        <f ca="1">IFERROR(__xludf.UNSUPPORTED("""COMPUTED_VALUE"""),44337.6666666666)</f>
        <v>44337.666666666599</v>
      </c>
      <c r="B603" s="1">
        <f ca="1">IFERROR(__xludf.UNSUPPORTED("""COMPUTED_VALUE"""),42.4)</f>
        <v>42.4</v>
      </c>
      <c r="C603" s="2">
        <f t="shared" ca="1" si="2"/>
        <v>1.2658227848101293E-2</v>
      </c>
    </row>
    <row r="604" spans="1:3">
      <c r="A604" s="3">
        <f ca="1">IFERROR(__xludf.UNSUPPORTED("""COMPUTED_VALUE"""),44340.6666666666)</f>
        <v>44340.666666666599</v>
      </c>
      <c r="B604" s="1">
        <f ca="1">IFERROR(__xludf.UNSUPPORTED("""COMPUTED_VALUE"""),42.63)</f>
        <v>42.63</v>
      </c>
      <c r="C604" s="2">
        <f t="shared" ca="1" si="2"/>
        <v>5.4245283018868867E-3</v>
      </c>
    </row>
    <row r="605" spans="1:3">
      <c r="A605" s="3">
        <f ca="1">IFERROR(__xludf.UNSUPPORTED("""COMPUTED_VALUE"""),44341.6666666666)</f>
        <v>44341.666666666599</v>
      </c>
      <c r="B605" s="1">
        <f ca="1">IFERROR(__xludf.UNSUPPORTED("""COMPUTED_VALUE"""),42.01)</f>
        <v>42.01</v>
      </c>
      <c r="C605" s="2">
        <f t="shared" ca="1" si="2"/>
        <v>-1.4543748533896422E-2</v>
      </c>
    </row>
    <row r="606" spans="1:3">
      <c r="A606" s="3">
        <f ca="1">IFERROR(__xludf.UNSUPPORTED("""COMPUTED_VALUE"""),44342.6666666666)</f>
        <v>44342.666666666599</v>
      </c>
      <c r="B606" s="1">
        <f ca="1">IFERROR(__xludf.UNSUPPORTED("""COMPUTED_VALUE"""),42.04)</f>
        <v>42.04</v>
      </c>
      <c r="C606" s="2">
        <f t="shared" ca="1" si="2"/>
        <v>7.1411568674127916E-4</v>
      </c>
    </row>
    <row r="607" spans="1:3">
      <c r="A607" s="3">
        <f ca="1">IFERROR(__xludf.UNSUPPORTED("""COMPUTED_VALUE"""),44343.6666666666)</f>
        <v>44343.666666666599</v>
      </c>
      <c r="B607" s="1">
        <f ca="1">IFERROR(__xludf.UNSUPPORTED("""COMPUTED_VALUE"""),42.55)</f>
        <v>42.55</v>
      </c>
      <c r="C607" s="2">
        <f t="shared" ca="1" si="2"/>
        <v>1.2131303520456662E-2</v>
      </c>
    </row>
    <row r="608" spans="1:3">
      <c r="A608" s="3">
        <f ca="1">IFERROR(__xludf.UNSUPPORTED("""COMPUTED_VALUE"""),44344.6666666666)</f>
        <v>44344.666666666599</v>
      </c>
      <c r="B608" s="1">
        <f ca="1">IFERROR(__xludf.UNSUPPORTED("""COMPUTED_VALUE"""),42.39)</f>
        <v>42.39</v>
      </c>
      <c r="C608" s="2">
        <f t="shared" ca="1" si="2"/>
        <v>-3.7602820211515065E-3</v>
      </c>
    </row>
    <row r="609" spans="1:3">
      <c r="A609" s="3">
        <f ca="1">IFERROR(__xludf.UNSUPPORTED("""COMPUTED_VALUE"""),44348.6666666666)</f>
        <v>44348.666666666599</v>
      </c>
      <c r="B609" s="1">
        <f ca="1">IFERROR(__xludf.UNSUPPORTED("""COMPUTED_VALUE"""),42.92)</f>
        <v>42.92</v>
      </c>
      <c r="C609" s="2">
        <f t="shared" ca="1" si="2"/>
        <v>1.250294880868132E-2</v>
      </c>
    </row>
    <row r="610" spans="1:3">
      <c r="A610" s="3">
        <f ca="1">IFERROR(__xludf.UNSUPPORTED("""COMPUTED_VALUE"""),44349.6666666666)</f>
        <v>44349.666666666599</v>
      </c>
      <c r="B610" s="1">
        <f ca="1">IFERROR(__xludf.UNSUPPORTED("""COMPUTED_VALUE"""),42.94)</f>
        <v>42.94</v>
      </c>
      <c r="C610" s="2">
        <f t="shared" ca="1" si="2"/>
        <v>4.6598322460382154E-4</v>
      </c>
    </row>
    <row r="611" spans="1:3">
      <c r="A611" s="3">
        <f ca="1">IFERROR(__xludf.UNSUPPORTED("""COMPUTED_VALUE"""),44350.6666666666)</f>
        <v>44350.666666666599</v>
      </c>
      <c r="B611" s="1">
        <f ca="1">IFERROR(__xludf.UNSUPPORTED("""COMPUTED_VALUE"""),43.25)</f>
        <v>43.25</v>
      </c>
      <c r="C611" s="2">
        <f t="shared" ca="1" si="2"/>
        <v>7.2193758733116505E-3</v>
      </c>
    </row>
    <row r="612" spans="1:3">
      <c r="A612" s="3">
        <f ca="1">IFERROR(__xludf.UNSUPPORTED("""COMPUTED_VALUE"""),44351.6666666666)</f>
        <v>44351.666666666599</v>
      </c>
      <c r="B612" s="1">
        <f ca="1">IFERROR(__xludf.UNSUPPORTED("""COMPUTED_VALUE"""),43.27)</f>
        <v>43.27</v>
      </c>
      <c r="C612" s="2">
        <f t="shared" ca="1" si="2"/>
        <v>4.6242774566481219E-4</v>
      </c>
    </row>
    <row r="613" spans="1:3">
      <c r="A613" s="3">
        <f ca="1">IFERROR(__xludf.UNSUPPORTED("""COMPUTED_VALUE"""),44354.6666666666)</f>
        <v>44354.666666666599</v>
      </c>
      <c r="B613" s="1">
        <f ca="1">IFERROR(__xludf.UNSUPPORTED("""COMPUTED_VALUE"""),43.12)</f>
        <v>43.12</v>
      </c>
      <c r="C613" s="2">
        <f t="shared" ca="1" si="2"/>
        <v>-3.4666050381327866E-3</v>
      </c>
    </row>
    <row r="614" spans="1:3">
      <c r="A614" s="3">
        <f ca="1">IFERROR(__xludf.UNSUPPORTED("""COMPUTED_VALUE"""),44355.6666666666)</f>
        <v>44355.666666666599</v>
      </c>
      <c r="B614" s="1">
        <f ca="1">IFERROR(__xludf.UNSUPPORTED("""COMPUTED_VALUE"""),42.88)</f>
        <v>42.88</v>
      </c>
      <c r="C614" s="2">
        <f t="shared" ca="1" si="2"/>
        <v>-5.5658627087197335E-3</v>
      </c>
    </row>
    <row r="615" spans="1:3">
      <c r="A615" s="3">
        <f ca="1">IFERROR(__xludf.UNSUPPORTED("""COMPUTED_VALUE"""),44356.6666666666)</f>
        <v>44356.666666666599</v>
      </c>
      <c r="B615" s="1">
        <f ca="1">IFERROR(__xludf.UNSUPPORTED("""COMPUTED_VALUE"""),42.32)</f>
        <v>42.32</v>
      </c>
      <c r="C615" s="2">
        <f t="shared" ca="1" si="2"/>
        <v>-1.3059701492537365E-2</v>
      </c>
    </row>
    <row r="616" spans="1:3">
      <c r="A616" s="3">
        <f ca="1">IFERROR(__xludf.UNSUPPORTED("""COMPUTED_VALUE"""),44357.6666666666)</f>
        <v>44357.666666666599</v>
      </c>
      <c r="B616" s="1">
        <f ca="1">IFERROR(__xludf.UNSUPPORTED("""COMPUTED_VALUE"""),41.69)</f>
        <v>41.69</v>
      </c>
      <c r="C616" s="2">
        <f t="shared" ca="1" si="2"/>
        <v>-1.4886578449905543E-2</v>
      </c>
    </row>
    <row r="617" spans="1:3">
      <c r="A617" s="3">
        <f ca="1">IFERROR(__xludf.UNSUPPORTED("""COMPUTED_VALUE"""),44358.6666666666)</f>
        <v>44358.666666666599</v>
      </c>
      <c r="B617" s="1">
        <f ca="1">IFERROR(__xludf.UNSUPPORTED("""COMPUTED_VALUE"""),41.86)</f>
        <v>41.86</v>
      </c>
      <c r="C617" s="2">
        <f t="shared" ca="1" si="2"/>
        <v>4.0777164787719287E-3</v>
      </c>
    </row>
    <row r="618" spans="1:3">
      <c r="A618" s="3">
        <f ca="1">IFERROR(__xludf.UNSUPPORTED("""COMPUTED_VALUE"""),44361.6666666666)</f>
        <v>44361.666666666599</v>
      </c>
      <c r="B618" s="1">
        <f ca="1">IFERROR(__xludf.UNSUPPORTED("""COMPUTED_VALUE"""),41.36)</f>
        <v>41.36</v>
      </c>
      <c r="C618" s="2">
        <f t="shared" ca="1" si="2"/>
        <v>-1.1944577161968466E-2</v>
      </c>
    </row>
    <row r="619" spans="1:3">
      <c r="A619" s="3">
        <f ca="1">IFERROR(__xludf.UNSUPPORTED("""COMPUTED_VALUE"""),44362.6666666666)</f>
        <v>44362.666666666599</v>
      </c>
      <c r="B619" s="1">
        <f ca="1">IFERROR(__xludf.UNSUPPORTED("""COMPUTED_VALUE"""),41.39)</f>
        <v>41.39</v>
      </c>
      <c r="C619" s="2">
        <f t="shared" ca="1" si="2"/>
        <v>7.2533849129596557E-4</v>
      </c>
    </row>
    <row r="620" spans="1:3">
      <c r="A620" s="3">
        <f ca="1">IFERROR(__xludf.UNSUPPORTED("""COMPUTED_VALUE"""),44363.6666666666)</f>
        <v>44363.666666666599</v>
      </c>
      <c r="B620" s="1">
        <f ca="1">IFERROR(__xludf.UNSUPPORTED("""COMPUTED_VALUE"""),41.62)</f>
        <v>41.62</v>
      </c>
      <c r="C620" s="2">
        <f t="shared" ca="1" si="2"/>
        <v>5.5568978014012291E-3</v>
      </c>
    </row>
    <row r="621" spans="1:3">
      <c r="A621" s="3">
        <f ca="1">IFERROR(__xludf.UNSUPPORTED("""COMPUTED_VALUE"""),44364.6666666666)</f>
        <v>44364.666666666599</v>
      </c>
      <c r="B621" s="1">
        <f ca="1">IFERROR(__xludf.UNSUPPORTED("""COMPUTED_VALUE"""),39.8)</f>
        <v>39.799999999999997</v>
      </c>
      <c r="C621" s="2">
        <f t="shared" ca="1" si="2"/>
        <v>-4.3728976453628075E-2</v>
      </c>
    </row>
    <row r="622" spans="1:3">
      <c r="A622" s="3">
        <f ca="1">IFERROR(__xludf.UNSUPPORTED("""COMPUTED_VALUE"""),44365.6666666666)</f>
        <v>44365.666666666599</v>
      </c>
      <c r="B622" s="1">
        <f ca="1">IFERROR(__xludf.UNSUPPORTED("""COMPUTED_VALUE"""),38.78)</f>
        <v>38.78</v>
      </c>
      <c r="C622" s="2">
        <f t="shared" ca="1" si="2"/>
        <v>-2.5628140703517491E-2</v>
      </c>
    </row>
    <row r="623" spans="1:3">
      <c r="A623" s="3">
        <f ca="1">IFERROR(__xludf.UNSUPPORTED("""COMPUTED_VALUE"""),44368.6666666666)</f>
        <v>44368.666666666599</v>
      </c>
      <c r="B623" s="1">
        <f ca="1">IFERROR(__xludf.UNSUPPORTED("""COMPUTED_VALUE"""),39.75)</f>
        <v>39.75</v>
      </c>
      <c r="C623" s="2">
        <f t="shared" ca="1" si="2"/>
        <v>2.5012893243940144E-2</v>
      </c>
    </row>
    <row r="624" spans="1:3">
      <c r="A624" s="3">
        <f ca="1">IFERROR(__xludf.UNSUPPORTED("""COMPUTED_VALUE"""),44369.6666666666)</f>
        <v>44369.666666666599</v>
      </c>
      <c r="B624" s="1">
        <f ca="1">IFERROR(__xludf.UNSUPPORTED("""COMPUTED_VALUE"""),39.97)</f>
        <v>39.97</v>
      </c>
      <c r="C624" s="2">
        <f t="shared" ca="1" si="2"/>
        <v>5.534591194968525E-3</v>
      </c>
    </row>
    <row r="625" spans="1:3">
      <c r="A625" s="3">
        <f ca="1">IFERROR(__xludf.UNSUPPORTED("""COMPUTED_VALUE"""),44370.6666666666)</f>
        <v>44370.666666666599</v>
      </c>
      <c r="B625" s="1">
        <f ca="1">IFERROR(__xludf.UNSUPPORTED("""COMPUTED_VALUE"""),40.2)</f>
        <v>40.200000000000003</v>
      </c>
      <c r="C625" s="2">
        <f t="shared" ca="1" si="2"/>
        <v>5.7543157368027016E-3</v>
      </c>
    </row>
    <row r="626" spans="1:3">
      <c r="A626" s="3">
        <f ca="1">IFERROR(__xludf.UNSUPPORTED("""COMPUTED_VALUE"""),44371.6666666666)</f>
        <v>44371.666666666599</v>
      </c>
      <c r="B626" s="1">
        <f ca="1">IFERROR(__xludf.UNSUPPORTED("""COMPUTED_VALUE"""),40.83)</f>
        <v>40.83</v>
      </c>
      <c r="C626" s="2">
        <f t="shared" ca="1" si="2"/>
        <v>1.567164179104466E-2</v>
      </c>
    </row>
    <row r="627" spans="1:3">
      <c r="A627" s="3">
        <f ca="1">IFERROR(__xludf.UNSUPPORTED("""COMPUTED_VALUE"""),44372.6666666666)</f>
        <v>44372.666666666599</v>
      </c>
      <c r="B627" s="1">
        <f ca="1">IFERROR(__xludf.UNSUPPORTED("""COMPUTED_VALUE"""),41.62)</f>
        <v>41.62</v>
      </c>
      <c r="C627" s="2">
        <f t="shared" ca="1" si="2"/>
        <v>1.934851824638744E-2</v>
      </c>
    </row>
    <row r="628" spans="1:3">
      <c r="A628" s="3">
        <f ca="1">IFERROR(__xludf.UNSUPPORTED("""COMPUTED_VALUE"""),44375.6666666666)</f>
        <v>44375.666666666599</v>
      </c>
      <c r="B628" s="1">
        <f ca="1">IFERROR(__xludf.UNSUPPORTED("""COMPUTED_VALUE"""),41.56)</f>
        <v>41.56</v>
      </c>
      <c r="C628" s="2">
        <f t="shared" ca="1" si="2"/>
        <v>-1.4416146083612487E-3</v>
      </c>
    </row>
    <row r="629" spans="1:3">
      <c r="A629" s="3">
        <f ca="1">IFERROR(__xludf.UNSUPPORTED("""COMPUTED_VALUE"""),44376.6666666666)</f>
        <v>44376.666666666599</v>
      </c>
      <c r="B629" s="1">
        <f ca="1">IFERROR(__xludf.UNSUPPORTED("""COMPUTED_VALUE"""),40.89)</f>
        <v>40.89</v>
      </c>
      <c r="C629" s="2">
        <f t="shared" ca="1" si="2"/>
        <v>-1.6121270452358078E-2</v>
      </c>
    </row>
    <row r="630" spans="1:3">
      <c r="A630" s="3">
        <f ca="1">IFERROR(__xludf.UNSUPPORTED("""COMPUTED_VALUE"""),44377.6666666666)</f>
        <v>44377.666666666599</v>
      </c>
      <c r="B630" s="1">
        <f ca="1">IFERROR(__xludf.UNSUPPORTED("""COMPUTED_VALUE"""),41.23)</f>
        <v>41.23</v>
      </c>
      <c r="C630" s="2">
        <f t="shared" ca="1" si="2"/>
        <v>8.3149914404498978E-3</v>
      </c>
    </row>
    <row r="631" spans="1:3">
      <c r="A631" s="3">
        <f ca="1">IFERROR(__xludf.UNSUPPORTED("""COMPUTED_VALUE"""),44378.6666666666)</f>
        <v>44378.666666666599</v>
      </c>
      <c r="B631" s="1">
        <f ca="1">IFERROR(__xludf.UNSUPPORTED("""COMPUTED_VALUE"""),41.54)</f>
        <v>41.54</v>
      </c>
      <c r="C631" s="2">
        <f t="shared" ca="1" si="2"/>
        <v>7.518796992481259E-3</v>
      </c>
    </row>
    <row r="632" spans="1:3">
      <c r="A632" s="3">
        <f ca="1">IFERROR(__xludf.UNSUPPORTED("""COMPUTED_VALUE"""),44379.6666666666)</f>
        <v>44379.666666666599</v>
      </c>
      <c r="B632" s="1">
        <f ca="1">IFERROR(__xludf.UNSUPPORTED("""COMPUTED_VALUE"""),41.15)</f>
        <v>41.15</v>
      </c>
      <c r="C632" s="2">
        <f t="shared" ca="1" si="2"/>
        <v>-9.3885411651420461E-3</v>
      </c>
    </row>
    <row r="633" spans="1:3">
      <c r="A633" s="3">
        <f ca="1">IFERROR(__xludf.UNSUPPORTED("""COMPUTED_VALUE"""),44383.6666666666)</f>
        <v>44383.666666666599</v>
      </c>
      <c r="B633" s="1">
        <f ca="1">IFERROR(__xludf.UNSUPPORTED("""COMPUTED_VALUE"""),40.07)</f>
        <v>40.07</v>
      </c>
      <c r="C633" s="2">
        <f t="shared" ca="1" si="2"/>
        <v>-2.6245443499392427E-2</v>
      </c>
    </row>
    <row r="634" spans="1:3">
      <c r="A634" s="3">
        <f ca="1">IFERROR(__xludf.UNSUPPORTED("""COMPUTED_VALUE"""),44384.6666666666)</f>
        <v>44384.666666666599</v>
      </c>
      <c r="B634" s="1">
        <f ca="1">IFERROR(__xludf.UNSUPPORTED("""COMPUTED_VALUE"""),39.75)</f>
        <v>39.75</v>
      </c>
      <c r="C634" s="2">
        <f t="shared" ca="1" si="2"/>
        <v>-7.9860244571999077E-3</v>
      </c>
    </row>
    <row r="635" spans="1:3">
      <c r="A635" s="3">
        <f ca="1">IFERROR(__xludf.UNSUPPORTED("""COMPUTED_VALUE"""),44385.6666666666)</f>
        <v>44385.666666666599</v>
      </c>
      <c r="B635" s="1">
        <f ca="1">IFERROR(__xludf.UNSUPPORTED("""COMPUTED_VALUE"""),38.78)</f>
        <v>38.78</v>
      </c>
      <c r="C635" s="2">
        <f t="shared" ca="1" si="2"/>
        <v>-2.4402515723270412E-2</v>
      </c>
    </row>
    <row r="636" spans="1:3">
      <c r="A636" s="3">
        <f ca="1">IFERROR(__xludf.UNSUPPORTED("""COMPUTED_VALUE"""),44386.6666666666)</f>
        <v>44386.666666666599</v>
      </c>
      <c r="B636" s="1">
        <f ca="1">IFERROR(__xludf.UNSUPPORTED("""COMPUTED_VALUE"""),40.04)</f>
        <v>40.04</v>
      </c>
      <c r="C636" s="2">
        <f t="shared" ca="1" si="2"/>
        <v>3.2490974729241826E-2</v>
      </c>
    </row>
    <row r="637" spans="1:3">
      <c r="A637" s="3">
        <f ca="1">IFERROR(__xludf.UNSUPPORTED("""COMPUTED_VALUE"""),44389.6666666666)</f>
        <v>44389.666666666599</v>
      </c>
      <c r="B637" s="1">
        <f ca="1">IFERROR(__xludf.UNSUPPORTED("""COMPUTED_VALUE"""),40.63)</f>
        <v>40.630000000000003</v>
      </c>
      <c r="C637" s="2">
        <f t="shared" ca="1" si="2"/>
        <v>1.4735264735264821E-2</v>
      </c>
    </row>
    <row r="638" spans="1:3">
      <c r="A638" s="3">
        <f ca="1">IFERROR(__xludf.UNSUPPORTED("""COMPUTED_VALUE"""),44390.6666666666)</f>
        <v>44390.666666666599</v>
      </c>
      <c r="B638" s="1">
        <f ca="1">IFERROR(__xludf.UNSUPPORTED("""COMPUTED_VALUE"""),39.86)</f>
        <v>39.86</v>
      </c>
      <c r="C638" s="2">
        <f t="shared" ca="1" si="2"/>
        <v>-1.8951513659857325E-2</v>
      </c>
    </row>
    <row r="639" spans="1:3">
      <c r="A639" s="3">
        <f ca="1">IFERROR(__xludf.UNSUPPORTED("""COMPUTED_VALUE"""),44391.6666666666)</f>
        <v>44391.666666666599</v>
      </c>
      <c r="B639" s="1">
        <f ca="1">IFERROR(__xludf.UNSUPPORTED("""COMPUTED_VALUE"""),38.86)</f>
        <v>38.86</v>
      </c>
      <c r="C639" s="2">
        <f t="shared" ca="1" si="2"/>
        <v>-2.5087807325639741E-2</v>
      </c>
    </row>
    <row r="640" spans="1:3">
      <c r="A640" s="3">
        <f ca="1">IFERROR(__xludf.UNSUPPORTED("""COMPUTED_VALUE"""),44392.6666666666)</f>
        <v>44392.666666666599</v>
      </c>
      <c r="B640" s="1">
        <f ca="1">IFERROR(__xludf.UNSUPPORTED("""COMPUTED_VALUE"""),38.83)</f>
        <v>38.83</v>
      </c>
      <c r="C640" s="2">
        <f t="shared" ca="1" si="2"/>
        <v>-7.7200205867218575E-4</v>
      </c>
    </row>
    <row r="641" spans="1:3">
      <c r="A641" s="3">
        <f ca="1">IFERROR(__xludf.UNSUPPORTED("""COMPUTED_VALUE"""),44393.6666666666)</f>
        <v>44393.666666666599</v>
      </c>
      <c r="B641" s="1">
        <f ca="1">IFERROR(__xludf.UNSUPPORTED("""COMPUTED_VALUE"""),37.92)</f>
        <v>37.92</v>
      </c>
      <c r="C641" s="2">
        <f t="shared" ca="1" si="2"/>
        <v>-2.3435488024723065E-2</v>
      </c>
    </row>
    <row r="642" spans="1:3">
      <c r="A642" s="3">
        <f ca="1">IFERROR(__xludf.UNSUPPORTED("""COMPUTED_VALUE"""),44396.6666666666)</f>
        <v>44396.666666666599</v>
      </c>
      <c r="B642" s="1">
        <f ca="1">IFERROR(__xludf.UNSUPPORTED("""COMPUTED_VALUE"""),36.93)</f>
        <v>36.93</v>
      </c>
      <c r="C642" s="2">
        <f t="shared" ca="1" si="2"/>
        <v>-2.6107594936708913E-2</v>
      </c>
    </row>
    <row r="643" spans="1:3">
      <c r="A643" s="3">
        <f ca="1">IFERROR(__xludf.UNSUPPORTED("""COMPUTED_VALUE"""),44397.6666666666)</f>
        <v>44397.666666666599</v>
      </c>
      <c r="B643" s="1">
        <f ca="1">IFERROR(__xludf.UNSUPPORTED("""COMPUTED_VALUE"""),37.69)</f>
        <v>37.69</v>
      </c>
      <c r="C643" s="2">
        <f t="shared" ca="1" si="2"/>
        <v>2.0579474681830436E-2</v>
      </c>
    </row>
    <row r="644" spans="1:3">
      <c r="A644" s="3">
        <f ca="1">IFERROR(__xludf.UNSUPPORTED("""COMPUTED_VALUE"""),44398.6666666666)</f>
        <v>44398.666666666599</v>
      </c>
      <c r="B644" s="1">
        <f ca="1">IFERROR(__xludf.UNSUPPORTED("""COMPUTED_VALUE"""),38.46)</f>
        <v>38.46</v>
      </c>
      <c r="C644" s="2">
        <f t="shared" ca="1" si="2"/>
        <v>2.0429822234014412E-2</v>
      </c>
    </row>
    <row r="645" spans="1:3">
      <c r="A645" s="3">
        <f ca="1">IFERROR(__xludf.UNSUPPORTED("""COMPUTED_VALUE"""),44399.6666666666)</f>
        <v>44399.666666666599</v>
      </c>
      <c r="B645" s="1">
        <f ca="1">IFERROR(__xludf.UNSUPPORTED("""COMPUTED_VALUE"""),37.96)</f>
        <v>37.96</v>
      </c>
      <c r="C645" s="2">
        <f t="shared" ca="1" si="2"/>
        <v>-1.3000520020800831E-2</v>
      </c>
    </row>
    <row r="646" spans="1:3">
      <c r="A646" s="3">
        <f ca="1">IFERROR(__xludf.UNSUPPORTED("""COMPUTED_VALUE"""),44400.6666666666)</f>
        <v>44400.666666666599</v>
      </c>
      <c r="B646" s="1">
        <f ca="1">IFERROR(__xludf.UNSUPPORTED("""COMPUTED_VALUE"""),37.7)</f>
        <v>37.700000000000003</v>
      </c>
      <c r="C646" s="2">
        <f t="shared" ca="1" si="2"/>
        <v>-6.8493150684930983E-3</v>
      </c>
    </row>
    <row r="647" spans="1:3">
      <c r="A647" s="3">
        <f ca="1">IFERROR(__xludf.UNSUPPORTED("""COMPUTED_VALUE"""),44403.6666666666)</f>
        <v>44403.666666666599</v>
      </c>
      <c r="B647" s="1">
        <f ca="1">IFERROR(__xludf.UNSUPPORTED("""COMPUTED_VALUE"""),38.13)</f>
        <v>38.130000000000003</v>
      </c>
      <c r="C647" s="2">
        <f t="shared" ca="1" si="2"/>
        <v>1.140583554376657E-2</v>
      </c>
    </row>
    <row r="648" spans="1:3">
      <c r="A648" s="3">
        <f ca="1">IFERROR(__xludf.UNSUPPORTED("""COMPUTED_VALUE"""),44404.6666666666)</f>
        <v>44404.666666666599</v>
      </c>
      <c r="B648" s="1">
        <f ca="1">IFERROR(__xludf.UNSUPPORTED("""COMPUTED_VALUE"""),37.98)</f>
        <v>37.979999999999997</v>
      </c>
      <c r="C648" s="2">
        <f t="shared" ca="1" si="2"/>
        <v>-3.9339103068451531E-3</v>
      </c>
    </row>
    <row r="649" spans="1:3">
      <c r="A649" s="3">
        <f ca="1">IFERROR(__xludf.UNSUPPORTED("""COMPUTED_VALUE"""),44405.6666666666)</f>
        <v>44405.666666666599</v>
      </c>
      <c r="B649" s="1">
        <f ca="1">IFERROR(__xludf.UNSUPPORTED("""COMPUTED_VALUE"""),38.13)</f>
        <v>38.130000000000003</v>
      </c>
      <c r="C649" s="2">
        <f t="shared" ca="1" si="2"/>
        <v>3.9494470774093125E-3</v>
      </c>
    </row>
    <row r="650" spans="1:3">
      <c r="A650" s="3">
        <f ca="1">IFERROR(__xludf.UNSUPPORTED("""COMPUTED_VALUE"""),44406.6666666666)</f>
        <v>44406.666666666599</v>
      </c>
      <c r="B650" s="1">
        <f ca="1">IFERROR(__xludf.UNSUPPORTED("""COMPUTED_VALUE"""),38.68)</f>
        <v>38.68</v>
      </c>
      <c r="C650" s="2">
        <f t="shared" ca="1" si="2"/>
        <v>1.4424337791764939E-2</v>
      </c>
    </row>
    <row r="651" spans="1:3">
      <c r="A651" s="3">
        <f ca="1">IFERROR(__xludf.UNSUPPORTED("""COMPUTED_VALUE"""),44407.6666666666)</f>
        <v>44407.666666666599</v>
      </c>
      <c r="B651" s="1">
        <f ca="1">IFERROR(__xludf.UNSUPPORTED("""COMPUTED_VALUE"""),38.36)</f>
        <v>38.36</v>
      </c>
      <c r="C651" s="2">
        <f t="shared" ca="1" si="2"/>
        <v>-8.2730093071354781E-3</v>
      </c>
    </row>
    <row r="652" spans="1:3">
      <c r="A652" s="3">
        <f ca="1">IFERROR(__xludf.UNSUPPORTED("""COMPUTED_VALUE"""),44410.6666666666)</f>
        <v>44410.666666666599</v>
      </c>
      <c r="B652" s="1">
        <f ca="1">IFERROR(__xludf.UNSUPPORTED("""COMPUTED_VALUE"""),37.96)</f>
        <v>37.96</v>
      </c>
      <c r="C652" s="2">
        <f t="shared" ca="1" si="2"/>
        <v>-1.0427528675703821E-2</v>
      </c>
    </row>
    <row r="653" spans="1:3">
      <c r="A653" s="3">
        <f ca="1">IFERROR(__xludf.UNSUPPORTED("""COMPUTED_VALUE"""),44411.6666666666)</f>
        <v>44411.666666666599</v>
      </c>
      <c r="B653" s="1">
        <f ca="1">IFERROR(__xludf.UNSUPPORTED("""COMPUTED_VALUE"""),38.55)</f>
        <v>38.549999999999997</v>
      </c>
      <c r="C653" s="2">
        <f t="shared" ca="1" si="2"/>
        <v>1.5542676501580513E-2</v>
      </c>
    </row>
    <row r="654" spans="1:3">
      <c r="A654" s="3">
        <f ca="1">IFERROR(__xludf.UNSUPPORTED("""COMPUTED_VALUE"""),44412.6666666666)</f>
        <v>44412.666666666599</v>
      </c>
      <c r="B654" s="1">
        <f ca="1">IFERROR(__xludf.UNSUPPORTED("""COMPUTED_VALUE"""),38.27)</f>
        <v>38.270000000000003</v>
      </c>
      <c r="C654" s="2">
        <f t="shared" ca="1" si="2"/>
        <v>-7.2632944228273426E-3</v>
      </c>
    </row>
    <row r="655" spans="1:3">
      <c r="A655" s="3">
        <f ca="1">IFERROR(__xludf.UNSUPPORTED("""COMPUTED_VALUE"""),44413.6666666666)</f>
        <v>44413.666666666599</v>
      </c>
      <c r="B655" s="1">
        <f ca="1">IFERROR(__xludf.UNSUPPORTED("""COMPUTED_VALUE"""),39.02)</f>
        <v>39.020000000000003</v>
      </c>
      <c r="C655" s="2">
        <f t="shared" ca="1" si="2"/>
        <v>1.9597596028220535E-2</v>
      </c>
    </row>
    <row r="656" spans="1:3">
      <c r="A656" s="3">
        <f ca="1">IFERROR(__xludf.UNSUPPORTED("""COMPUTED_VALUE"""),44414.6666666666)</f>
        <v>44414.666666666599</v>
      </c>
      <c r="B656" s="1">
        <f ca="1">IFERROR(__xludf.UNSUPPORTED("""COMPUTED_VALUE"""),40.15)</f>
        <v>40.15</v>
      </c>
      <c r="C656" s="2">
        <f t="shared" ca="1" si="2"/>
        <v>2.8959507944643654E-2</v>
      </c>
    </row>
    <row r="657" spans="1:3">
      <c r="A657" s="3">
        <f ca="1">IFERROR(__xludf.UNSUPPORTED("""COMPUTED_VALUE"""),44417.6666666666)</f>
        <v>44417.666666666599</v>
      </c>
      <c r="B657" s="1">
        <f ca="1">IFERROR(__xludf.UNSUPPORTED("""COMPUTED_VALUE"""),40.67)</f>
        <v>40.67</v>
      </c>
      <c r="C657" s="2">
        <f t="shared" ca="1" si="2"/>
        <v>1.29514321295144E-2</v>
      </c>
    </row>
    <row r="658" spans="1:3">
      <c r="A658" s="3">
        <f ca="1">IFERROR(__xludf.UNSUPPORTED("""COMPUTED_VALUE"""),44418.6666666666)</f>
        <v>44418.666666666599</v>
      </c>
      <c r="B658" s="1">
        <f ca="1">IFERROR(__xludf.UNSUPPORTED("""COMPUTED_VALUE"""),41.43)</f>
        <v>41.43</v>
      </c>
      <c r="C658" s="2">
        <f t="shared" ca="1" si="2"/>
        <v>1.8686992869436883E-2</v>
      </c>
    </row>
    <row r="659" spans="1:3">
      <c r="A659" s="3">
        <f ca="1">IFERROR(__xludf.UNSUPPORTED("""COMPUTED_VALUE"""),44419.6666666666)</f>
        <v>44419.666666666599</v>
      </c>
      <c r="B659" s="1">
        <f ca="1">IFERROR(__xludf.UNSUPPORTED("""COMPUTED_VALUE"""),41.95)</f>
        <v>41.95</v>
      </c>
      <c r="C659" s="2">
        <f t="shared" ca="1" si="2"/>
        <v>1.2551291334781636E-2</v>
      </c>
    </row>
    <row r="660" spans="1:3">
      <c r="A660" s="3">
        <f ca="1">IFERROR(__xludf.UNSUPPORTED("""COMPUTED_VALUE"""),44420.6666666666)</f>
        <v>44420.666666666599</v>
      </c>
      <c r="B660" s="1">
        <f ca="1">IFERROR(__xludf.UNSUPPORTED("""COMPUTED_VALUE"""),42.15)</f>
        <v>42.15</v>
      </c>
      <c r="C660" s="2">
        <f t="shared" ca="1" si="2"/>
        <v>4.7675804529200413E-3</v>
      </c>
    </row>
    <row r="661" spans="1:3">
      <c r="A661" s="3">
        <f ca="1">IFERROR(__xludf.UNSUPPORTED("""COMPUTED_VALUE"""),44421.6666666666)</f>
        <v>44421.666666666599</v>
      </c>
      <c r="B661" s="1">
        <f ca="1">IFERROR(__xludf.UNSUPPORTED("""COMPUTED_VALUE"""),41.63)</f>
        <v>41.63</v>
      </c>
      <c r="C661" s="2">
        <f t="shared" ca="1" si="2"/>
        <v>-1.2336892052194449E-2</v>
      </c>
    </row>
    <row r="662" spans="1:3">
      <c r="A662" s="3">
        <f ca="1">IFERROR(__xludf.UNSUPPORTED("""COMPUTED_VALUE"""),44424.6666666666)</f>
        <v>44424.666666666599</v>
      </c>
      <c r="B662" s="1">
        <f ca="1">IFERROR(__xludf.UNSUPPORTED("""COMPUTED_VALUE"""),41.29)</f>
        <v>41.29</v>
      </c>
      <c r="C662" s="2">
        <f t="shared" ca="1" si="2"/>
        <v>-8.1671871246697912E-3</v>
      </c>
    </row>
    <row r="663" spans="1:3">
      <c r="A663" s="3">
        <f ca="1">IFERROR(__xludf.UNSUPPORTED("""COMPUTED_VALUE"""),44425.6666666666)</f>
        <v>44425.666666666599</v>
      </c>
      <c r="B663" s="1">
        <f ca="1">IFERROR(__xludf.UNSUPPORTED("""COMPUTED_VALUE"""),41.09)</f>
        <v>41.09</v>
      </c>
      <c r="C663" s="2">
        <f t="shared" ca="1" si="2"/>
        <v>-4.8437878420924136E-3</v>
      </c>
    </row>
    <row r="664" spans="1:3">
      <c r="A664" s="3">
        <f ca="1">IFERROR(__xludf.UNSUPPORTED("""COMPUTED_VALUE"""),44426.6666666666)</f>
        <v>44426.666666666599</v>
      </c>
      <c r="B664" s="1">
        <f ca="1">IFERROR(__xludf.UNSUPPORTED("""COMPUTED_VALUE"""),40.79)</f>
        <v>40.79</v>
      </c>
      <c r="C664" s="2">
        <f t="shared" ca="1" si="2"/>
        <v>-7.3010464833293803E-3</v>
      </c>
    </row>
    <row r="665" spans="1:3">
      <c r="A665" s="3">
        <f ca="1">IFERROR(__xludf.UNSUPPORTED("""COMPUTED_VALUE"""),44427.6666666666)</f>
        <v>44427.666666666599</v>
      </c>
      <c r="B665" s="1">
        <f ca="1">IFERROR(__xludf.UNSUPPORTED("""COMPUTED_VALUE"""),40.19)</f>
        <v>40.19</v>
      </c>
      <c r="C665" s="2">
        <f t="shared" ca="1" si="2"/>
        <v>-1.4709487619514622E-2</v>
      </c>
    </row>
    <row r="666" spans="1:3">
      <c r="A666" s="3">
        <f ca="1">IFERROR(__xludf.UNSUPPORTED("""COMPUTED_VALUE"""),44428.6666666666)</f>
        <v>44428.666666666599</v>
      </c>
      <c r="B666" s="1">
        <f ca="1">IFERROR(__xludf.UNSUPPORTED("""COMPUTED_VALUE"""),40.37)</f>
        <v>40.369999999999997</v>
      </c>
      <c r="C666" s="2">
        <f t="shared" ca="1" si="2"/>
        <v>4.4787260512565248E-3</v>
      </c>
    </row>
    <row r="667" spans="1:3">
      <c r="A667" s="3">
        <f ca="1">IFERROR(__xludf.UNSUPPORTED("""COMPUTED_VALUE"""),44431.6666666666)</f>
        <v>44431.666666666599</v>
      </c>
      <c r="B667" s="1">
        <f ca="1">IFERROR(__xludf.UNSUPPORTED("""COMPUTED_VALUE"""),40.91)</f>
        <v>40.909999999999997</v>
      </c>
      <c r="C667" s="2">
        <f t="shared" ca="1" si="2"/>
        <v>1.3376269507059677E-2</v>
      </c>
    </row>
    <row r="668" spans="1:3">
      <c r="A668" s="3">
        <f ca="1">IFERROR(__xludf.UNSUPPORTED("""COMPUTED_VALUE"""),44432.6666666666)</f>
        <v>44432.666666666599</v>
      </c>
      <c r="B668" s="1">
        <f ca="1">IFERROR(__xludf.UNSUPPORTED("""COMPUTED_VALUE"""),41.48)</f>
        <v>41.48</v>
      </c>
      <c r="C668" s="2">
        <f t="shared" ca="1" si="2"/>
        <v>1.3933023710584217E-2</v>
      </c>
    </row>
    <row r="669" spans="1:3">
      <c r="A669" s="3">
        <f ca="1">IFERROR(__xludf.UNSUPPORTED("""COMPUTED_VALUE"""),44433.6666666666)</f>
        <v>44433.666666666599</v>
      </c>
      <c r="B669" s="1">
        <f ca="1">IFERROR(__xludf.UNSUPPORTED("""COMPUTED_VALUE"""),42.15)</f>
        <v>42.15</v>
      </c>
      <c r="C669" s="2">
        <f t="shared" ca="1" si="2"/>
        <v>1.6152362584378056E-2</v>
      </c>
    </row>
    <row r="670" spans="1:3">
      <c r="A670" s="3">
        <f ca="1">IFERROR(__xludf.UNSUPPORTED("""COMPUTED_VALUE"""),44434.6666666666)</f>
        <v>44434.666666666599</v>
      </c>
      <c r="B670" s="1">
        <f ca="1">IFERROR(__xludf.UNSUPPORTED("""COMPUTED_VALUE"""),42.04)</f>
        <v>42.04</v>
      </c>
      <c r="C670" s="2">
        <f t="shared" ca="1" si="2"/>
        <v>-2.609727164887294E-3</v>
      </c>
    </row>
    <row r="671" spans="1:3">
      <c r="A671" s="3">
        <f ca="1">IFERROR(__xludf.UNSUPPORTED("""COMPUTED_VALUE"""),44435.6666666666)</f>
        <v>44435.666666666599</v>
      </c>
      <c r="B671" s="1">
        <f ca="1">IFERROR(__xludf.UNSUPPORTED("""COMPUTED_VALUE"""),42.49)</f>
        <v>42.49</v>
      </c>
      <c r="C671" s="2">
        <f t="shared" ca="1" si="2"/>
        <v>1.0704091341579515E-2</v>
      </c>
    </row>
    <row r="672" spans="1:3">
      <c r="A672" s="3">
        <f ca="1">IFERROR(__xludf.UNSUPPORTED("""COMPUTED_VALUE"""),44438.6666666666)</f>
        <v>44438.666666666599</v>
      </c>
      <c r="B672" s="1">
        <f ca="1">IFERROR(__xludf.UNSUPPORTED("""COMPUTED_VALUE"""),41.66)</f>
        <v>41.66</v>
      </c>
      <c r="C672" s="2">
        <f t="shared" ca="1" si="2"/>
        <v>-1.9534008001882923E-2</v>
      </c>
    </row>
    <row r="673" spans="1:3">
      <c r="A673" s="3">
        <f ca="1">IFERROR(__xludf.UNSUPPORTED("""COMPUTED_VALUE"""),44439.6666666666)</f>
        <v>44439.666666666599</v>
      </c>
      <c r="B673" s="1">
        <f ca="1">IFERROR(__xludf.UNSUPPORTED("""COMPUTED_VALUE"""),41.75)</f>
        <v>41.75</v>
      </c>
      <c r="C673" s="2">
        <f t="shared" ca="1" si="2"/>
        <v>2.1603456553049307E-3</v>
      </c>
    </row>
    <row r="674" spans="1:3">
      <c r="A674" s="3">
        <f ca="1">IFERROR(__xludf.UNSUPPORTED("""COMPUTED_VALUE"""),44440.6666666666)</f>
        <v>44440.666666666599</v>
      </c>
      <c r="B674" s="1">
        <f ca="1">IFERROR(__xludf.UNSUPPORTED("""COMPUTED_VALUE"""),41.19)</f>
        <v>41.19</v>
      </c>
      <c r="C674" s="2">
        <f t="shared" ca="1" si="2"/>
        <v>-1.3413173652694664E-2</v>
      </c>
    </row>
    <row r="675" spans="1:3">
      <c r="A675" s="3">
        <f ca="1">IFERROR(__xludf.UNSUPPORTED("""COMPUTED_VALUE"""),44441.6666666666)</f>
        <v>44441.666666666599</v>
      </c>
      <c r="B675" s="1">
        <f ca="1">IFERROR(__xludf.UNSUPPORTED("""COMPUTED_VALUE"""),41.02)</f>
        <v>41.02</v>
      </c>
      <c r="C675" s="2">
        <f t="shared" ca="1" si="2"/>
        <v>-4.1272153435298522E-3</v>
      </c>
    </row>
    <row r="676" spans="1:3">
      <c r="A676" s="3">
        <f ca="1">IFERROR(__xludf.UNSUPPORTED("""COMPUTED_VALUE"""),44442.6666666666)</f>
        <v>44442.666666666599</v>
      </c>
      <c r="B676" s="1">
        <f ca="1">IFERROR(__xludf.UNSUPPORTED("""COMPUTED_VALUE"""),41.05)</f>
        <v>41.05</v>
      </c>
      <c r="C676" s="2">
        <f t="shared" ca="1" si="2"/>
        <v>7.3135056070195098E-4</v>
      </c>
    </row>
    <row r="677" spans="1:3">
      <c r="A677" s="3">
        <f ca="1">IFERROR(__xludf.UNSUPPORTED("""COMPUTED_VALUE"""),44446.6666666666)</f>
        <v>44446.666666666599</v>
      </c>
      <c r="B677" s="1">
        <f ca="1">IFERROR(__xludf.UNSUPPORTED("""COMPUTED_VALUE"""),41.32)</f>
        <v>41.32</v>
      </c>
      <c r="C677" s="2">
        <f t="shared" ca="1" si="2"/>
        <v>6.5773447015835115E-3</v>
      </c>
    </row>
    <row r="678" spans="1:3">
      <c r="A678" s="3">
        <f ca="1">IFERROR(__xludf.UNSUPPORTED("""COMPUTED_VALUE"""),44447.6666666666)</f>
        <v>44447.666666666599</v>
      </c>
      <c r="B678" s="1">
        <f ca="1">IFERROR(__xludf.UNSUPPORTED("""COMPUTED_VALUE"""),40.78)</f>
        <v>40.78</v>
      </c>
      <c r="C678" s="2">
        <f t="shared" ca="1" si="2"/>
        <v>-1.3068731848983522E-2</v>
      </c>
    </row>
    <row r="679" spans="1:3">
      <c r="A679" s="3">
        <f ca="1">IFERROR(__xludf.UNSUPPORTED("""COMPUTED_VALUE"""),44448.6666666666)</f>
        <v>44448.666666666599</v>
      </c>
      <c r="B679" s="1">
        <f ca="1">IFERROR(__xludf.UNSUPPORTED("""COMPUTED_VALUE"""),40.93)</f>
        <v>40.93</v>
      </c>
      <c r="C679" s="2">
        <f t="shared" ca="1" si="2"/>
        <v>3.6782736635605339E-3</v>
      </c>
    </row>
    <row r="680" spans="1:3">
      <c r="A680" s="3">
        <f ca="1">IFERROR(__xludf.UNSUPPORTED("""COMPUTED_VALUE"""),44449.6666666666)</f>
        <v>44449.666666666599</v>
      </c>
      <c r="B680" s="1">
        <f ca="1">IFERROR(__xludf.UNSUPPORTED("""COMPUTED_VALUE"""),40.27)</f>
        <v>40.270000000000003</v>
      </c>
      <c r="C680" s="2">
        <f t="shared" ca="1" si="2"/>
        <v>-1.6125091619838664E-2</v>
      </c>
    </row>
    <row r="681" spans="1:3">
      <c r="A681" s="3">
        <f ca="1">IFERROR(__xludf.UNSUPPORTED("""COMPUTED_VALUE"""),44452.6666666666)</f>
        <v>44452.666666666599</v>
      </c>
      <c r="B681" s="1">
        <f ca="1">IFERROR(__xludf.UNSUPPORTED("""COMPUTED_VALUE"""),40.94)</f>
        <v>40.94</v>
      </c>
      <c r="C681" s="2">
        <f t="shared" ca="1" si="2"/>
        <v>1.6637695555003589E-2</v>
      </c>
    </row>
    <row r="682" spans="1:3">
      <c r="A682" s="3">
        <f ca="1">IFERROR(__xludf.UNSUPPORTED("""COMPUTED_VALUE"""),44453.6666666666)</f>
        <v>44453.666666666599</v>
      </c>
      <c r="B682" s="1">
        <f ca="1">IFERROR(__xludf.UNSUPPORTED("""COMPUTED_VALUE"""),39.84)</f>
        <v>39.840000000000003</v>
      </c>
      <c r="C682" s="2">
        <f t="shared" ca="1" si="2"/>
        <v>-2.6868588177821066E-2</v>
      </c>
    </row>
    <row r="683" spans="1:3">
      <c r="A683" s="3">
        <f ca="1">IFERROR(__xludf.UNSUPPORTED("""COMPUTED_VALUE"""),44454.6666666666)</f>
        <v>44454.666666666599</v>
      </c>
      <c r="B683" s="1">
        <f ca="1">IFERROR(__xludf.UNSUPPORTED("""COMPUTED_VALUE"""),40.14)</f>
        <v>40.14</v>
      </c>
      <c r="C683" s="2">
        <f t="shared" ca="1" si="2"/>
        <v>7.5301204819276388E-3</v>
      </c>
    </row>
    <row r="684" spans="1:3">
      <c r="A684" s="3">
        <f ca="1">IFERROR(__xludf.UNSUPPORTED("""COMPUTED_VALUE"""),44455.6666666666)</f>
        <v>44455.666666666599</v>
      </c>
      <c r="B684" s="1">
        <f ca="1">IFERROR(__xludf.UNSUPPORTED("""COMPUTED_VALUE"""),40.45)</f>
        <v>40.450000000000003</v>
      </c>
      <c r="C684" s="2">
        <f t="shared" ca="1" si="2"/>
        <v>7.722969606377735E-3</v>
      </c>
    </row>
    <row r="685" spans="1:3">
      <c r="A685" s="3">
        <f ca="1">IFERROR(__xludf.UNSUPPORTED("""COMPUTED_VALUE"""),44456.6666666666)</f>
        <v>44456.666666666599</v>
      </c>
      <c r="B685" s="1">
        <f ca="1">IFERROR(__xludf.UNSUPPORTED("""COMPUTED_VALUE"""),40.5)</f>
        <v>40.5</v>
      </c>
      <c r="C685" s="2">
        <f t="shared" ca="1" si="2"/>
        <v>1.2360939431396083E-3</v>
      </c>
    </row>
    <row r="686" spans="1:3">
      <c r="A686" s="3">
        <f ca="1">IFERROR(__xludf.UNSUPPORTED("""COMPUTED_VALUE"""),44459.6666666666)</f>
        <v>44459.666666666599</v>
      </c>
      <c r="B686" s="1">
        <f ca="1">IFERROR(__xludf.UNSUPPORTED("""COMPUTED_VALUE"""),39.11)</f>
        <v>39.11</v>
      </c>
      <c r="C686" s="2">
        <f t="shared" ca="1" si="2"/>
        <v>-3.4320987654321004E-2</v>
      </c>
    </row>
    <row r="687" spans="1:3">
      <c r="A687" s="3">
        <f ca="1">IFERROR(__xludf.UNSUPPORTED("""COMPUTED_VALUE"""),44460.6666666666)</f>
        <v>44460.666666666599</v>
      </c>
      <c r="B687" s="1">
        <f ca="1">IFERROR(__xludf.UNSUPPORTED("""COMPUTED_VALUE"""),39.13)</f>
        <v>39.130000000000003</v>
      </c>
      <c r="C687" s="2">
        <f t="shared" ca="1" si="2"/>
        <v>5.1137816415247064E-4</v>
      </c>
    </row>
    <row r="688" spans="1:3">
      <c r="A688" s="3">
        <f ca="1">IFERROR(__xludf.UNSUPPORTED("""COMPUTED_VALUE"""),44461.6666666666)</f>
        <v>44461.666666666599</v>
      </c>
      <c r="B688" s="1">
        <f ca="1">IFERROR(__xludf.UNSUPPORTED("""COMPUTED_VALUE"""),40.14)</f>
        <v>40.14</v>
      </c>
      <c r="C688" s="2">
        <f t="shared" ca="1" si="2"/>
        <v>2.5811397904421107E-2</v>
      </c>
    </row>
    <row r="689" spans="1:3">
      <c r="A689" s="3">
        <f ca="1">IFERROR(__xludf.UNSUPPORTED("""COMPUTED_VALUE"""),44462.6666666666)</f>
        <v>44462.666666666599</v>
      </c>
      <c r="B689" s="1">
        <f ca="1">IFERROR(__xludf.UNSUPPORTED("""COMPUTED_VALUE"""),41.69)</f>
        <v>41.69</v>
      </c>
      <c r="C689" s="2">
        <f t="shared" ca="1" si="2"/>
        <v>3.8614848031888319E-2</v>
      </c>
    </row>
    <row r="690" spans="1:3">
      <c r="A690" s="3">
        <f ca="1">IFERROR(__xludf.UNSUPPORTED("""COMPUTED_VALUE"""),44463.6666666666)</f>
        <v>44463.666666666599</v>
      </c>
      <c r="B690" s="1">
        <f ca="1">IFERROR(__xludf.UNSUPPORTED("""COMPUTED_VALUE"""),42.14)</f>
        <v>42.14</v>
      </c>
      <c r="C690" s="2">
        <f t="shared" ca="1" si="2"/>
        <v>1.0793955384984477E-2</v>
      </c>
    </row>
    <row r="691" spans="1:3">
      <c r="A691" s="3">
        <f ca="1">IFERROR(__xludf.UNSUPPORTED("""COMPUTED_VALUE"""),44466.6666666666)</f>
        <v>44466.666666666599</v>
      </c>
      <c r="B691" s="1">
        <f ca="1">IFERROR(__xludf.UNSUPPORTED("""COMPUTED_VALUE"""),43.26)</f>
        <v>43.26</v>
      </c>
      <c r="C691" s="2">
        <f t="shared" ca="1" si="2"/>
        <v>2.6578073089700935E-2</v>
      </c>
    </row>
    <row r="692" spans="1:3">
      <c r="A692" s="3">
        <f ca="1">IFERROR(__xludf.UNSUPPORTED("""COMPUTED_VALUE"""),44467.6666666666)</f>
        <v>44467.666666666599</v>
      </c>
      <c r="B692" s="1">
        <f ca="1">IFERROR(__xludf.UNSUPPORTED("""COMPUTED_VALUE"""),43.16)</f>
        <v>43.16</v>
      </c>
      <c r="C692" s="2">
        <f t="shared" ca="1" si="2"/>
        <v>-2.3116042533518591E-3</v>
      </c>
    </row>
    <row r="693" spans="1:3">
      <c r="A693" s="3">
        <f ca="1">IFERROR(__xludf.UNSUPPORTED("""COMPUTED_VALUE"""),44468.6666666666)</f>
        <v>44468.666666666599</v>
      </c>
      <c r="B693" s="1">
        <f ca="1">IFERROR(__xludf.UNSUPPORTED("""COMPUTED_VALUE"""),43.07)</f>
        <v>43.07</v>
      </c>
      <c r="C693" s="2">
        <f t="shared" ca="1" si="2"/>
        <v>-2.0852641334568192E-3</v>
      </c>
    </row>
    <row r="694" spans="1:3">
      <c r="A694" s="3">
        <f ca="1">IFERROR(__xludf.UNSUPPORTED("""COMPUTED_VALUE"""),44469.6666666666)</f>
        <v>44469.666666666599</v>
      </c>
      <c r="B694" s="1">
        <f ca="1">IFERROR(__xludf.UNSUPPORTED("""COMPUTED_VALUE"""),42.45)</f>
        <v>42.45</v>
      </c>
      <c r="C694" s="2">
        <f t="shared" ca="1" si="2"/>
        <v>-1.4395170652426223E-2</v>
      </c>
    </row>
    <row r="695" spans="1:3">
      <c r="A695" s="3">
        <f ca="1">IFERROR(__xludf.UNSUPPORTED("""COMPUTED_VALUE"""),44470.6666666666)</f>
        <v>44470.666666666599</v>
      </c>
      <c r="B695" s="1">
        <f ca="1">IFERROR(__xludf.UNSUPPORTED("""COMPUTED_VALUE"""),43.08)</f>
        <v>43.08</v>
      </c>
      <c r="C695" s="2">
        <f t="shared" ca="1" si="2"/>
        <v>1.4840989399293177E-2</v>
      </c>
    </row>
    <row r="696" spans="1:3">
      <c r="A696" s="3">
        <f ca="1">IFERROR(__xludf.UNSUPPORTED("""COMPUTED_VALUE"""),44473.6666666666)</f>
        <v>44473.666666666599</v>
      </c>
      <c r="B696" s="1">
        <f ca="1">IFERROR(__xludf.UNSUPPORTED("""COMPUTED_VALUE"""),43.34)</f>
        <v>43.34</v>
      </c>
      <c r="C696" s="2">
        <f t="shared" ca="1" si="2"/>
        <v>6.0352831940576864E-3</v>
      </c>
    </row>
    <row r="697" spans="1:3">
      <c r="A697" s="3">
        <f ca="1">IFERROR(__xludf.UNSUPPORTED("""COMPUTED_VALUE"""),44474.6666666666)</f>
        <v>44474.666666666599</v>
      </c>
      <c r="B697" s="1">
        <f ca="1">IFERROR(__xludf.UNSUPPORTED("""COMPUTED_VALUE"""),44.22)</f>
        <v>44.22</v>
      </c>
      <c r="C697" s="2">
        <f t="shared" ca="1" si="2"/>
        <v>2.0304568527918676E-2</v>
      </c>
    </row>
    <row r="698" spans="1:3">
      <c r="A698" s="3">
        <f ca="1">IFERROR(__xludf.UNSUPPORTED("""COMPUTED_VALUE"""),44475.6666666666)</f>
        <v>44475.666666666599</v>
      </c>
      <c r="B698" s="1">
        <f ca="1">IFERROR(__xludf.UNSUPPORTED("""COMPUTED_VALUE"""),44.24)</f>
        <v>44.24</v>
      </c>
      <c r="C698" s="2">
        <f t="shared" ca="1" si="2"/>
        <v>4.522840343736573E-4</v>
      </c>
    </row>
    <row r="699" spans="1:3">
      <c r="A699" s="3">
        <f ca="1">IFERROR(__xludf.UNSUPPORTED("""COMPUTED_VALUE"""),44476.6666666666)</f>
        <v>44476.666666666599</v>
      </c>
      <c r="B699" s="1">
        <f ca="1">IFERROR(__xludf.UNSUPPORTED("""COMPUTED_VALUE"""),44.12)</f>
        <v>44.12</v>
      </c>
      <c r="C699" s="2">
        <f t="shared" ca="1" si="2"/>
        <v>-2.7124773960218026E-3</v>
      </c>
    </row>
    <row r="700" spans="1:3">
      <c r="A700" s="3">
        <f ca="1">IFERROR(__xludf.UNSUPPORTED("""COMPUTED_VALUE"""),44477.6666666666)</f>
        <v>44477.666666666599</v>
      </c>
      <c r="B700" s="1">
        <f ca="1">IFERROR(__xludf.UNSUPPORTED("""COMPUTED_VALUE"""),44.34)</f>
        <v>44.34</v>
      </c>
      <c r="C700" s="2">
        <f t="shared" ca="1" si="2"/>
        <v>4.9864007252947862E-3</v>
      </c>
    </row>
    <row r="701" spans="1:3">
      <c r="A701" s="3">
        <f ca="1">IFERROR(__xludf.UNSUPPORTED("""COMPUTED_VALUE"""),44480.6666666666)</f>
        <v>44480.666666666599</v>
      </c>
      <c r="B701" s="1">
        <f ca="1">IFERROR(__xludf.UNSUPPORTED("""COMPUTED_VALUE"""),43.78)</f>
        <v>43.78</v>
      </c>
      <c r="C701" s="2">
        <f t="shared" ca="1" si="2"/>
        <v>-1.2629679747406456E-2</v>
      </c>
    </row>
    <row r="702" spans="1:3">
      <c r="A702" s="3">
        <f ca="1">IFERROR(__xludf.UNSUPPORTED("""COMPUTED_VALUE"""),44481.6666666666)</f>
        <v>44481.666666666599</v>
      </c>
      <c r="B702" s="1">
        <f ca="1">IFERROR(__xludf.UNSUPPORTED("""COMPUTED_VALUE"""),43.54)</f>
        <v>43.54</v>
      </c>
      <c r="C702" s="2">
        <f t="shared" ca="1" si="2"/>
        <v>-5.4819552306989948E-3</v>
      </c>
    </row>
    <row r="703" spans="1:3">
      <c r="A703" s="3">
        <f ca="1">IFERROR(__xludf.UNSUPPORTED("""COMPUTED_VALUE"""),44482.6666666666)</f>
        <v>44482.666666666599</v>
      </c>
      <c r="B703" s="1">
        <f ca="1">IFERROR(__xludf.UNSUPPORTED("""COMPUTED_VALUE"""),43.14)</f>
        <v>43.14</v>
      </c>
      <c r="C703" s="2">
        <f t="shared" ca="1" si="2"/>
        <v>-9.1869545245750715E-3</v>
      </c>
    </row>
    <row r="704" spans="1:3">
      <c r="A704" s="3">
        <f ca="1">IFERROR(__xludf.UNSUPPORTED("""COMPUTED_VALUE"""),44483.6666666666)</f>
        <v>44483.666666666599</v>
      </c>
      <c r="B704" s="1">
        <f ca="1">IFERROR(__xludf.UNSUPPORTED("""COMPUTED_VALUE"""),45.07)</f>
        <v>45.07</v>
      </c>
      <c r="C704" s="2">
        <f t="shared" ca="1" si="2"/>
        <v>4.4738062123319419E-2</v>
      </c>
    </row>
    <row r="705" spans="1:3">
      <c r="A705" s="3">
        <f ca="1">IFERROR(__xludf.UNSUPPORTED("""COMPUTED_VALUE"""),44484.6666666666)</f>
        <v>44484.666666666599</v>
      </c>
      <c r="B705" s="1">
        <f ca="1">IFERROR(__xludf.UNSUPPORTED("""COMPUTED_VALUE"""),46.37)</f>
        <v>46.37</v>
      </c>
      <c r="C705" s="2">
        <f t="shared" ca="1" si="2"/>
        <v>2.8844020412691306E-2</v>
      </c>
    </row>
    <row r="706" spans="1:3">
      <c r="A706" s="3">
        <f ca="1">IFERROR(__xludf.UNSUPPORTED("""COMPUTED_VALUE"""),44487.6666666666)</f>
        <v>44487.666666666599</v>
      </c>
      <c r="B706" s="1">
        <f ca="1">IFERROR(__xludf.UNSUPPORTED("""COMPUTED_VALUE"""),46.28)</f>
        <v>46.28</v>
      </c>
      <c r="C706" s="2">
        <f t="shared" ca="1" si="2"/>
        <v>-1.9409100711666231E-3</v>
      </c>
    </row>
    <row r="707" spans="1:3">
      <c r="A707" s="3">
        <f ca="1">IFERROR(__xludf.UNSUPPORTED("""COMPUTED_VALUE"""),44488.6666666666)</f>
        <v>44488.666666666599</v>
      </c>
      <c r="B707" s="1">
        <f ca="1">IFERROR(__xludf.UNSUPPORTED("""COMPUTED_VALUE"""),46.48)</f>
        <v>46.48</v>
      </c>
      <c r="C707" s="2">
        <f t="shared" ca="1" si="2"/>
        <v>4.3215211754536673E-3</v>
      </c>
    </row>
    <row r="708" spans="1:3">
      <c r="A708" s="3">
        <f ca="1">IFERROR(__xludf.UNSUPPORTED("""COMPUTED_VALUE"""),44489.6666666666)</f>
        <v>44489.666666666599</v>
      </c>
      <c r="B708" s="1">
        <f ca="1">IFERROR(__xludf.UNSUPPORTED("""COMPUTED_VALUE"""),47.09)</f>
        <v>47.09</v>
      </c>
      <c r="C708" s="2">
        <f t="shared" ca="1" si="2"/>
        <v>1.3123924268502724E-2</v>
      </c>
    </row>
    <row r="709" spans="1:3">
      <c r="A709" s="3">
        <f ca="1">IFERROR(__xludf.UNSUPPORTED("""COMPUTED_VALUE"""),44490.6666666666)</f>
        <v>44490.666666666599</v>
      </c>
      <c r="B709" s="1">
        <f ca="1">IFERROR(__xludf.UNSUPPORTED("""COMPUTED_VALUE"""),46.83)</f>
        <v>46.83</v>
      </c>
      <c r="C709" s="2">
        <f t="shared" ca="1" si="2"/>
        <v>-5.5213421108516693E-3</v>
      </c>
    </row>
    <row r="710" spans="1:3">
      <c r="A710" s="3">
        <f ca="1">IFERROR(__xludf.UNSUPPORTED("""COMPUTED_VALUE"""),44491.6666666666)</f>
        <v>44491.666666666599</v>
      </c>
      <c r="B710" s="1">
        <f ca="1">IFERROR(__xludf.UNSUPPORTED("""COMPUTED_VALUE"""),47.57)</f>
        <v>47.57</v>
      </c>
      <c r="C710" s="2">
        <f t="shared" ca="1" si="2"/>
        <v>1.5801836429639164E-2</v>
      </c>
    </row>
    <row r="711" spans="1:3">
      <c r="A711" s="3">
        <f ca="1">IFERROR(__xludf.UNSUPPORTED("""COMPUTED_VALUE"""),44494.6666666666)</f>
        <v>44494.666666666599</v>
      </c>
      <c r="B711" s="1">
        <f ca="1">IFERROR(__xludf.UNSUPPORTED("""COMPUTED_VALUE"""),47.51)</f>
        <v>47.51</v>
      </c>
      <c r="C711" s="2">
        <f t="shared" ca="1" si="2"/>
        <v>-1.2612991381123035E-3</v>
      </c>
    </row>
    <row r="712" spans="1:3">
      <c r="A712" s="3">
        <f ca="1">IFERROR(__xludf.UNSUPPORTED("""COMPUTED_VALUE"""),44495.6666666666)</f>
        <v>44495.666666666599</v>
      </c>
      <c r="B712" s="1">
        <f ca="1">IFERROR(__xludf.UNSUPPORTED("""COMPUTED_VALUE"""),47.96)</f>
        <v>47.96</v>
      </c>
      <c r="C712" s="2">
        <f t="shared" ca="1" si="2"/>
        <v>9.4716901704904825E-3</v>
      </c>
    </row>
    <row r="713" spans="1:3">
      <c r="A713" s="3">
        <f ca="1">IFERROR(__xludf.UNSUPPORTED("""COMPUTED_VALUE"""),44496.6666666666)</f>
        <v>44496.666666666599</v>
      </c>
      <c r="B713" s="1">
        <f ca="1">IFERROR(__xludf.UNSUPPORTED("""COMPUTED_VALUE"""),47.04)</f>
        <v>47.04</v>
      </c>
      <c r="C713" s="2">
        <f t="shared" ca="1" si="2"/>
        <v>-1.9182652210175181E-2</v>
      </c>
    </row>
    <row r="714" spans="1:3">
      <c r="A714" s="3">
        <f ca="1">IFERROR(__xludf.UNSUPPORTED("""COMPUTED_VALUE"""),44497.6666666666)</f>
        <v>44497.666666666599</v>
      </c>
      <c r="B714" s="1">
        <f ca="1">IFERROR(__xludf.UNSUPPORTED("""COMPUTED_VALUE"""),47.78)</f>
        <v>47.78</v>
      </c>
      <c r="C714" s="2">
        <f t="shared" ca="1" si="2"/>
        <v>1.5731292517006844E-2</v>
      </c>
    </row>
    <row r="715" spans="1:3">
      <c r="A715" s="3">
        <f ca="1">IFERROR(__xludf.UNSUPPORTED("""COMPUTED_VALUE"""),44498.6666666666)</f>
        <v>44498.666666666599</v>
      </c>
      <c r="B715" s="1">
        <f ca="1">IFERROR(__xludf.UNSUPPORTED("""COMPUTED_VALUE"""),47.78)</f>
        <v>47.78</v>
      </c>
      <c r="C715" s="2">
        <f t="shared" ca="1" si="2"/>
        <v>0</v>
      </c>
    </row>
    <row r="716" spans="1:3">
      <c r="A716" s="3">
        <f ca="1">IFERROR(__xludf.UNSUPPORTED("""COMPUTED_VALUE"""),44501.6666666666)</f>
        <v>44501.666666666599</v>
      </c>
      <c r="B716" s="1">
        <f ca="1">IFERROR(__xludf.UNSUPPORTED("""COMPUTED_VALUE"""),47.85)</f>
        <v>47.85</v>
      </c>
      <c r="C716" s="2">
        <f t="shared" ca="1" si="2"/>
        <v>1.4650481372959457E-3</v>
      </c>
    </row>
    <row r="717" spans="1:3">
      <c r="A717" s="3">
        <f ca="1">IFERROR(__xludf.UNSUPPORTED("""COMPUTED_VALUE"""),44502.6666666666)</f>
        <v>44502.666666666599</v>
      </c>
      <c r="B717" s="1">
        <f ca="1">IFERROR(__xludf.UNSUPPORTED("""COMPUTED_VALUE"""),47.88)</f>
        <v>47.88</v>
      </c>
      <c r="C717" s="2">
        <f t="shared" ca="1" si="2"/>
        <v>6.2695924764892661E-4</v>
      </c>
    </row>
    <row r="718" spans="1:3">
      <c r="A718" s="3">
        <f ca="1">IFERROR(__xludf.UNSUPPORTED("""COMPUTED_VALUE"""),44503.6666666666)</f>
        <v>44503.666666666599</v>
      </c>
      <c r="B718" s="1">
        <f ca="1">IFERROR(__xludf.UNSUPPORTED("""COMPUTED_VALUE"""),48.37)</f>
        <v>48.37</v>
      </c>
      <c r="C718" s="2">
        <f t="shared" ca="1" si="2"/>
        <v>1.0233918128654863E-2</v>
      </c>
    </row>
    <row r="719" spans="1:3">
      <c r="A719" s="3">
        <f ca="1">IFERROR(__xludf.UNSUPPORTED("""COMPUTED_VALUE"""),44504.6666666666)</f>
        <v>44504.666666666599</v>
      </c>
      <c r="B719" s="1">
        <f ca="1">IFERROR(__xludf.UNSUPPORTED("""COMPUTED_VALUE"""),47.33)</f>
        <v>47.33</v>
      </c>
      <c r="C719" s="2">
        <f t="shared" ca="1" si="2"/>
        <v>-2.1500930328716129E-2</v>
      </c>
    </row>
    <row r="720" spans="1:3">
      <c r="A720" s="3">
        <f ca="1">IFERROR(__xludf.UNSUPPORTED("""COMPUTED_VALUE"""),44505.6666666666)</f>
        <v>44505.666666666599</v>
      </c>
      <c r="B720" s="1">
        <f ca="1">IFERROR(__xludf.UNSUPPORTED("""COMPUTED_VALUE"""),46.97)</f>
        <v>46.97</v>
      </c>
      <c r="C720" s="2">
        <f t="shared" ca="1" si="2"/>
        <v>-7.6061694485527031E-3</v>
      </c>
    </row>
    <row r="721" spans="1:3">
      <c r="A721" s="3">
        <f ca="1">IFERROR(__xludf.UNSUPPORTED("""COMPUTED_VALUE"""),44508.6666666666)</f>
        <v>44508.666666666599</v>
      </c>
      <c r="B721" s="1">
        <f ca="1">IFERROR(__xludf.UNSUPPORTED("""COMPUTED_VALUE"""),47.34)</f>
        <v>47.34</v>
      </c>
      <c r="C721" s="2">
        <f t="shared" ca="1" si="2"/>
        <v>7.8773685331063343E-3</v>
      </c>
    </row>
    <row r="722" spans="1:3">
      <c r="A722" s="3">
        <f ca="1">IFERROR(__xludf.UNSUPPORTED("""COMPUTED_VALUE"""),44509.6666666666)</f>
        <v>44509.666666666599</v>
      </c>
      <c r="B722" s="1">
        <f ca="1">IFERROR(__xludf.UNSUPPORTED("""COMPUTED_VALUE"""),46.88)</f>
        <v>46.88</v>
      </c>
      <c r="C722" s="2">
        <f t="shared" ca="1" si="2"/>
        <v>-9.7169412758766546E-3</v>
      </c>
    </row>
    <row r="723" spans="1:3">
      <c r="A723" s="3">
        <f ca="1">IFERROR(__xludf.UNSUPPORTED("""COMPUTED_VALUE"""),44510.6666666666)</f>
        <v>44510.666666666599</v>
      </c>
      <c r="B723" s="1">
        <f ca="1">IFERROR(__xludf.UNSUPPORTED("""COMPUTED_VALUE"""),47.23)</f>
        <v>47.23</v>
      </c>
      <c r="C723" s="2">
        <f t="shared" ca="1" si="2"/>
        <v>7.4658703071671141E-3</v>
      </c>
    </row>
    <row r="724" spans="1:3">
      <c r="A724" s="3">
        <f ca="1">IFERROR(__xludf.UNSUPPORTED("""COMPUTED_VALUE"""),44511.6666666666)</f>
        <v>44511.666666666599</v>
      </c>
      <c r="B724" s="1">
        <f ca="1">IFERROR(__xludf.UNSUPPORTED("""COMPUTED_VALUE"""),47.49)</f>
        <v>47.49</v>
      </c>
      <c r="C724" s="2">
        <f t="shared" ca="1" si="2"/>
        <v>5.5049756510693448E-3</v>
      </c>
    </row>
    <row r="725" spans="1:3">
      <c r="A725" s="3">
        <f ca="1">IFERROR(__xludf.UNSUPPORTED("""COMPUTED_VALUE"""),44512.6666666666)</f>
        <v>44512.666666666599</v>
      </c>
      <c r="B725" s="1">
        <f ca="1">IFERROR(__xludf.UNSUPPORTED("""COMPUTED_VALUE"""),46.91)</f>
        <v>46.91</v>
      </c>
      <c r="C725" s="2">
        <f t="shared" ca="1" si="2"/>
        <v>-1.2213097494209421E-2</v>
      </c>
    </row>
    <row r="726" spans="1:3">
      <c r="A726" s="3">
        <f ca="1">IFERROR(__xludf.UNSUPPORTED("""COMPUTED_VALUE"""),44515.6666666666)</f>
        <v>44515.666666666599</v>
      </c>
      <c r="B726" s="1">
        <f ca="1">IFERROR(__xludf.UNSUPPORTED("""COMPUTED_VALUE"""),47.05)</f>
        <v>47.05</v>
      </c>
      <c r="C726" s="2">
        <f t="shared" ca="1" si="2"/>
        <v>2.9844382860797396E-3</v>
      </c>
    </row>
    <row r="727" spans="1:3">
      <c r="A727" s="3">
        <f ca="1">IFERROR(__xludf.UNSUPPORTED("""COMPUTED_VALUE"""),44516.6666666666)</f>
        <v>44516.666666666599</v>
      </c>
      <c r="B727" s="1">
        <f ca="1">IFERROR(__xludf.UNSUPPORTED("""COMPUTED_VALUE"""),47.08)</f>
        <v>47.08</v>
      </c>
      <c r="C727" s="2">
        <f t="shared" ca="1" si="2"/>
        <v>6.376195536663366E-4</v>
      </c>
    </row>
    <row r="728" spans="1:3">
      <c r="A728" s="3">
        <f ca="1">IFERROR(__xludf.UNSUPPORTED("""COMPUTED_VALUE"""),44517.6666666666)</f>
        <v>44517.666666666599</v>
      </c>
      <c r="B728" s="1">
        <f ca="1">IFERROR(__xludf.UNSUPPORTED("""COMPUTED_VALUE"""),46.51)</f>
        <v>46.51</v>
      </c>
      <c r="C728" s="2">
        <f t="shared" ca="1" si="2"/>
        <v>-1.2107051826678001E-2</v>
      </c>
    </row>
    <row r="729" spans="1:3">
      <c r="A729" s="3">
        <f ca="1">IFERROR(__xludf.UNSUPPORTED("""COMPUTED_VALUE"""),44518.6666666666)</f>
        <v>44518.666666666599</v>
      </c>
      <c r="B729" s="1">
        <f ca="1">IFERROR(__xludf.UNSUPPORTED("""COMPUTED_VALUE"""),46.32)</f>
        <v>46.32</v>
      </c>
      <c r="C729" s="2">
        <f t="shared" ca="1" si="2"/>
        <v>-4.0851429800042513E-3</v>
      </c>
    </row>
    <row r="730" spans="1:3">
      <c r="A730" s="3">
        <f ca="1">IFERROR(__xludf.UNSUPPORTED("""COMPUTED_VALUE"""),44519.6666666666)</f>
        <v>44519.666666666599</v>
      </c>
      <c r="B730" s="1">
        <f ca="1">IFERROR(__xludf.UNSUPPORTED("""COMPUTED_VALUE"""),45.4)</f>
        <v>45.4</v>
      </c>
      <c r="C730" s="2">
        <f t="shared" ca="1" si="2"/>
        <v>-1.9861830742659795E-2</v>
      </c>
    </row>
    <row r="731" spans="1:3">
      <c r="A731" s="3">
        <f ca="1">IFERROR(__xludf.UNSUPPORTED("""COMPUTED_VALUE"""),44522.6666666666)</f>
        <v>44522.666666666599</v>
      </c>
      <c r="B731" s="1">
        <f ca="1">IFERROR(__xludf.UNSUPPORTED("""COMPUTED_VALUE"""),46.28)</f>
        <v>46.28</v>
      </c>
      <c r="C731" s="2">
        <f t="shared" ca="1" si="2"/>
        <v>1.9383259911894331E-2</v>
      </c>
    </row>
    <row r="732" spans="1:3">
      <c r="A732" s="3">
        <f ca="1">IFERROR(__xludf.UNSUPPORTED("""COMPUTED_VALUE"""),44523.6666666666)</f>
        <v>44523.666666666599</v>
      </c>
      <c r="B732" s="1">
        <f ca="1">IFERROR(__xludf.UNSUPPORTED("""COMPUTED_VALUE"""),47.5)</f>
        <v>47.5</v>
      </c>
      <c r="C732" s="2">
        <f t="shared" ca="1" si="2"/>
        <v>2.6361279170267909E-2</v>
      </c>
    </row>
    <row r="733" spans="1:3">
      <c r="A733" s="3">
        <f ca="1">IFERROR(__xludf.UNSUPPORTED("""COMPUTED_VALUE"""),44524.6666666666)</f>
        <v>44524.666666666599</v>
      </c>
      <c r="B733" s="1">
        <f ca="1">IFERROR(__xludf.UNSUPPORTED("""COMPUTED_VALUE"""),47.63)</f>
        <v>47.63</v>
      </c>
      <c r="C733" s="2">
        <f t="shared" ca="1" si="2"/>
        <v>2.736842105263212E-3</v>
      </c>
    </row>
    <row r="734" spans="1:3">
      <c r="A734" s="3">
        <f ca="1">IFERROR(__xludf.UNSUPPORTED("""COMPUTED_VALUE"""),44526.5416666666)</f>
        <v>44526.541666666599</v>
      </c>
      <c r="B734" s="1">
        <f ca="1">IFERROR(__xludf.UNSUPPORTED("""COMPUTED_VALUE"""),45.76)</f>
        <v>45.76</v>
      </c>
      <c r="C734" s="2">
        <f t="shared" ca="1" si="2"/>
        <v>-3.9260969976905404E-2</v>
      </c>
    </row>
    <row r="735" spans="1:3">
      <c r="A735" s="3">
        <f ca="1">IFERROR(__xludf.UNSUPPORTED("""COMPUTED_VALUE"""),44529.6666666666)</f>
        <v>44529.666666666599</v>
      </c>
      <c r="B735" s="1">
        <f ca="1">IFERROR(__xludf.UNSUPPORTED("""COMPUTED_VALUE"""),45.59)</f>
        <v>45.59</v>
      </c>
      <c r="C735" s="2">
        <f t="shared" ca="1" si="2"/>
        <v>-3.715034965034847E-3</v>
      </c>
    </row>
    <row r="736" spans="1:3">
      <c r="A736" s="3">
        <f ca="1">IFERROR(__xludf.UNSUPPORTED("""COMPUTED_VALUE"""),44530.6666666666)</f>
        <v>44530.666666666599</v>
      </c>
      <c r="B736" s="1">
        <f ca="1">IFERROR(__xludf.UNSUPPORTED("""COMPUTED_VALUE"""),44.47)</f>
        <v>44.47</v>
      </c>
      <c r="C736" s="2">
        <f t="shared" ca="1" si="2"/>
        <v>-2.4566790962930567E-2</v>
      </c>
    </row>
    <row r="737" spans="1:3">
      <c r="A737" s="3">
        <f ca="1">IFERROR(__xludf.UNSUPPORTED("""COMPUTED_VALUE"""),44531.6666666666)</f>
        <v>44531.666666666599</v>
      </c>
      <c r="B737" s="1">
        <f ca="1">IFERROR(__xludf.UNSUPPORTED("""COMPUTED_VALUE"""),43.84)</f>
        <v>43.84</v>
      </c>
      <c r="C737" s="2">
        <f t="shared" ca="1" si="2"/>
        <v>-1.4166854058916021E-2</v>
      </c>
    </row>
    <row r="738" spans="1:3">
      <c r="A738" s="3">
        <f ca="1">IFERROR(__xludf.UNSUPPORTED("""COMPUTED_VALUE"""),44532.6666666666)</f>
        <v>44532.666666666599</v>
      </c>
      <c r="B738" s="1">
        <f ca="1">IFERROR(__xludf.UNSUPPORTED("""COMPUTED_VALUE"""),44.89)</f>
        <v>44.89</v>
      </c>
      <c r="C738" s="2">
        <f t="shared" ca="1" si="2"/>
        <v>2.3950729927007232E-2</v>
      </c>
    </row>
    <row r="739" spans="1:3">
      <c r="A739" s="3">
        <f ca="1">IFERROR(__xludf.UNSUPPORTED("""COMPUTED_VALUE"""),44533.6666666666)</f>
        <v>44533.666666666599</v>
      </c>
      <c r="B739" s="1">
        <f ca="1">IFERROR(__xludf.UNSUPPORTED("""COMPUTED_VALUE"""),43.87)</f>
        <v>43.87</v>
      </c>
      <c r="C739" s="2">
        <f t="shared" ca="1" si="2"/>
        <v>-2.2722209846291003E-2</v>
      </c>
    </row>
    <row r="740" spans="1:3">
      <c r="A740" s="3">
        <f ca="1">IFERROR(__xludf.UNSUPPORTED("""COMPUTED_VALUE"""),44536.6666666666)</f>
        <v>44536.666666666599</v>
      </c>
      <c r="B740" s="1">
        <f ca="1">IFERROR(__xludf.UNSUPPORTED("""COMPUTED_VALUE"""),44.15)</f>
        <v>44.15</v>
      </c>
      <c r="C740" s="2">
        <f t="shared" ca="1" si="2"/>
        <v>6.3824937314793974E-3</v>
      </c>
    </row>
    <row r="741" spans="1:3">
      <c r="A741" s="3">
        <f ca="1">IFERROR(__xludf.UNSUPPORTED("""COMPUTED_VALUE"""),44537.6666666666)</f>
        <v>44537.666666666599</v>
      </c>
      <c r="B741" s="1">
        <f ca="1">IFERROR(__xludf.UNSUPPORTED("""COMPUTED_VALUE"""),44.71)</f>
        <v>44.71</v>
      </c>
      <c r="C741" s="2">
        <f t="shared" ca="1" si="2"/>
        <v>1.2684031710079327E-2</v>
      </c>
    </row>
    <row r="742" spans="1:3">
      <c r="A742" s="3">
        <f ca="1">IFERROR(__xludf.UNSUPPORTED("""COMPUTED_VALUE"""),44538.6666666666)</f>
        <v>44538.666666666599</v>
      </c>
      <c r="B742" s="1">
        <f ca="1">IFERROR(__xludf.UNSUPPORTED("""COMPUTED_VALUE"""),44.16)</f>
        <v>44.16</v>
      </c>
      <c r="C742" s="2">
        <f t="shared" ca="1" si="2"/>
        <v>-1.230149854618663E-2</v>
      </c>
    </row>
    <row r="743" spans="1:3">
      <c r="A743" s="3">
        <f ca="1">IFERROR(__xludf.UNSUPPORTED("""COMPUTED_VALUE"""),44539.6666666666)</f>
        <v>44539.666666666599</v>
      </c>
      <c r="B743" s="1">
        <f ca="1">IFERROR(__xludf.UNSUPPORTED("""COMPUTED_VALUE"""),44.49)</f>
        <v>44.49</v>
      </c>
      <c r="C743" s="2">
        <f t="shared" ca="1" si="2"/>
        <v>7.4728260869566443E-3</v>
      </c>
    </row>
    <row r="744" spans="1:3">
      <c r="A744" s="3">
        <f ca="1">IFERROR(__xludf.UNSUPPORTED("""COMPUTED_VALUE"""),44540.6666666666)</f>
        <v>44540.666666666599</v>
      </c>
      <c r="B744" s="1">
        <f ca="1">IFERROR(__xludf.UNSUPPORTED("""COMPUTED_VALUE"""),44.52)</f>
        <v>44.52</v>
      </c>
      <c r="C744" s="2">
        <f t="shared" ca="1" si="2"/>
        <v>6.7430883344574361E-4</v>
      </c>
    </row>
    <row r="745" spans="1:3">
      <c r="A745" s="3">
        <f ca="1">IFERROR(__xludf.UNSUPPORTED("""COMPUTED_VALUE"""),44543.6666666666)</f>
        <v>44543.666666666599</v>
      </c>
      <c r="B745" s="1">
        <f ca="1">IFERROR(__xludf.UNSUPPORTED("""COMPUTED_VALUE"""),43.58)</f>
        <v>43.58</v>
      </c>
      <c r="C745" s="2">
        <f t="shared" ca="1" si="2"/>
        <v>-2.1114106019766505E-2</v>
      </c>
    </row>
    <row r="746" spans="1:3">
      <c r="A746" s="3">
        <f ca="1">IFERROR(__xludf.UNSUPPORTED("""COMPUTED_VALUE"""),44544.6666666666)</f>
        <v>44544.666666666599</v>
      </c>
      <c r="B746" s="1">
        <f ca="1">IFERROR(__xludf.UNSUPPORTED("""COMPUTED_VALUE"""),44.13)</f>
        <v>44.13</v>
      </c>
      <c r="C746" s="2">
        <f t="shared" ca="1" si="2"/>
        <v>1.2620468104635253E-2</v>
      </c>
    </row>
    <row r="747" spans="1:3">
      <c r="A747" s="3">
        <f ca="1">IFERROR(__xludf.UNSUPPORTED("""COMPUTED_VALUE"""),44545.6666666666)</f>
        <v>44545.666666666599</v>
      </c>
      <c r="B747" s="1">
        <f ca="1">IFERROR(__xludf.UNSUPPORTED("""COMPUTED_VALUE"""),43.94)</f>
        <v>43.94</v>
      </c>
      <c r="C747" s="2">
        <f t="shared" ca="1" si="2"/>
        <v>-4.3054611375482627E-3</v>
      </c>
    </row>
    <row r="748" spans="1:3">
      <c r="A748" s="3">
        <f ca="1">IFERROR(__xludf.UNSUPPORTED("""COMPUTED_VALUE"""),44546.6666666666)</f>
        <v>44546.666666666599</v>
      </c>
      <c r="B748" s="1">
        <f ca="1">IFERROR(__xludf.UNSUPPORTED("""COMPUTED_VALUE"""),45)</f>
        <v>45</v>
      </c>
      <c r="C748" s="2">
        <f t="shared" ca="1" si="2"/>
        <v>2.4123805188893999E-2</v>
      </c>
    </row>
    <row r="749" spans="1:3">
      <c r="A749" s="3">
        <f ca="1">IFERROR(__xludf.UNSUPPORTED("""COMPUTED_VALUE"""),44547.6666666666)</f>
        <v>44547.666666666599</v>
      </c>
      <c r="B749" s="1">
        <f ca="1">IFERROR(__xludf.UNSUPPORTED("""COMPUTED_VALUE"""),43.88)</f>
        <v>43.88</v>
      </c>
      <c r="C749" s="2">
        <f t="shared" ca="1" si="2"/>
        <v>-2.4888888888888832E-2</v>
      </c>
    </row>
    <row r="750" spans="1:3">
      <c r="A750" s="3">
        <f ca="1">IFERROR(__xludf.UNSUPPORTED("""COMPUTED_VALUE"""),44550.6666666666)</f>
        <v>44550.666666666599</v>
      </c>
      <c r="B750" s="1">
        <f ca="1">IFERROR(__xludf.UNSUPPORTED("""COMPUTED_VALUE"""),43.16)</f>
        <v>43.16</v>
      </c>
      <c r="C750" s="2">
        <f t="shared" ca="1" si="2"/>
        <v>-1.6408386508660118E-2</v>
      </c>
    </row>
    <row r="751" spans="1:3">
      <c r="A751" s="3">
        <f ca="1">IFERROR(__xludf.UNSUPPORTED("""COMPUTED_VALUE"""),44551.6666666666)</f>
        <v>44551.666666666599</v>
      </c>
      <c r="B751" s="1">
        <f ca="1">IFERROR(__xludf.UNSUPPORTED("""COMPUTED_VALUE"""),44.19)</f>
        <v>44.19</v>
      </c>
      <c r="C751" s="2">
        <f t="shared" ca="1" si="2"/>
        <v>2.3864689527340159E-2</v>
      </c>
    </row>
    <row r="752" spans="1:3">
      <c r="A752" s="3">
        <f ca="1">IFERROR(__xludf.UNSUPPORTED("""COMPUTED_VALUE"""),44552.6666666666)</f>
        <v>44552.666666666599</v>
      </c>
      <c r="B752" s="1">
        <f ca="1">IFERROR(__xludf.UNSUPPORTED("""COMPUTED_VALUE"""),44.28)</f>
        <v>44.28</v>
      </c>
      <c r="C752" s="2">
        <f t="shared" ca="1" si="2"/>
        <v>2.0366598778004848E-3</v>
      </c>
    </row>
    <row r="753" spans="1:3">
      <c r="A753" s="3">
        <f ca="1">IFERROR(__xludf.UNSUPPORTED("""COMPUTED_VALUE"""),44553.6666666666)</f>
        <v>44553.666666666599</v>
      </c>
      <c r="B753" s="1">
        <f ca="1">IFERROR(__xludf.UNSUPPORTED("""COMPUTED_VALUE"""),44.42)</f>
        <v>44.42</v>
      </c>
      <c r="C753" s="2">
        <f t="shared" ca="1" si="2"/>
        <v>3.1616982836495159E-3</v>
      </c>
    </row>
    <row r="754" spans="1:3">
      <c r="A754" s="3">
        <f ca="1">IFERROR(__xludf.UNSUPPORTED("""COMPUTED_VALUE"""),44557.6666666666)</f>
        <v>44557.666666666599</v>
      </c>
      <c r="B754" s="1">
        <f ca="1">IFERROR(__xludf.UNSUPPORTED("""COMPUTED_VALUE"""),44.64)</f>
        <v>44.64</v>
      </c>
      <c r="C754" s="2">
        <f t="shared" ca="1" si="2"/>
        <v>4.9527239981989836E-3</v>
      </c>
    </row>
    <row r="755" spans="1:3">
      <c r="A755" s="3">
        <f ca="1">IFERROR(__xludf.UNSUPPORTED("""COMPUTED_VALUE"""),44558.6666666666)</f>
        <v>44558.666666666599</v>
      </c>
      <c r="B755" s="1">
        <f ca="1">IFERROR(__xludf.UNSUPPORTED("""COMPUTED_VALUE"""),44.7)</f>
        <v>44.7</v>
      </c>
      <c r="C755" s="2">
        <f t="shared" ca="1" si="2"/>
        <v>1.3440860215054272E-3</v>
      </c>
    </row>
    <row r="756" spans="1:3">
      <c r="A756" s="3">
        <f ca="1">IFERROR(__xludf.UNSUPPORTED("""COMPUTED_VALUE"""),44559.6666666666)</f>
        <v>44559.666666666599</v>
      </c>
      <c r="B756" s="1">
        <f ca="1">IFERROR(__xludf.UNSUPPORTED("""COMPUTED_VALUE"""),44.63)</f>
        <v>44.63</v>
      </c>
      <c r="C756" s="2">
        <f t="shared" ca="1" si="2"/>
        <v>-1.5659955257270755E-3</v>
      </c>
    </row>
    <row r="757" spans="1:3">
      <c r="A757" s="3">
        <f ca="1">IFERROR(__xludf.UNSUPPORTED("""COMPUTED_VALUE"""),44560.6666666666)</f>
        <v>44560.666666666599</v>
      </c>
      <c r="B757" s="1">
        <f ca="1">IFERROR(__xludf.UNSUPPORTED("""COMPUTED_VALUE"""),44.53)</f>
        <v>44.53</v>
      </c>
      <c r="C757" s="2">
        <f t="shared" ca="1" si="2"/>
        <v>-2.2406453058481158E-3</v>
      </c>
    </row>
    <row r="758" spans="1:3">
      <c r="A758" s="3">
        <f ca="1">IFERROR(__xludf.UNSUPPORTED("""COMPUTED_VALUE"""),44561.6666666666)</f>
        <v>44561.666666666599</v>
      </c>
      <c r="B758" s="1">
        <f ca="1">IFERROR(__xludf.UNSUPPORTED("""COMPUTED_VALUE"""),44.49)</f>
        <v>44.49</v>
      </c>
      <c r="C758" s="2">
        <f t="shared" ca="1" si="2"/>
        <v>-8.9827082865482028E-4</v>
      </c>
    </row>
    <row r="759" spans="1:3">
      <c r="A759" s="3">
        <f ca="1">IFERROR(__xludf.UNSUPPORTED("""COMPUTED_VALUE"""),44564.6666666666)</f>
        <v>44564.666666666599</v>
      </c>
      <c r="B759" s="1">
        <f ca="1">IFERROR(__xludf.UNSUPPORTED("""COMPUTED_VALUE"""),46.18)</f>
        <v>46.18</v>
      </c>
      <c r="C759" s="2">
        <f t="shared" ca="1" si="2"/>
        <v>3.7986064284108736E-2</v>
      </c>
    </row>
    <row r="760" spans="1:3">
      <c r="A760" s="3">
        <f ca="1">IFERROR(__xludf.UNSUPPORTED("""COMPUTED_VALUE"""),44565.6666666666)</f>
        <v>44565.666666666599</v>
      </c>
      <c r="B760" s="1">
        <f ca="1">IFERROR(__xludf.UNSUPPORTED("""COMPUTED_VALUE"""),47.99)</f>
        <v>47.99</v>
      </c>
      <c r="C760" s="2">
        <f t="shared" ca="1" si="2"/>
        <v>3.9194456474664408E-2</v>
      </c>
    </row>
    <row r="761" spans="1:3">
      <c r="A761" s="3">
        <f ca="1">IFERROR(__xludf.UNSUPPORTED("""COMPUTED_VALUE"""),44566.6666666666)</f>
        <v>44566.666666666599</v>
      </c>
      <c r="B761" s="1">
        <f ca="1">IFERROR(__xludf.UNSUPPORTED("""COMPUTED_VALUE"""),47.18)</f>
        <v>47.18</v>
      </c>
      <c r="C761" s="2">
        <f t="shared" ca="1" si="2"/>
        <v>-1.6878516357574543E-2</v>
      </c>
    </row>
    <row r="762" spans="1:3">
      <c r="A762" s="3">
        <f ca="1">IFERROR(__xludf.UNSUPPORTED("""COMPUTED_VALUE"""),44567.6666666666)</f>
        <v>44567.666666666599</v>
      </c>
      <c r="B762" s="1">
        <f ca="1">IFERROR(__xludf.UNSUPPORTED("""COMPUTED_VALUE"""),48.13)</f>
        <v>48.13</v>
      </c>
      <c r="C762" s="2">
        <f t="shared" ca="1" si="2"/>
        <v>2.0135650699448979E-2</v>
      </c>
    </row>
    <row r="763" spans="1:3">
      <c r="A763" s="3">
        <f ca="1">IFERROR(__xludf.UNSUPPORTED("""COMPUTED_VALUE"""),44568.6666666666)</f>
        <v>44568.666666666599</v>
      </c>
      <c r="B763" s="1">
        <f ca="1">IFERROR(__xludf.UNSUPPORTED("""COMPUTED_VALUE"""),49.18)</f>
        <v>49.18</v>
      </c>
      <c r="C763" s="2">
        <f t="shared" ca="1" si="2"/>
        <v>2.1815915229586477E-2</v>
      </c>
    </row>
    <row r="764" spans="1:3">
      <c r="A764" s="3">
        <f ca="1">IFERROR(__xludf.UNSUPPORTED("""COMPUTED_VALUE"""),44571.6666666666)</f>
        <v>44571.666666666599</v>
      </c>
      <c r="B764" s="1">
        <f ca="1">IFERROR(__xludf.UNSUPPORTED("""COMPUTED_VALUE"""),48.93)</f>
        <v>48.93</v>
      </c>
      <c r="C764" s="2">
        <f t="shared" ca="1" si="2"/>
        <v>-5.0833672224481494E-3</v>
      </c>
    </row>
    <row r="765" spans="1:3">
      <c r="A765" s="3">
        <f ca="1">IFERROR(__xludf.UNSUPPORTED("""COMPUTED_VALUE"""),44572.6666666666)</f>
        <v>44572.666666666599</v>
      </c>
      <c r="B765" s="1">
        <f ca="1">IFERROR(__xludf.UNSUPPORTED("""COMPUTED_VALUE"""),49.21)</f>
        <v>49.21</v>
      </c>
      <c r="C765" s="2">
        <f t="shared" ca="1" si="2"/>
        <v>5.7224606580829991E-3</v>
      </c>
    </row>
    <row r="766" spans="1:3">
      <c r="A766" s="3">
        <f ca="1">IFERROR(__xludf.UNSUPPORTED("""COMPUTED_VALUE"""),44573.6666666666)</f>
        <v>44573.666666666599</v>
      </c>
      <c r="B766" s="1">
        <f ca="1">IFERROR(__xludf.UNSUPPORTED("""COMPUTED_VALUE"""),48.86)</f>
        <v>48.86</v>
      </c>
      <c r="C766" s="2">
        <f t="shared" ca="1" si="2"/>
        <v>-7.1123755334281938E-3</v>
      </c>
    </row>
    <row r="767" spans="1:3">
      <c r="A767" s="3">
        <f ca="1">IFERROR(__xludf.UNSUPPORTED("""COMPUTED_VALUE"""),44574.6666666666)</f>
        <v>44574.666666666599</v>
      </c>
      <c r="B767" s="1">
        <f ca="1">IFERROR(__xludf.UNSUPPORTED("""COMPUTED_VALUE"""),48.76)</f>
        <v>48.76</v>
      </c>
      <c r="C767" s="2">
        <f t="shared" ca="1" si="2"/>
        <v>-2.0466639377814456E-3</v>
      </c>
    </row>
    <row r="768" spans="1:3">
      <c r="A768" s="3">
        <f ca="1">IFERROR(__xludf.UNSUPPORTED("""COMPUTED_VALUE"""),44575.6666666666)</f>
        <v>44575.666666666599</v>
      </c>
      <c r="B768" s="1">
        <f ca="1">IFERROR(__xludf.UNSUPPORTED("""COMPUTED_VALUE"""),47.91)</f>
        <v>47.91</v>
      </c>
      <c r="C768" s="2">
        <f t="shared" ref="C768:C1022" ca="1" si="3">(B768-B767)/B767</f>
        <v>-1.7432321575061555E-2</v>
      </c>
    </row>
    <row r="769" spans="1:3">
      <c r="A769" s="3">
        <f ca="1">IFERROR(__xludf.UNSUPPORTED("""COMPUTED_VALUE"""),44579.6666666666)</f>
        <v>44579.666666666599</v>
      </c>
      <c r="B769" s="1">
        <f ca="1">IFERROR(__xludf.UNSUPPORTED("""COMPUTED_VALUE"""),46.26)</f>
        <v>46.26</v>
      </c>
      <c r="C769" s="2">
        <f t="shared" ca="1" si="3"/>
        <v>-3.4439574201628027E-2</v>
      </c>
    </row>
    <row r="770" spans="1:3">
      <c r="A770" s="3">
        <f ca="1">IFERROR(__xludf.UNSUPPORTED("""COMPUTED_VALUE"""),44580.6666666666)</f>
        <v>44580.666666666599</v>
      </c>
      <c r="B770" s="1">
        <f ca="1">IFERROR(__xludf.UNSUPPORTED("""COMPUTED_VALUE"""),46.44)</f>
        <v>46.44</v>
      </c>
      <c r="C770" s="2">
        <f t="shared" ca="1" si="3"/>
        <v>3.8910505836575815E-3</v>
      </c>
    </row>
    <row r="771" spans="1:3">
      <c r="A771" s="3">
        <f ca="1">IFERROR(__xludf.UNSUPPORTED("""COMPUTED_VALUE"""),44581.6666666666)</f>
        <v>44581.666666666599</v>
      </c>
      <c r="B771" s="1">
        <f ca="1">IFERROR(__xludf.UNSUPPORTED("""COMPUTED_VALUE"""),45.75)</f>
        <v>45.75</v>
      </c>
      <c r="C771" s="2">
        <f t="shared" ca="1" si="3"/>
        <v>-1.4857881136950857E-2</v>
      </c>
    </row>
    <row r="772" spans="1:3">
      <c r="A772" s="3">
        <f ca="1">IFERROR(__xludf.UNSUPPORTED("""COMPUTED_VALUE"""),44582.6666666666)</f>
        <v>44582.666666666599</v>
      </c>
      <c r="B772" s="1">
        <f ca="1">IFERROR(__xludf.UNSUPPORTED("""COMPUTED_VALUE"""),44.92)</f>
        <v>44.92</v>
      </c>
      <c r="C772" s="2">
        <f t="shared" ca="1" si="3"/>
        <v>-1.8142076502732203E-2</v>
      </c>
    </row>
    <row r="773" spans="1:3">
      <c r="A773" s="3">
        <f ca="1">IFERROR(__xludf.UNSUPPORTED("""COMPUTED_VALUE"""),44585.6666666666)</f>
        <v>44585.666666666599</v>
      </c>
      <c r="B773" s="1">
        <f ca="1">IFERROR(__xludf.UNSUPPORTED("""COMPUTED_VALUE"""),44.55)</f>
        <v>44.55</v>
      </c>
      <c r="C773" s="2">
        <f t="shared" ca="1" si="3"/>
        <v>-8.2368655387356302E-3</v>
      </c>
    </row>
    <row r="774" spans="1:3">
      <c r="A774" s="3">
        <f ca="1">IFERROR(__xludf.UNSUPPORTED("""COMPUTED_VALUE"""),44586.6666666666)</f>
        <v>44586.666666666599</v>
      </c>
      <c r="B774" s="1">
        <f ca="1">IFERROR(__xludf.UNSUPPORTED("""COMPUTED_VALUE"""),45.43)</f>
        <v>45.43</v>
      </c>
      <c r="C774" s="2">
        <f t="shared" ca="1" si="3"/>
        <v>1.9753086419753145E-2</v>
      </c>
    </row>
    <row r="775" spans="1:3">
      <c r="A775" s="3">
        <f ca="1">IFERROR(__xludf.UNSUPPORTED("""COMPUTED_VALUE"""),44587.6666666666)</f>
        <v>44587.666666666599</v>
      </c>
      <c r="B775" s="1">
        <f ca="1">IFERROR(__xludf.UNSUPPORTED("""COMPUTED_VALUE"""),45.9)</f>
        <v>45.9</v>
      </c>
      <c r="C775" s="2">
        <f t="shared" ca="1" si="3"/>
        <v>1.0345586616773032E-2</v>
      </c>
    </row>
    <row r="776" spans="1:3">
      <c r="A776" s="3">
        <f ca="1">IFERROR(__xludf.UNSUPPORTED("""COMPUTED_VALUE"""),44588.6666666666)</f>
        <v>44588.666666666599</v>
      </c>
      <c r="B776" s="1">
        <f ca="1">IFERROR(__xludf.UNSUPPORTED("""COMPUTED_VALUE"""),45.47)</f>
        <v>45.47</v>
      </c>
      <c r="C776" s="2">
        <f t="shared" ca="1" si="3"/>
        <v>-9.3681917211328909E-3</v>
      </c>
    </row>
    <row r="777" spans="1:3">
      <c r="A777" s="3">
        <f ca="1">IFERROR(__xludf.UNSUPPORTED("""COMPUTED_VALUE"""),44589.6666666666)</f>
        <v>44589.666666666599</v>
      </c>
      <c r="B777" s="1">
        <f ca="1">IFERROR(__xludf.UNSUPPORTED("""COMPUTED_VALUE"""),45.87)</f>
        <v>45.87</v>
      </c>
      <c r="C777" s="2">
        <f t="shared" ca="1" si="3"/>
        <v>8.7970090169342107E-3</v>
      </c>
    </row>
    <row r="778" spans="1:3">
      <c r="A778" s="3">
        <f ca="1">IFERROR(__xludf.UNSUPPORTED("""COMPUTED_VALUE"""),44592.6666666666)</f>
        <v>44592.666666666599</v>
      </c>
      <c r="B778" s="1">
        <f ca="1">IFERROR(__xludf.UNSUPPORTED("""COMPUTED_VALUE"""),46.14)</f>
        <v>46.14</v>
      </c>
      <c r="C778" s="2">
        <f t="shared" ca="1" si="3"/>
        <v>5.8862001308045159E-3</v>
      </c>
    </row>
    <row r="779" spans="1:3">
      <c r="A779" s="3">
        <f ca="1">IFERROR(__xludf.UNSUPPORTED("""COMPUTED_VALUE"""),44593.6666666666)</f>
        <v>44593.666666666599</v>
      </c>
      <c r="B779" s="1">
        <f ca="1">IFERROR(__xludf.UNSUPPORTED("""COMPUTED_VALUE"""),46.94)</f>
        <v>46.94</v>
      </c>
      <c r="C779" s="2">
        <f t="shared" ca="1" si="3"/>
        <v>1.7338534893801411E-2</v>
      </c>
    </row>
    <row r="780" spans="1:3">
      <c r="A780" s="3">
        <f ca="1">IFERROR(__xludf.UNSUPPORTED("""COMPUTED_VALUE"""),44594.6666666666)</f>
        <v>44594.666666666599</v>
      </c>
      <c r="B780" s="1">
        <f ca="1">IFERROR(__xludf.UNSUPPORTED("""COMPUTED_VALUE"""),46.89)</f>
        <v>46.89</v>
      </c>
      <c r="C780" s="2">
        <f t="shared" ca="1" si="3"/>
        <v>-1.0651896037494068E-3</v>
      </c>
    </row>
    <row r="781" spans="1:3">
      <c r="A781" s="3">
        <f ca="1">IFERROR(__xludf.UNSUPPORTED("""COMPUTED_VALUE"""),44595.6666666666)</f>
        <v>44595.666666666599</v>
      </c>
      <c r="B781" s="1">
        <f ca="1">IFERROR(__xludf.UNSUPPORTED("""COMPUTED_VALUE"""),46.43)</f>
        <v>46.43</v>
      </c>
      <c r="C781" s="2">
        <f t="shared" ca="1" si="3"/>
        <v>-9.8101940712305574E-3</v>
      </c>
    </row>
    <row r="782" spans="1:3">
      <c r="A782" s="3">
        <f ca="1">IFERROR(__xludf.UNSUPPORTED("""COMPUTED_VALUE"""),44596.6666666666)</f>
        <v>44596.666666666599</v>
      </c>
      <c r="B782" s="1">
        <f ca="1">IFERROR(__xludf.UNSUPPORTED("""COMPUTED_VALUE"""),48.28)</f>
        <v>48.28</v>
      </c>
      <c r="C782" s="2">
        <f t="shared" ca="1" si="3"/>
        <v>3.9844927848373929E-2</v>
      </c>
    </row>
    <row r="783" spans="1:3">
      <c r="A783" s="3">
        <f ca="1">IFERROR(__xludf.UNSUPPORTED("""COMPUTED_VALUE"""),44599.6666666666)</f>
        <v>44599.666666666599</v>
      </c>
      <c r="B783" s="1">
        <f ca="1">IFERROR(__xludf.UNSUPPORTED("""COMPUTED_VALUE"""),48.51)</f>
        <v>48.51</v>
      </c>
      <c r="C783" s="2">
        <f t="shared" ca="1" si="3"/>
        <v>4.7638773819386263E-3</v>
      </c>
    </row>
    <row r="784" spans="1:3">
      <c r="A784" s="3">
        <f ca="1">IFERROR(__xludf.UNSUPPORTED("""COMPUTED_VALUE"""),44600.6666666666)</f>
        <v>44600.666666666599</v>
      </c>
      <c r="B784" s="1">
        <f ca="1">IFERROR(__xludf.UNSUPPORTED("""COMPUTED_VALUE"""),49.38)</f>
        <v>49.38</v>
      </c>
      <c r="C784" s="2">
        <f t="shared" ca="1" si="3"/>
        <v>1.7934446505875171E-2</v>
      </c>
    </row>
    <row r="785" spans="1:3">
      <c r="A785" s="3">
        <f ca="1">IFERROR(__xludf.UNSUPPORTED("""COMPUTED_VALUE"""),44601.6666666666)</f>
        <v>44601.666666666599</v>
      </c>
      <c r="B785" s="1">
        <f ca="1">IFERROR(__xludf.UNSUPPORTED("""COMPUTED_VALUE"""),49.28)</f>
        <v>49.28</v>
      </c>
      <c r="C785" s="2">
        <f t="shared" ca="1" si="3"/>
        <v>-2.0251113811259906E-3</v>
      </c>
    </row>
    <row r="786" spans="1:3">
      <c r="A786" s="3">
        <f ca="1">IFERROR(__xludf.UNSUPPORTED("""COMPUTED_VALUE"""),44602.6666666666)</f>
        <v>44602.666666666599</v>
      </c>
      <c r="B786" s="1">
        <f ca="1">IFERROR(__xludf.UNSUPPORTED("""COMPUTED_VALUE"""),49.05)</f>
        <v>49.05</v>
      </c>
      <c r="C786" s="2">
        <f t="shared" ca="1" si="3"/>
        <v>-4.6672077922078727E-3</v>
      </c>
    </row>
    <row r="787" spans="1:3">
      <c r="A787" s="3">
        <f ca="1">IFERROR(__xludf.UNSUPPORTED("""COMPUTED_VALUE"""),44603.6666666666)</f>
        <v>44603.666666666599</v>
      </c>
      <c r="B787" s="1">
        <f ca="1">IFERROR(__xludf.UNSUPPORTED("""COMPUTED_VALUE"""),47.92)</f>
        <v>47.92</v>
      </c>
      <c r="C787" s="2">
        <f t="shared" ca="1" si="3"/>
        <v>-2.3037716615698176E-2</v>
      </c>
    </row>
    <row r="788" spans="1:3">
      <c r="A788" s="3">
        <f ca="1">IFERROR(__xludf.UNSUPPORTED("""COMPUTED_VALUE"""),44606.6666666666)</f>
        <v>44606.666666666599</v>
      </c>
      <c r="B788" s="1">
        <f ca="1">IFERROR(__xludf.UNSUPPORTED("""COMPUTED_VALUE"""),47.42)</f>
        <v>47.42</v>
      </c>
      <c r="C788" s="2">
        <f t="shared" ca="1" si="3"/>
        <v>-1.0434056761268781E-2</v>
      </c>
    </row>
    <row r="789" spans="1:3">
      <c r="A789" s="3">
        <f ca="1">IFERROR(__xludf.UNSUPPORTED("""COMPUTED_VALUE"""),44607.6666666666)</f>
        <v>44607.666666666599</v>
      </c>
      <c r="B789" s="1">
        <f ca="1">IFERROR(__xludf.UNSUPPORTED("""COMPUTED_VALUE"""),47.79)</f>
        <v>47.79</v>
      </c>
      <c r="C789" s="2">
        <f t="shared" ca="1" si="3"/>
        <v>7.8026149304090556E-3</v>
      </c>
    </row>
    <row r="790" spans="1:3">
      <c r="A790" s="3">
        <f ca="1">IFERROR(__xludf.UNSUPPORTED("""COMPUTED_VALUE"""),44608.6666666666)</f>
        <v>44608.666666666599</v>
      </c>
      <c r="B790" s="1">
        <f ca="1">IFERROR(__xludf.UNSUPPORTED("""COMPUTED_VALUE"""),47.68)</f>
        <v>47.68</v>
      </c>
      <c r="C790" s="2">
        <f t="shared" ca="1" si="3"/>
        <v>-2.3017367650135893E-3</v>
      </c>
    </row>
    <row r="791" spans="1:3">
      <c r="A791" s="3">
        <f ca="1">IFERROR(__xludf.UNSUPPORTED("""COMPUTED_VALUE"""),44609.6666666666)</f>
        <v>44609.666666666599</v>
      </c>
      <c r="B791" s="1">
        <f ca="1">IFERROR(__xludf.UNSUPPORTED("""COMPUTED_VALUE"""),46.07)</f>
        <v>46.07</v>
      </c>
      <c r="C791" s="2">
        <f t="shared" ca="1" si="3"/>
        <v>-3.3766778523489922E-2</v>
      </c>
    </row>
    <row r="792" spans="1:3">
      <c r="A792" s="3">
        <f ca="1">IFERROR(__xludf.UNSUPPORTED("""COMPUTED_VALUE"""),44610.6666666666)</f>
        <v>44610.666666666599</v>
      </c>
      <c r="B792" s="1">
        <f ca="1">IFERROR(__xludf.UNSUPPORTED("""COMPUTED_VALUE"""),45.96)</f>
        <v>45.96</v>
      </c>
      <c r="C792" s="2">
        <f t="shared" ca="1" si="3"/>
        <v>-2.3876709355328722E-3</v>
      </c>
    </row>
    <row r="793" spans="1:3">
      <c r="A793" s="3">
        <f ca="1">IFERROR(__xludf.UNSUPPORTED("""COMPUTED_VALUE"""),44614.6666666666)</f>
        <v>44614.666666666599</v>
      </c>
      <c r="B793" s="1">
        <f ca="1">IFERROR(__xludf.UNSUPPORTED("""COMPUTED_VALUE"""),45.56)</f>
        <v>45.56</v>
      </c>
      <c r="C793" s="2">
        <f t="shared" ca="1" si="3"/>
        <v>-8.7032201914708125E-3</v>
      </c>
    </row>
    <row r="794" spans="1:3">
      <c r="A794" s="3">
        <f ca="1">IFERROR(__xludf.UNSUPPORTED("""COMPUTED_VALUE"""),44615.6666666666)</f>
        <v>44615.666666666599</v>
      </c>
      <c r="B794" s="1">
        <f ca="1">IFERROR(__xludf.UNSUPPORTED("""COMPUTED_VALUE"""),44.78)</f>
        <v>44.78</v>
      </c>
      <c r="C794" s="2">
        <f t="shared" ca="1" si="3"/>
        <v>-1.7120280948200201E-2</v>
      </c>
    </row>
    <row r="795" spans="1:3">
      <c r="A795" s="3">
        <f ca="1">IFERROR(__xludf.UNSUPPORTED("""COMPUTED_VALUE"""),44616.6666666666)</f>
        <v>44616.666666666599</v>
      </c>
      <c r="B795" s="1">
        <f ca="1">IFERROR(__xludf.UNSUPPORTED("""COMPUTED_VALUE"""),43.6)</f>
        <v>43.6</v>
      </c>
      <c r="C795" s="2">
        <f t="shared" ca="1" si="3"/>
        <v>-2.6351049575703431E-2</v>
      </c>
    </row>
    <row r="796" spans="1:3">
      <c r="A796" s="3">
        <f ca="1">IFERROR(__xludf.UNSUPPORTED("""COMPUTED_VALUE"""),44617.6666666666)</f>
        <v>44617.666666666599</v>
      </c>
      <c r="B796" s="1">
        <f ca="1">IFERROR(__xludf.UNSUPPORTED("""COMPUTED_VALUE"""),45.02)</f>
        <v>45.02</v>
      </c>
      <c r="C796" s="2">
        <f t="shared" ca="1" si="3"/>
        <v>3.2568807339449578E-2</v>
      </c>
    </row>
    <row r="797" spans="1:3">
      <c r="A797" s="3">
        <f ca="1">IFERROR(__xludf.UNSUPPORTED("""COMPUTED_VALUE"""),44620.6666666666)</f>
        <v>44620.666666666599</v>
      </c>
      <c r="B797" s="1">
        <f ca="1">IFERROR(__xludf.UNSUPPORTED("""COMPUTED_VALUE"""),44.2)</f>
        <v>44.2</v>
      </c>
      <c r="C797" s="2">
        <f t="shared" ca="1" si="3"/>
        <v>-1.8214127054642388E-2</v>
      </c>
    </row>
    <row r="798" spans="1:3">
      <c r="A798" s="3">
        <f ca="1">IFERROR(__xludf.UNSUPPORTED("""COMPUTED_VALUE"""),44621.6666666666)</f>
        <v>44621.666666666599</v>
      </c>
      <c r="B798" s="1">
        <f ca="1">IFERROR(__xludf.UNSUPPORTED("""COMPUTED_VALUE"""),42.47)</f>
        <v>42.47</v>
      </c>
      <c r="C798" s="2">
        <f t="shared" ca="1" si="3"/>
        <v>-3.914027149321276E-2</v>
      </c>
    </row>
    <row r="799" spans="1:3">
      <c r="A799" s="3">
        <f ca="1">IFERROR(__xludf.UNSUPPORTED("""COMPUTED_VALUE"""),44622.6666666666)</f>
        <v>44622.666666666599</v>
      </c>
      <c r="B799" s="1">
        <f ca="1">IFERROR(__xludf.UNSUPPORTED("""COMPUTED_VALUE"""),43.16)</f>
        <v>43.16</v>
      </c>
      <c r="C799" s="2">
        <f t="shared" ca="1" si="3"/>
        <v>1.6246762420532086E-2</v>
      </c>
    </row>
    <row r="800" spans="1:3">
      <c r="A800" s="3">
        <f ca="1">IFERROR(__xludf.UNSUPPORTED("""COMPUTED_VALUE"""),44623.6666666666)</f>
        <v>44623.666666666599</v>
      </c>
      <c r="B800" s="1">
        <f ca="1">IFERROR(__xludf.UNSUPPORTED("""COMPUTED_VALUE"""),42.49)</f>
        <v>42.49</v>
      </c>
      <c r="C800" s="2">
        <f t="shared" ca="1" si="3"/>
        <v>-1.5523632993512388E-2</v>
      </c>
    </row>
    <row r="801" spans="1:3">
      <c r="A801" s="3">
        <f ca="1">IFERROR(__xludf.UNSUPPORTED("""COMPUTED_VALUE"""),44624.6666666666)</f>
        <v>44624.666666666599</v>
      </c>
      <c r="B801" s="1">
        <f ca="1">IFERROR(__xludf.UNSUPPORTED("""COMPUTED_VALUE"""),40.95)</f>
        <v>40.950000000000003</v>
      </c>
      <c r="C801" s="2">
        <f t="shared" ca="1" si="3"/>
        <v>-3.6243822075782514E-2</v>
      </c>
    </row>
    <row r="802" spans="1:3">
      <c r="A802" s="3">
        <f ca="1">IFERROR(__xludf.UNSUPPORTED("""COMPUTED_VALUE"""),44627.6666666666)</f>
        <v>44627.666666666599</v>
      </c>
      <c r="B802" s="1">
        <f ca="1">IFERROR(__xludf.UNSUPPORTED("""COMPUTED_VALUE"""),38.34)</f>
        <v>38.340000000000003</v>
      </c>
      <c r="C802" s="2">
        <f t="shared" ca="1" si="3"/>
        <v>-6.3736263736263718E-2</v>
      </c>
    </row>
    <row r="803" spans="1:3">
      <c r="A803" s="3">
        <f ca="1">IFERROR(__xludf.UNSUPPORTED("""COMPUTED_VALUE"""),44628.6666666666)</f>
        <v>44628.666666666599</v>
      </c>
      <c r="B803" s="1">
        <f ca="1">IFERROR(__xludf.UNSUPPORTED("""COMPUTED_VALUE"""),38.59)</f>
        <v>38.590000000000003</v>
      </c>
      <c r="C803" s="2">
        <f t="shared" ca="1" si="3"/>
        <v>6.5206051121544069E-3</v>
      </c>
    </row>
    <row r="804" spans="1:3">
      <c r="A804" s="3">
        <f ca="1">IFERROR(__xludf.UNSUPPORTED("""COMPUTED_VALUE"""),44629.6666666666)</f>
        <v>44629.666666666599</v>
      </c>
      <c r="B804" s="1">
        <f ca="1">IFERROR(__xludf.UNSUPPORTED("""COMPUTED_VALUE"""),41.04)</f>
        <v>41.04</v>
      </c>
      <c r="C804" s="2">
        <f t="shared" ca="1" si="3"/>
        <v>6.3487950246177649E-2</v>
      </c>
    </row>
    <row r="805" spans="1:3">
      <c r="A805" s="3">
        <f ca="1">IFERROR(__xludf.UNSUPPORTED("""COMPUTED_VALUE"""),44630.6666666666)</f>
        <v>44630.666666666599</v>
      </c>
      <c r="B805" s="1">
        <f ca="1">IFERROR(__xludf.UNSUPPORTED("""COMPUTED_VALUE"""),40.67)</f>
        <v>40.67</v>
      </c>
      <c r="C805" s="2">
        <f t="shared" ca="1" si="3"/>
        <v>-9.0155945419102684E-3</v>
      </c>
    </row>
    <row r="806" spans="1:3">
      <c r="A806" s="3">
        <f ca="1">IFERROR(__xludf.UNSUPPORTED("""COMPUTED_VALUE"""),44631.6666666666)</f>
        <v>44631.666666666599</v>
      </c>
      <c r="B806" s="1">
        <f ca="1">IFERROR(__xludf.UNSUPPORTED("""COMPUTED_VALUE"""),40.33)</f>
        <v>40.33</v>
      </c>
      <c r="C806" s="2">
        <f t="shared" ca="1" si="3"/>
        <v>-8.3599704942218678E-3</v>
      </c>
    </row>
    <row r="807" spans="1:3">
      <c r="A807" s="3">
        <f ca="1">IFERROR(__xludf.UNSUPPORTED("""COMPUTED_VALUE"""),44634.6666666666)</f>
        <v>44634.666666666599</v>
      </c>
      <c r="B807" s="1">
        <f ca="1">IFERROR(__xludf.UNSUPPORTED("""COMPUTED_VALUE"""),41.2)</f>
        <v>41.2</v>
      </c>
      <c r="C807" s="2">
        <f t="shared" ca="1" si="3"/>
        <v>2.1572030746342785E-2</v>
      </c>
    </row>
    <row r="808" spans="1:3">
      <c r="A808" s="3">
        <f ca="1">IFERROR(__xludf.UNSUPPORTED("""COMPUTED_VALUE"""),44635.6666666666)</f>
        <v>44635.666666666599</v>
      </c>
      <c r="B808" s="1">
        <f ca="1">IFERROR(__xludf.UNSUPPORTED("""COMPUTED_VALUE"""),41.5)</f>
        <v>41.5</v>
      </c>
      <c r="C808" s="2">
        <f t="shared" ca="1" si="3"/>
        <v>7.2815533980581833E-3</v>
      </c>
    </row>
    <row r="809" spans="1:3">
      <c r="A809" s="3">
        <f ca="1">IFERROR(__xludf.UNSUPPORTED("""COMPUTED_VALUE"""),44636.6666666666)</f>
        <v>44636.666666666599</v>
      </c>
      <c r="B809" s="1">
        <f ca="1">IFERROR(__xludf.UNSUPPORTED("""COMPUTED_VALUE"""),42.8)</f>
        <v>42.8</v>
      </c>
      <c r="C809" s="2">
        <f t="shared" ca="1" si="3"/>
        <v>3.132530120481921E-2</v>
      </c>
    </row>
    <row r="810" spans="1:3">
      <c r="A810" s="3">
        <f ca="1">IFERROR(__xludf.UNSUPPORTED("""COMPUTED_VALUE"""),44637.6666666666)</f>
        <v>44637.666666666599</v>
      </c>
      <c r="B810" s="1">
        <f ca="1">IFERROR(__xludf.UNSUPPORTED("""COMPUTED_VALUE"""),43.03)</f>
        <v>43.03</v>
      </c>
      <c r="C810" s="2">
        <f t="shared" ca="1" si="3"/>
        <v>5.3738317757010276E-3</v>
      </c>
    </row>
    <row r="811" spans="1:3">
      <c r="A811" s="3">
        <f ca="1">IFERROR(__xludf.UNSUPPORTED("""COMPUTED_VALUE"""),44638.6666666666)</f>
        <v>44638.666666666599</v>
      </c>
      <c r="B811" s="1">
        <f ca="1">IFERROR(__xludf.UNSUPPORTED("""COMPUTED_VALUE"""),42.9)</f>
        <v>42.9</v>
      </c>
      <c r="C811" s="2">
        <f t="shared" ca="1" si="3"/>
        <v>-3.0211480362538358E-3</v>
      </c>
    </row>
    <row r="812" spans="1:3">
      <c r="A812" s="3">
        <f ca="1">IFERROR(__xludf.UNSUPPORTED("""COMPUTED_VALUE"""),44641.6666666666)</f>
        <v>44641.666666666599</v>
      </c>
      <c r="B812" s="1">
        <f ca="1">IFERROR(__xludf.UNSUPPORTED("""COMPUTED_VALUE"""),42.84)</f>
        <v>42.84</v>
      </c>
      <c r="C812" s="2">
        <f t="shared" ca="1" si="3"/>
        <v>-1.3986013986012861E-3</v>
      </c>
    </row>
    <row r="813" spans="1:3">
      <c r="A813" s="3">
        <f ca="1">IFERROR(__xludf.UNSUPPORTED("""COMPUTED_VALUE"""),44642.6666666666)</f>
        <v>44642.666666666599</v>
      </c>
      <c r="B813" s="1">
        <f ca="1">IFERROR(__xludf.UNSUPPORTED("""COMPUTED_VALUE"""),44.18)</f>
        <v>44.18</v>
      </c>
      <c r="C813" s="2">
        <f t="shared" ca="1" si="3"/>
        <v>3.1279178338001777E-2</v>
      </c>
    </row>
    <row r="814" spans="1:3">
      <c r="A814" s="3">
        <f ca="1">IFERROR(__xludf.UNSUPPORTED("""COMPUTED_VALUE"""),44643.6666666666)</f>
        <v>44643.666666666599</v>
      </c>
      <c r="B814" s="1">
        <f ca="1">IFERROR(__xludf.UNSUPPORTED("""COMPUTED_VALUE"""),43.09)</f>
        <v>43.09</v>
      </c>
      <c r="C814" s="2">
        <f t="shared" ca="1" si="3"/>
        <v>-2.4671797193300052E-2</v>
      </c>
    </row>
    <row r="815" spans="1:3">
      <c r="A815" s="3">
        <f ca="1">IFERROR(__xludf.UNSUPPORTED("""COMPUTED_VALUE"""),44644.6666666666)</f>
        <v>44644.666666666599</v>
      </c>
      <c r="B815" s="1">
        <f ca="1">IFERROR(__xludf.UNSUPPORTED("""COMPUTED_VALUE"""),43.07)</f>
        <v>43.07</v>
      </c>
      <c r="C815" s="2">
        <f t="shared" ca="1" si="3"/>
        <v>-4.6414481318178519E-4</v>
      </c>
    </row>
    <row r="816" spans="1:3">
      <c r="A816" s="3">
        <f ca="1">IFERROR(__xludf.UNSUPPORTED("""COMPUTED_VALUE"""),44645.6666666666)</f>
        <v>44645.666666666599</v>
      </c>
      <c r="B816" s="1">
        <f ca="1">IFERROR(__xludf.UNSUPPORTED("""COMPUTED_VALUE"""),43.73)</f>
        <v>43.73</v>
      </c>
      <c r="C816" s="2">
        <f t="shared" ca="1" si="3"/>
        <v>1.5323891339679513E-2</v>
      </c>
    </row>
    <row r="817" spans="1:3">
      <c r="A817" s="3">
        <f ca="1">IFERROR(__xludf.UNSUPPORTED("""COMPUTED_VALUE"""),44648.6666666666)</f>
        <v>44648.666666666599</v>
      </c>
      <c r="B817" s="1">
        <f ca="1">IFERROR(__xludf.UNSUPPORTED("""COMPUTED_VALUE"""),43.55)</f>
        <v>43.55</v>
      </c>
      <c r="C817" s="2">
        <f t="shared" ca="1" si="3"/>
        <v>-4.1161673908072204E-3</v>
      </c>
    </row>
    <row r="818" spans="1:3">
      <c r="A818" s="3">
        <f ca="1">IFERROR(__xludf.UNSUPPORTED("""COMPUTED_VALUE"""),44649.6666666666)</f>
        <v>44649.666666666599</v>
      </c>
      <c r="B818" s="1">
        <f ca="1">IFERROR(__xludf.UNSUPPORTED("""COMPUTED_VALUE"""),43.44)</f>
        <v>43.44</v>
      </c>
      <c r="C818" s="2">
        <f t="shared" ca="1" si="3"/>
        <v>-2.5258323765786324E-3</v>
      </c>
    </row>
    <row r="819" spans="1:3">
      <c r="A819" s="3">
        <f ca="1">IFERROR(__xludf.UNSUPPORTED("""COMPUTED_VALUE"""),44650.6666666666)</f>
        <v>44650.666666666599</v>
      </c>
      <c r="B819" s="1">
        <f ca="1">IFERROR(__xludf.UNSUPPORTED("""COMPUTED_VALUE"""),43)</f>
        <v>43</v>
      </c>
      <c r="C819" s="2">
        <f t="shared" ca="1" si="3"/>
        <v>-1.0128913443830519E-2</v>
      </c>
    </row>
    <row r="820" spans="1:3">
      <c r="A820" s="3">
        <f ca="1">IFERROR(__xludf.UNSUPPORTED("""COMPUTED_VALUE"""),44651.6666666666)</f>
        <v>44651.666666666599</v>
      </c>
      <c r="B820" s="1">
        <f ca="1">IFERROR(__xludf.UNSUPPORTED("""COMPUTED_VALUE"""),41.22)</f>
        <v>41.22</v>
      </c>
      <c r="C820" s="2">
        <f t="shared" ca="1" si="3"/>
        <v>-4.1395348837209328E-2</v>
      </c>
    </row>
    <row r="821" spans="1:3">
      <c r="A821" s="3">
        <f ca="1">IFERROR(__xludf.UNSUPPORTED("""COMPUTED_VALUE"""),44652.6666666666)</f>
        <v>44652.666666666599</v>
      </c>
      <c r="B821" s="1">
        <f ca="1">IFERROR(__xludf.UNSUPPORTED("""COMPUTED_VALUE"""),40.9)</f>
        <v>40.9</v>
      </c>
      <c r="C821" s="2">
        <f t="shared" ca="1" si="3"/>
        <v>-7.7632217370208704E-3</v>
      </c>
    </row>
    <row r="822" spans="1:3">
      <c r="A822" s="3">
        <f ca="1">IFERROR(__xludf.UNSUPPORTED("""COMPUTED_VALUE"""),44655.6666666666)</f>
        <v>44655.666666666599</v>
      </c>
      <c r="B822" s="1">
        <f ca="1">IFERROR(__xludf.UNSUPPORTED("""COMPUTED_VALUE"""),40.83)</f>
        <v>40.83</v>
      </c>
      <c r="C822" s="2">
        <f t="shared" ca="1" si="3"/>
        <v>-1.7114914425427944E-3</v>
      </c>
    </row>
    <row r="823" spans="1:3">
      <c r="A823" s="3">
        <f ca="1">IFERROR(__xludf.UNSUPPORTED("""COMPUTED_VALUE"""),44656.6666666666)</f>
        <v>44656.666666666599</v>
      </c>
      <c r="B823" s="1">
        <f ca="1">IFERROR(__xludf.UNSUPPORTED("""COMPUTED_VALUE"""),40.14)</f>
        <v>40.14</v>
      </c>
      <c r="C823" s="2">
        <f t="shared" ca="1" si="3"/>
        <v>-1.6899338721528233E-2</v>
      </c>
    </row>
    <row r="824" spans="1:3">
      <c r="A824" s="3">
        <f ca="1">IFERROR(__xludf.UNSUPPORTED("""COMPUTED_VALUE"""),44657.6666666666)</f>
        <v>44657.666666666599</v>
      </c>
      <c r="B824" s="1">
        <f ca="1">IFERROR(__xludf.UNSUPPORTED("""COMPUTED_VALUE"""),39.7)</f>
        <v>39.700000000000003</v>
      </c>
      <c r="C824" s="2">
        <f t="shared" ca="1" si="3"/>
        <v>-1.0961634280019873E-2</v>
      </c>
    </row>
    <row r="825" spans="1:3">
      <c r="A825" s="3">
        <f ca="1">IFERROR(__xludf.UNSUPPORTED("""COMPUTED_VALUE"""),44658.6666666666)</f>
        <v>44658.666666666599</v>
      </c>
      <c r="B825" s="1">
        <f ca="1">IFERROR(__xludf.UNSUPPORTED("""COMPUTED_VALUE"""),39.39)</f>
        <v>39.39</v>
      </c>
      <c r="C825" s="2">
        <f t="shared" ca="1" si="3"/>
        <v>-7.8085642317380919E-3</v>
      </c>
    </row>
    <row r="826" spans="1:3">
      <c r="A826" s="3">
        <f ca="1">IFERROR(__xludf.UNSUPPORTED("""COMPUTED_VALUE"""),44659.6666666666)</f>
        <v>44659.666666666599</v>
      </c>
      <c r="B826" s="1">
        <f ca="1">IFERROR(__xludf.UNSUPPORTED("""COMPUTED_VALUE"""),39.67)</f>
        <v>39.67</v>
      </c>
      <c r="C826" s="2">
        <f t="shared" ca="1" si="3"/>
        <v>7.108403148007137E-3</v>
      </c>
    </row>
    <row r="827" spans="1:3">
      <c r="A827" s="3">
        <f ca="1">IFERROR(__xludf.UNSUPPORTED("""COMPUTED_VALUE"""),44662.6666666666)</f>
        <v>44662.666666666599</v>
      </c>
      <c r="B827" s="1">
        <f ca="1">IFERROR(__xludf.UNSUPPORTED("""COMPUTED_VALUE"""),39.59)</f>
        <v>39.590000000000003</v>
      </c>
      <c r="C827" s="2">
        <f t="shared" ca="1" si="3"/>
        <v>-2.0166372573732867E-3</v>
      </c>
    </row>
    <row r="828" spans="1:3">
      <c r="A828" s="3">
        <f ca="1">IFERROR(__xludf.UNSUPPORTED("""COMPUTED_VALUE"""),44663.6666666666)</f>
        <v>44663.666666666599</v>
      </c>
      <c r="B828" s="1">
        <f ca="1">IFERROR(__xludf.UNSUPPORTED("""COMPUTED_VALUE"""),39.17)</f>
        <v>39.17</v>
      </c>
      <c r="C828" s="2">
        <f t="shared" ca="1" si="3"/>
        <v>-1.060873958070224E-2</v>
      </c>
    </row>
    <row r="829" spans="1:3">
      <c r="A829" s="3">
        <f ca="1">IFERROR(__xludf.UNSUPPORTED("""COMPUTED_VALUE"""),44664.6666666666)</f>
        <v>44664.666666666599</v>
      </c>
      <c r="B829" s="1">
        <f ca="1">IFERROR(__xludf.UNSUPPORTED("""COMPUTED_VALUE"""),38.82)</f>
        <v>38.82</v>
      </c>
      <c r="C829" s="2">
        <f t="shared" ca="1" si="3"/>
        <v>-8.9354097523615377E-3</v>
      </c>
    </row>
    <row r="830" spans="1:3">
      <c r="A830" s="3">
        <f ca="1">IFERROR(__xludf.UNSUPPORTED("""COMPUTED_VALUE"""),44665.6666666666)</f>
        <v>44665.666666666599</v>
      </c>
      <c r="B830" s="1">
        <f ca="1">IFERROR(__xludf.UNSUPPORTED("""COMPUTED_VALUE"""),37.57)</f>
        <v>37.57</v>
      </c>
      <c r="C830" s="2">
        <f t="shared" ca="1" si="3"/>
        <v>-3.2199896960329724E-2</v>
      </c>
    </row>
    <row r="831" spans="1:3">
      <c r="A831" s="3">
        <f ca="1">IFERROR(__xludf.UNSUPPORTED("""COMPUTED_VALUE"""),44669.6666666666)</f>
        <v>44669.666666666599</v>
      </c>
      <c r="B831" s="1">
        <f ca="1">IFERROR(__xludf.UNSUPPORTED("""COMPUTED_VALUE"""),38.85)</f>
        <v>38.85</v>
      </c>
      <c r="C831" s="2">
        <f t="shared" ca="1" si="3"/>
        <v>3.4069736491881851E-2</v>
      </c>
    </row>
    <row r="832" spans="1:3">
      <c r="A832" s="3">
        <f ca="1">IFERROR(__xludf.UNSUPPORTED("""COMPUTED_VALUE"""),44670.6666666666)</f>
        <v>44670.666666666599</v>
      </c>
      <c r="B832" s="1">
        <f ca="1">IFERROR(__xludf.UNSUPPORTED("""COMPUTED_VALUE"""),39.57)</f>
        <v>39.57</v>
      </c>
      <c r="C832" s="2">
        <f t="shared" ca="1" si="3"/>
        <v>1.8532818532818504E-2</v>
      </c>
    </row>
    <row r="833" spans="1:3">
      <c r="A833" s="3">
        <f ca="1">IFERROR(__xludf.UNSUPPORTED("""COMPUTED_VALUE"""),44671.6666666666)</f>
        <v>44671.666666666599</v>
      </c>
      <c r="B833" s="1">
        <f ca="1">IFERROR(__xludf.UNSUPPORTED("""COMPUTED_VALUE"""),39.66)</f>
        <v>39.659999999999997</v>
      </c>
      <c r="C833" s="2">
        <f t="shared" ca="1" si="3"/>
        <v>2.2744503411674579E-3</v>
      </c>
    </row>
    <row r="834" spans="1:3">
      <c r="A834" s="3">
        <f ca="1">IFERROR(__xludf.UNSUPPORTED("""COMPUTED_VALUE"""),44672.6666666666)</f>
        <v>44672.666666666599</v>
      </c>
      <c r="B834" s="1">
        <f ca="1">IFERROR(__xludf.UNSUPPORTED("""COMPUTED_VALUE"""),38.91)</f>
        <v>38.909999999999997</v>
      </c>
      <c r="C834" s="2">
        <f t="shared" ca="1" si="3"/>
        <v>-1.8910741301059002E-2</v>
      </c>
    </row>
    <row r="835" spans="1:3">
      <c r="A835" s="3">
        <f ca="1">IFERROR(__xludf.UNSUPPORTED("""COMPUTED_VALUE"""),44673.6666666666)</f>
        <v>44673.666666666599</v>
      </c>
      <c r="B835" s="1">
        <f ca="1">IFERROR(__xludf.UNSUPPORTED("""COMPUTED_VALUE"""),37.56)</f>
        <v>37.56</v>
      </c>
      <c r="C835" s="2">
        <f t="shared" ca="1" si="3"/>
        <v>-3.4695451040863391E-2</v>
      </c>
    </row>
    <row r="836" spans="1:3">
      <c r="A836" s="3">
        <f ca="1">IFERROR(__xludf.UNSUPPORTED("""COMPUTED_VALUE"""),44676.6666666666)</f>
        <v>44676.666666666599</v>
      </c>
      <c r="B836" s="1">
        <f ca="1">IFERROR(__xludf.UNSUPPORTED("""COMPUTED_VALUE"""),37.29)</f>
        <v>37.29</v>
      </c>
      <c r="C836" s="2">
        <f t="shared" ca="1" si="3"/>
        <v>-7.1884984025559935E-3</v>
      </c>
    </row>
    <row r="837" spans="1:3">
      <c r="A837" s="3">
        <f ca="1">IFERROR(__xludf.UNSUPPORTED("""COMPUTED_VALUE"""),44677.6666666666)</f>
        <v>44677.666666666599</v>
      </c>
      <c r="B837" s="1">
        <f ca="1">IFERROR(__xludf.UNSUPPORTED("""COMPUTED_VALUE"""),36.45)</f>
        <v>36.450000000000003</v>
      </c>
      <c r="C837" s="2">
        <f t="shared" ca="1" si="3"/>
        <v>-2.2526146419951629E-2</v>
      </c>
    </row>
    <row r="838" spans="1:3">
      <c r="A838" s="3">
        <f ca="1">IFERROR(__xludf.UNSUPPORTED("""COMPUTED_VALUE"""),44678.6666666666)</f>
        <v>44678.666666666599</v>
      </c>
      <c r="B838" s="1">
        <f ca="1">IFERROR(__xludf.UNSUPPORTED("""COMPUTED_VALUE"""),36.25)</f>
        <v>36.25</v>
      </c>
      <c r="C838" s="2">
        <f t="shared" ca="1" si="3"/>
        <v>-5.4869684499314906E-3</v>
      </c>
    </row>
    <row r="839" spans="1:3">
      <c r="A839" s="3">
        <f ca="1">IFERROR(__xludf.UNSUPPORTED("""COMPUTED_VALUE"""),44679.6666666666)</f>
        <v>44679.666666666599</v>
      </c>
      <c r="B839" s="1">
        <f ca="1">IFERROR(__xludf.UNSUPPORTED("""COMPUTED_VALUE"""),36.81)</f>
        <v>36.81</v>
      </c>
      <c r="C839" s="2">
        <f t="shared" ca="1" si="3"/>
        <v>1.5448275862069028E-2</v>
      </c>
    </row>
    <row r="840" spans="1:3">
      <c r="A840" s="3">
        <f ca="1">IFERROR(__xludf.UNSUPPORTED("""COMPUTED_VALUE"""),44680.6666666666)</f>
        <v>44680.666666666599</v>
      </c>
      <c r="B840" s="1">
        <f ca="1">IFERROR(__xludf.UNSUPPORTED("""COMPUTED_VALUE"""),35.68)</f>
        <v>35.68</v>
      </c>
      <c r="C840" s="2">
        <f t="shared" ca="1" si="3"/>
        <v>-3.0698179842434187E-2</v>
      </c>
    </row>
    <row r="841" spans="1:3">
      <c r="A841" s="3">
        <f ca="1">IFERROR(__xludf.UNSUPPORTED("""COMPUTED_VALUE"""),44683.6666666666)</f>
        <v>44683.666666666599</v>
      </c>
      <c r="B841" s="1">
        <f ca="1">IFERROR(__xludf.UNSUPPORTED("""COMPUTED_VALUE"""),36.14)</f>
        <v>36.14</v>
      </c>
      <c r="C841" s="2">
        <f t="shared" ca="1" si="3"/>
        <v>1.2892376681614373E-2</v>
      </c>
    </row>
    <row r="842" spans="1:3">
      <c r="A842" s="3">
        <f ca="1">IFERROR(__xludf.UNSUPPORTED("""COMPUTED_VALUE"""),44684.6666666666)</f>
        <v>44684.666666666599</v>
      </c>
      <c r="B842" s="1">
        <f ca="1">IFERROR(__xludf.UNSUPPORTED("""COMPUTED_VALUE"""),37.13)</f>
        <v>37.130000000000003</v>
      </c>
      <c r="C842" s="2">
        <f t="shared" ca="1" si="3"/>
        <v>2.739346983951306E-2</v>
      </c>
    </row>
    <row r="843" spans="1:3">
      <c r="A843" s="3">
        <f ca="1">IFERROR(__xludf.UNSUPPORTED("""COMPUTED_VALUE"""),44685.6666666666)</f>
        <v>44685.666666666599</v>
      </c>
      <c r="B843" s="1">
        <f ca="1">IFERROR(__xludf.UNSUPPORTED("""COMPUTED_VALUE"""),38.62)</f>
        <v>38.619999999999997</v>
      </c>
      <c r="C843" s="2">
        <f t="shared" ca="1" si="3"/>
        <v>4.0129275518448554E-2</v>
      </c>
    </row>
    <row r="844" spans="1:3">
      <c r="A844" s="3">
        <f ca="1">IFERROR(__xludf.UNSUPPORTED("""COMPUTED_VALUE"""),44686.6666666666)</f>
        <v>44686.666666666599</v>
      </c>
      <c r="B844" s="1">
        <f ca="1">IFERROR(__xludf.UNSUPPORTED("""COMPUTED_VALUE"""),37.54)</f>
        <v>37.54</v>
      </c>
      <c r="C844" s="2">
        <f t="shared" ca="1" si="3"/>
        <v>-2.7964785085447912E-2</v>
      </c>
    </row>
    <row r="845" spans="1:3">
      <c r="A845" s="3">
        <f ca="1">IFERROR(__xludf.UNSUPPORTED("""COMPUTED_VALUE"""),44687.6666666666)</f>
        <v>44687.666666666599</v>
      </c>
      <c r="B845" s="1">
        <f ca="1">IFERROR(__xludf.UNSUPPORTED("""COMPUTED_VALUE"""),37.45)</f>
        <v>37.450000000000003</v>
      </c>
      <c r="C845" s="2">
        <f t="shared" ca="1" si="3"/>
        <v>-2.3974427277569607E-3</v>
      </c>
    </row>
    <row r="846" spans="1:3">
      <c r="A846" s="3">
        <f ca="1">IFERROR(__xludf.UNSUPPORTED("""COMPUTED_VALUE"""),44690.6666666666)</f>
        <v>44690.666666666599</v>
      </c>
      <c r="B846" s="1">
        <f ca="1">IFERROR(__xludf.UNSUPPORTED("""COMPUTED_VALUE"""),36.37)</f>
        <v>36.369999999999997</v>
      </c>
      <c r="C846" s="2">
        <f t="shared" ca="1" si="3"/>
        <v>-2.8838451268357952E-2</v>
      </c>
    </row>
    <row r="847" spans="1:3">
      <c r="A847" s="3">
        <f ca="1">IFERROR(__xludf.UNSUPPORTED("""COMPUTED_VALUE"""),44691.6666666666)</f>
        <v>44691.666666666599</v>
      </c>
      <c r="B847" s="1">
        <f ca="1">IFERROR(__xludf.UNSUPPORTED("""COMPUTED_VALUE"""),35.76)</f>
        <v>35.76</v>
      </c>
      <c r="C847" s="2">
        <f t="shared" ca="1" si="3"/>
        <v>-1.6772064888644474E-2</v>
      </c>
    </row>
    <row r="848" spans="1:3">
      <c r="A848" s="3">
        <f ca="1">IFERROR(__xludf.UNSUPPORTED("""COMPUTED_VALUE"""),44692.6666666666)</f>
        <v>44692.666666666599</v>
      </c>
      <c r="B848" s="1">
        <f ca="1">IFERROR(__xludf.UNSUPPORTED("""COMPUTED_VALUE"""),35.57)</f>
        <v>35.57</v>
      </c>
      <c r="C848" s="2">
        <f t="shared" ca="1" si="3"/>
        <v>-5.313199105145351E-3</v>
      </c>
    </row>
    <row r="849" spans="1:3">
      <c r="A849" s="3">
        <f ca="1">IFERROR(__xludf.UNSUPPORTED("""COMPUTED_VALUE"""),44693.6666666666)</f>
        <v>44693.666666666599</v>
      </c>
      <c r="B849" s="1">
        <f ca="1">IFERROR(__xludf.UNSUPPORTED("""COMPUTED_VALUE"""),35.07)</f>
        <v>35.07</v>
      </c>
      <c r="C849" s="2">
        <f t="shared" ca="1" si="3"/>
        <v>-1.4056789429294348E-2</v>
      </c>
    </row>
    <row r="850" spans="1:3">
      <c r="A850" s="3">
        <f ca="1">IFERROR(__xludf.UNSUPPORTED("""COMPUTED_VALUE"""),44694.6666666666)</f>
        <v>44694.666666666599</v>
      </c>
      <c r="B850" s="1">
        <f ca="1">IFERROR(__xludf.UNSUPPORTED("""COMPUTED_VALUE"""),35.17)</f>
        <v>35.17</v>
      </c>
      <c r="C850" s="2">
        <f t="shared" ca="1" si="3"/>
        <v>2.8514399771885205E-3</v>
      </c>
    </row>
    <row r="851" spans="1:3">
      <c r="A851" s="3">
        <f ca="1">IFERROR(__xludf.UNSUPPORTED("""COMPUTED_VALUE"""),44697.6666666666)</f>
        <v>44697.666666666599</v>
      </c>
      <c r="B851" s="1">
        <f ca="1">IFERROR(__xludf.UNSUPPORTED("""COMPUTED_VALUE"""),34.81)</f>
        <v>34.81</v>
      </c>
      <c r="C851" s="2">
        <f t="shared" ca="1" si="3"/>
        <v>-1.0235996588001121E-2</v>
      </c>
    </row>
    <row r="852" spans="1:3">
      <c r="A852" s="3">
        <f ca="1">IFERROR(__xludf.UNSUPPORTED("""COMPUTED_VALUE"""),44698.6666666666)</f>
        <v>44698.666666666599</v>
      </c>
      <c r="B852" s="1">
        <f ca="1">IFERROR(__xludf.UNSUPPORTED("""COMPUTED_VALUE"""),35.99)</f>
        <v>35.99</v>
      </c>
      <c r="C852" s="2">
        <f t="shared" ca="1" si="3"/>
        <v>3.3898305084745756E-2</v>
      </c>
    </row>
    <row r="853" spans="1:3">
      <c r="A853" s="3">
        <f ca="1">IFERROR(__xludf.UNSUPPORTED("""COMPUTED_VALUE"""),44699.6666666666)</f>
        <v>44699.666666666599</v>
      </c>
      <c r="B853" s="1">
        <f ca="1">IFERROR(__xludf.UNSUPPORTED("""COMPUTED_VALUE"""),34.88)</f>
        <v>34.880000000000003</v>
      </c>
      <c r="C853" s="2">
        <f t="shared" ca="1" si="3"/>
        <v>-3.0841900527924408E-2</v>
      </c>
    </row>
    <row r="854" spans="1:3">
      <c r="A854" s="3">
        <f ca="1">IFERROR(__xludf.UNSUPPORTED("""COMPUTED_VALUE"""),44700.6666666666)</f>
        <v>44700.666666666599</v>
      </c>
      <c r="B854" s="1">
        <f ca="1">IFERROR(__xludf.UNSUPPORTED("""COMPUTED_VALUE"""),34.45)</f>
        <v>34.450000000000003</v>
      </c>
      <c r="C854" s="2">
        <f t="shared" ca="1" si="3"/>
        <v>-1.2327981651376137E-2</v>
      </c>
    </row>
    <row r="855" spans="1:3">
      <c r="A855" s="3">
        <f ca="1">IFERROR(__xludf.UNSUPPORTED("""COMPUTED_VALUE"""),44701.6666666666)</f>
        <v>44701.666666666599</v>
      </c>
      <c r="B855" s="1">
        <f ca="1">IFERROR(__xludf.UNSUPPORTED("""COMPUTED_VALUE"""),33.86)</f>
        <v>33.86</v>
      </c>
      <c r="C855" s="2">
        <f t="shared" ca="1" si="3"/>
        <v>-1.7126269956458735E-2</v>
      </c>
    </row>
    <row r="856" spans="1:3">
      <c r="A856" s="3">
        <f ca="1">IFERROR(__xludf.UNSUPPORTED("""COMPUTED_VALUE"""),44704.6666666666)</f>
        <v>44704.666666666599</v>
      </c>
      <c r="B856" s="1">
        <f ca="1">IFERROR(__xludf.UNSUPPORTED("""COMPUTED_VALUE"""),35.87)</f>
        <v>35.869999999999997</v>
      </c>
      <c r="C856" s="2">
        <f t="shared" ca="1" si="3"/>
        <v>5.9362079149438807E-2</v>
      </c>
    </row>
    <row r="857" spans="1:3">
      <c r="A857" s="3">
        <f ca="1">IFERROR(__xludf.UNSUPPORTED("""COMPUTED_VALUE"""),44705.6666666666)</f>
        <v>44705.666666666599</v>
      </c>
      <c r="B857" s="1">
        <f ca="1">IFERROR(__xludf.UNSUPPORTED("""COMPUTED_VALUE"""),35.65)</f>
        <v>35.65</v>
      </c>
      <c r="C857" s="2">
        <f t="shared" ca="1" si="3"/>
        <v>-6.1332589908000799E-3</v>
      </c>
    </row>
    <row r="858" spans="1:3">
      <c r="A858" s="3">
        <f ca="1">IFERROR(__xludf.UNSUPPORTED("""COMPUTED_VALUE"""),44706.6666666666)</f>
        <v>44706.666666666599</v>
      </c>
      <c r="B858" s="1">
        <f ca="1">IFERROR(__xludf.UNSUPPORTED("""COMPUTED_VALUE"""),35.84)</f>
        <v>35.840000000000003</v>
      </c>
      <c r="C858" s="2">
        <f t="shared" ca="1" si="3"/>
        <v>5.3295932678823236E-3</v>
      </c>
    </row>
    <row r="859" spans="1:3">
      <c r="A859" s="3">
        <f ca="1">IFERROR(__xludf.UNSUPPORTED("""COMPUTED_VALUE"""),44707.6666666666)</f>
        <v>44707.666666666599</v>
      </c>
      <c r="B859" s="1">
        <f ca="1">IFERROR(__xludf.UNSUPPORTED("""COMPUTED_VALUE"""),36.67)</f>
        <v>36.67</v>
      </c>
      <c r="C859" s="2">
        <f t="shared" ca="1" si="3"/>
        <v>2.3158482142857092E-2</v>
      </c>
    </row>
    <row r="860" spans="1:3">
      <c r="A860" s="3">
        <f ca="1">IFERROR(__xludf.UNSUPPORTED("""COMPUTED_VALUE"""),44708.6666666666)</f>
        <v>44708.666666666599</v>
      </c>
      <c r="B860" s="1">
        <f ca="1">IFERROR(__xludf.UNSUPPORTED("""COMPUTED_VALUE"""),37.02)</f>
        <v>37.020000000000003</v>
      </c>
      <c r="C860" s="2">
        <f t="shared" ca="1" si="3"/>
        <v>9.5445868557404254E-3</v>
      </c>
    </row>
    <row r="861" spans="1:3">
      <c r="A861" s="3">
        <f ca="1">IFERROR(__xludf.UNSUPPORTED("""COMPUTED_VALUE"""),44712.6666666666)</f>
        <v>44712.666666666599</v>
      </c>
      <c r="B861" s="1">
        <f ca="1">IFERROR(__xludf.UNSUPPORTED("""COMPUTED_VALUE"""),37.2)</f>
        <v>37.200000000000003</v>
      </c>
      <c r="C861" s="2">
        <f t="shared" ca="1" si="3"/>
        <v>4.8622366288492624E-3</v>
      </c>
    </row>
    <row r="862" spans="1:3">
      <c r="A862" s="3">
        <f ca="1">IFERROR(__xludf.UNSUPPORTED("""COMPUTED_VALUE"""),44713.6666666666)</f>
        <v>44713.666666666599</v>
      </c>
      <c r="B862" s="1">
        <f ca="1">IFERROR(__xludf.UNSUPPORTED("""COMPUTED_VALUE"""),36.67)</f>
        <v>36.67</v>
      </c>
      <c r="C862" s="2">
        <f t="shared" ca="1" si="3"/>
        <v>-1.4247311827957019E-2</v>
      </c>
    </row>
    <row r="863" spans="1:3">
      <c r="A863" s="3">
        <f ca="1">IFERROR(__xludf.UNSUPPORTED("""COMPUTED_VALUE"""),44714.6666666666)</f>
        <v>44714.666666666599</v>
      </c>
      <c r="B863" s="1">
        <f ca="1">IFERROR(__xludf.UNSUPPORTED("""COMPUTED_VALUE"""),36.7)</f>
        <v>36.700000000000003</v>
      </c>
      <c r="C863" s="2">
        <f t="shared" ca="1" si="3"/>
        <v>8.181074447777784E-4</v>
      </c>
    </row>
    <row r="864" spans="1:3">
      <c r="A864" s="3">
        <f ca="1">IFERROR(__xludf.UNSUPPORTED("""COMPUTED_VALUE"""),44715.6666666666)</f>
        <v>44715.666666666599</v>
      </c>
      <c r="B864" s="1">
        <f ca="1">IFERROR(__xludf.UNSUPPORTED("""COMPUTED_VALUE"""),36.19)</f>
        <v>36.19</v>
      </c>
      <c r="C864" s="2">
        <f t="shared" ca="1" si="3"/>
        <v>-1.3896457765667712E-2</v>
      </c>
    </row>
    <row r="865" spans="1:3">
      <c r="A865" s="3">
        <f ca="1">IFERROR(__xludf.UNSUPPORTED("""COMPUTED_VALUE"""),44718.6666666666)</f>
        <v>44718.666666666599</v>
      </c>
      <c r="B865" s="1">
        <f ca="1">IFERROR(__xludf.UNSUPPORTED("""COMPUTED_VALUE"""),36.15)</f>
        <v>36.15</v>
      </c>
      <c r="C865" s="2">
        <f t="shared" ca="1" si="3"/>
        <v>-1.1052777010223584E-3</v>
      </c>
    </row>
    <row r="866" spans="1:3">
      <c r="A866" s="3">
        <f ca="1">IFERROR(__xludf.UNSUPPORTED("""COMPUTED_VALUE"""),44719.6666666666)</f>
        <v>44719.666666666599</v>
      </c>
      <c r="B866" s="1">
        <f ca="1">IFERROR(__xludf.UNSUPPORTED("""COMPUTED_VALUE"""),36.35)</f>
        <v>36.35</v>
      </c>
      <c r="C866" s="2">
        <f t="shared" ca="1" si="3"/>
        <v>5.5325034578147404E-3</v>
      </c>
    </row>
    <row r="867" spans="1:3">
      <c r="A867" s="3">
        <f ca="1">IFERROR(__xludf.UNSUPPORTED("""COMPUTED_VALUE"""),44720.6666666666)</f>
        <v>44720.666666666599</v>
      </c>
      <c r="B867" s="1">
        <f ca="1">IFERROR(__xludf.UNSUPPORTED("""COMPUTED_VALUE"""),35.89)</f>
        <v>35.89</v>
      </c>
      <c r="C867" s="2">
        <f t="shared" ca="1" si="3"/>
        <v>-1.2654745529573613E-2</v>
      </c>
    </row>
    <row r="868" spans="1:3">
      <c r="A868" s="3">
        <f ca="1">IFERROR(__xludf.UNSUPPORTED("""COMPUTED_VALUE"""),44721.6666666666)</f>
        <v>44721.666666666599</v>
      </c>
      <c r="B868" s="1">
        <f ca="1">IFERROR(__xludf.UNSUPPORTED("""COMPUTED_VALUE"""),34.51)</f>
        <v>34.51</v>
      </c>
      <c r="C868" s="2">
        <f t="shared" ca="1" si="3"/>
        <v>-3.8450821955976669E-2</v>
      </c>
    </row>
    <row r="869" spans="1:3">
      <c r="A869" s="3">
        <f ca="1">IFERROR(__xludf.UNSUPPORTED("""COMPUTED_VALUE"""),44722.6666666666)</f>
        <v>44722.666666666599</v>
      </c>
      <c r="B869" s="1">
        <f ca="1">IFERROR(__xludf.UNSUPPORTED("""COMPUTED_VALUE"""),33.17)</f>
        <v>33.17</v>
      </c>
      <c r="C869" s="2">
        <f t="shared" ca="1" si="3"/>
        <v>-3.8829324833381522E-2</v>
      </c>
    </row>
    <row r="870" spans="1:3">
      <c r="A870" s="3">
        <f ca="1">IFERROR(__xludf.UNSUPPORTED("""COMPUTED_VALUE"""),44725.6666666666)</f>
        <v>44725.666666666599</v>
      </c>
      <c r="B870" s="1">
        <f ca="1">IFERROR(__xludf.UNSUPPORTED("""COMPUTED_VALUE"""),32.02)</f>
        <v>32.020000000000003</v>
      </c>
      <c r="C870" s="2">
        <f t="shared" ca="1" si="3"/>
        <v>-3.4669882423876953E-2</v>
      </c>
    </row>
    <row r="871" spans="1:3">
      <c r="A871" s="3">
        <f ca="1">IFERROR(__xludf.UNSUPPORTED("""COMPUTED_VALUE"""),44726.6666666666)</f>
        <v>44726.666666666599</v>
      </c>
      <c r="B871" s="1">
        <f ca="1">IFERROR(__xludf.UNSUPPORTED("""COMPUTED_VALUE"""),31.46)</f>
        <v>31.46</v>
      </c>
      <c r="C871" s="2">
        <f t="shared" ca="1" si="3"/>
        <v>-1.7489069331667776E-2</v>
      </c>
    </row>
    <row r="872" spans="1:3">
      <c r="A872" s="3">
        <f ca="1">IFERROR(__xludf.UNSUPPORTED("""COMPUTED_VALUE"""),44727.6666666666)</f>
        <v>44727.666666666599</v>
      </c>
      <c r="B872" s="1">
        <f ca="1">IFERROR(__xludf.UNSUPPORTED("""COMPUTED_VALUE"""),32.05)</f>
        <v>32.049999999999997</v>
      </c>
      <c r="C872" s="2">
        <f t="shared" ca="1" si="3"/>
        <v>1.8753973299427726E-2</v>
      </c>
    </row>
    <row r="873" spans="1:3">
      <c r="A873" s="3">
        <f ca="1">IFERROR(__xludf.UNSUPPORTED("""COMPUTED_VALUE"""),44728.6666666666)</f>
        <v>44728.666666666599</v>
      </c>
      <c r="B873" s="1">
        <f ca="1">IFERROR(__xludf.UNSUPPORTED("""COMPUTED_VALUE"""),31.85)</f>
        <v>31.85</v>
      </c>
      <c r="C873" s="2">
        <f t="shared" ca="1" si="3"/>
        <v>-6.2402496099842669E-3</v>
      </c>
    </row>
    <row r="874" spans="1:3">
      <c r="A874" s="3">
        <f ca="1">IFERROR(__xludf.UNSUPPORTED("""COMPUTED_VALUE"""),44729.6666666666)</f>
        <v>44729.666666666599</v>
      </c>
      <c r="B874" s="1">
        <f ca="1">IFERROR(__xludf.UNSUPPORTED("""COMPUTED_VALUE"""),31.92)</f>
        <v>31.92</v>
      </c>
      <c r="C874" s="2">
        <f t="shared" ca="1" si="3"/>
        <v>2.1978021978022065E-3</v>
      </c>
    </row>
    <row r="875" spans="1:3">
      <c r="A875" s="3">
        <f ca="1">IFERROR(__xludf.UNSUPPORTED("""COMPUTED_VALUE"""),44733.6666666666)</f>
        <v>44733.666666666599</v>
      </c>
      <c r="B875" s="1">
        <f ca="1">IFERROR(__xludf.UNSUPPORTED("""COMPUTED_VALUE"""),32.85)</f>
        <v>32.85</v>
      </c>
      <c r="C875" s="2">
        <f t="shared" ca="1" si="3"/>
        <v>2.913533834586465E-2</v>
      </c>
    </row>
    <row r="876" spans="1:3">
      <c r="A876" s="3">
        <f ca="1">IFERROR(__xludf.UNSUPPORTED("""COMPUTED_VALUE"""),44734.6666666666)</f>
        <v>44734.666666666599</v>
      </c>
      <c r="B876" s="1">
        <f ca="1">IFERROR(__xludf.UNSUPPORTED("""COMPUTED_VALUE"""),32.6)</f>
        <v>32.6</v>
      </c>
      <c r="C876" s="2">
        <f t="shared" ca="1" si="3"/>
        <v>-7.6103500761035003E-3</v>
      </c>
    </row>
    <row r="877" spans="1:3">
      <c r="A877" s="3">
        <f ca="1">IFERROR(__xludf.UNSUPPORTED("""COMPUTED_VALUE"""),44735.6666666666)</f>
        <v>44735.666666666599</v>
      </c>
      <c r="B877" s="1">
        <f ca="1">IFERROR(__xludf.UNSUPPORTED("""COMPUTED_VALUE"""),32.08)</f>
        <v>32.08</v>
      </c>
      <c r="C877" s="2">
        <f t="shared" ca="1" si="3"/>
        <v>-1.5950920245398868E-2</v>
      </c>
    </row>
    <row r="878" spans="1:3">
      <c r="A878" s="3">
        <f ca="1">IFERROR(__xludf.UNSUPPORTED("""COMPUTED_VALUE"""),44736.6666666666)</f>
        <v>44736.666666666599</v>
      </c>
      <c r="B878" s="1">
        <f ca="1">IFERROR(__xludf.UNSUPPORTED("""COMPUTED_VALUE"""),32.31)</f>
        <v>32.31</v>
      </c>
      <c r="C878" s="2">
        <f t="shared" ca="1" si="3"/>
        <v>7.1695760598504982E-3</v>
      </c>
    </row>
    <row r="879" spans="1:3">
      <c r="A879" s="3">
        <f ca="1">IFERROR(__xludf.UNSUPPORTED("""COMPUTED_VALUE"""),44739.6666666666)</f>
        <v>44739.666666666599</v>
      </c>
      <c r="B879" s="1">
        <f ca="1">IFERROR(__xludf.UNSUPPORTED("""COMPUTED_VALUE"""),32.35)</f>
        <v>32.35</v>
      </c>
      <c r="C879" s="2">
        <f t="shared" ca="1" si="3"/>
        <v>1.2380068090374233E-3</v>
      </c>
    </row>
    <row r="880" spans="1:3">
      <c r="A880" s="3">
        <f ca="1">IFERROR(__xludf.UNSUPPORTED("""COMPUTED_VALUE"""),44740.6666666666)</f>
        <v>44740.666666666599</v>
      </c>
      <c r="B880" s="1">
        <f ca="1">IFERROR(__xludf.UNSUPPORTED("""COMPUTED_VALUE"""),32.26)</f>
        <v>32.26</v>
      </c>
      <c r="C880" s="2">
        <f t="shared" ca="1" si="3"/>
        <v>-2.7820710973725936E-3</v>
      </c>
    </row>
    <row r="881" spans="1:3">
      <c r="A881" s="3">
        <f ca="1">IFERROR(__xludf.UNSUPPORTED("""COMPUTED_VALUE"""),44741.6666666666)</f>
        <v>44741.666666666599</v>
      </c>
      <c r="B881" s="1">
        <f ca="1">IFERROR(__xludf.UNSUPPORTED("""COMPUTED_VALUE"""),31.86)</f>
        <v>31.86</v>
      </c>
      <c r="C881" s="2">
        <f t="shared" ca="1" si="3"/>
        <v>-1.2399256044637279E-2</v>
      </c>
    </row>
    <row r="882" spans="1:3">
      <c r="A882" s="3">
        <f ca="1">IFERROR(__xludf.UNSUPPORTED("""COMPUTED_VALUE"""),44742.6666666666)</f>
        <v>44742.666666666599</v>
      </c>
      <c r="B882" s="1">
        <f ca="1">IFERROR(__xludf.UNSUPPORTED("""COMPUTED_VALUE"""),31.13)</f>
        <v>31.13</v>
      </c>
      <c r="C882" s="2">
        <f t="shared" ca="1" si="3"/>
        <v>-2.2912743251726316E-2</v>
      </c>
    </row>
    <row r="883" spans="1:3">
      <c r="A883" s="3">
        <f ca="1">IFERROR(__xludf.UNSUPPORTED("""COMPUTED_VALUE"""),44743.6666666666)</f>
        <v>44743.666666666599</v>
      </c>
      <c r="B883" s="1">
        <f ca="1">IFERROR(__xludf.UNSUPPORTED("""COMPUTED_VALUE"""),31.56)</f>
        <v>31.56</v>
      </c>
      <c r="C883" s="2">
        <f t="shared" ca="1" si="3"/>
        <v>1.381304208159331E-2</v>
      </c>
    </row>
    <row r="884" spans="1:3">
      <c r="A884" s="3">
        <f ca="1">IFERROR(__xludf.UNSUPPORTED("""COMPUTED_VALUE"""),44747.6666666666)</f>
        <v>44747.666666666599</v>
      </c>
      <c r="B884" s="1">
        <f ca="1">IFERROR(__xludf.UNSUPPORTED("""COMPUTED_VALUE"""),31.24)</f>
        <v>31.24</v>
      </c>
      <c r="C884" s="2">
        <f t="shared" ca="1" si="3"/>
        <v>-1.0139416983523457E-2</v>
      </c>
    </row>
    <row r="885" spans="1:3">
      <c r="A885" s="3">
        <f ca="1">IFERROR(__xludf.UNSUPPORTED("""COMPUTED_VALUE"""),44748.6666666666)</f>
        <v>44748.666666666599</v>
      </c>
      <c r="B885" s="1">
        <f ca="1">IFERROR(__xludf.UNSUPPORTED("""COMPUTED_VALUE"""),30.98)</f>
        <v>30.98</v>
      </c>
      <c r="C885" s="2">
        <f t="shared" ca="1" si="3"/>
        <v>-8.322663252240653E-3</v>
      </c>
    </row>
    <row r="886" spans="1:3">
      <c r="A886" s="3">
        <f ca="1">IFERROR(__xludf.UNSUPPORTED("""COMPUTED_VALUE"""),44749.6666666666)</f>
        <v>44749.666666666599</v>
      </c>
      <c r="B886" s="1">
        <f ca="1">IFERROR(__xludf.UNSUPPORTED("""COMPUTED_VALUE"""),31.86)</f>
        <v>31.86</v>
      </c>
      <c r="C886" s="2">
        <f t="shared" ca="1" si="3"/>
        <v>2.8405422853453807E-2</v>
      </c>
    </row>
    <row r="887" spans="1:3">
      <c r="A887" s="3">
        <f ca="1">IFERROR(__xludf.UNSUPPORTED("""COMPUTED_VALUE"""),44750.6666666666)</f>
        <v>44750.666666666599</v>
      </c>
      <c r="B887" s="1">
        <f ca="1">IFERROR(__xludf.UNSUPPORTED("""COMPUTED_VALUE"""),31.79)</f>
        <v>31.79</v>
      </c>
      <c r="C887" s="2">
        <f t="shared" ca="1" si="3"/>
        <v>-2.1971123666039011E-3</v>
      </c>
    </row>
    <row r="888" spans="1:3">
      <c r="A888" s="3">
        <f ca="1">IFERROR(__xludf.UNSUPPORTED("""COMPUTED_VALUE"""),44753.6666666666)</f>
        <v>44753.666666666599</v>
      </c>
      <c r="B888" s="1">
        <f ca="1">IFERROR(__xludf.UNSUPPORTED("""COMPUTED_VALUE"""),31.46)</f>
        <v>31.46</v>
      </c>
      <c r="C888" s="2">
        <f t="shared" ca="1" si="3"/>
        <v>-1.038062283737019E-2</v>
      </c>
    </row>
    <row r="889" spans="1:3">
      <c r="A889" s="3">
        <f ca="1">IFERROR(__xludf.UNSUPPORTED("""COMPUTED_VALUE"""),44754.6666666666)</f>
        <v>44754.666666666599</v>
      </c>
      <c r="B889" s="1">
        <f ca="1">IFERROR(__xludf.UNSUPPORTED("""COMPUTED_VALUE"""),31.36)</f>
        <v>31.36</v>
      </c>
      <c r="C889" s="2">
        <f t="shared" ca="1" si="3"/>
        <v>-3.1786395422759512E-3</v>
      </c>
    </row>
    <row r="890" spans="1:3">
      <c r="A890" s="3">
        <f ca="1">IFERROR(__xludf.UNSUPPORTED("""COMPUTED_VALUE"""),44755.6666666666)</f>
        <v>44755.666666666599</v>
      </c>
      <c r="B890" s="1">
        <f ca="1">IFERROR(__xludf.UNSUPPORTED("""COMPUTED_VALUE"""),30.84)</f>
        <v>30.84</v>
      </c>
      <c r="C890" s="2">
        <f t="shared" ca="1" si="3"/>
        <v>-1.6581632653061212E-2</v>
      </c>
    </row>
    <row r="891" spans="1:3">
      <c r="A891" s="3">
        <f ca="1">IFERROR(__xludf.UNSUPPORTED("""COMPUTED_VALUE"""),44756.6666666666)</f>
        <v>44756.666666666599</v>
      </c>
      <c r="B891" s="1">
        <f ca="1">IFERROR(__xludf.UNSUPPORTED("""COMPUTED_VALUE"""),30.13)</f>
        <v>30.13</v>
      </c>
      <c r="C891" s="2">
        <f t="shared" ca="1" si="3"/>
        <v>-2.3022049286640756E-2</v>
      </c>
    </row>
    <row r="892" spans="1:3">
      <c r="A892" s="3">
        <f ca="1">IFERROR(__xludf.UNSUPPORTED("""COMPUTED_VALUE"""),44757.6666666666)</f>
        <v>44757.666666666599</v>
      </c>
      <c r="B892" s="1">
        <f ca="1">IFERROR(__xludf.UNSUPPORTED("""COMPUTED_VALUE"""),32.25)</f>
        <v>32.25</v>
      </c>
      <c r="C892" s="2">
        <f t="shared" ca="1" si="3"/>
        <v>7.0361765682044511E-2</v>
      </c>
    </row>
    <row r="893" spans="1:3">
      <c r="A893" s="3">
        <f ca="1">IFERROR(__xludf.UNSUPPORTED("""COMPUTED_VALUE"""),44760.6666666666)</f>
        <v>44760.666666666599</v>
      </c>
      <c r="B893" s="1">
        <f ca="1">IFERROR(__xludf.UNSUPPORTED("""COMPUTED_VALUE"""),32.26)</f>
        <v>32.26</v>
      </c>
      <c r="C893" s="2">
        <f t="shared" ca="1" si="3"/>
        <v>3.1007751937978329E-4</v>
      </c>
    </row>
    <row r="894" spans="1:3">
      <c r="A894" s="3">
        <f ca="1">IFERROR(__xludf.UNSUPPORTED("""COMPUTED_VALUE"""),44761.6666666666)</f>
        <v>44761.666666666599</v>
      </c>
      <c r="B894" s="1">
        <f ca="1">IFERROR(__xludf.UNSUPPORTED("""COMPUTED_VALUE"""),33.35)</f>
        <v>33.35</v>
      </c>
      <c r="C894" s="2">
        <f t="shared" ca="1" si="3"/>
        <v>3.3787972721636812E-2</v>
      </c>
    </row>
    <row r="895" spans="1:3">
      <c r="A895" s="3">
        <f ca="1">IFERROR(__xludf.UNSUPPORTED("""COMPUTED_VALUE"""),44762.6666666666)</f>
        <v>44762.666666666599</v>
      </c>
      <c r="B895" s="1">
        <f ca="1">IFERROR(__xludf.UNSUPPORTED("""COMPUTED_VALUE"""),33.36)</f>
        <v>33.36</v>
      </c>
      <c r="C895" s="2">
        <f t="shared" ca="1" si="3"/>
        <v>2.9985007496245909E-4</v>
      </c>
    </row>
    <row r="896" spans="1:3">
      <c r="A896" s="3">
        <f ca="1">IFERROR(__xludf.UNSUPPORTED("""COMPUTED_VALUE"""),44763.6666666666)</f>
        <v>44763.666666666599</v>
      </c>
      <c r="B896" s="1">
        <f ca="1">IFERROR(__xludf.UNSUPPORTED("""COMPUTED_VALUE"""),33.65)</f>
        <v>33.65</v>
      </c>
      <c r="C896" s="2">
        <f t="shared" ca="1" si="3"/>
        <v>8.6930455635491361E-3</v>
      </c>
    </row>
    <row r="897" spans="1:3">
      <c r="A897" s="3">
        <f ca="1">IFERROR(__xludf.UNSUPPORTED("""COMPUTED_VALUE"""),44764.6666666666)</f>
        <v>44764.666666666599</v>
      </c>
      <c r="B897" s="1">
        <f ca="1">IFERROR(__xludf.UNSUPPORTED("""COMPUTED_VALUE"""),33.43)</f>
        <v>33.43</v>
      </c>
      <c r="C897" s="2">
        <f t="shared" ca="1" si="3"/>
        <v>-6.5378900445764894E-3</v>
      </c>
    </row>
    <row r="898" spans="1:3">
      <c r="A898" s="3">
        <f ca="1">IFERROR(__xludf.UNSUPPORTED("""COMPUTED_VALUE"""),44767.6666666666)</f>
        <v>44767.666666666599</v>
      </c>
      <c r="B898" s="1">
        <f ca="1">IFERROR(__xludf.UNSUPPORTED("""COMPUTED_VALUE"""),33.73)</f>
        <v>33.729999999999997</v>
      </c>
      <c r="C898" s="2">
        <f t="shared" ca="1" si="3"/>
        <v>8.9739754711336273E-3</v>
      </c>
    </row>
    <row r="899" spans="1:3">
      <c r="A899" s="3">
        <f ca="1">IFERROR(__xludf.UNSUPPORTED("""COMPUTED_VALUE"""),44768.6666666666)</f>
        <v>44768.666666666599</v>
      </c>
      <c r="B899" s="1">
        <f ca="1">IFERROR(__xludf.UNSUPPORTED("""COMPUTED_VALUE"""),33.05)</f>
        <v>33.049999999999997</v>
      </c>
      <c r="C899" s="2">
        <f t="shared" ca="1" si="3"/>
        <v>-2.0160094871034682E-2</v>
      </c>
    </row>
    <row r="900" spans="1:3">
      <c r="A900" s="3">
        <f ca="1">IFERROR(__xludf.UNSUPPORTED("""COMPUTED_VALUE"""),44769.6666666666)</f>
        <v>44769.666666666599</v>
      </c>
      <c r="B900" s="1">
        <f ca="1">IFERROR(__xludf.UNSUPPORTED("""COMPUTED_VALUE"""),33.59)</f>
        <v>33.590000000000003</v>
      </c>
      <c r="C900" s="2">
        <f t="shared" ca="1" si="3"/>
        <v>1.6338880484115168E-2</v>
      </c>
    </row>
    <row r="901" spans="1:3">
      <c r="A901" s="3">
        <f ca="1">IFERROR(__xludf.UNSUPPORTED("""COMPUTED_VALUE"""),44770.6666666666)</f>
        <v>44770.666666666599</v>
      </c>
      <c r="B901" s="1">
        <f ca="1">IFERROR(__xludf.UNSUPPORTED("""COMPUTED_VALUE"""),33.32)</f>
        <v>33.32</v>
      </c>
      <c r="C901" s="2">
        <f t="shared" ca="1" si="3"/>
        <v>-8.0381065793391805E-3</v>
      </c>
    </row>
    <row r="902" spans="1:3">
      <c r="A902" s="3">
        <f ca="1">IFERROR(__xludf.UNSUPPORTED("""COMPUTED_VALUE"""),44771.6666666666)</f>
        <v>44771.666666666599</v>
      </c>
      <c r="B902" s="1">
        <f ca="1">IFERROR(__xludf.UNSUPPORTED("""COMPUTED_VALUE"""),33.81)</f>
        <v>33.81</v>
      </c>
      <c r="C902" s="2">
        <f t="shared" ca="1" si="3"/>
        <v>1.4705882352941235E-2</v>
      </c>
    </row>
    <row r="903" spans="1:3">
      <c r="A903" s="3">
        <f ca="1">IFERROR(__xludf.UNSUPPORTED("""COMPUTED_VALUE"""),44774.6666666666)</f>
        <v>44774.666666666599</v>
      </c>
      <c r="B903" s="1">
        <f ca="1">IFERROR(__xludf.UNSUPPORTED("""COMPUTED_VALUE"""),33.71)</f>
        <v>33.71</v>
      </c>
      <c r="C903" s="2">
        <f t="shared" ca="1" si="3"/>
        <v>-2.9577048210589004E-3</v>
      </c>
    </row>
    <row r="904" spans="1:3">
      <c r="A904" s="3">
        <f ca="1">IFERROR(__xludf.UNSUPPORTED("""COMPUTED_VALUE"""),44775.6666666666)</f>
        <v>44775.666666666599</v>
      </c>
      <c r="B904" s="1">
        <f ca="1">IFERROR(__xludf.UNSUPPORTED("""COMPUTED_VALUE"""),33.04)</f>
        <v>33.04</v>
      </c>
      <c r="C904" s="2">
        <f t="shared" ca="1" si="3"/>
        <v>-1.987540789083363E-2</v>
      </c>
    </row>
    <row r="905" spans="1:3">
      <c r="A905" s="3">
        <f ca="1">IFERROR(__xludf.UNSUPPORTED("""COMPUTED_VALUE"""),44776.6666666666)</f>
        <v>44776.666666666599</v>
      </c>
      <c r="B905" s="1">
        <f ca="1">IFERROR(__xludf.UNSUPPORTED("""COMPUTED_VALUE"""),33.64)</f>
        <v>33.64</v>
      </c>
      <c r="C905" s="2">
        <f t="shared" ca="1" si="3"/>
        <v>1.815980629539956E-2</v>
      </c>
    </row>
    <row r="906" spans="1:3">
      <c r="A906" s="3">
        <f ca="1">IFERROR(__xludf.UNSUPPORTED("""COMPUTED_VALUE"""),44777.6666666666)</f>
        <v>44777.666666666599</v>
      </c>
      <c r="B906" s="1">
        <f ca="1">IFERROR(__xludf.UNSUPPORTED("""COMPUTED_VALUE"""),33.4)</f>
        <v>33.4</v>
      </c>
      <c r="C906" s="2">
        <f t="shared" ca="1" si="3"/>
        <v>-7.1343638525565396E-3</v>
      </c>
    </row>
    <row r="907" spans="1:3">
      <c r="A907" s="3">
        <f ca="1">IFERROR(__xludf.UNSUPPORTED("""COMPUTED_VALUE"""),44778.6666666666)</f>
        <v>44778.666666666599</v>
      </c>
      <c r="B907" s="1">
        <f ca="1">IFERROR(__xludf.UNSUPPORTED("""COMPUTED_VALUE"""),33.96)</f>
        <v>33.96</v>
      </c>
      <c r="C907" s="2">
        <f t="shared" ca="1" si="3"/>
        <v>1.6766467065868332E-2</v>
      </c>
    </row>
    <row r="908" spans="1:3">
      <c r="A908" s="3">
        <f ca="1">IFERROR(__xludf.UNSUPPORTED("""COMPUTED_VALUE"""),44781.6666666666)</f>
        <v>44781.666666666599</v>
      </c>
      <c r="B908" s="1">
        <f ca="1">IFERROR(__xludf.UNSUPPORTED("""COMPUTED_VALUE"""),33.49)</f>
        <v>33.49</v>
      </c>
      <c r="C908" s="2">
        <f t="shared" ca="1" si="3"/>
        <v>-1.3839811542991722E-2</v>
      </c>
    </row>
    <row r="909" spans="1:3">
      <c r="A909" s="3">
        <f ca="1">IFERROR(__xludf.UNSUPPORTED("""COMPUTED_VALUE"""),44782.6666666666)</f>
        <v>44782.666666666599</v>
      </c>
      <c r="B909" s="1">
        <f ca="1">IFERROR(__xludf.UNSUPPORTED("""COMPUTED_VALUE"""),33.92)</f>
        <v>33.92</v>
      </c>
      <c r="C909" s="2">
        <f t="shared" ca="1" si="3"/>
        <v>1.2839653627948632E-2</v>
      </c>
    </row>
    <row r="910" spans="1:3">
      <c r="A910" s="3">
        <f ca="1">IFERROR(__xludf.UNSUPPORTED("""COMPUTED_VALUE"""),44783.6666666666)</f>
        <v>44783.666666666599</v>
      </c>
      <c r="B910" s="1">
        <f ca="1">IFERROR(__xludf.UNSUPPORTED("""COMPUTED_VALUE"""),35.07)</f>
        <v>35.07</v>
      </c>
      <c r="C910" s="2">
        <f t="shared" ca="1" si="3"/>
        <v>3.3903301886792407E-2</v>
      </c>
    </row>
    <row r="911" spans="1:3">
      <c r="A911" s="3">
        <f ca="1">IFERROR(__xludf.UNSUPPORTED("""COMPUTED_VALUE"""),44784.6666666666)</f>
        <v>44784.666666666599</v>
      </c>
      <c r="B911" s="1">
        <f ca="1">IFERROR(__xludf.UNSUPPORTED("""COMPUTED_VALUE"""),35.91)</f>
        <v>35.909999999999997</v>
      </c>
      <c r="C911" s="2">
        <f t="shared" ca="1" si="3"/>
        <v>2.3952095808383127E-2</v>
      </c>
    </row>
    <row r="912" spans="1:3">
      <c r="A912" s="3">
        <f ca="1">IFERROR(__xludf.UNSUPPORTED("""COMPUTED_VALUE"""),44785.6666666666)</f>
        <v>44785.666666666599</v>
      </c>
      <c r="B912" s="1">
        <f ca="1">IFERROR(__xludf.UNSUPPORTED("""COMPUTED_VALUE"""),36.3)</f>
        <v>36.299999999999997</v>
      </c>
      <c r="C912" s="2">
        <f t="shared" ca="1" si="3"/>
        <v>1.0860484544695088E-2</v>
      </c>
    </row>
    <row r="913" spans="1:3">
      <c r="A913" s="3">
        <f ca="1">IFERROR(__xludf.UNSUPPORTED("""COMPUTED_VALUE"""),44788.6666666666)</f>
        <v>44788.666666666599</v>
      </c>
      <c r="B913" s="1">
        <f ca="1">IFERROR(__xludf.UNSUPPORTED("""COMPUTED_VALUE"""),36.25)</f>
        <v>36.25</v>
      </c>
      <c r="C913" s="2">
        <f t="shared" ca="1" si="3"/>
        <v>-1.377410468319481E-3</v>
      </c>
    </row>
    <row r="914" spans="1:3">
      <c r="A914" s="3">
        <f ca="1">IFERROR(__xludf.UNSUPPORTED("""COMPUTED_VALUE"""),44789.6666666666)</f>
        <v>44789.666666666599</v>
      </c>
      <c r="B914" s="1">
        <f ca="1">IFERROR(__xludf.UNSUPPORTED("""COMPUTED_VALUE"""),36.64)</f>
        <v>36.64</v>
      </c>
      <c r="C914" s="2">
        <f t="shared" ca="1" si="3"/>
        <v>1.0758620689655189E-2</v>
      </c>
    </row>
    <row r="915" spans="1:3">
      <c r="A915" s="3">
        <f ca="1">IFERROR(__xludf.UNSUPPORTED("""COMPUTED_VALUE"""),44790.6666666666)</f>
        <v>44790.666666666599</v>
      </c>
      <c r="B915" s="1">
        <f ca="1">IFERROR(__xludf.UNSUPPORTED("""COMPUTED_VALUE"""),36.41)</f>
        <v>36.409999999999997</v>
      </c>
      <c r="C915" s="2">
        <f t="shared" ca="1" si="3"/>
        <v>-6.2772925764193223E-3</v>
      </c>
    </row>
    <row r="916" spans="1:3">
      <c r="A916" s="3">
        <f ca="1">IFERROR(__xludf.UNSUPPORTED("""COMPUTED_VALUE"""),44791.6666666666)</f>
        <v>44791.666666666599</v>
      </c>
      <c r="B916" s="1">
        <f ca="1">IFERROR(__xludf.UNSUPPORTED("""COMPUTED_VALUE"""),36.28)</f>
        <v>36.28</v>
      </c>
      <c r="C916" s="2">
        <f t="shared" ca="1" si="3"/>
        <v>-3.570447679208884E-3</v>
      </c>
    </row>
    <row r="917" spans="1:3">
      <c r="A917" s="3">
        <f ca="1">IFERROR(__xludf.UNSUPPORTED("""COMPUTED_VALUE"""),44792.6666666666)</f>
        <v>44792.666666666599</v>
      </c>
      <c r="B917" s="1">
        <f ca="1">IFERROR(__xludf.UNSUPPORTED("""COMPUTED_VALUE"""),35.48)</f>
        <v>35.479999999999997</v>
      </c>
      <c r="C917" s="2">
        <f t="shared" ca="1" si="3"/>
        <v>-2.2050716648291186E-2</v>
      </c>
    </row>
    <row r="918" spans="1:3">
      <c r="A918" s="3">
        <f ca="1">IFERROR(__xludf.UNSUPPORTED("""COMPUTED_VALUE"""),44795.6666666666)</f>
        <v>44795.666666666599</v>
      </c>
      <c r="B918" s="1">
        <f ca="1">IFERROR(__xludf.UNSUPPORTED("""COMPUTED_VALUE"""),34.72)</f>
        <v>34.72</v>
      </c>
      <c r="C918" s="2">
        <f t="shared" ca="1" si="3"/>
        <v>-2.1420518602029259E-2</v>
      </c>
    </row>
    <row r="919" spans="1:3">
      <c r="A919" s="3">
        <f ca="1">IFERROR(__xludf.UNSUPPORTED("""COMPUTED_VALUE"""),44796.6666666666)</f>
        <v>44796.666666666599</v>
      </c>
      <c r="B919" s="1">
        <f ca="1">IFERROR(__xludf.UNSUPPORTED("""COMPUTED_VALUE"""),34.41)</f>
        <v>34.409999999999997</v>
      </c>
      <c r="C919" s="2">
        <f t="shared" ca="1" si="3"/>
        <v>-8.928571428571494E-3</v>
      </c>
    </row>
    <row r="920" spans="1:3">
      <c r="A920" s="3">
        <f ca="1">IFERROR(__xludf.UNSUPPORTED("""COMPUTED_VALUE"""),44797.6666666666)</f>
        <v>44797.666666666599</v>
      </c>
      <c r="B920" s="1">
        <f ca="1">IFERROR(__xludf.UNSUPPORTED("""COMPUTED_VALUE"""),34.52)</f>
        <v>34.520000000000003</v>
      </c>
      <c r="C920" s="2">
        <f t="shared" ca="1" si="3"/>
        <v>3.1967451322291933E-3</v>
      </c>
    </row>
    <row r="921" spans="1:3">
      <c r="A921" s="3">
        <f ca="1">IFERROR(__xludf.UNSUPPORTED("""COMPUTED_VALUE"""),44798.6666666666)</f>
        <v>44798.666666666599</v>
      </c>
      <c r="B921" s="1">
        <f ca="1">IFERROR(__xludf.UNSUPPORTED("""COMPUTED_VALUE"""),35.14)</f>
        <v>35.14</v>
      </c>
      <c r="C921" s="2">
        <f t="shared" ca="1" si="3"/>
        <v>1.7960602549246737E-2</v>
      </c>
    </row>
    <row r="922" spans="1:3">
      <c r="A922" s="3">
        <f ca="1">IFERROR(__xludf.UNSUPPORTED("""COMPUTED_VALUE"""),44799.6666666666)</f>
        <v>44799.666666666599</v>
      </c>
      <c r="B922" s="1">
        <f ca="1">IFERROR(__xludf.UNSUPPORTED("""COMPUTED_VALUE"""),34.03)</f>
        <v>34.03</v>
      </c>
      <c r="C922" s="2">
        <f t="shared" ca="1" si="3"/>
        <v>-3.1587933978372208E-2</v>
      </c>
    </row>
    <row r="923" spans="1:3">
      <c r="A923" s="3">
        <f ca="1">IFERROR(__xludf.UNSUPPORTED("""COMPUTED_VALUE"""),44802.6666666666)</f>
        <v>44802.666666666599</v>
      </c>
      <c r="B923" s="1">
        <f ca="1">IFERROR(__xludf.UNSUPPORTED("""COMPUTED_VALUE"""),33.9)</f>
        <v>33.9</v>
      </c>
      <c r="C923" s="2">
        <f t="shared" ca="1" si="3"/>
        <v>-3.8201586835146209E-3</v>
      </c>
    </row>
    <row r="924" spans="1:3">
      <c r="A924" s="3">
        <f ca="1">IFERROR(__xludf.UNSUPPORTED("""COMPUTED_VALUE"""),44803.6666666666)</f>
        <v>44803.666666666599</v>
      </c>
      <c r="B924" s="1">
        <f ca="1">IFERROR(__xludf.UNSUPPORTED("""COMPUTED_VALUE"""),34.09)</f>
        <v>34.090000000000003</v>
      </c>
      <c r="C924" s="2">
        <f t="shared" ca="1" si="3"/>
        <v>5.6047197640119424E-3</v>
      </c>
    </row>
    <row r="925" spans="1:3">
      <c r="A925" s="3">
        <f ca="1">IFERROR(__xludf.UNSUPPORTED("""COMPUTED_VALUE"""),44804.6666666666)</f>
        <v>44804.666666666599</v>
      </c>
      <c r="B925" s="1">
        <f ca="1">IFERROR(__xludf.UNSUPPORTED("""COMPUTED_VALUE"""),33.61)</f>
        <v>33.61</v>
      </c>
      <c r="C925" s="2">
        <f t="shared" ca="1" si="3"/>
        <v>-1.4080375476679494E-2</v>
      </c>
    </row>
    <row r="926" spans="1:3">
      <c r="A926" s="3">
        <f ca="1">IFERROR(__xludf.UNSUPPORTED("""COMPUTED_VALUE"""),44805.6666666666)</f>
        <v>44805.666666666599</v>
      </c>
      <c r="B926" s="1">
        <f ca="1">IFERROR(__xludf.UNSUPPORTED("""COMPUTED_VALUE"""),33.47)</f>
        <v>33.47</v>
      </c>
      <c r="C926" s="2">
        <f t="shared" ca="1" si="3"/>
        <v>-4.1654269562630339E-3</v>
      </c>
    </row>
    <row r="927" spans="1:3">
      <c r="A927" s="3">
        <f ca="1">IFERROR(__xludf.UNSUPPORTED("""COMPUTED_VALUE"""),44806.6666666666)</f>
        <v>44806.666666666599</v>
      </c>
      <c r="B927" s="1">
        <f ca="1">IFERROR(__xludf.UNSUPPORTED("""COMPUTED_VALUE"""),33.43)</f>
        <v>33.43</v>
      </c>
      <c r="C927" s="2">
        <f t="shared" ca="1" si="3"/>
        <v>-1.1951000896324813E-3</v>
      </c>
    </row>
    <row r="928" spans="1:3">
      <c r="A928" s="3">
        <f ca="1">IFERROR(__xludf.UNSUPPORTED("""COMPUTED_VALUE"""),44810.6666666666)</f>
        <v>44810.666666666599</v>
      </c>
      <c r="B928" s="1">
        <f ca="1">IFERROR(__xludf.UNSUPPORTED("""COMPUTED_VALUE"""),33.06)</f>
        <v>33.06</v>
      </c>
      <c r="C928" s="2">
        <f t="shared" ca="1" si="3"/>
        <v>-1.1067903081064836E-2</v>
      </c>
    </row>
    <row r="929" spans="1:3">
      <c r="A929" s="3">
        <f ca="1">IFERROR(__xludf.UNSUPPORTED("""COMPUTED_VALUE"""),44811.6666666666)</f>
        <v>44811.666666666599</v>
      </c>
      <c r="B929" s="1">
        <f ca="1">IFERROR(__xludf.UNSUPPORTED("""COMPUTED_VALUE"""),33.57)</f>
        <v>33.57</v>
      </c>
      <c r="C929" s="2">
        <f t="shared" ca="1" si="3"/>
        <v>1.5426497277676889E-2</v>
      </c>
    </row>
    <row r="930" spans="1:3">
      <c r="A930" s="3">
        <f ca="1">IFERROR(__xludf.UNSUPPORTED("""COMPUTED_VALUE"""),44812.6666666666)</f>
        <v>44812.666666666599</v>
      </c>
      <c r="B930" s="1">
        <f ca="1">IFERROR(__xludf.UNSUPPORTED("""COMPUTED_VALUE"""),34.65)</f>
        <v>34.65</v>
      </c>
      <c r="C930" s="2">
        <f t="shared" ca="1" si="3"/>
        <v>3.2171581769436949E-2</v>
      </c>
    </row>
    <row r="931" spans="1:3">
      <c r="A931" s="3">
        <f ca="1">IFERROR(__xludf.UNSUPPORTED("""COMPUTED_VALUE"""),44813.6666666666)</f>
        <v>44813.666666666599</v>
      </c>
      <c r="B931" s="1">
        <f ca="1">IFERROR(__xludf.UNSUPPORTED("""COMPUTED_VALUE"""),34.94)</f>
        <v>34.94</v>
      </c>
      <c r="C931" s="2">
        <f t="shared" ca="1" si="3"/>
        <v>8.369408369408346E-3</v>
      </c>
    </row>
    <row r="932" spans="1:3">
      <c r="A932" s="3">
        <f ca="1">IFERROR(__xludf.UNSUPPORTED("""COMPUTED_VALUE"""),44816.6666666666)</f>
        <v>44816.666666666599</v>
      </c>
      <c r="B932" s="1">
        <f ca="1">IFERROR(__xludf.UNSUPPORTED("""COMPUTED_VALUE"""),35.27)</f>
        <v>35.270000000000003</v>
      </c>
      <c r="C932" s="2">
        <f t="shared" ca="1" si="3"/>
        <v>9.444762449914294E-3</v>
      </c>
    </row>
    <row r="933" spans="1:3">
      <c r="A933" s="3">
        <f ca="1">IFERROR(__xludf.UNSUPPORTED("""COMPUTED_VALUE"""),44817.6666666666)</f>
        <v>44817.666666666599</v>
      </c>
      <c r="B933" s="1">
        <f ca="1">IFERROR(__xludf.UNSUPPORTED("""COMPUTED_VALUE"""),34)</f>
        <v>34</v>
      </c>
      <c r="C933" s="2">
        <f t="shared" ca="1" si="3"/>
        <v>-3.6007938758151489E-2</v>
      </c>
    </row>
    <row r="934" spans="1:3">
      <c r="A934" s="3">
        <f ca="1">IFERROR(__xludf.UNSUPPORTED("""COMPUTED_VALUE"""),44818.6666666666)</f>
        <v>44818.666666666599</v>
      </c>
      <c r="B934" s="1">
        <f ca="1">IFERROR(__xludf.UNSUPPORTED("""COMPUTED_VALUE"""),33.87)</f>
        <v>33.869999999999997</v>
      </c>
      <c r="C934" s="2">
        <f t="shared" ca="1" si="3"/>
        <v>-3.8235294117647811E-3</v>
      </c>
    </row>
    <row r="935" spans="1:3">
      <c r="A935" s="3">
        <f ca="1">IFERROR(__xludf.UNSUPPORTED("""COMPUTED_VALUE"""),44819.6666666666)</f>
        <v>44819.666666666599</v>
      </c>
      <c r="B935" s="1">
        <f ca="1">IFERROR(__xludf.UNSUPPORTED("""COMPUTED_VALUE"""),34.51)</f>
        <v>34.51</v>
      </c>
      <c r="C935" s="2">
        <f t="shared" ca="1" si="3"/>
        <v>1.8895777974608816E-2</v>
      </c>
    </row>
    <row r="936" spans="1:3">
      <c r="A936" s="3">
        <f ca="1">IFERROR(__xludf.UNSUPPORTED("""COMPUTED_VALUE"""),44820.6666666666)</f>
        <v>44820.666666666599</v>
      </c>
      <c r="B936" s="1">
        <f ca="1">IFERROR(__xludf.UNSUPPORTED("""COMPUTED_VALUE"""),34.12)</f>
        <v>34.119999999999997</v>
      </c>
      <c r="C936" s="2">
        <f t="shared" ca="1" si="3"/>
        <v>-1.1301072152999149E-2</v>
      </c>
    </row>
    <row r="937" spans="1:3">
      <c r="A937" s="3">
        <f ca="1">IFERROR(__xludf.UNSUPPORTED("""COMPUTED_VALUE"""),44823.6666666666)</f>
        <v>44823.666666666599</v>
      </c>
      <c r="B937" s="1">
        <f ca="1">IFERROR(__xludf.UNSUPPORTED("""COMPUTED_VALUE"""),34.69)</f>
        <v>34.69</v>
      </c>
      <c r="C937" s="2">
        <f t="shared" ca="1" si="3"/>
        <v>1.6705744431418531E-2</v>
      </c>
    </row>
    <row r="938" spans="1:3">
      <c r="A938" s="3">
        <f ca="1">IFERROR(__xludf.UNSUPPORTED("""COMPUTED_VALUE"""),44824.6666666666)</f>
        <v>44824.666666666599</v>
      </c>
      <c r="B938" s="1">
        <f ca="1">IFERROR(__xludf.UNSUPPORTED("""COMPUTED_VALUE"""),34.17)</f>
        <v>34.17</v>
      </c>
      <c r="C938" s="2">
        <f t="shared" ca="1" si="3"/>
        <v>-1.4989910637071089E-2</v>
      </c>
    </row>
    <row r="939" spans="1:3">
      <c r="A939" s="3">
        <f ca="1">IFERROR(__xludf.UNSUPPORTED("""COMPUTED_VALUE"""),44825.6666666666)</f>
        <v>44825.666666666599</v>
      </c>
      <c r="B939" s="1">
        <f ca="1">IFERROR(__xludf.UNSUPPORTED("""COMPUTED_VALUE"""),33.15)</f>
        <v>33.15</v>
      </c>
      <c r="C939" s="2">
        <f t="shared" ca="1" si="3"/>
        <v>-2.9850746268656806E-2</v>
      </c>
    </row>
    <row r="940" spans="1:3">
      <c r="A940" s="3">
        <f ca="1">IFERROR(__xludf.UNSUPPORTED("""COMPUTED_VALUE"""),44826.6666666666)</f>
        <v>44826.666666666599</v>
      </c>
      <c r="B940" s="1">
        <f ca="1">IFERROR(__xludf.UNSUPPORTED("""COMPUTED_VALUE"""),32.5)</f>
        <v>32.5</v>
      </c>
      <c r="C940" s="2">
        <f t="shared" ca="1" si="3"/>
        <v>-1.960784313725486E-2</v>
      </c>
    </row>
    <row r="941" spans="1:3">
      <c r="A941" s="3">
        <f ca="1">IFERROR(__xludf.UNSUPPORTED("""COMPUTED_VALUE"""),44827.6666666666)</f>
        <v>44827.666666666599</v>
      </c>
      <c r="B941" s="1">
        <f ca="1">IFERROR(__xludf.UNSUPPORTED("""COMPUTED_VALUE"""),31.73)</f>
        <v>31.73</v>
      </c>
      <c r="C941" s="2">
        <f t="shared" ca="1" si="3"/>
        <v>-2.3692307692307679E-2</v>
      </c>
    </row>
    <row r="942" spans="1:3">
      <c r="A942" s="3">
        <f ca="1">IFERROR(__xludf.UNSUPPORTED("""COMPUTED_VALUE"""),44830.6666666666)</f>
        <v>44830.666666666599</v>
      </c>
      <c r="B942" s="1">
        <f ca="1">IFERROR(__xludf.UNSUPPORTED("""COMPUTED_VALUE"""),31.03)</f>
        <v>31.03</v>
      </c>
      <c r="C942" s="2">
        <f t="shared" ca="1" si="3"/>
        <v>-2.2061140876142429E-2</v>
      </c>
    </row>
    <row r="943" spans="1:3">
      <c r="A943" s="3">
        <f ca="1">IFERROR(__xludf.UNSUPPORTED("""COMPUTED_VALUE"""),44831.6666666666)</f>
        <v>44831.666666666599</v>
      </c>
      <c r="B943" s="1">
        <f ca="1">IFERROR(__xludf.UNSUPPORTED("""COMPUTED_VALUE"""),30.57)</f>
        <v>30.57</v>
      </c>
      <c r="C943" s="2">
        <f t="shared" ca="1" si="3"/>
        <v>-1.4824363519175019E-2</v>
      </c>
    </row>
    <row r="944" spans="1:3">
      <c r="A944" s="3">
        <f ca="1">IFERROR(__xludf.UNSUPPORTED("""COMPUTED_VALUE"""),44832.6666666666)</f>
        <v>44832.666666666599</v>
      </c>
      <c r="B944" s="1">
        <f ca="1">IFERROR(__xludf.UNSUPPORTED("""COMPUTED_VALUE"""),31.07)</f>
        <v>31.07</v>
      </c>
      <c r="C944" s="2">
        <f t="shared" ca="1" si="3"/>
        <v>1.6355904481517827E-2</v>
      </c>
    </row>
    <row r="945" spans="1:3">
      <c r="A945" s="3">
        <f ca="1">IFERROR(__xludf.UNSUPPORTED("""COMPUTED_VALUE"""),44833.6666666666)</f>
        <v>44833.666666666599</v>
      </c>
      <c r="B945" s="1">
        <f ca="1">IFERROR(__xludf.UNSUPPORTED("""COMPUTED_VALUE"""),30.66)</f>
        <v>30.66</v>
      </c>
      <c r="C945" s="2">
        <f t="shared" ca="1" si="3"/>
        <v>-1.3196009011908597E-2</v>
      </c>
    </row>
    <row r="946" spans="1:3">
      <c r="A946" s="3">
        <f ca="1">IFERROR(__xludf.UNSUPPORTED("""COMPUTED_VALUE"""),44834.6666666666)</f>
        <v>44834.666666666599</v>
      </c>
      <c r="B946" s="1">
        <f ca="1">IFERROR(__xludf.UNSUPPORTED("""COMPUTED_VALUE"""),30.2)</f>
        <v>30.2</v>
      </c>
      <c r="C946" s="2">
        <f t="shared" ca="1" si="3"/>
        <v>-1.5003261578604071E-2</v>
      </c>
    </row>
    <row r="947" spans="1:3">
      <c r="A947" s="3">
        <f ca="1">IFERROR(__xludf.UNSUPPORTED("""COMPUTED_VALUE"""),44837.6666666666)</f>
        <v>44837.666666666599</v>
      </c>
      <c r="B947" s="1">
        <f ca="1">IFERROR(__xludf.UNSUPPORTED("""COMPUTED_VALUE"""),31.09)</f>
        <v>31.09</v>
      </c>
      <c r="C947" s="2">
        <f t="shared" ca="1" si="3"/>
        <v>2.9470198675496707E-2</v>
      </c>
    </row>
    <row r="948" spans="1:3">
      <c r="A948" s="3">
        <f ca="1">IFERROR(__xludf.UNSUPPORTED("""COMPUTED_VALUE"""),44838.6666666666)</f>
        <v>44838.666666666599</v>
      </c>
      <c r="B948" s="1">
        <f ca="1">IFERROR(__xludf.UNSUPPORTED("""COMPUTED_VALUE"""),32.38)</f>
        <v>32.380000000000003</v>
      </c>
      <c r="C948" s="2">
        <f t="shared" ca="1" si="3"/>
        <v>4.1492441299453287E-2</v>
      </c>
    </row>
    <row r="949" spans="1:3">
      <c r="A949" s="3">
        <f ca="1">IFERROR(__xludf.UNSUPPORTED("""COMPUTED_VALUE"""),44839.6666666666)</f>
        <v>44839.666666666599</v>
      </c>
      <c r="B949" s="1">
        <f ca="1">IFERROR(__xludf.UNSUPPORTED("""COMPUTED_VALUE"""),31.92)</f>
        <v>31.92</v>
      </c>
      <c r="C949" s="2">
        <f t="shared" ca="1" si="3"/>
        <v>-1.4206300185299593E-2</v>
      </c>
    </row>
    <row r="950" spans="1:3">
      <c r="A950" s="3">
        <f ca="1">IFERROR(__xludf.UNSUPPORTED("""COMPUTED_VALUE"""),44840.6666666666)</f>
        <v>44840.666666666599</v>
      </c>
      <c r="B950" s="1">
        <f ca="1">IFERROR(__xludf.UNSUPPORTED("""COMPUTED_VALUE"""),31.46)</f>
        <v>31.46</v>
      </c>
      <c r="C950" s="2">
        <f t="shared" ca="1" si="3"/>
        <v>-1.4411027568922331E-2</v>
      </c>
    </row>
    <row r="951" spans="1:3">
      <c r="A951" s="3">
        <f ca="1">IFERROR(__xludf.UNSUPPORTED("""COMPUTED_VALUE"""),44841.6666666666)</f>
        <v>44841.666666666599</v>
      </c>
      <c r="B951" s="1">
        <f ca="1">IFERROR(__xludf.UNSUPPORTED("""COMPUTED_VALUE"""),30.75)</f>
        <v>30.75</v>
      </c>
      <c r="C951" s="2">
        <f t="shared" ca="1" si="3"/>
        <v>-2.2568340750158958E-2</v>
      </c>
    </row>
    <row r="952" spans="1:3">
      <c r="A952" s="3">
        <f ca="1">IFERROR(__xludf.UNSUPPORTED("""COMPUTED_VALUE"""),44844.6666666666)</f>
        <v>44844.666666666599</v>
      </c>
      <c r="B952" s="1">
        <f ca="1">IFERROR(__xludf.UNSUPPORTED("""COMPUTED_VALUE"""),30.66)</f>
        <v>30.66</v>
      </c>
      <c r="C952" s="2">
        <f t="shared" ca="1" si="3"/>
        <v>-2.9268292682926782E-3</v>
      </c>
    </row>
    <row r="953" spans="1:3">
      <c r="A953" s="3">
        <f ca="1">IFERROR(__xludf.UNSUPPORTED("""COMPUTED_VALUE"""),44845.6666666666)</f>
        <v>44845.666666666599</v>
      </c>
      <c r="B953" s="1">
        <f ca="1">IFERROR(__xludf.UNSUPPORTED("""COMPUTED_VALUE"""),29.77)</f>
        <v>29.77</v>
      </c>
      <c r="C953" s="2">
        <f t="shared" ca="1" si="3"/>
        <v>-2.9028049575994801E-2</v>
      </c>
    </row>
    <row r="954" spans="1:3">
      <c r="A954" s="3">
        <f ca="1">IFERROR(__xludf.UNSUPPORTED("""COMPUTED_VALUE"""),44846.6666666666)</f>
        <v>44846.666666666599</v>
      </c>
      <c r="B954" s="1">
        <f ca="1">IFERROR(__xludf.UNSUPPORTED("""COMPUTED_VALUE"""),29.86)</f>
        <v>29.86</v>
      </c>
      <c r="C954" s="2">
        <f t="shared" ca="1" si="3"/>
        <v>3.0231776956667739E-3</v>
      </c>
    </row>
    <row r="955" spans="1:3">
      <c r="A955" s="3">
        <f ca="1">IFERROR(__xludf.UNSUPPORTED("""COMPUTED_VALUE"""),44847.6666666666)</f>
        <v>44847.666666666599</v>
      </c>
      <c r="B955" s="1">
        <f ca="1">IFERROR(__xludf.UNSUPPORTED("""COMPUTED_VALUE"""),31.69)</f>
        <v>31.69</v>
      </c>
      <c r="C955" s="2">
        <f t="shared" ca="1" si="3"/>
        <v>6.1286001339584791E-2</v>
      </c>
    </row>
    <row r="956" spans="1:3">
      <c r="A956" s="3">
        <f ca="1">IFERROR(__xludf.UNSUPPORTED("""COMPUTED_VALUE"""),44848.6666666666)</f>
        <v>44848.666666666599</v>
      </c>
      <c r="B956" s="1">
        <f ca="1">IFERROR(__xludf.UNSUPPORTED("""COMPUTED_VALUE"""),31.7)</f>
        <v>31.7</v>
      </c>
      <c r="C956" s="2">
        <f t="shared" ca="1" si="3"/>
        <v>3.1555695803086177E-4</v>
      </c>
    </row>
    <row r="957" spans="1:3">
      <c r="A957" s="3">
        <f ca="1">IFERROR(__xludf.UNSUPPORTED("""COMPUTED_VALUE"""),44851.6666666666)</f>
        <v>44851.666666666599</v>
      </c>
      <c r="B957" s="1">
        <f ca="1">IFERROR(__xludf.UNSUPPORTED("""COMPUTED_VALUE"""),33.62)</f>
        <v>33.619999999999997</v>
      </c>
      <c r="C957" s="2">
        <f t="shared" ca="1" si="3"/>
        <v>6.0567823343848526E-2</v>
      </c>
    </row>
    <row r="958" spans="1:3">
      <c r="A958" s="3">
        <f ca="1">IFERROR(__xludf.UNSUPPORTED("""COMPUTED_VALUE"""),44852.6666666666)</f>
        <v>44852.666666666599</v>
      </c>
      <c r="B958" s="1">
        <f ca="1">IFERROR(__xludf.UNSUPPORTED("""COMPUTED_VALUE"""),34.88)</f>
        <v>34.880000000000003</v>
      </c>
      <c r="C958" s="2">
        <f t="shared" ca="1" si="3"/>
        <v>3.7477691850089388E-2</v>
      </c>
    </row>
    <row r="959" spans="1:3">
      <c r="A959" s="3">
        <f ca="1">IFERROR(__xludf.UNSUPPORTED("""COMPUTED_VALUE"""),44853.6666666666)</f>
        <v>44853.666666666599</v>
      </c>
      <c r="B959" s="1">
        <f ca="1">IFERROR(__xludf.UNSUPPORTED("""COMPUTED_VALUE"""),33.92)</f>
        <v>33.92</v>
      </c>
      <c r="C959" s="2">
        <f t="shared" ca="1" si="3"/>
        <v>-2.7522935779816536E-2</v>
      </c>
    </row>
    <row r="960" spans="1:3">
      <c r="A960" s="3">
        <f ca="1">IFERROR(__xludf.UNSUPPORTED("""COMPUTED_VALUE"""),44854.6666666666)</f>
        <v>44854.666666666599</v>
      </c>
      <c r="B960" s="1">
        <f ca="1">IFERROR(__xludf.UNSUPPORTED("""COMPUTED_VALUE"""),33.7)</f>
        <v>33.700000000000003</v>
      </c>
      <c r="C960" s="2">
        <f t="shared" ca="1" si="3"/>
        <v>-6.4858490566037401E-3</v>
      </c>
    </row>
    <row r="961" spans="1:3">
      <c r="A961" s="3">
        <f ca="1">IFERROR(__xludf.UNSUPPORTED("""COMPUTED_VALUE"""),44855.6666666666)</f>
        <v>44855.666666666599</v>
      </c>
      <c r="B961" s="1">
        <f ca="1">IFERROR(__xludf.UNSUPPORTED("""COMPUTED_VALUE"""),34.95)</f>
        <v>34.950000000000003</v>
      </c>
      <c r="C961" s="2">
        <f t="shared" ca="1" si="3"/>
        <v>3.7091988130563795E-2</v>
      </c>
    </row>
    <row r="962" spans="1:3">
      <c r="A962" s="3">
        <f ca="1">IFERROR(__xludf.UNSUPPORTED("""COMPUTED_VALUE"""),44858.6666666666)</f>
        <v>44858.666666666599</v>
      </c>
      <c r="B962" s="1">
        <f ca="1">IFERROR(__xludf.UNSUPPORTED("""COMPUTED_VALUE"""),35.07)</f>
        <v>35.07</v>
      </c>
      <c r="C962" s="2">
        <f t="shared" ca="1" si="3"/>
        <v>3.4334763948497119E-3</v>
      </c>
    </row>
    <row r="963" spans="1:3">
      <c r="A963" s="3">
        <f ca="1">IFERROR(__xludf.UNSUPPORTED("""COMPUTED_VALUE"""),44859.6666666666)</f>
        <v>44859.666666666599</v>
      </c>
      <c r="B963" s="1">
        <f ca="1">IFERROR(__xludf.UNSUPPORTED("""COMPUTED_VALUE"""),35.39)</f>
        <v>35.39</v>
      </c>
      <c r="C963" s="2">
        <f t="shared" ca="1" si="3"/>
        <v>9.1246079270031442E-3</v>
      </c>
    </row>
    <row r="964" spans="1:3">
      <c r="A964" s="3">
        <f ca="1">IFERROR(__xludf.UNSUPPORTED("""COMPUTED_VALUE"""),44860.6666666666)</f>
        <v>44860.666666666599</v>
      </c>
      <c r="B964" s="1">
        <f ca="1">IFERROR(__xludf.UNSUPPORTED("""COMPUTED_VALUE"""),35.7)</f>
        <v>35.700000000000003</v>
      </c>
      <c r="C964" s="2">
        <f t="shared" ca="1" si="3"/>
        <v>8.7595365922577637E-3</v>
      </c>
    </row>
    <row r="965" spans="1:3">
      <c r="A965" s="3">
        <f ca="1">IFERROR(__xludf.UNSUPPORTED("""COMPUTED_VALUE"""),44861.6666666666)</f>
        <v>44861.666666666599</v>
      </c>
      <c r="B965" s="1">
        <f ca="1">IFERROR(__xludf.UNSUPPORTED("""COMPUTED_VALUE"""),35.87)</f>
        <v>35.869999999999997</v>
      </c>
      <c r="C965" s="2">
        <f t="shared" ca="1" si="3"/>
        <v>4.7619047619046105E-3</v>
      </c>
    </row>
    <row r="966" spans="1:3">
      <c r="A966" s="3">
        <f ca="1">IFERROR(__xludf.UNSUPPORTED("""COMPUTED_VALUE"""),44862.6666666666)</f>
        <v>44862.666666666599</v>
      </c>
      <c r="B966" s="1">
        <f ca="1">IFERROR(__xludf.UNSUPPORTED("""COMPUTED_VALUE"""),36.18)</f>
        <v>36.18</v>
      </c>
      <c r="C966" s="2">
        <f t="shared" ca="1" si="3"/>
        <v>8.6423194870365854E-3</v>
      </c>
    </row>
    <row r="967" spans="1:3">
      <c r="A967" s="3">
        <f ca="1">IFERROR(__xludf.UNSUPPORTED("""COMPUTED_VALUE"""),44865.6666666666)</f>
        <v>44865.666666666599</v>
      </c>
      <c r="B967" s="1">
        <f ca="1">IFERROR(__xludf.UNSUPPORTED("""COMPUTED_VALUE"""),36.04)</f>
        <v>36.04</v>
      </c>
      <c r="C967" s="2">
        <f t="shared" ca="1" si="3"/>
        <v>-3.8695411829740346E-3</v>
      </c>
    </row>
    <row r="968" spans="1:3">
      <c r="A968" s="3">
        <f ca="1">IFERROR(__xludf.UNSUPPORTED("""COMPUTED_VALUE"""),44866.6666666666)</f>
        <v>44866.666666666599</v>
      </c>
      <c r="B968" s="1">
        <f ca="1">IFERROR(__xludf.UNSUPPORTED("""COMPUTED_VALUE"""),36.2)</f>
        <v>36.200000000000003</v>
      </c>
      <c r="C968" s="2">
        <f t="shared" ca="1" si="3"/>
        <v>4.4395116537181934E-3</v>
      </c>
    </row>
    <row r="969" spans="1:3">
      <c r="A969" s="3">
        <f ca="1">IFERROR(__xludf.UNSUPPORTED("""COMPUTED_VALUE"""),44867.6666666666)</f>
        <v>44867.666666666599</v>
      </c>
      <c r="B969" s="1">
        <f ca="1">IFERROR(__xludf.UNSUPPORTED("""COMPUTED_VALUE"""),36.09)</f>
        <v>36.090000000000003</v>
      </c>
      <c r="C969" s="2">
        <f t="shared" ca="1" si="3"/>
        <v>-3.0386740331491552E-3</v>
      </c>
    </row>
    <row r="970" spans="1:3">
      <c r="A970" s="3">
        <f ca="1">IFERROR(__xludf.UNSUPPORTED("""COMPUTED_VALUE"""),44868.6666666666)</f>
        <v>44868.666666666599</v>
      </c>
      <c r="B970" s="1">
        <f ca="1">IFERROR(__xludf.UNSUPPORTED("""COMPUTED_VALUE"""),35.89)</f>
        <v>35.89</v>
      </c>
      <c r="C970" s="2">
        <f t="shared" ca="1" si="3"/>
        <v>-5.5417013022998843E-3</v>
      </c>
    </row>
    <row r="971" spans="1:3">
      <c r="A971" s="3">
        <f ca="1">IFERROR(__xludf.UNSUPPORTED("""COMPUTED_VALUE"""),44869.6666666666)</f>
        <v>44869.666666666599</v>
      </c>
      <c r="B971" s="1">
        <f ca="1">IFERROR(__xludf.UNSUPPORTED("""COMPUTED_VALUE"""),36.79)</f>
        <v>36.79</v>
      </c>
      <c r="C971" s="2">
        <f t="shared" ca="1" si="3"/>
        <v>2.5076623014767305E-2</v>
      </c>
    </row>
    <row r="972" spans="1:3">
      <c r="A972" s="3">
        <f ca="1">IFERROR(__xludf.UNSUPPORTED("""COMPUTED_VALUE"""),44872.6666666666)</f>
        <v>44872.666666666599</v>
      </c>
      <c r="B972" s="1">
        <f ca="1">IFERROR(__xludf.UNSUPPORTED("""COMPUTED_VALUE"""),37.01)</f>
        <v>37.01</v>
      </c>
      <c r="C972" s="2">
        <f t="shared" ca="1" si="3"/>
        <v>5.9798858385430517E-3</v>
      </c>
    </row>
    <row r="973" spans="1:3">
      <c r="A973" s="3">
        <f ca="1">IFERROR(__xludf.UNSUPPORTED("""COMPUTED_VALUE"""),44873.6666666666)</f>
        <v>44873.666666666599</v>
      </c>
      <c r="B973" s="1">
        <f ca="1">IFERROR(__xludf.UNSUPPORTED("""COMPUTED_VALUE"""),37.11)</f>
        <v>37.11</v>
      </c>
      <c r="C973" s="2">
        <f t="shared" ca="1" si="3"/>
        <v>2.7019724398811519E-3</v>
      </c>
    </row>
    <row r="974" spans="1:3">
      <c r="A974" s="3">
        <f ca="1">IFERROR(__xludf.UNSUPPORTED("""COMPUTED_VALUE"""),44874.6666666666)</f>
        <v>44874.666666666599</v>
      </c>
      <c r="B974" s="1">
        <f ca="1">IFERROR(__xludf.UNSUPPORTED("""COMPUTED_VALUE"""),36.52)</f>
        <v>36.520000000000003</v>
      </c>
      <c r="C974" s="2">
        <f t="shared" ca="1" si="3"/>
        <v>-1.5898679601185566E-2</v>
      </c>
    </row>
    <row r="975" spans="1:3">
      <c r="A975" s="3">
        <f ca="1">IFERROR(__xludf.UNSUPPORTED("""COMPUTED_VALUE"""),44875.6666666666)</f>
        <v>44875.666666666599</v>
      </c>
      <c r="B975" s="1">
        <f ca="1">IFERROR(__xludf.UNSUPPORTED("""COMPUTED_VALUE"""),38.13)</f>
        <v>38.130000000000003</v>
      </c>
      <c r="C975" s="2">
        <f t="shared" ca="1" si="3"/>
        <v>4.4085432639649487E-2</v>
      </c>
    </row>
    <row r="976" spans="1:3">
      <c r="A976" s="3">
        <f ca="1">IFERROR(__xludf.UNSUPPORTED("""COMPUTED_VALUE"""),44876.6666666666)</f>
        <v>44876.666666666599</v>
      </c>
      <c r="B976" s="1">
        <f ca="1">IFERROR(__xludf.UNSUPPORTED("""COMPUTED_VALUE"""),38.41)</f>
        <v>38.409999999999997</v>
      </c>
      <c r="C976" s="2">
        <f t="shared" ca="1" si="3"/>
        <v>7.3432992394438503E-3</v>
      </c>
    </row>
    <row r="977" spans="1:3">
      <c r="A977" s="3">
        <f ca="1">IFERROR(__xludf.UNSUPPORTED("""COMPUTED_VALUE"""),44879.6666666666)</f>
        <v>44879.666666666599</v>
      </c>
      <c r="B977" s="1">
        <f ca="1">IFERROR(__xludf.UNSUPPORTED("""COMPUTED_VALUE"""),37.76)</f>
        <v>37.76</v>
      </c>
      <c r="C977" s="2">
        <f t="shared" ca="1" si="3"/>
        <v>-1.6922676386357683E-2</v>
      </c>
    </row>
    <row r="978" spans="1:3">
      <c r="A978" s="3">
        <f ca="1">IFERROR(__xludf.UNSUPPORTED("""COMPUTED_VALUE"""),44880.6666666666)</f>
        <v>44880.666666666599</v>
      </c>
      <c r="B978" s="1">
        <f ca="1">IFERROR(__xludf.UNSUPPORTED("""COMPUTED_VALUE"""),37.7)</f>
        <v>37.700000000000003</v>
      </c>
      <c r="C978" s="2">
        <f t="shared" ca="1" si="3"/>
        <v>-1.5889830508473298E-3</v>
      </c>
    </row>
    <row r="979" spans="1:3">
      <c r="A979" s="3">
        <f ca="1">IFERROR(__xludf.UNSUPPORTED("""COMPUTED_VALUE"""),44881.6666666666)</f>
        <v>44881.666666666599</v>
      </c>
      <c r="B979" s="1">
        <f ca="1">IFERROR(__xludf.UNSUPPORTED("""COMPUTED_VALUE"""),37.36)</f>
        <v>37.36</v>
      </c>
      <c r="C979" s="2">
        <f t="shared" ca="1" si="3"/>
        <v>-9.0185676392573848E-3</v>
      </c>
    </row>
    <row r="980" spans="1:3">
      <c r="A980" s="3">
        <f ca="1">IFERROR(__xludf.UNSUPPORTED("""COMPUTED_VALUE"""),44882.6666666666)</f>
        <v>44882.666666666599</v>
      </c>
      <c r="B980" s="1">
        <f ca="1">IFERROR(__xludf.UNSUPPORTED("""COMPUTED_VALUE"""),37.17)</f>
        <v>37.17</v>
      </c>
      <c r="C980" s="2">
        <f t="shared" ca="1" si="3"/>
        <v>-5.085653104924993E-3</v>
      </c>
    </row>
    <row r="981" spans="1:3">
      <c r="A981" s="3">
        <f ca="1">IFERROR(__xludf.UNSUPPORTED("""COMPUTED_VALUE"""),44883.6666666666)</f>
        <v>44883.666666666599</v>
      </c>
      <c r="B981" s="1">
        <f ca="1">IFERROR(__xludf.UNSUPPORTED("""COMPUTED_VALUE"""),37.19)</f>
        <v>37.19</v>
      </c>
      <c r="C981" s="2">
        <f t="shared" ca="1" si="3"/>
        <v>5.3806833467839714E-4</v>
      </c>
    </row>
    <row r="982" spans="1:3">
      <c r="A982" s="3">
        <f ca="1">IFERROR(__xludf.UNSUPPORTED("""COMPUTED_VALUE"""),44886.6666666666)</f>
        <v>44886.666666666599</v>
      </c>
      <c r="B982" s="1">
        <f ca="1">IFERROR(__xludf.UNSUPPORTED("""COMPUTED_VALUE"""),37.31)</f>
        <v>37.31</v>
      </c>
      <c r="C982" s="2">
        <f t="shared" ca="1" si="3"/>
        <v>3.2266738370530937E-3</v>
      </c>
    </row>
    <row r="983" spans="1:3">
      <c r="A983" s="3">
        <f ca="1">IFERROR(__xludf.UNSUPPORTED("""COMPUTED_VALUE"""),44887.6666666666)</f>
        <v>44887.666666666599</v>
      </c>
      <c r="B983" s="1">
        <f ca="1">IFERROR(__xludf.UNSUPPORTED("""COMPUTED_VALUE"""),37.49)</f>
        <v>37.49</v>
      </c>
      <c r="C983" s="2">
        <f t="shared" ca="1" si="3"/>
        <v>4.8244438488340849E-3</v>
      </c>
    </row>
    <row r="984" spans="1:3">
      <c r="A984" s="3">
        <f ca="1">IFERROR(__xludf.UNSUPPORTED("""COMPUTED_VALUE"""),44888.6666666666)</f>
        <v>44888.666666666599</v>
      </c>
      <c r="B984" s="1">
        <f ca="1">IFERROR(__xludf.UNSUPPORTED("""COMPUTED_VALUE"""),37.61)</f>
        <v>37.61</v>
      </c>
      <c r="C984" s="2">
        <f t="shared" ca="1" si="3"/>
        <v>3.2008535609495182E-3</v>
      </c>
    </row>
    <row r="985" spans="1:3">
      <c r="A985" s="3">
        <f ca="1">IFERROR(__xludf.UNSUPPORTED("""COMPUTED_VALUE"""),44890.5416666666)</f>
        <v>44890.541666666599</v>
      </c>
      <c r="B985" s="1">
        <f ca="1">IFERROR(__xludf.UNSUPPORTED("""COMPUTED_VALUE"""),37.7)</f>
        <v>37.700000000000003</v>
      </c>
      <c r="C985" s="2">
        <f t="shared" ca="1" si="3"/>
        <v>2.3929805902686363E-3</v>
      </c>
    </row>
    <row r="986" spans="1:3">
      <c r="A986" s="3">
        <f ca="1">IFERROR(__xludf.UNSUPPORTED("""COMPUTED_VALUE"""),44893.6666666666)</f>
        <v>44893.666666666599</v>
      </c>
      <c r="B986" s="1">
        <f ca="1">IFERROR(__xludf.UNSUPPORTED("""COMPUTED_VALUE"""),36.86)</f>
        <v>36.86</v>
      </c>
      <c r="C986" s="2">
        <f t="shared" ca="1" si="3"/>
        <v>-2.2281167108753403E-2</v>
      </c>
    </row>
    <row r="987" spans="1:3">
      <c r="A987" s="3">
        <f ca="1">IFERROR(__xludf.UNSUPPORTED("""COMPUTED_VALUE"""),44894.6666666666)</f>
        <v>44894.666666666599</v>
      </c>
      <c r="B987" s="1">
        <f ca="1">IFERROR(__xludf.UNSUPPORTED("""COMPUTED_VALUE"""),37)</f>
        <v>37</v>
      </c>
      <c r="C987" s="2">
        <f t="shared" ca="1" si="3"/>
        <v>3.7981551817688705E-3</v>
      </c>
    </row>
    <row r="988" spans="1:3">
      <c r="A988" s="3">
        <f ca="1">IFERROR(__xludf.UNSUPPORTED("""COMPUTED_VALUE"""),44895.6666666666)</f>
        <v>44895.666666666599</v>
      </c>
      <c r="B988" s="1">
        <f ca="1">IFERROR(__xludf.UNSUPPORTED("""COMPUTED_VALUE"""),37.85)</f>
        <v>37.85</v>
      </c>
      <c r="C988" s="2">
        <f t="shared" ca="1" si="3"/>
        <v>2.2972972972973012E-2</v>
      </c>
    </row>
    <row r="989" spans="1:3">
      <c r="A989" s="3">
        <f ca="1">IFERROR(__xludf.UNSUPPORTED("""COMPUTED_VALUE"""),44896.6666666666)</f>
        <v>44896.666666666599</v>
      </c>
      <c r="B989" s="1">
        <f ca="1">IFERROR(__xludf.UNSUPPORTED("""COMPUTED_VALUE"""),36.55)</f>
        <v>36.549999999999997</v>
      </c>
      <c r="C989" s="2">
        <f t="shared" ca="1" si="3"/>
        <v>-3.4346103038309227E-2</v>
      </c>
    </row>
    <row r="990" spans="1:3">
      <c r="A990" s="3">
        <f ca="1">IFERROR(__xludf.UNSUPPORTED("""COMPUTED_VALUE"""),44897.6666666666)</f>
        <v>44897.666666666599</v>
      </c>
      <c r="B990" s="1">
        <f ca="1">IFERROR(__xludf.UNSUPPORTED("""COMPUTED_VALUE"""),36.08)</f>
        <v>36.08</v>
      </c>
      <c r="C990" s="2">
        <f t="shared" ca="1" si="3"/>
        <v>-1.2859097127222953E-2</v>
      </c>
    </row>
    <row r="991" spans="1:3">
      <c r="A991" s="3">
        <f ca="1">IFERROR(__xludf.UNSUPPORTED("""COMPUTED_VALUE"""),44900.6666666666)</f>
        <v>44900.666666666599</v>
      </c>
      <c r="B991" s="1">
        <f ca="1">IFERROR(__xludf.UNSUPPORTED("""COMPUTED_VALUE"""),34.47)</f>
        <v>34.47</v>
      </c>
      <c r="C991" s="2">
        <f t="shared" ca="1" si="3"/>
        <v>-4.4623059866962293E-2</v>
      </c>
    </row>
    <row r="992" spans="1:3">
      <c r="A992" s="3">
        <f ca="1">IFERROR(__xludf.UNSUPPORTED("""COMPUTED_VALUE"""),44901.6666666666)</f>
        <v>44901.666666666599</v>
      </c>
      <c r="B992" s="1">
        <f ca="1">IFERROR(__xludf.UNSUPPORTED("""COMPUTED_VALUE"""),33)</f>
        <v>33</v>
      </c>
      <c r="C992" s="2">
        <f t="shared" ca="1" si="3"/>
        <v>-4.2645778938207105E-2</v>
      </c>
    </row>
    <row r="993" spans="1:3">
      <c r="A993" s="3">
        <f ca="1">IFERROR(__xludf.UNSUPPORTED("""COMPUTED_VALUE"""),44902.6666666666)</f>
        <v>44902.666666666599</v>
      </c>
      <c r="B993" s="1">
        <f ca="1">IFERROR(__xludf.UNSUPPORTED("""COMPUTED_VALUE"""),32.74)</f>
        <v>32.74</v>
      </c>
      <c r="C993" s="2">
        <f t="shared" ca="1" si="3"/>
        <v>-7.8787878787878185E-3</v>
      </c>
    </row>
    <row r="994" spans="1:3">
      <c r="A994" s="3">
        <f ca="1">IFERROR(__xludf.UNSUPPORTED("""COMPUTED_VALUE"""),44903.6666666666)</f>
        <v>44903.666666666599</v>
      </c>
      <c r="B994" s="1">
        <f ca="1">IFERROR(__xludf.UNSUPPORTED("""COMPUTED_VALUE"""),32.44)</f>
        <v>32.44</v>
      </c>
      <c r="C994" s="2">
        <f t="shared" ca="1" si="3"/>
        <v>-9.1631032376299406E-3</v>
      </c>
    </row>
    <row r="995" spans="1:3">
      <c r="A995" s="3">
        <f ca="1">IFERROR(__xludf.UNSUPPORTED("""COMPUTED_VALUE"""),44904.6666666666)</f>
        <v>44904.666666666599</v>
      </c>
      <c r="B995" s="1">
        <f ca="1">IFERROR(__xludf.UNSUPPORTED("""COMPUTED_VALUE"""),32.38)</f>
        <v>32.380000000000003</v>
      </c>
      <c r="C995" s="2">
        <f t="shared" ca="1" si="3"/>
        <v>-1.8495684340319105E-3</v>
      </c>
    </row>
    <row r="996" spans="1:3">
      <c r="A996" s="3">
        <f ca="1">IFERROR(__xludf.UNSUPPORTED("""COMPUTED_VALUE"""),44907.6666666666)</f>
        <v>44907.666666666599</v>
      </c>
      <c r="B996" s="1">
        <f ca="1">IFERROR(__xludf.UNSUPPORTED("""COMPUTED_VALUE"""),32.73)</f>
        <v>32.729999999999997</v>
      </c>
      <c r="C996" s="2">
        <f t="shared" ca="1" si="3"/>
        <v>1.0809141445336451E-2</v>
      </c>
    </row>
    <row r="997" spans="1:3">
      <c r="A997" s="3">
        <f ca="1">IFERROR(__xludf.UNSUPPORTED("""COMPUTED_VALUE"""),44908.6666666666)</f>
        <v>44908.666666666599</v>
      </c>
      <c r="B997" s="1">
        <f ca="1">IFERROR(__xludf.UNSUPPORTED("""COMPUTED_VALUE"""),32.75)</f>
        <v>32.75</v>
      </c>
      <c r="C997" s="2">
        <f t="shared" ca="1" si="3"/>
        <v>6.1106018942875433E-4</v>
      </c>
    </row>
    <row r="998" spans="1:3">
      <c r="A998" s="3">
        <f ca="1">IFERROR(__xludf.UNSUPPORTED("""COMPUTED_VALUE"""),44909.6666666666)</f>
        <v>44909.666666666599</v>
      </c>
      <c r="B998" s="1">
        <f ca="1">IFERROR(__xludf.UNSUPPORTED("""COMPUTED_VALUE"""),32.28)</f>
        <v>32.28</v>
      </c>
      <c r="C998" s="2">
        <f t="shared" ca="1" si="3"/>
        <v>-1.4351145038167904E-2</v>
      </c>
    </row>
    <row r="999" spans="1:3">
      <c r="A999" s="3">
        <f ca="1">IFERROR(__xludf.UNSUPPORTED("""COMPUTED_VALUE"""),44910.6666666666)</f>
        <v>44910.666666666599</v>
      </c>
      <c r="B999" s="1">
        <f ca="1">IFERROR(__xludf.UNSUPPORTED("""COMPUTED_VALUE"""),31.77)</f>
        <v>31.77</v>
      </c>
      <c r="C999" s="2">
        <f t="shared" ca="1" si="3"/>
        <v>-1.5799256505576256E-2</v>
      </c>
    </row>
    <row r="1000" spans="1:3">
      <c r="A1000" s="3">
        <f ca="1">IFERROR(__xludf.UNSUPPORTED("""COMPUTED_VALUE"""),44911.6666666666)</f>
        <v>44911.666666666599</v>
      </c>
      <c r="B1000" s="1">
        <f ca="1">IFERROR(__xludf.UNSUPPORTED("""COMPUTED_VALUE"""),31.7)</f>
        <v>31.7</v>
      </c>
      <c r="C1000" s="2">
        <f t="shared" ca="1" si="3"/>
        <v>-2.2033364809568865E-3</v>
      </c>
    </row>
    <row r="1001" spans="1:3">
      <c r="A1001" s="3">
        <f ca="1">IFERROR(__xludf.UNSUPPORTED("""COMPUTED_VALUE"""),44914.6666666666)</f>
        <v>44914.666666666599</v>
      </c>
      <c r="B1001" s="1">
        <f ca="1">IFERROR(__xludf.UNSUPPORTED("""COMPUTED_VALUE"""),32.06)</f>
        <v>32.06</v>
      </c>
      <c r="C1001" s="2">
        <f t="shared" ca="1" si="3"/>
        <v>1.1356466876971703E-2</v>
      </c>
    </row>
    <row r="1002" spans="1:3">
      <c r="A1002" s="3">
        <f ca="1">IFERROR(__xludf.UNSUPPORTED("""COMPUTED_VALUE"""),44915.6666666666)</f>
        <v>44915.666666666599</v>
      </c>
      <c r="B1002" s="1">
        <f ca="1">IFERROR(__xludf.UNSUPPORTED("""COMPUTED_VALUE"""),32.19)</f>
        <v>32.19</v>
      </c>
      <c r="C1002" s="2">
        <f t="shared" ca="1" si="3"/>
        <v>4.054897067997363E-3</v>
      </c>
    </row>
    <row r="1003" spans="1:3">
      <c r="A1003" s="3">
        <f ca="1">IFERROR(__xludf.UNSUPPORTED("""COMPUTED_VALUE"""),44916.6666666666)</f>
        <v>44916.666666666599</v>
      </c>
      <c r="B1003" s="1">
        <f ca="1">IFERROR(__xludf.UNSUPPORTED("""COMPUTED_VALUE"""),32.68)</f>
        <v>32.68</v>
      </c>
      <c r="C1003" s="2">
        <f t="shared" ca="1" si="3"/>
        <v>1.5222118670394595E-2</v>
      </c>
    </row>
    <row r="1004" spans="1:3">
      <c r="A1004" s="3">
        <f ca="1">IFERROR(__xludf.UNSUPPORTED("""COMPUTED_VALUE"""),44917.6666666666)</f>
        <v>44917.666666666599</v>
      </c>
      <c r="B1004" s="1">
        <f ca="1">IFERROR(__xludf.UNSUPPORTED("""COMPUTED_VALUE"""),32.39)</f>
        <v>32.39</v>
      </c>
      <c r="C1004" s="2">
        <f t="shared" ca="1" si="3"/>
        <v>-8.873929008567906E-3</v>
      </c>
    </row>
    <row r="1005" spans="1:3">
      <c r="A1005" s="3">
        <f ca="1">IFERROR(__xludf.UNSUPPORTED("""COMPUTED_VALUE"""),44918.6666666666)</f>
        <v>44918.666666666599</v>
      </c>
      <c r="B1005" s="1">
        <f ca="1">IFERROR(__xludf.UNSUPPORTED("""COMPUTED_VALUE"""),32.47)</f>
        <v>32.47</v>
      </c>
      <c r="C1005" s="2">
        <f t="shared" ca="1" si="3"/>
        <v>2.4698981167026331E-3</v>
      </c>
    </row>
    <row r="1006" spans="1:3">
      <c r="A1006" s="3">
        <f ca="1">IFERROR(__xludf.UNSUPPORTED("""COMPUTED_VALUE"""),44922.6666666666)</f>
        <v>44922.666666666599</v>
      </c>
      <c r="B1006" s="1">
        <f ca="1">IFERROR(__xludf.UNSUPPORTED("""COMPUTED_VALUE"""),32.53)</f>
        <v>32.53</v>
      </c>
      <c r="C1006" s="2">
        <f t="shared" ca="1" si="3"/>
        <v>1.8478595626733069E-3</v>
      </c>
    </row>
    <row r="1007" spans="1:3">
      <c r="A1007" s="3">
        <f ca="1">IFERROR(__xludf.UNSUPPORTED("""COMPUTED_VALUE"""),44923.6666666666)</f>
        <v>44923.666666666599</v>
      </c>
      <c r="B1007" s="1">
        <f ca="1">IFERROR(__xludf.UNSUPPORTED("""COMPUTED_VALUE"""),32.77)</f>
        <v>32.770000000000003</v>
      </c>
      <c r="C1007" s="2">
        <f t="shared" ca="1" si="3"/>
        <v>7.3778051029819236E-3</v>
      </c>
    </row>
    <row r="1008" spans="1:3">
      <c r="A1008" s="3">
        <f ca="1">IFERROR(__xludf.UNSUPPORTED("""COMPUTED_VALUE"""),44924.6666666666)</f>
        <v>44924.666666666599</v>
      </c>
      <c r="B1008" s="1">
        <f ca="1">IFERROR(__xludf.UNSUPPORTED("""COMPUTED_VALUE"""),33.14)</f>
        <v>33.14</v>
      </c>
      <c r="C1008" s="2">
        <f t="shared" ca="1" si="3"/>
        <v>1.1290814769606267E-2</v>
      </c>
    </row>
    <row r="1009" spans="1:3">
      <c r="A1009" s="3">
        <f ca="1">IFERROR(__xludf.UNSUPPORTED("""COMPUTED_VALUE"""),44925.6666666666)</f>
        <v>44925.666666666599</v>
      </c>
      <c r="B1009" s="1">
        <f ca="1">IFERROR(__xludf.UNSUPPORTED("""COMPUTED_VALUE"""),33.12)</f>
        <v>33.119999999999997</v>
      </c>
      <c r="C1009" s="2">
        <f t="shared" ca="1" si="3"/>
        <v>-6.0350030175024521E-4</v>
      </c>
    </row>
    <row r="1010" spans="1:3">
      <c r="A1010" s="3">
        <f ca="1">IFERROR(__xludf.UNSUPPORTED("""COMPUTED_VALUE"""),44929.6666666666)</f>
        <v>44929.666666666599</v>
      </c>
      <c r="B1010" s="1">
        <f ca="1">IFERROR(__xludf.UNSUPPORTED("""COMPUTED_VALUE"""),33.51)</f>
        <v>33.51</v>
      </c>
      <c r="C1010" s="2">
        <f t="shared" ca="1" si="3"/>
        <v>1.1775362318840597E-2</v>
      </c>
    </row>
    <row r="1011" spans="1:3">
      <c r="A1011" s="3">
        <f ca="1">IFERROR(__xludf.UNSUPPORTED("""COMPUTED_VALUE"""),44930.6666666666)</f>
        <v>44930.666666666599</v>
      </c>
      <c r="B1011" s="1">
        <f ca="1">IFERROR(__xludf.UNSUPPORTED("""COMPUTED_VALUE"""),34.14)</f>
        <v>34.14</v>
      </c>
      <c r="C1011" s="2">
        <f t="shared" ca="1" si="3"/>
        <v>1.8800358102059163E-2</v>
      </c>
    </row>
    <row r="1012" spans="1:3">
      <c r="A1012" s="3">
        <f ca="1">IFERROR(__xludf.UNSUPPORTED("""COMPUTED_VALUE"""),44931.6666666666)</f>
        <v>44931.666666666599</v>
      </c>
      <c r="B1012" s="1">
        <f ca="1">IFERROR(__xludf.UNSUPPORTED("""COMPUTED_VALUE"""),34.07)</f>
        <v>34.07</v>
      </c>
      <c r="C1012" s="2">
        <f t="shared" ca="1" si="3"/>
        <v>-2.0503807850029373E-3</v>
      </c>
    </row>
    <row r="1013" spans="1:3">
      <c r="A1013" s="3">
        <f ca="1">IFERROR(__xludf.UNSUPPORTED("""COMPUTED_VALUE"""),44932.6666666666)</f>
        <v>44932.666666666599</v>
      </c>
      <c r="B1013" s="1">
        <f ca="1">IFERROR(__xludf.UNSUPPORTED("""COMPUTED_VALUE"""),34.41)</f>
        <v>34.409999999999997</v>
      </c>
      <c r="C1013" s="2">
        <f t="shared" ca="1" si="3"/>
        <v>9.9794540651598554E-3</v>
      </c>
    </row>
    <row r="1014" spans="1:3">
      <c r="A1014" s="3">
        <f ca="1">IFERROR(__xludf.UNSUPPORTED("""COMPUTED_VALUE"""),44935.6666666666)</f>
        <v>44935.666666666599</v>
      </c>
      <c r="B1014" s="1">
        <f ca="1">IFERROR(__xludf.UNSUPPORTED("""COMPUTED_VALUE"""),33.89)</f>
        <v>33.89</v>
      </c>
      <c r="C1014" s="2">
        <f t="shared" ca="1" si="3"/>
        <v>-1.5111886079627901E-2</v>
      </c>
    </row>
    <row r="1015" spans="1:3">
      <c r="A1015" s="3">
        <f ca="1">IFERROR(__xludf.UNSUPPORTED("""COMPUTED_VALUE"""),44936.6666666666)</f>
        <v>44936.666666666599</v>
      </c>
      <c r="B1015" s="1">
        <f ca="1">IFERROR(__xludf.UNSUPPORTED("""COMPUTED_VALUE"""),34.12)</f>
        <v>34.119999999999997</v>
      </c>
      <c r="C1015" s="2">
        <f t="shared" ca="1" si="3"/>
        <v>6.7866627323693385E-3</v>
      </c>
    </row>
    <row r="1016" spans="1:3">
      <c r="A1016" s="3">
        <f ca="1">IFERROR(__xludf.UNSUPPORTED("""COMPUTED_VALUE"""),44937.6666666666)</f>
        <v>44937.666666666599</v>
      </c>
      <c r="B1016" s="1">
        <f ca="1">IFERROR(__xludf.UNSUPPORTED("""COMPUTED_VALUE"""),34.38)</f>
        <v>34.380000000000003</v>
      </c>
      <c r="C1016" s="2">
        <f t="shared" ca="1" si="3"/>
        <v>7.6201641266121084E-3</v>
      </c>
    </row>
    <row r="1017" spans="1:3">
      <c r="A1017" s="3">
        <f ca="1">IFERROR(__xludf.UNSUPPORTED("""COMPUTED_VALUE"""),44938.6666666666)</f>
        <v>44938.666666666599</v>
      </c>
      <c r="B1017" s="1">
        <f ca="1">IFERROR(__xludf.UNSUPPORTED("""COMPUTED_VALUE"""),34.47)</f>
        <v>34.47</v>
      </c>
      <c r="C1017" s="2">
        <f t="shared" ca="1" si="3"/>
        <v>2.617801047120311E-3</v>
      </c>
    </row>
    <row r="1018" spans="1:3">
      <c r="A1018" s="3">
        <f ca="1">IFERROR(__xludf.UNSUPPORTED("""COMPUTED_VALUE"""),44939.6666666666)</f>
        <v>44939.666666666599</v>
      </c>
      <c r="B1018" s="1">
        <f ca="1">IFERROR(__xludf.UNSUPPORTED("""COMPUTED_VALUE"""),35.23)</f>
        <v>35.229999999999997</v>
      </c>
      <c r="C1018" s="2">
        <f t="shared" ca="1" si="3"/>
        <v>2.2048157818392748E-2</v>
      </c>
    </row>
    <row r="1019" spans="1:3">
      <c r="A1019" s="3">
        <f ca="1">IFERROR(__xludf.UNSUPPORTED("""COMPUTED_VALUE"""),44943.6666666666)</f>
        <v>44943.666666666599</v>
      </c>
      <c r="B1019" s="1">
        <f ca="1">IFERROR(__xludf.UNSUPPORTED("""COMPUTED_VALUE"""),34.52)</f>
        <v>34.520000000000003</v>
      </c>
      <c r="C1019" s="2">
        <f t="shared" ca="1" si="3"/>
        <v>-2.0153278455861307E-2</v>
      </c>
    </row>
    <row r="1020" spans="1:3">
      <c r="A1020" s="3">
        <f ca="1">IFERROR(__xludf.UNSUPPORTED("""COMPUTED_VALUE"""),44944.6666666666)</f>
        <v>44944.666666666599</v>
      </c>
      <c r="B1020" s="1">
        <f ca="1">IFERROR(__xludf.UNSUPPORTED("""COMPUTED_VALUE"""),33.72)</f>
        <v>33.72</v>
      </c>
      <c r="C1020" s="2">
        <f t="shared" ca="1" si="3"/>
        <v>-2.3174971031286334E-2</v>
      </c>
    </row>
    <row r="1021" spans="1:3">
      <c r="A1021" s="3">
        <f ca="1">IFERROR(__xludf.UNSUPPORTED("""COMPUTED_VALUE"""),44945.6666666666)</f>
        <v>44945.666666666599</v>
      </c>
      <c r="B1021" s="1">
        <f ca="1">IFERROR(__xludf.UNSUPPORTED("""COMPUTED_VALUE"""),33.23)</f>
        <v>33.229999999999997</v>
      </c>
      <c r="C1021" s="2">
        <f t="shared" ca="1" si="3"/>
        <v>-1.4531435349940747E-2</v>
      </c>
    </row>
    <row r="1022" spans="1:3">
      <c r="A1022" s="3">
        <f ca="1">IFERROR(__xludf.UNSUPPORTED("""COMPUTED_VALUE"""),44946.6666666666)</f>
        <v>44946.666666666599</v>
      </c>
      <c r="B1022" s="1">
        <f ca="1">IFERROR(__xludf.UNSUPPORTED("""COMPUTED_VALUE"""),33.85)</f>
        <v>33.85</v>
      </c>
      <c r="C1022" s="2">
        <f t="shared" ca="1" si="3"/>
        <v>1.865783930183583E-2</v>
      </c>
    </row>
    <row r="1023" spans="1:3">
      <c r="A1023" s="3">
        <f ca="1">IFERROR(__xludf.UNSUPPORTED("""COMPUTED_VALUE"""),44949.6666666666)</f>
        <v>44949.666666666599</v>
      </c>
      <c r="B1023" s="1">
        <f ca="1">IFERROR(__xludf.UNSUPPORTED("""COMPUTED_VALUE"""),34.32)</f>
        <v>34.32</v>
      </c>
      <c r="C1023" s="2">
        <f t="shared" ref="C1023:C1277" ca="1" si="4">(B1023-B1022)/B1022</f>
        <v>1.3884785819793171E-2</v>
      </c>
    </row>
    <row r="1024" spans="1:3">
      <c r="A1024" s="3">
        <f ca="1">IFERROR(__xludf.UNSUPPORTED("""COMPUTED_VALUE"""),44950.6666666666)</f>
        <v>44950.666666666599</v>
      </c>
      <c r="B1024" s="1">
        <f ca="1">IFERROR(__xludf.UNSUPPORTED("""COMPUTED_VALUE"""),34.57)</f>
        <v>34.57</v>
      </c>
      <c r="C1024" s="2">
        <f t="shared" ca="1" si="4"/>
        <v>7.2843822843822841E-3</v>
      </c>
    </row>
    <row r="1025" spans="1:3">
      <c r="A1025" s="3">
        <f ca="1">IFERROR(__xludf.UNSUPPORTED("""COMPUTED_VALUE"""),44951.6666666666)</f>
        <v>44951.666666666599</v>
      </c>
      <c r="B1025" s="1">
        <f ca="1">IFERROR(__xludf.UNSUPPORTED("""COMPUTED_VALUE"""),34.87)</f>
        <v>34.869999999999997</v>
      </c>
      <c r="C1025" s="2">
        <f t="shared" ca="1" si="4"/>
        <v>8.6780445472952605E-3</v>
      </c>
    </row>
    <row r="1026" spans="1:3">
      <c r="A1026" s="3">
        <f ca="1">IFERROR(__xludf.UNSUPPORTED("""COMPUTED_VALUE"""),44952.6666666666)</f>
        <v>44952.666666666599</v>
      </c>
      <c r="B1026" s="1">
        <f ca="1">IFERROR(__xludf.UNSUPPORTED("""COMPUTED_VALUE"""),35.34)</f>
        <v>35.340000000000003</v>
      </c>
      <c r="C1026" s="2">
        <f t="shared" ca="1" si="4"/>
        <v>1.3478634929739202E-2</v>
      </c>
    </row>
    <row r="1027" spans="1:3">
      <c r="A1027" s="3">
        <f ca="1">IFERROR(__xludf.UNSUPPORTED("""COMPUTED_VALUE"""),44953.6666666666)</f>
        <v>44953.666666666599</v>
      </c>
      <c r="B1027" s="1">
        <f ca="1">IFERROR(__xludf.UNSUPPORTED("""COMPUTED_VALUE"""),35.45)</f>
        <v>35.450000000000003</v>
      </c>
      <c r="C1027" s="2">
        <f t="shared" ca="1" si="4"/>
        <v>3.1126202603282234E-3</v>
      </c>
    </row>
    <row r="1028" spans="1:3">
      <c r="A1028" s="3">
        <f ca="1">IFERROR(__xludf.UNSUPPORTED("""COMPUTED_VALUE"""),44956.6666666666)</f>
        <v>44956.666666666599</v>
      </c>
      <c r="B1028" s="1">
        <f ca="1">IFERROR(__xludf.UNSUPPORTED("""COMPUTED_VALUE"""),35.3)</f>
        <v>35.299999999999997</v>
      </c>
      <c r="C1028" s="2">
        <f t="shared" ca="1" si="4"/>
        <v>-4.231311706629215E-3</v>
      </c>
    </row>
    <row r="1029" spans="1:3">
      <c r="A1029" s="3">
        <f ca="1">IFERROR(__xludf.UNSUPPORTED("""COMPUTED_VALUE"""),44957.6666666666)</f>
        <v>44957.666666666599</v>
      </c>
      <c r="B1029" s="1">
        <f ca="1">IFERROR(__xludf.UNSUPPORTED("""COMPUTED_VALUE"""),35.48)</f>
        <v>35.479999999999997</v>
      </c>
      <c r="C1029" s="2">
        <f t="shared" ca="1" si="4"/>
        <v>5.0991501416430517E-3</v>
      </c>
    </row>
    <row r="1030" spans="1:3">
      <c r="A1030" s="3">
        <f ca="1">IFERROR(__xludf.UNSUPPORTED("""COMPUTED_VALUE"""),44958.6666666666)</f>
        <v>44958.666666666599</v>
      </c>
      <c r="B1030" s="1">
        <f ca="1">IFERROR(__xludf.UNSUPPORTED("""COMPUTED_VALUE"""),35.92)</f>
        <v>35.92</v>
      </c>
      <c r="C1030" s="2">
        <f t="shared" ca="1" si="4"/>
        <v>1.2401352874859212E-2</v>
      </c>
    </row>
    <row r="1031" spans="1:3">
      <c r="A1031" s="3">
        <f ca="1">IFERROR(__xludf.UNSUPPORTED("""COMPUTED_VALUE"""),44959.6666666666)</f>
        <v>44959.666666666599</v>
      </c>
      <c r="B1031" s="1">
        <f ca="1">IFERROR(__xludf.UNSUPPORTED("""COMPUTED_VALUE"""),36.13)</f>
        <v>36.130000000000003</v>
      </c>
      <c r="C1031" s="2">
        <f t="shared" ca="1" si="4"/>
        <v>5.8463251670378856E-3</v>
      </c>
    </row>
    <row r="1032" spans="1:3">
      <c r="A1032" s="3">
        <f ca="1">IFERROR(__xludf.UNSUPPORTED("""COMPUTED_VALUE"""),44960.6666666666)</f>
        <v>44960.666666666599</v>
      </c>
      <c r="B1032" s="1">
        <f ca="1">IFERROR(__xludf.UNSUPPORTED("""COMPUTED_VALUE"""),36.43)</f>
        <v>36.43</v>
      </c>
      <c r="C1032" s="2">
        <f t="shared" ca="1" si="4"/>
        <v>8.3033490174369545E-3</v>
      </c>
    </row>
    <row r="1033" spans="1:3">
      <c r="A1033" s="3">
        <f ca="1">IFERROR(__xludf.UNSUPPORTED("""COMPUTED_VALUE"""),44963.6666666666)</f>
        <v>44963.666666666599</v>
      </c>
      <c r="B1033" s="1">
        <f ca="1">IFERROR(__xludf.UNSUPPORTED("""COMPUTED_VALUE"""),36.37)</f>
        <v>36.369999999999997</v>
      </c>
      <c r="C1033" s="2">
        <f t="shared" ca="1" si="4"/>
        <v>-1.646994235520238E-3</v>
      </c>
    </row>
    <row r="1034" spans="1:3">
      <c r="A1034" s="3">
        <f ca="1">IFERROR(__xludf.UNSUPPORTED("""COMPUTED_VALUE"""),44964.6666666666)</f>
        <v>44964.666666666599</v>
      </c>
      <c r="B1034" s="1">
        <f ca="1">IFERROR(__xludf.UNSUPPORTED("""COMPUTED_VALUE"""),36.77)</f>
        <v>36.770000000000003</v>
      </c>
      <c r="C1034" s="2">
        <f t="shared" ca="1" si="4"/>
        <v>1.0998075336816215E-2</v>
      </c>
    </row>
    <row r="1035" spans="1:3">
      <c r="A1035" s="3">
        <f ca="1">IFERROR(__xludf.UNSUPPORTED("""COMPUTED_VALUE"""),44965.6666666666)</f>
        <v>44965.666666666599</v>
      </c>
      <c r="B1035" s="1">
        <f ca="1">IFERROR(__xludf.UNSUPPORTED("""COMPUTED_VALUE"""),36.5)</f>
        <v>36.5</v>
      </c>
      <c r="C1035" s="2">
        <f t="shared" ca="1" si="4"/>
        <v>-7.3429426162633423E-3</v>
      </c>
    </row>
    <row r="1036" spans="1:3">
      <c r="A1036" s="3">
        <f ca="1">IFERROR(__xludf.UNSUPPORTED("""COMPUTED_VALUE"""),44966.6666666666)</f>
        <v>44966.666666666599</v>
      </c>
      <c r="B1036" s="1">
        <f ca="1">IFERROR(__xludf.UNSUPPORTED("""COMPUTED_VALUE"""),35.72)</f>
        <v>35.72</v>
      </c>
      <c r="C1036" s="2">
        <f t="shared" ca="1" si="4"/>
        <v>-2.136986301369866E-2</v>
      </c>
    </row>
    <row r="1037" spans="1:3">
      <c r="A1037" s="3">
        <f ca="1">IFERROR(__xludf.UNSUPPORTED("""COMPUTED_VALUE"""),44967.6666666666)</f>
        <v>44967.666666666599</v>
      </c>
      <c r="B1037" s="1">
        <f ca="1">IFERROR(__xludf.UNSUPPORTED("""COMPUTED_VALUE"""),35.58)</f>
        <v>35.58</v>
      </c>
      <c r="C1037" s="2">
        <f t="shared" ca="1" si="4"/>
        <v>-3.919372900335962E-3</v>
      </c>
    </row>
    <row r="1038" spans="1:3">
      <c r="A1038" s="3">
        <f ca="1">IFERROR(__xludf.UNSUPPORTED("""COMPUTED_VALUE"""),44970.6666666666)</f>
        <v>44970.666666666599</v>
      </c>
      <c r="B1038" s="1">
        <f ca="1">IFERROR(__xludf.UNSUPPORTED("""COMPUTED_VALUE"""),35.65)</f>
        <v>35.65</v>
      </c>
      <c r="C1038" s="2">
        <f t="shared" ca="1" si="4"/>
        <v>1.9673974142776921E-3</v>
      </c>
    </row>
    <row r="1039" spans="1:3">
      <c r="A1039" s="3">
        <f ca="1">IFERROR(__xludf.UNSUPPORTED("""COMPUTED_VALUE"""),44971.6666666666)</f>
        <v>44971.666666666599</v>
      </c>
      <c r="B1039" s="1">
        <f ca="1">IFERROR(__xludf.UNSUPPORTED("""COMPUTED_VALUE"""),35.62)</f>
        <v>35.619999999999997</v>
      </c>
      <c r="C1039" s="2">
        <f t="shared" ca="1" si="4"/>
        <v>-8.415147265077458E-4</v>
      </c>
    </row>
    <row r="1040" spans="1:3">
      <c r="A1040" s="3">
        <f ca="1">IFERROR(__xludf.UNSUPPORTED("""COMPUTED_VALUE"""),44972.6666666666)</f>
        <v>44972.666666666599</v>
      </c>
      <c r="B1040" s="1">
        <f ca="1">IFERROR(__xludf.UNSUPPORTED("""COMPUTED_VALUE"""),35.56)</f>
        <v>35.56</v>
      </c>
      <c r="C1040" s="2">
        <f t="shared" ca="1" si="4"/>
        <v>-1.684446939921257E-3</v>
      </c>
    </row>
    <row r="1041" spans="1:3">
      <c r="A1041" s="3">
        <f ca="1">IFERROR(__xludf.UNSUPPORTED("""COMPUTED_VALUE"""),44973.6666666666)</f>
        <v>44973.666666666599</v>
      </c>
      <c r="B1041" s="1">
        <f ca="1">IFERROR(__xludf.UNSUPPORTED("""COMPUTED_VALUE"""),35.28)</f>
        <v>35.28</v>
      </c>
      <c r="C1041" s="2">
        <f t="shared" ca="1" si="4"/>
        <v>-7.8740157480315272E-3</v>
      </c>
    </row>
    <row r="1042" spans="1:3">
      <c r="A1042" s="3">
        <f ca="1">IFERROR(__xludf.UNSUPPORTED("""COMPUTED_VALUE"""),44974.6666666666)</f>
        <v>44974.666666666599</v>
      </c>
      <c r="B1042" s="1">
        <f ca="1">IFERROR(__xludf.UNSUPPORTED("""COMPUTED_VALUE"""),35.35)</f>
        <v>35.35</v>
      </c>
      <c r="C1042" s="2">
        <f t="shared" ca="1" si="4"/>
        <v>1.9841269841269923E-3</v>
      </c>
    </row>
    <row r="1043" spans="1:3">
      <c r="A1043" s="3">
        <f ca="1">IFERROR(__xludf.UNSUPPORTED("""COMPUTED_VALUE"""),44978.6666666666)</f>
        <v>44978.666666666599</v>
      </c>
      <c r="B1043" s="1">
        <f ca="1">IFERROR(__xludf.UNSUPPORTED("""COMPUTED_VALUE"""),34.52)</f>
        <v>34.520000000000003</v>
      </c>
      <c r="C1043" s="2">
        <f t="shared" ca="1" si="4"/>
        <v>-2.347949080622343E-2</v>
      </c>
    </row>
    <row r="1044" spans="1:3">
      <c r="A1044" s="3">
        <f ca="1">IFERROR(__xludf.UNSUPPORTED("""COMPUTED_VALUE"""),44979.6666666666)</f>
        <v>44979.666666666599</v>
      </c>
      <c r="B1044" s="1">
        <f ca="1">IFERROR(__xludf.UNSUPPORTED("""COMPUTED_VALUE"""),34.29)</f>
        <v>34.29</v>
      </c>
      <c r="C1044" s="2">
        <f t="shared" ca="1" si="4"/>
        <v>-6.6628041714949003E-3</v>
      </c>
    </row>
    <row r="1045" spans="1:3">
      <c r="A1045" s="3">
        <f ca="1">IFERROR(__xludf.UNSUPPORTED("""COMPUTED_VALUE"""),44980.6666666666)</f>
        <v>44980.666666666599</v>
      </c>
      <c r="B1045" s="1">
        <f ca="1">IFERROR(__xludf.UNSUPPORTED("""COMPUTED_VALUE"""),34.26)</f>
        <v>34.26</v>
      </c>
      <c r="C1045" s="2">
        <f t="shared" ca="1" si="4"/>
        <v>-8.7489063867019943E-4</v>
      </c>
    </row>
    <row r="1046" spans="1:3">
      <c r="A1046" s="3">
        <f ca="1">IFERROR(__xludf.UNSUPPORTED("""COMPUTED_VALUE"""),44981.6666666666)</f>
        <v>44981.666666666599</v>
      </c>
      <c r="B1046" s="1">
        <f ca="1">IFERROR(__xludf.UNSUPPORTED("""COMPUTED_VALUE"""),34.21)</f>
        <v>34.21</v>
      </c>
      <c r="C1046" s="2">
        <f t="shared" ca="1" si="4"/>
        <v>-1.4594279042614467E-3</v>
      </c>
    </row>
    <row r="1047" spans="1:3">
      <c r="A1047" s="3">
        <f ca="1">IFERROR(__xludf.UNSUPPORTED("""COMPUTED_VALUE"""),44984.6666666666)</f>
        <v>44984.666666666599</v>
      </c>
      <c r="B1047" s="1">
        <f ca="1">IFERROR(__xludf.UNSUPPORTED("""COMPUTED_VALUE"""),34.21)</f>
        <v>34.21</v>
      </c>
      <c r="C1047" s="2">
        <f t="shared" ca="1" si="4"/>
        <v>0</v>
      </c>
    </row>
    <row r="1048" spans="1:3">
      <c r="A1048" s="3">
        <f ca="1">IFERROR(__xludf.UNSUPPORTED("""COMPUTED_VALUE"""),44985.6666666666)</f>
        <v>44985.666666666599</v>
      </c>
      <c r="B1048" s="1">
        <f ca="1">IFERROR(__xludf.UNSUPPORTED("""COMPUTED_VALUE"""),34.3)</f>
        <v>34.299999999999997</v>
      </c>
      <c r="C1048" s="2">
        <f t="shared" ca="1" si="4"/>
        <v>2.6308097047645805E-3</v>
      </c>
    </row>
    <row r="1049" spans="1:3">
      <c r="A1049" s="3">
        <f ca="1">IFERROR(__xludf.UNSUPPORTED("""COMPUTED_VALUE"""),44986.6666666666)</f>
        <v>44986.666666666599</v>
      </c>
      <c r="B1049" s="1">
        <f ca="1">IFERROR(__xludf.UNSUPPORTED("""COMPUTED_VALUE"""),34.14)</f>
        <v>34.14</v>
      </c>
      <c r="C1049" s="2">
        <f t="shared" ca="1" si="4"/>
        <v>-4.6647230320698719E-3</v>
      </c>
    </row>
    <row r="1050" spans="1:3">
      <c r="A1050" s="3">
        <f ca="1">IFERROR(__xludf.UNSUPPORTED("""COMPUTED_VALUE"""),44987.6666666666)</f>
        <v>44987.666666666599</v>
      </c>
      <c r="B1050" s="1">
        <f ca="1">IFERROR(__xludf.UNSUPPORTED("""COMPUTED_VALUE"""),33.49)</f>
        <v>33.49</v>
      </c>
      <c r="C1050" s="2">
        <f t="shared" ca="1" si="4"/>
        <v>-1.903925014645573E-2</v>
      </c>
    </row>
    <row r="1051" spans="1:3">
      <c r="A1051" s="3">
        <f ca="1">IFERROR(__xludf.UNSUPPORTED("""COMPUTED_VALUE"""),44988.6666666666)</f>
        <v>44988.666666666599</v>
      </c>
      <c r="B1051" s="1">
        <f ca="1">IFERROR(__xludf.UNSUPPORTED("""COMPUTED_VALUE"""),34.16)</f>
        <v>34.159999999999997</v>
      </c>
      <c r="C1051" s="2">
        <f t="shared" ca="1" si="4"/>
        <v>2.0005971931919813E-2</v>
      </c>
    </row>
    <row r="1052" spans="1:3">
      <c r="A1052" s="3">
        <f ca="1">IFERROR(__xludf.UNSUPPORTED("""COMPUTED_VALUE"""),44991.6666666666)</f>
        <v>44991.666666666599</v>
      </c>
      <c r="B1052" s="1">
        <f ca="1">IFERROR(__xludf.UNSUPPORTED("""COMPUTED_VALUE"""),34.09)</f>
        <v>34.090000000000003</v>
      </c>
      <c r="C1052" s="2">
        <f t="shared" ca="1" si="4"/>
        <v>-2.0491803278686531E-3</v>
      </c>
    </row>
    <row r="1053" spans="1:3">
      <c r="A1053" s="3">
        <f ca="1">IFERROR(__xludf.UNSUPPORTED("""COMPUTED_VALUE"""),44992.6666666666)</f>
        <v>44992.666666666599</v>
      </c>
      <c r="B1053" s="1">
        <f ca="1">IFERROR(__xludf.UNSUPPORTED("""COMPUTED_VALUE"""),33)</f>
        <v>33</v>
      </c>
      <c r="C1053" s="2">
        <f t="shared" ca="1" si="4"/>
        <v>-3.1974185978292852E-2</v>
      </c>
    </row>
    <row r="1054" spans="1:3">
      <c r="A1054" s="3">
        <f ca="1">IFERROR(__xludf.UNSUPPORTED("""COMPUTED_VALUE"""),44993.6666666666)</f>
        <v>44993.666666666599</v>
      </c>
      <c r="B1054" s="1">
        <f ca="1">IFERROR(__xludf.UNSUPPORTED("""COMPUTED_VALUE"""),32.56)</f>
        <v>32.56</v>
      </c>
      <c r="C1054" s="2">
        <f t="shared" ca="1" si="4"/>
        <v>-1.3333333333333265E-2</v>
      </c>
    </row>
    <row r="1055" spans="1:3">
      <c r="A1055" s="3">
        <f ca="1">IFERROR(__xludf.UNSUPPORTED("""COMPUTED_VALUE"""),44994.6666666666)</f>
        <v>44994.666666666599</v>
      </c>
      <c r="B1055" s="1">
        <f ca="1">IFERROR(__xludf.UNSUPPORTED("""COMPUTED_VALUE"""),30.54)</f>
        <v>30.54</v>
      </c>
      <c r="C1055" s="2">
        <f t="shared" ca="1" si="4"/>
        <v>-6.2039312039312129E-2</v>
      </c>
    </row>
    <row r="1056" spans="1:3">
      <c r="A1056" s="3">
        <f ca="1">IFERROR(__xludf.UNSUPPORTED("""COMPUTED_VALUE"""),44995.6666666666)</f>
        <v>44995.666666666599</v>
      </c>
      <c r="B1056" s="1">
        <f ca="1">IFERROR(__xludf.UNSUPPORTED("""COMPUTED_VALUE"""),30.27)</f>
        <v>30.27</v>
      </c>
      <c r="C1056" s="2">
        <f t="shared" ca="1" si="4"/>
        <v>-8.8408644400785712E-3</v>
      </c>
    </row>
    <row r="1057" spans="1:3">
      <c r="A1057" s="3">
        <f ca="1">IFERROR(__xludf.UNSUPPORTED("""COMPUTED_VALUE"""),44998.6666666666)</f>
        <v>44998.666666666599</v>
      </c>
      <c r="B1057" s="1">
        <f ca="1">IFERROR(__xludf.UNSUPPORTED("""COMPUTED_VALUE"""),28.51)</f>
        <v>28.51</v>
      </c>
      <c r="C1057" s="2">
        <f t="shared" ca="1" si="4"/>
        <v>-5.8143376280145292E-2</v>
      </c>
    </row>
    <row r="1058" spans="1:3">
      <c r="A1058" s="3">
        <f ca="1">IFERROR(__xludf.UNSUPPORTED("""COMPUTED_VALUE"""),44999.6666666666)</f>
        <v>44999.666666666599</v>
      </c>
      <c r="B1058" s="1">
        <f ca="1">IFERROR(__xludf.UNSUPPORTED("""COMPUTED_VALUE"""),28.76)</f>
        <v>28.76</v>
      </c>
      <c r="C1058" s="2">
        <f t="shared" ca="1" si="4"/>
        <v>8.7688530340231489E-3</v>
      </c>
    </row>
    <row r="1059" spans="1:3">
      <c r="A1059" s="3">
        <f ca="1">IFERROR(__xludf.UNSUPPORTED("""COMPUTED_VALUE"""),45000.6666666666)</f>
        <v>45000.666666666599</v>
      </c>
      <c r="B1059" s="1">
        <f ca="1">IFERROR(__xludf.UNSUPPORTED("""COMPUTED_VALUE"""),28.49)</f>
        <v>28.49</v>
      </c>
      <c r="C1059" s="2">
        <f t="shared" ca="1" si="4"/>
        <v>-9.3880389429764639E-3</v>
      </c>
    </row>
    <row r="1060" spans="1:3">
      <c r="A1060" s="3">
        <f ca="1">IFERROR(__xludf.UNSUPPORTED("""COMPUTED_VALUE"""),45001.6666666666)</f>
        <v>45001.666666666599</v>
      </c>
      <c r="B1060" s="1">
        <f ca="1">IFERROR(__xludf.UNSUPPORTED("""COMPUTED_VALUE"""),28.97)</f>
        <v>28.97</v>
      </c>
      <c r="C1060" s="2">
        <f t="shared" ca="1" si="4"/>
        <v>1.6848016848016865E-2</v>
      </c>
    </row>
    <row r="1061" spans="1:3">
      <c r="A1061" s="3">
        <f ca="1">IFERROR(__xludf.UNSUPPORTED("""COMPUTED_VALUE"""),45002.6666666666)</f>
        <v>45002.666666666599</v>
      </c>
      <c r="B1061" s="1">
        <f ca="1">IFERROR(__xludf.UNSUPPORTED("""COMPUTED_VALUE"""),27.82)</f>
        <v>27.82</v>
      </c>
      <c r="C1061" s="2">
        <f t="shared" ca="1" si="4"/>
        <v>-3.969623748705553E-2</v>
      </c>
    </row>
    <row r="1062" spans="1:3">
      <c r="A1062" s="3">
        <f ca="1">IFERROR(__xludf.UNSUPPORTED("""COMPUTED_VALUE"""),45005.6666666666)</f>
        <v>45005.666666666599</v>
      </c>
      <c r="B1062" s="1">
        <f ca="1">IFERROR(__xludf.UNSUPPORTED("""COMPUTED_VALUE"""),27.75)</f>
        <v>27.75</v>
      </c>
      <c r="C1062" s="2">
        <f t="shared" ca="1" si="4"/>
        <v>-2.5161754133716852E-3</v>
      </c>
    </row>
    <row r="1063" spans="1:3">
      <c r="A1063" s="3">
        <f ca="1">IFERROR(__xludf.UNSUPPORTED("""COMPUTED_VALUE"""),45006.6666666666)</f>
        <v>45006.666666666599</v>
      </c>
      <c r="B1063" s="1">
        <f ca="1">IFERROR(__xludf.UNSUPPORTED("""COMPUTED_VALUE"""),28.59)</f>
        <v>28.59</v>
      </c>
      <c r="C1063" s="2">
        <f t="shared" ca="1" si="4"/>
        <v>3.0270270270270266E-2</v>
      </c>
    </row>
    <row r="1064" spans="1:3">
      <c r="A1064" s="3">
        <f ca="1">IFERROR(__xludf.UNSUPPORTED("""COMPUTED_VALUE"""),45007.6666666666)</f>
        <v>45007.666666666599</v>
      </c>
      <c r="B1064" s="1">
        <f ca="1">IFERROR(__xludf.UNSUPPORTED("""COMPUTED_VALUE"""),27.64)</f>
        <v>27.64</v>
      </c>
      <c r="C1064" s="2">
        <f t="shared" ca="1" si="4"/>
        <v>-3.3228401538999627E-2</v>
      </c>
    </row>
    <row r="1065" spans="1:3">
      <c r="A1065" s="3">
        <f ca="1">IFERROR(__xludf.UNSUPPORTED("""COMPUTED_VALUE"""),45008.6666666666)</f>
        <v>45008.666666666599</v>
      </c>
      <c r="B1065" s="1">
        <f ca="1">IFERROR(__xludf.UNSUPPORTED("""COMPUTED_VALUE"""),26.97)</f>
        <v>26.97</v>
      </c>
      <c r="C1065" s="2">
        <f t="shared" ca="1" si="4"/>
        <v>-2.4240231548480526E-2</v>
      </c>
    </row>
    <row r="1066" spans="1:3">
      <c r="A1066" s="3">
        <f ca="1">IFERROR(__xludf.UNSUPPORTED("""COMPUTED_VALUE"""),45009.6666666666)</f>
        <v>45009.666666666599</v>
      </c>
      <c r="B1066" s="1">
        <f ca="1">IFERROR(__xludf.UNSUPPORTED("""COMPUTED_VALUE"""),27.14)</f>
        <v>27.14</v>
      </c>
      <c r="C1066" s="2">
        <f t="shared" ca="1" si="4"/>
        <v>6.3032999629218283E-3</v>
      </c>
    </row>
    <row r="1067" spans="1:3">
      <c r="A1067" s="3">
        <f ca="1">IFERROR(__xludf.UNSUPPORTED("""COMPUTED_VALUE"""),45012.6666666666)</f>
        <v>45012.666666666599</v>
      </c>
      <c r="B1067" s="1">
        <f ca="1">IFERROR(__xludf.UNSUPPORTED("""COMPUTED_VALUE"""),28.49)</f>
        <v>28.49</v>
      </c>
      <c r="C1067" s="2">
        <f t="shared" ca="1" si="4"/>
        <v>4.9742078113485549E-2</v>
      </c>
    </row>
    <row r="1068" spans="1:3">
      <c r="A1068" s="3">
        <f ca="1">IFERROR(__xludf.UNSUPPORTED("""COMPUTED_VALUE"""),45013.6666666666)</f>
        <v>45013.666666666599</v>
      </c>
      <c r="B1068" s="1">
        <f ca="1">IFERROR(__xludf.UNSUPPORTED("""COMPUTED_VALUE"""),28.12)</f>
        <v>28.12</v>
      </c>
      <c r="C1068" s="2">
        <f t="shared" ca="1" si="4"/>
        <v>-1.2987012987012898E-2</v>
      </c>
    </row>
    <row r="1069" spans="1:3">
      <c r="A1069" s="3">
        <f ca="1">IFERROR(__xludf.UNSUPPORTED("""COMPUTED_VALUE"""),45014.6666666666)</f>
        <v>45014.666666666599</v>
      </c>
      <c r="B1069" s="1">
        <f ca="1">IFERROR(__xludf.UNSUPPORTED("""COMPUTED_VALUE"""),28.67)</f>
        <v>28.67</v>
      </c>
      <c r="C1069" s="2">
        <f t="shared" ca="1" si="4"/>
        <v>1.955903271692748E-2</v>
      </c>
    </row>
    <row r="1070" spans="1:3">
      <c r="A1070" s="3">
        <f ca="1">IFERROR(__xludf.UNSUPPORTED("""COMPUTED_VALUE"""),45015.6666666666)</f>
        <v>45015.666666666599</v>
      </c>
      <c r="B1070" s="1">
        <f ca="1">IFERROR(__xludf.UNSUPPORTED("""COMPUTED_VALUE"""),28.3)</f>
        <v>28.3</v>
      </c>
      <c r="C1070" s="2">
        <f t="shared" ca="1" si="4"/>
        <v>-1.2905476107429403E-2</v>
      </c>
    </row>
    <row r="1071" spans="1:3">
      <c r="A1071" s="3">
        <f ca="1">IFERROR(__xludf.UNSUPPORTED("""COMPUTED_VALUE"""),45016.6666666666)</f>
        <v>45016.666666666599</v>
      </c>
      <c r="B1071" s="1">
        <f ca="1">IFERROR(__xludf.UNSUPPORTED("""COMPUTED_VALUE"""),28.6)</f>
        <v>28.6</v>
      </c>
      <c r="C1071" s="2">
        <f t="shared" ca="1" si="4"/>
        <v>1.0600706713780944E-2</v>
      </c>
    </row>
    <row r="1072" spans="1:3">
      <c r="A1072" s="3">
        <f ca="1">IFERROR(__xludf.UNSUPPORTED("""COMPUTED_VALUE"""),45019.6666666666)</f>
        <v>45019.666666666599</v>
      </c>
      <c r="B1072" s="1">
        <f ca="1">IFERROR(__xludf.UNSUPPORTED("""COMPUTED_VALUE"""),28.59)</f>
        <v>28.59</v>
      </c>
      <c r="C1072" s="2">
        <f t="shared" ca="1" si="4"/>
        <v>-3.4965034965040429E-4</v>
      </c>
    </row>
    <row r="1073" spans="1:3">
      <c r="A1073" s="3">
        <f ca="1">IFERROR(__xludf.UNSUPPORTED("""COMPUTED_VALUE"""),45020.6666666666)</f>
        <v>45020.666666666599</v>
      </c>
      <c r="B1073" s="1">
        <f ca="1">IFERROR(__xludf.UNSUPPORTED("""COMPUTED_VALUE"""),27.98)</f>
        <v>27.98</v>
      </c>
      <c r="C1073" s="2">
        <f t="shared" ca="1" si="4"/>
        <v>-2.1336131514515546E-2</v>
      </c>
    </row>
    <row r="1074" spans="1:3">
      <c r="A1074" s="3">
        <f ca="1">IFERROR(__xludf.UNSUPPORTED("""COMPUTED_VALUE"""),45021.6666666666)</f>
        <v>45021.666666666599</v>
      </c>
      <c r="B1074" s="1">
        <f ca="1">IFERROR(__xludf.UNSUPPORTED("""COMPUTED_VALUE"""),27.64)</f>
        <v>27.64</v>
      </c>
      <c r="C1074" s="2">
        <f t="shared" ca="1" si="4"/>
        <v>-1.2151536812008572E-2</v>
      </c>
    </row>
    <row r="1075" spans="1:3">
      <c r="A1075" s="3">
        <f ca="1">IFERROR(__xludf.UNSUPPORTED("""COMPUTED_VALUE"""),45022.6666666666)</f>
        <v>45022.666666666599</v>
      </c>
      <c r="B1075" s="1">
        <f ca="1">IFERROR(__xludf.UNSUPPORTED("""COMPUTED_VALUE"""),27.84)</f>
        <v>27.84</v>
      </c>
      <c r="C1075" s="2">
        <f t="shared" ca="1" si="4"/>
        <v>7.2358900144717546E-3</v>
      </c>
    </row>
    <row r="1076" spans="1:3">
      <c r="A1076" s="3">
        <f ca="1">IFERROR(__xludf.UNSUPPORTED("""COMPUTED_VALUE"""),45026.6666666666)</f>
        <v>45026.666666666599</v>
      </c>
      <c r="B1076" s="1">
        <f ca="1">IFERROR(__xludf.UNSUPPORTED("""COMPUTED_VALUE"""),27.94)</f>
        <v>27.94</v>
      </c>
      <c r="C1076" s="2">
        <f t="shared" ca="1" si="4"/>
        <v>3.5919540229885569E-3</v>
      </c>
    </row>
    <row r="1077" spans="1:3">
      <c r="A1077" s="3">
        <f ca="1">IFERROR(__xludf.UNSUPPORTED("""COMPUTED_VALUE"""),45027.6666666666)</f>
        <v>45027.666666666599</v>
      </c>
      <c r="B1077" s="1">
        <f ca="1">IFERROR(__xludf.UNSUPPORTED("""COMPUTED_VALUE"""),28.71)</f>
        <v>28.71</v>
      </c>
      <c r="C1077" s="2">
        <f t="shared" ca="1" si="4"/>
        <v>2.7559055118110218E-2</v>
      </c>
    </row>
    <row r="1078" spans="1:3">
      <c r="A1078" s="3">
        <f ca="1">IFERROR(__xludf.UNSUPPORTED("""COMPUTED_VALUE"""),45028.6666666666)</f>
        <v>45028.666666666599</v>
      </c>
      <c r="B1078" s="1">
        <f ca="1">IFERROR(__xludf.UNSUPPORTED("""COMPUTED_VALUE"""),28.48)</f>
        <v>28.48</v>
      </c>
      <c r="C1078" s="2">
        <f t="shared" ca="1" si="4"/>
        <v>-8.0111459421804403E-3</v>
      </c>
    </row>
    <row r="1079" spans="1:3">
      <c r="A1079" s="3">
        <f ca="1">IFERROR(__xludf.UNSUPPORTED("""COMPUTED_VALUE"""),45029.6666666666)</f>
        <v>45029.666666666599</v>
      </c>
      <c r="B1079" s="1">
        <f ca="1">IFERROR(__xludf.UNSUPPORTED("""COMPUTED_VALUE"""),28.56)</f>
        <v>28.56</v>
      </c>
      <c r="C1079" s="2">
        <f t="shared" ca="1" si="4"/>
        <v>2.8089887640448839E-3</v>
      </c>
    </row>
    <row r="1080" spans="1:3">
      <c r="A1080" s="3">
        <f ca="1">IFERROR(__xludf.UNSUPPORTED("""COMPUTED_VALUE"""),45030.6666666666)</f>
        <v>45030.666666666599</v>
      </c>
      <c r="B1080" s="1">
        <f ca="1">IFERROR(__xludf.UNSUPPORTED("""COMPUTED_VALUE"""),29.52)</f>
        <v>29.52</v>
      </c>
      <c r="C1080" s="2">
        <f t="shared" ca="1" si="4"/>
        <v>3.3613445378151294E-2</v>
      </c>
    </row>
    <row r="1081" spans="1:3">
      <c r="A1081" s="3">
        <f ca="1">IFERROR(__xludf.UNSUPPORTED("""COMPUTED_VALUE"""),45033.6666666666)</f>
        <v>45033.666666666599</v>
      </c>
      <c r="B1081" s="1">
        <f ca="1">IFERROR(__xludf.UNSUPPORTED("""COMPUTED_VALUE"""),30.37)</f>
        <v>30.37</v>
      </c>
      <c r="C1081" s="2">
        <f t="shared" ca="1" si="4"/>
        <v>2.8794037940379453E-2</v>
      </c>
    </row>
    <row r="1082" spans="1:3">
      <c r="A1082" s="3">
        <f ca="1">IFERROR(__xludf.UNSUPPORTED("""COMPUTED_VALUE"""),45034.6666666666)</f>
        <v>45034.666666666599</v>
      </c>
      <c r="B1082" s="1">
        <f ca="1">IFERROR(__xludf.UNSUPPORTED("""COMPUTED_VALUE"""),30.56)</f>
        <v>30.56</v>
      </c>
      <c r="C1082" s="2">
        <f t="shared" ca="1" si="4"/>
        <v>6.256173855778654E-3</v>
      </c>
    </row>
    <row r="1083" spans="1:3">
      <c r="A1083" s="3">
        <f ca="1">IFERROR(__xludf.UNSUPPORTED("""COMPUTED_VALUE"""),45035.6666666666)</f>
        <v>45035.666666666599</v>
      </c>
      <c r="B1083" s="1">
        <f ca="1">IFERROR(__xludf.UNSUPPORTED("""COMPUTED_VALUE"""),30.06)</f>
        <v>30.06</v>
      </c>
      <c r="C1083" s="2">
        <f t="shared" ca="1" si="4"/>
        <v>-1.6361256544502618E-2</v>
      </c>
    </row>
    <row r="1084" spans="1:3">
      <c r="A1084" s="3">
        <f ca="1">IFERROR(__xludf.UNSUPPORTED("""COMPUTED_VALUE"""),45036.6666666666)</f>
        <v>45036.666666666599</v>
      </c>
      <c r="B1084" s="1">
        <f ca="1">IFERROR(__xludf.UNSUPPORTED("""COMPUTED_VALUE"""),29.9)</f>
        <v>29.9</v>
      </c>
      <c r="C1084" s="2">
        <f t="shared" ca="1" si="4"/>
        <v>-5.3226879574185017E-3</v>
      </c>
    </row>
    <row r="1085" spans="1:3">
      <c r="A1085" s="3">
        <f ca="1">IFERROR(__xludf.UNSUPPORTED("""COMPUTED_VALUE"""),45037.6666666666)</f>
        <v>45037.666666666599</v>
      </c>
      <c r="B1085" s="1">
        <f ca="1">IFERROR(__xludf.UNSUPPORTED("""COMPUTED_VALUE"""),29.87)</f>
        <v>29.87</v>
      </c>
      <c r="C1085" s="2">
        <f t="shared" ca="1" si="4"/>
        <v>-1.0033444816052704E-3</v>
      </c>
    </row>
    <row r="1086" spans="1:3">
      <c r="A1086" s="3">
        <f ca="1">IFERROR(__xludf.UNSUPPORTED("""COMPUTED_VALUE"""),45040.6666666666)</f>
        <v>45040.666666666599</v>
      </c>
      <c r="B1086" s="1">
        <f ca="1">IFERROR(__xludf.UNSUPPORTED("""COMPUTED_VALUE"""),29.76)</f>
        <v>29.76</v>
      </c>
      <c r="C1086" s="2">
        <f t="shared" ca="1" si="4"/>
        <v>-3.6826247070639246E-3</v>
      </c>
    </row>
    <row r="1087" spans="1:3">
      <c r="A1087" s="3">
        <f ca="1">IFERROR(__xludf.UNSUPPORTED("""COMPUTED_VALUE"""),45041.6666666666)</f>
        <v>45041.666666666599</v>
      </c>
      <c r="B1087" s="1">
        <f ca="1">IFERROR(__xludf.UNSUPPORTED("""COMPUTED_VALUE"""),28.84)</f>
        <v>28.84</v>
      </c>
      <c r="C1087" s="2">
        <f t="shared" ca="1" si="4"/>
        <v>-3.0913978494623712E-2</v>
      </c>
    </row>
    <row r="1088" spans="1:3">
      <c r="A1088" s="3">
        <f ca="1">IFERROR(__xludf.UNSUPPORTED("""COMPUTED_VALUE"""),45042.6666666666)</f>
        <v>45042.666666666599</v>
      </c>
      <c r="B1088" s="1">
        <f ca="1">IFERROR(__xludf.UNSUPPORTED("""COMPUTED_VALUE"""),28.44)</f>
        <v>28.44</v>
      </c>
      <c r="C1088" s="2">
        <f t="shared" ca="1" si="4"/>
        <v>-1.3869625520110907E-2</v>
      </c>
    </row>
    <row r="1089" spans="1:3">
      <c r="A1089" s="3">
        <f ca="1">IFERROR(__xludf.UNSUPPORTED("""COMPUTED_VALUE"""),45043.6666666666)</f>
        <v>45043.666666666599</v>
      </c>
      <c r="B1089" s="1">
        <f ca="1">IFERROR(__xludf.UNSUPPORTED("""COMPUTED_VALUE"""),28.89)</f>
        <v>28.89</v>
      </c>
      <c r="C1089" s="2">
        <f t="shared" ca="1" si="4"/>
        <v>1.5822784810126556E-2</v>
      </c>
    </row>
    <row r="1090" spans="1:3">
      <c r="A1090" s="3">
        <f ca="1">IFERROR(__xludf.UNSUPPORTED("""COMPUTED_VALUE"""),45044.6666666666)</f>
        <v>45044.666666666599</v>
      </c>
      <c r="B1090" s="1">
        <f ca="1">IFERROR(__xludf.UNSUPPORTED("""COMPUTED_VALUE"""),29.28)</f>
        <v>29.28</v>
      </c>
      <c r="C1090" s="2">
        <f t="shared" ca="1" si="4"/>
        <v>1.3499480789200435E-2</v>
      </c>
    </row>
    <row r="1091" spans="1:3">
      <c r="A1091" s="3">
        <f ca="1">IFERROR(__xludf.UNSUPPORTED("""COMPUTED_VALUE"""),45047.6666666666)</f>
        <v>45047.666666666599</v>
      </c>
      <c r="B1091" s="1">
        <f ca="1">IFERROR(__xludf.UNSUPPORTED("""COMPUTED_VALUE"""),29.04)</f>
        <v>29.04</v>
      </c>
      <c r="C1091" s="2">
        <f t="shared" ca="1" si="4"/>
        <v>-8.1967213114754779E-3</v>
      </c>
    </row>
    <row r="1092" spans="1:3">
      <c r="A1092" s="3">
        <f ca="1">IFERROR(__xludf.UNSUPPORTED("""COMPUTED_VALUE"""),45048.6666666666)</f>
        <v>45048.666666666599</v>
      </c>
      <c r="B1092" s="1">
        <f ca="1">IFERROR(__xludf.UNSUPPORTED("""COMPUTED_VALUE"""),28.16)</f>
        <v>28.16</v>
      </c>
      <c r="C1092" s="2">
        <f t="shared" ca="1" si="4"/>
        <v>-3.0303030303030269E-2</v>
      </c>
    </row>
    <row r="1093" spans="1:3">
      <c r="A1093" s="3">
        <f ca="1">IFERROR(__xludf.UNSUPPORTED("""COMPUTED_VALUE"""),45049.6666666666)</f>
        <v>45049.666666666599</v>
      </c>
      <c r="B1093" s="1">
        <f ca="1">IFERROR(__xludf.UNSUPPORTED("""COMPUTED_VALUE"""),27.86)</f>
        <v>27.86</v>
      </c>
      <c r="C1093" s="2">
        <f t="shared" ca="1" si="4"/>
        <v>-1.0653409090909116E-2</v>
      </c>
    </row>
    <row r="1094" spans="1:3">
      <c r="A1094" s="3">
        <f ca="1">IFERROR(__xludf.UNSUPPORTED("""COMPUTED_VALUE"""),45050.6666666666)</f>
        <v>45050.666666666599</v>
      </c>
      <c r="B1094" s="1">
        <f ca="1">IFERROR(__xludf.UNSUPPORTED("""COMPUTED_VALUE"""),26.99)</f>
        <v>26.99</v>
      </c>
      <c r="C1094" s="2">
        <f t="shared" ca="1" si="4"/>
        <v>-3.1227566403445838E-2</v>
      </c>
    </row>
    <row r="1095" spans="1:3">
      <c r="A1095" s="3">
        <f ca="1">IFERROR(__xludf.UNSUPPORTED("""COMPUTED_VALUE"""),45051.6666666666)</f>
        <v>45051.666666666599</v>
      </c>
      <c r="B1095" s="1">
        <f ca="1">IFERROR(__xludf.UNSUPPORTED("""COMPUTED_VALUE"""),27.71)</f>
        <v>27.71</v>
      </c>
      <c r="C1095" s="2">
        <f t="shared" ca="1" si="4"/>
        <v>2.667654686921091E-2</v>
      </c>
    </row>
    <row r="1096" spans="1:3">
      <c r="A1096" s="3">
        <f ca="1">IFERROR(__xludf.UNSUPPORTED("""COMPUTED_VALUE"""),45054.6666666666)</f>
        <v>45054.666666666599</v>
      </c>
      <c r="B1096" s="1">
        <f ca="1">IFERROR(__xludf.UNSUPPORTED("""COMPUTED_VALUE"""),27.69)</f>
        <v>27.69</v>
      </c>
      <c r="C1096" s="2">
        <f t="shared" ca="1" si="4"/>
        <v>-7.2176109707685211E-4</v>
      </c>
    </row>
    <row r="1097" spans="1:3">
      <c r="A1097" s="3">
        <f ca="1">IFERROR(__xludf.UNSUPPORTED("""COMPUTED_VALUE"""),45055.6666666666)</f>
        <v>45055.666666666599</v>
      </c>
      <c r="B1097" s="1">
        <f ca="1">IFERROR(__xludf.UNSUPPORTED("""COMPUTED_VALUE"""),27.66)</f>
        <v>27.66</v>
      </c>
      <c r="C1097" s="2">
        <f t="shared" ca="1" si="4"/>
        <v>-1.0834236186349272E-3</v>
      </c>
    </row>
    <row r="1098" spans="1:3">
      <c r="A1098" s="3">
        <f ca="1">IFERROR(__xludf.UNSUPPORTED("""COMPUTED_VALUE"""),45056.6666666666)</f>
        <v>45056.666666666599</v>
      </c>
      <c r="B1098" s="1">
        <f ca="1">IFERROR(__xludf.UNSUPPORTED("""COMPUTED_VALUE"""),27.32)</f>
        <v>27.32</v>
      </c>
      <c r="C1098" s="2">
        <f t="shared" ca="1" si="4"/>
        <v>-1.2292118582791028E-2</v>
      </c>
    </row>
    <row r="1099" spans="1:3">
      <c r="A1099" s="3">
        <f ca="1">IFERROR(__xludf.UNSUPPORTED("""COMPUTED_VALUE"""),45057.6666666666)</f>
        <v>45057.666666666599</v>
      </c>
      <c r="B1099" s="1">
        <f ca="1">IFERROR(__xludf.UNSUPPORTED("""COMPUTED_VALUE"""),27.39)</f>
        <v>27.39</v>
      </c>
      <c r="C1099" s="2">
        <f t="shared" ca="1" si="4"/>
        <v>2.5622254758418846E-3</v>
      </c>
    </row>
    <row r="1100" spans="1:3">
      <c r="A1100" s="3">
        <f ca="1">IFERROR(__xludf.UNSUPPORTED("""COMPUTED_VALUE"""),45058.6666666666)</f>
        <v>45058.666666666599</v>
      </c>
      <c r="B1100" s="1">
        <f ca="1">IFERROR(__xludf.UNSUPPORTED("""COMPUTED_VALUE"""),27.09)</f>
        <v>27.09</v>
      </c>
      <c r="C1100" s="2">
        <f t="shared" ca="1" si="4"/>
        <v>-1.0952902519167605E-2</v>
      </c>
    </row>
    <row r="1101" spans="1:3">
      <c r="A1101" s="3">
        <f ca="1">IFERROR(__xludf.UNSUPPORTED("""COMPUTED_VALUE"""),45061.6666666666)</f>
        <v>45061.666666666599</v>
      </c>
      <c r="B1101" s="1">
        <f ca="1">IFERROR(__xludf.UNSUPPORTED("""COMPUTED_VALUE"""),27.65)</f>
        <v>27.65</v>
      </c>
      <c r="C1101" s="2">
        <f t="shared" ca="1" si="4"/>
        <v>2.067183462532295E-2</v>
      </c>
    </row>
    <row r="1102" spans="1:3">
      <c r="A1102" s="3">
        <f ca="1">IFERROR(__xludf.UNSUPPORTED("""COMPUTED_VALUE"""),45062.6666666666)</f>
        <v>45062.666666666599</v>
      </c>
      <c r="B1102" s="1">
        <f ca="1">IFERROR(__xludf.UNSUPPORTED("""COMPUTED_VALUE"""),27.36)</f>
        <v>27.36</v>
      </c>
      <c r="C1102" s="2">
        <f t="shared" ca="1" si="4"/>
        <v>-1.0488245931283875E-2</v>
      </c>
    </row>
    <row r="1103" spans="1:3">
      <c r="A1103" s="3">
        <f ca="1">IFERROR(__xludf.UNSUPPORTED("""COMPUTED_VALUE"""),45063.6666666666)</f>
        <v>45063.666666666599</v>
      </c>
      <c r="B1103" s="1">
        <f ca="1">IFERROR(__xludf.UNSUPPORTED("""COMPUTED_VALUE"""),28.57)</f>
        <v>28.57</v>
      </c>
      <c r="C1103" s="2">
        <f t="shared" ca="1" si="4"/>
        <v>4.4225146198830438E-2</v>
      </c>
    </row>
    <row r="1104" spans="1:3">
      <c r="A1104" s="3">
        <f ca="1">IFERROR(__xludf.UNSUPPORTED("""COMPUTED_VALUE"""),45064.6666666666)</f>
        <v>45064.666666666599</v>
      </c>
      <c r="B1104" s="1">
        <f ca="1">IFERROR(__xludf.UNSUPPORTED("""COMPUTED_VALUE"""),28.47)</f>
        <v>28.47</v>
      </c>
      <c r="C1104" s="2">
        <f t="shared" ca="1" si="4"/>
        <v>-3.5001750087504872E-3</v>
      </c>
    </row>
    <row r="1105" spans="1:3">
      <c r="A1105" s="3">
        <f ca="1">IFERROR(__xludf.UNSUPPORTED("""COMPUTED_VALUE"""),45065.6666666666)</f>
        <v>45065.666666666599</v>
      </c>
      <c r="B1105" s="1">
        <f ca="1">IFERROR(__xludf.UNSUPPORTED("""COMPUTED_VALUE"""),28.11)</f>
        <v>28.11</v>
      </c>
      <c r="C1105" s="2">
        <f t="shared" ca="1" si="4"/>
        <v>-1.2644889357218105E-2</v>
      </c>
    </row>
    <row r="1106" spans="1:3">
      <c r="A1106" s="3">
        <f ca="1">IFERROR(__xludf.UNSUPPORTED("""COMPUTED_VALUE"""),45068.6666666666)</f>
        <v>45068.666666666599</v>
      </c>
      <c r="B1106" s="1">
        <f ca="1">IFERROR(__xludf.UNSUPPORTED("""COMPUTED_VALUE"""),28.34)</f>
        <v>28.34</v>
      </c>
      <c r="C1106" s="2">
        <f t="shared" ca="1" si="4"/>
        <v>8.1821415866239929E-3</v>
      </c>
    </row>
    <row r="1107" spans="1:3">
      <c r="A1107" s="3">
        <f ca="1">IFERROR(__xludf.UNSUPPORTED("""COMPUTED_VALUE"""),45069.6666666666)</f>
        <v>45069.666666666599</v>
      </c>
      <c r="B1107" s="1">
        <f ca="1">IFERROR(__xludf.UNSUPPORTED("""COMPUTED_VALUE"""),28.58)</f>
        <v>28.58</v>
      </c>
      <c r="C1107" s="2">
        <f t="shared" ca="1" si="4"/>
        <v>8.4685956245588723E-3</v>
      </c>
    </row>
    <row r="1108" spans="1:3">
      <c r="A1108" s="3">
        <f ca="1">IFERROR(__xludf.UNSUPPORTED("""COMPUTED_VALUE"""),45070.6666666666)</f>
        <v>45070.666666666599</v>
      </c>
      <c r="B1108" s="1">
        <f ca="1">IFERROR(__xludf.UNSUPPORTED("""COMPUTED_VALUE"""),28.1)</f>
        <v>28.1</v>
      </c>
      <c r="C1108" s="2">
        <f t="shared" ca="1" si="4"/>
        <v>-1.6794961511546427E-2</v>
      </c>
    </row>
    <row r="1109" spans="1:3">
      <c r="A1109" s="3">
        <f ca="1">IFERROR(__xludf.UNSUPPORTED("""COMPUTED_VALUE"""),45071.6666666666)</f>
        <v>45071.666666666599</v>
      </c>
      <c r="B1109" s="1">
        <f ca="1">IFERROR(__xludf.UNSUPPORTED("""COMPUTED_VALUE"""),28.17)</f>
        <v>28.17</v>
      </c>
      <c r="C1109" s="2">
        <f t="shared" ca="1" si="4"/>
        <v>2.491103202846985E-3</v>
      </c>
    </row>
    <row r="1110" spans="1:3">
      <c r="A1110" s="3">
        <f ca="1">IFERROR(__xludf.UNSUPPORTED("""COMPUTED_VALUE"""),45072.6666666666)</f>
        <v>45072.666666666599</v>
      </c>
      <c r="B1110" s="1">
        <f ca="1">IFERROR(__xludf.UNSUPPORTED("""COMPUTED_VALUE"""),28.31)</f>
        <v>28.31</v>
      </c>
      <c r="C1110" s="2">
        <f t="shared" ca="1" si="4"/>
        <v>4.9698260560879304E-3</v>
      </c>
    </row>
    <row r="1111" spans="1:3">
      <c r="A1111" s="3">
        <f ca="1">IFERROR(__xludf.UNSUPPORTED("""COMPUTED_VALUE"""),45076.6666666666)</f>
        <v>45076.666666666599</v>
      </c>
      <c r="B1111" s="1">
        <f ca="1">IFERROR(__xludf.UNSUPPORTED("""COMPUTED_VALUE"""),28.26)</f>
        <v>28.26</v>
      </c>
      <c r="C1111" s="2">
        <f t="shared" ca="1" si="4"/>
        <v>-1.7661603673612561E-3</v>
      </c>
    </row>
    <row r="1112" spans="1:3">
      <c r="A1112" s="3">
        <f ca="1">IFERROR(__xludf.UNSUPPORTED("""COMPUTED_VALUE"""),45077.6666666666)</f>
        <v>45077.666666666599</v>
      </c>
      <c r="B1112" s="1">
        <f ca="1">IFERROR(__xludf.UNSUPPORTED("""COMPUTED_VALUE"""),27.79)</f>
        <v>27.79</v>
      </c>
      <c r="C1112" s="2">
        <f t="shared" ca="1" si="4"/>
        <v>-1.6631280962491238E-2</v>
      </c>
    </row>
    <row r="1113" spans="1:3">
      <c r="A1113" s="3">
        <f ca="1">IFERROR(__xludf.UNSUPPORTED("""COMPUTED_VALUE"""),45078.6666666666)</f>
        <v>45078.666666666599</v>
      </c>
      <c r="B1113" s="1">
        <f ca="1">IFERROR(__xludf.UNSUPPORTED("""COMPUTED_VALUE"""),27.78)</f>
        <v>27.78</v>
      </c>
      <c r="C1113" s="2">
        <f t="shared" ca="1" si="4"/>
        <v>-3.5984166966527566E-4</v>
      </c>
    </row>
    <row r="1114" spans="1:3">
      <c r="A1114" s="3">
        <f ca="1">IFERROR(__xludf.UNSUPPORTED("""COMPUTED_VALUE"""),45079.6666666666)</f>
        <v>45079.666666666599</v>
      </c>
      <c r="B1114" s="1">
        <f ca="1">IFERROR(__xludf.UNSUPPORTED("""COMPUTED_VALUE"""),28.71)</f>
        <v>28.71</v>
      </c>
      <c r="C1114" s="2">
        <f t="shared" ca="1" si="4"/>
        <v>3.3477321814254848E-2</v>
      </c>
    </row>
    <row r="1115" spans="1:3">
      <c r="A1115" s="3">
        <f ca="1">IFERROR(__xludf.UNSUPPORTED("""COMPUTED_VALUE"""),45082.6666666666)</f>
        <v>45082.666666666599</v>
      </c>
      <c r="B1115" s="1">
        <f ca="1">IFERROR(__xludf.UNSUPPORTED("""COMPUTED_VALUE"""),28.54)</f>
        <v>28.54</v>
      </c>
      <c r="C1115" s="2">
        <f t="shared" ca="1" si="4"/>
        <v>-5.9212817833508083E-3</v>
      </c>
    </row>
    <row r="1116" spans="1:3">
      <c r="A1116" s="3">
        <f ca="1">IFERROR(__xludf.UNSUPPORTED("""COMPUTED_VALUE"""),45083.6666666666)</f>
        <v>45083.666666666599</v>
      </c>
      <c r="B1116" s="1">
        <f ca="1">IFERROR(__xludf.UNSUPPORTED("""COMPUTED_VALUE"""),29.23)</f>
        <v>29.23</v>
      </c>
      <c r="C1116" s="2">
        <f t="shared" ca="1" si="4"/>
        <v>2.4176594253679091E-2</v>
      </c>
    </row>
    <row r="1117" spans="1:3">
      <c r="A1117" s="3">
        <f ca="1">IFERROR(__xludf.UNSUPPORTED("""COMPUTED_VALUE"""),45084.6666666666)</f>
        <v>45084.666666666599</v>
      </c>
      <c r="B1117" s="1">
        <f ca="1">IFERROR(__xludf.UNSUPPORTED("""COMPUTED_VALUE"""),29.48)</f>
        <v>29.48</v>
      </c>
      <c r="C1117" s="2">
        <f t="shared" ca="1" si="4"/>
        <v>8.552856654122476E-3</v>
      </c>
    </row>
    <row r="1118" spans="1:3">
      <c r="A1118" s="3">
        <f ca="1">IFERROR(__xludf.UNSUPPORTED("""COMPUTED_VALUE"""),45085.6666666666)</f>
        <v>45085.666666666599</v>
      </c>
      <c r="B1118" s="1">
        <f ca="1">IFERROR(__xludf.UNSUPPORTED("""COMPUTED_VALUE"""),29.23)</f>
        <v>29.23</v>
      </c>
      <c r="C1118" s="2">
        <f t="shared" ca="1" si="4"/>
        <v>-8.4803256445047485E-3</v>
      </c>
    </row>
    <row r="1119" spans="1:3">
      <c r="A1119" s="3">
        <f ca="1">IFERROR(__xludf.UNSUPPORTED("""COMPUTED_VALUE"""),45086.6666666666)</f>
        <v>45086.666666666599</v>
      </c>
      <c r="B1119" s="1">
        <f ca="1">IFERROR(__xludf.UNSUPPORTED("""COMPUTED_VALUE"""),29.27)</f>
        <v>29.27</v>
      </c>
      <c r="C1119" s="2">
        <f t="shared" ca="1" si="4"/>
        <v>1.3684570646595672E-3</v>
      </c>
    </row>
    <row r="1120" spans="1:3">
      <c r="A1120" s="3">
        <f ca="1">IFERROR(__xludf.UNSUPPORTED("""COMPUTED_VALUE"""),45089.6666666666)</f>
        <v>45089.666666666599</v>
      </c>
      <c r="B1120" s="1">
        <f ca="1">IFERROR(__xludf.UNSUPPORTED("""COMPUTED_VALUE"""),29.13)</f>
        <v>29.13</v>
      </c>
      <c r="C1120" s="2">
        <f t="shared" ca="1" si="4"/>
        <v>-4.7830543218312458E-3</v>
      </c>
    </row>
    <row r="1121" spans="1:3">
      <c r="A1121" s="3">
        <f ca="1">IFERROR(__xludf.UNSUPPORTED("""COMPUTED_VALUE"""),45090.6666666666)</f>
        <v>45090.666666666599</v>
      </c>
      <c r="B1121" s="1">
        <f ca="1">IFERROR(__xludf.UNSUPPORTED("""COMPUTED_VALUE"""),29.4)</f>
        <v>29.4</v>
      </c>
      <c r="C1121" s="2">
        <f t="shared" ca="1" si="4"/>
        <v>9.2687950566426227E-3</v>
      </c>
    </row>
    <row r="1122" spans="1:3">
      <c r="A1122" s="3">
        <f ca="1">IFERROR(__xludf.UNSUPPORTED("""COMPUTED_VALUE"""),45091.6666666666)</f>
        <v>45091.666666666599</v>
      </c>
      <c r="B1122" s="1">
        <f ca="1">IFERROR(__xludf.UNSUPPORTED("""COMPUTED_VALUE"""),29.12)</f>
        <v>29.12</v>
      </c>
      <c r="C1122" s="2">
        <f t="shared" ca="1" si="4"/>
        <v>-9.5238095238094414E-3</v>
      </c>
    </row>
    <row r="1123" spans="1:3">
      <c r="A1123" s="3">
        <f ca="1">IFERROR(__xludf.UNSUPPORTED("""COMPUTED_VALUE"""),45092.6666666666)</f>
        <v>45092.666666666599</v>
      </c>
      <c r="B1123" s="1">
        <f ca="1">IFERROR(__xludf.UNSUPPORTED("""COMPUTED_VALUE"""),29.37)</f>
        <v>29.37</v>
      </c>
      <c r="C1123" s="2">
        <f t="shared" ca="1" si="4"/>
        <v>8.5851648351648342E-3</v>
      </c>
    </row>
    <row r="1124" spans="1:3">
      <c r="A1124" s="3">
        <f ca="1">IFERROR(__xludf.UNSUPPORTED("""COMPUTED_VALUE"""),45093.6666666666)</f>
        <v>45093.666666666599</v>
      </c>
      <c r="B1124" s="1">
        <f ca="1">IFERROR(__xludf.UNSUPPORTED("""COMPUTED_VALUE"""),29.19)</f>
        <v>29.19</v>
      </c>
      <c r="C1124" s="2">
        <f t="shared" ca="1" si="4"/>
        <v>-6.1287027579162313E-3</v>
      </c>
    </row>
    <row r="1125" spans="1:3">
      <c r="A1125" s="3">
        <f ca="1">IFERROR(__xludf.UNSUPPORTED("""COMPUTED_VALUE"""),45097.6666666666)</f>
        <v>45097.666666666599</v>
      </c>
      <c r="B1125" s="1">
        <f ca="1">IFERROR(__xludf.UNSUPPORTED("""COMPUTED_VALUE"""),28.87)</f>
        <v>28.87</v>
      </c>
      <c r="C1125" s="2">
        <f t="shared" ca="1" si="4"/>
        <v>-1.0962658444672842E-2</v>
      </c>
    </row>
    <row r="1126" spans="1:3">
      <c r="A1126" s="3">
        <f ca="1">IFERROR(__xludf.UNSUPPORTED("""COMPUTED_VALUE"""),45098.6666666666)</f>
        <v>45098.666666666599</v>
      </c>
      <c r="B1126" s="1">
        <f ca="1">IFERROR(__xludf.UNSUPPORTED("""COMPUTED_VALUE"""),28.57)</f>
        <v>28.57</v>
      </c>
      <c r="C1126" s="2">
        <f t="shared" ca="1" si="4"/>
        <v>-1.0391409767925207E-2</v>
      </c>
    </row>
    <row r="1127" spans="1:3">
      <c r="A1127" s="3">
        <f ca="1">IFERROR(__xludf.UNSUPPORTED("""COMPUTED_VALUE"""),45099.6666666666)</f>
        <v>45099.666666666599</v>
      </c>
      <c r="B1127" s="1">
        <f ca="1">IFERROR(__xludf.UNSUPPORTED("""COMPUTED_VALUE"""),27.96)</f>
        <v>27.96</v>
      </c>
      <c r="C1127" s="2">
        <f t="shared" ca="1" si="4"/>
        <v>-2.1351067553377647E-2</v>
      </c>
    </row>
    <row r="1128" spans="1:3">
      <c r="A1128" s="3">
        <f ca="1">IFERROR(__xludf.UNSUPPORTED("""COMPUTED_VALUE"""),45100.6666666666)</f>
        <v>45100.666666666599</v>
      </c>
      <c r="B1128" s="1">
        <f ca="1">IFERROR(__xludf.UNSUPPORTED("""COMPUTED_VALUE"""),27.75)</f>
        <v>27.75</v>
      </c>
      <c r="C1128" s="2">
        <f t="shared" ca="1" si="4"/>
        <v>-7.5107296137339359E-3</v>
      </c>
    </row>
    <row r="1129" spans="1:3">
      <c r="A1129" s="3">
        <f ca="1">IFERROR(__xludf.UNSUPPORTED("""COMPUTED_VALUE"""),45103.6666666666)</f>
        <v>45103.666666666599</v>
      </c>
      <c r="B1129" s="1">
        <f ca="1">IFERROR(__xludf.UNSUPPORTED("""COMPUTED_VALUE"""),28.09)</f>
        <v>28.09</v>
      </c>
      <c r="C1129" s="2">
        <f t="shared" ca="1" si="4"/>
        <v>1.2252252252252247E-2</v>
      </c>
    </row>
    <row r="1130" spans="1:3">
      <c r="A1130" s="3">
        <f ca="1">IFERROR(__xludf.UNSUPPORTED("""COMPUTED_VALUE"""),45104.6666666666)</f>
        <v>45104.666666666599</v>
      </c>
      <c r="B1130" s="1">
        <f ca="1">IFERROR(__xludf.UNSUPPORTED("""COMPUTED_VALUE"""),28.24)</f>
        <v>28.24</v>
      </c>
      <c r="C1130" s="2">
        <f t="shared" ca="1" si="4"/>
        <v>5.3399786400853888E-3</v>
      </c>
    </row>
    <row r="1131" spans="1:3">
      <c r="A1131" s="3">
        <f ca="1">IFERROR(__xludf.UNSUPPORTED("""COMPUTED_VALUE"""),45105.6666666666)</f>
        <v>45105.666666666599</v>
      </c>
      <c r="B1131" s="1">
        <f ca="1">IFERROR(__xludf.UNSUPPORTED("""COMPUTED_VALUE"""),28.07)</f>
        <v>28.07</v>
      </c>
      <c r="C1131" s="2">
        <f t="shared" ca="1" si="4"/>
        <v>-6.0198300283285464E-3</v>
      </c>
    </row>
    <row r="1132" spans="1:3">
      <c r="A1132" s="3">
        <f ca="1">IFERROR(__xludf.UNSUPPORTED("""COMPUTED_VALUE"""),45106.6666666666)</f>
        <v>45106.666666666599</v>
      </c>
      <c r="B1132" s="1">
        <f ca="1">IFERROR(__xludf.UNSUPPORTED("""COMPUTED_VALUE"""),28.66)</f>
        <v>28.66</v>
      </c>
      <c r="C1132" s="2">
        <f t="shared" ca="1" si="4"/>
        <v>2.1018881368008543E-2</v>
      </c>
    </row>
    <row r="1133" spans="1:3">
      <c r="A1133" s="3">
        <f ca="1">IFERROR(__xludf.UNSUPPORTED("""COMPUTED_VALUE"""),45107.6666666666)</f>
        <v>45107.666666666599</v>
      </c>
      <c r="B1133" s="1">
        <f ca="1">IFERROR(__xludf.UNSUPPORTED("""COMPUTED_VALUE"""),28.69)</f>
        <v>28.69</v>
      </c>
      <c r="C1133" s="2">
        <f t="shared" ca="1" si="4"/>
        <v>1.0467550593161597E-3</v>
      </c>
    </row>
    <row r="1134" spans="1:3">
      <c r="A1134" s="3">
        <f ca="1">IFERROR(__xludf.UNSUPPORTED("""COMPUTED_VALUE"""),45110.5416666666)</f>
        <v>45110.541666666599</v>
      </c>
      <c r="B1134" s="1">
        <f ca="1">IFERROR(__xludf.UNSUPPORTED("""COMPUTED_VALUE"""),29.2)</f>
        <v>29.2</v>
      </c>
      <c r="C1134" s="2">
        <f t="shared" ca="1" si="4"/>
        <v>1.7776228651097875E-2</v>
      </c>
    </row>
    <row r="1135" spans="1:3">
      <c r="A1135" s="3">
        <f ca="1">IFERROR(__xludf.UNSUPPORTED("""COMPUTED_VALUE"""),45112.6666666666)</f>
        <v>45112.666666666599</v>
      </c>
      <c r="B1135" s="1">
        <f ca="1">IFERROR(__xludf.UNSUPPORTED("""COMPUTED_VALUE"""),29.08)</f>
        <v>29.08</v>
      </c>
      <c r="C1135" s="2">
        <f t="shared" ca="1" si="4"/>
        <v>-4.1095890410959247E-3</v>
      </c>
    </row>
    <row r="1136" spans="1:3">
      <c r="A1136" s="3">
        <f ca="1">IFERROR(__xludf.UNSUPPORTED("""COMPUTED_VALUE"""),45113.6666666666)</f>
        <v>45113.666666666599</v>
      </c>
      <c r="B1136" s="1">
        <f ca="1">IFERROR(__xludf.UNSUPPORTED("""COMPUTED_VALUE"""),28.28)</f>
        <v>28.28</v>
      </c>
      <c r="C1136" s="2">
        <f t="shared" ca="1" si="4"/>
        <v>-2.7510316368638144E-2</v>
      </c>
    </row>
    <row r="1137" spans="1:3">
      <c r="A1137" s="3">
        <f ca="1">IFERROR(__xludf.UNSUPPORTED("""COMPUTED_VALUE"""),45114.6666666666)</f>
        <v>45114.666666666599</v>
      </c>
      <c r="B1137" s="1">
        <f ca="1">IFERROR(__xludf.UNSUPPORTED("""COMPUTED_VALUE"""),28.53)</f>
        <v>28.53</v>
      </c>
      <c r="C1137" s="2">
        <f t="shared" ca="1" si="4"/>
        <v>8.8401697312588401E-3</v>
      </c>
    </row>
    <row r="1138" spans="1:3">
      <c r="A1138" s="3">
        <f ca="1">IFERROR(__xludf.UNSUPPORTED("""COMPUTED_VALUE"""),45117.6666666666)</f>
        <v>45117.666666666599</v>
      </c>
      <c r="B1138" s="1">
        <f ca="1">IFERROR(__xludf.UNSUPPORTED("""COMPUTED_VALUE"""),28.66)</f>
        <v>28.66</v>
      </c>
      <c r="C1138" s="2">
        <f t="shared" ca="1" si="4"/>
        <v>4.5566070802663516E-3</v>
      </c>
    </row>
    <row r="1139" spans="1:3">
      <c r="A1139" s="3">
        <f ca="1">IFERROR(__xludf.UNSUPPORTED("""COMPUTED_VALUE"""),45118.6666666666)</f>
        <v>45118.666666666599</v>
      </c>
      <c r="B1139" s="1">
        <f ca="1">IFERROR(__xludf.UNSUPPORTED("""COMPUTED_VALUE"""),29.02)</f>
        <v>29.02</v>
      </c>
      <c r="C1139" s="2">
        <f t="shared" ca="1" si="4"/>
        <v>1.256106071179342E-2</v>
      </c>
    </row>
    <row r="1140" spans="1:3">
      <c r="A1140" s="3">
        <f ca="1">IFERROR(__xludf.UNSUPPORTED("""COMPUTED_VALUE"""),45119.6666666666)</f>
        <v>45119.666666666599</v>
      </c>
      <c r="B1140" s="1">
        <f ca="1">IFERROR(__xludf.UNSUPPORTED("""COMPUTED_VALUE"""),29.36)</f>
        <v>29.36</v>
      </c>
      <c r="C1140" s="2">
        <f t="shared" ca="1" si="4"/>
        <v>1.1716057891109575E-2</v>
      </c>
    </row>
    <row r="1141" spans="1:3">
      <c r="A1141" s="3">
        <f ca="1">IFERROR(__xludf.UNSUPPORTED("""COMPUTED_VALUE"""),45120.6666666666)</f>
        <v>45120.666666666599</v>
      </c>
      <c r="B1141" s="1">
        <f ca="1">IFERROR(__xludf.UNSUPPORTED("""COMPUTED_VALUE"""),29.67)</f>
        <v>29.67</v>
      </c>
      <c r="C1141" s="2">
        <f t="shared" ca="1" si="4"/>
        <v>1.0558583106267108E-2</v>
      </c>
    </row>
    <row r="1142" spans="1:3">
      <c r="A1142" s="3">
        <f ca="1">IFERROR(__xludf.UNSUPPORTED("""COMPUTED_VALUE"""),45121.6666666666)</f>
        <v>45121.666666666599</v>
      </c>
      <c r="B1142" s="1">
        <f ca="1">IFERROR(__xludf.UNSUPPORTED("""COMPUTED_VALUE"""),29.11)</f>
        <v>29.11</v>
      </c>
      <c r="C1142" s="2">
        <f t="shared" ca="1" si="4"/>
        <v>-1.8874283788338466E-2</v>
      </c>
    </row>
    <row r="1143" spans="1:3">
      <c r="A1143" s="3">
        <f ca="1">IFERROR(__xludf.UNSUPPORTED("""COMPUTED_VALUE"""),45124.6666666666)</f>
        <v>45124.666666666599</v>
      </c>
      <c r="B1143" s="1">
        <f ca="1">IFERROR(__xludf.UNSUPPORTED("""COMPUTED_VALUE"""),29.4)</f>
        <v>29.4</v>
      </c>
      <c r="C1143" s="2">
        <f t="shared" ca="1" si="4"/>
        <v>9.9622122981792901E-3</v>
      </c>
    </row>
    <row r="1144" spans="1:3">
      <c r="A1144" s="3">
        <f ca="1">IFERROR(__xludf.UNSUPPORTED("""COMPUTED_VALUE"""),45125.6666666666)</f>
        <v>45125.666666666599</v>
      </c>
      <c r="B1144" s="1">
        <f ca="1">IFERROR(__xludf.UNSUPPORTED("""COMPUTED_VALUE"""),30.7)</f>
        <v>30.7</v>
      </c>
      <c r="C1144" s="2">
        <f t="shared" ca="1" si="4"/>
        <v>4.421768707482996E-2</v>
      </c>
    </row>
    <row r="1145" spans="1:3">
      <c r="A1145" s="3">
        <f ca="1">IFERROR(__xludf.UNSUPPORTED("""COMPUTED_VALUE"""),45126.6666666666)</f>
        <v>45126.666666666599</v>
      </c>
      <c r="B1145" s="1">
        <f ca="1">IFERROR(__xludf.UNSUPPORTED("""COMPUTED_VALUE"""),31.53)</f>
        <v>31.53</v>
      </c>
      <c r="C1145" s="2">
        <f t="shared" ca="1" si="4"/>
        <v>2.7035830618892569E-2</v>
      </c>
    </row>
    <row r="1146" spans="1:3">
      <c r="A1146" s="3">
        <f ca="1">IFERROR(__xludf.UNSUPPORTED("""COMPUTED_VALUE"""),45127.6666666666)</f>
        <v>45127.666666666599</v>
      </c>
      <c r="B1146" s="1">
        <f ca="1">IFERROR(__xludf.UNSUPPORTED("""COMPUTED_VALUE"""),31.69)</f>
        <v>31.69</v>
      </c>
      <c r="C1146" s="2">
        <f t="shared" ca="1" si="4"/>
        <v>5.0745321915635945E-3</v>
      </c>
    </row>
    <row r="1147" spans="1:3">
      <c r="A1147" s="3">
        <f ca="1">IFERROR(__xludf.UNSUPPORTED("""COMPUTED_VALUE"""),45128.6666666666)</f>
        <v>45128.666666666599</v>
      </c>
      <c r="B1147" s="1">
        <f ca="1">IFERROR(__xludf.UNSUPPORTED("""COMPUTED_VALUE"""),31.98)</f>
        <v>31.98</v>
      </c>
      <c r="C1147" s="2">
        <f t="shared" ca="1" si="4"/>
        <v>9.1511517828967853E-3</v>
      </c>
    </row>
    <row r="1148" spans="1:3">
      <c r="A1148" s="3">
        <f ca="1">IFERROR(__xludf.UNSUPPORTED("""COMPUTED_VALUE"""),45131.6666666666)</f>
        <v>45131.666666666599</v>
      </c>
      <c r="B1148" s="1">
        <f ca="1">IFERROR(__xludf.UNSUPPORTED("""COMPUTED_VALUE"""),32.65)</f>
        <v>32.65</v>
      </c>
      <c r="C1148" s="2">
        <f t="shared" ca="1" si="4"/>
        <v>2.0950594121325772E-2</v>
      </c>
    </row>
    <row r="1149" spans="1:3">
      <c r="A1149" s="3">
        <f ca="1">IFERROR(__xludf.UNSUPPORTED("""COMPUTED_VALUE"""),45132.6666666666)</f>
        <v>45132.666666666599</v>
      </c>
      <c r="B1149" s="1">
        <f ca="1">IFERROR(__xludf.UNSUPPORTED("""COMPUTED_VALUE"""),32.15)</f>
        <v>32.15</v>
      </c>
      <c r="C1149" s="2">
        <f t="shared" ca="1" si="4"/>
        <v>-1.5313935681470138E-2</v>
      </c>
    </row>
    <row r="1150" spans="1:3">
      <c r="A1150" s="3">
        <f ca="1">IFERROR(__xludf.UNSUPPORTED("""COMPUTED_VALUE"""),45133.6666666666)</f>
        <v>45133.666666666599</v>
      </c>
      <c r="B1150" s="1">
        <f ca="1">IFERROR(__xludf.UNSUPPORTED("""COMPUTED_VALUE"""),32.41)</f>
        <v>32.409999999999997</v>
      </c>
      <c r="C1150" s="2">
        <f t="shared" ca="1" si="4"/>
        <v>8.0870917573871853E-3</v>
      </c>
    </row>
    <row r="1151" spans="1:3">
      <c r="A1151" s="3">
        <f ca="1">IFERROR(__xludf.UNSUPPORTED("""COMPUTED_VALUE"""),45134.6666666666)</f>
        <v>45134.666666666599</v>
      </c>
      <c r="B1151" s="1">
        <f ca="1">IFERROR(__xludf.UNSUPPORTED("""COMPUTED_VALUE"""),31.95)</f>
        <v>31.95</v>
      </c>
      <c r="C1151" s="2">
        <f t="shared" ca="1" si="4"/>
        <v>-1.4193150262264651E-2</v>
      </c>
    </row>
    <row r="1152" spans="1:3">
      <c r="A1152" s="3">
        <f ca="1">IFERROR(__xludf.UNSUPPORTED("""COMPUTED_VALUE"""),45135.6666666666)</f>
        <v>45135.666666666599</v>
      </c>
      <c r="B1152" s="1">
        <f ca="1">IFERROR(__xludf.UNSUPPORTED("""COMPUTED_VALUE"""),31.9)</f>
        <v>31.9</v>
      </c>
      <c r="C1152" s="2">
        <f t="shared" ca="1" si="4"/>
        <v>-1.5649452269170803E-3</v>
      </c>
    </row>
    <row r="1153" spans="1:3">
      <c r="A1153" s="3">
        <f ca="1">IFERROR(__xludf.UNSUPPORTED("""COMPUTED_VALUE"""),45138.6666666666)</f>
        <v>45138.666666666599</v>
      </c>
      <c r="B1153" s="1">
        <f ca="1">IFERROR(__xludf.UNSUPPORTED("""COMPUTED_VALUE"""),32)</f>
        <v>32</v>
      </c>
      <c r="C1153" s="2">
        <f t="shared" ca="1" si="4"/>
        <v>3.1347962382445587E-3</v>
      </c>
    </row>
    <row r="1154" spans="1:3">
      <c r="A1154" s="3">
        <f ca="1">IFERROR(__xludf.UNSUPPORTED("""COMPUTED_VALUE"""),45139.6666666666)</f>
        <v>45139.666666666599</v>
      </c>
      <c r="B1154" s="1">
        <f ca="1">IFERROR(__xludf.UNSUPPORTED("""COMPUTED_VALUE"""),31.62)</f>
        <v>31.62</v>
      </c>
      <c r="C1154" s="2">
        <f t="shared" ca="1" si="4"/>
        <v>-1.1874999999999969E-2</v>
      </c>
    </row>
    <row r="1155" spans="1:3">
      <c r="A1155" s="3">
        <f ca="1">IFERROR(__xludf.UNSUPPORTED("""COMPUTED_VALUE"""),45140.6666666666)</f>
        <v>45140.666666666599</v>
      </c>
      <c r="B1155" s="1">
        <f ca="1">IFERROR(__xludf.UNSUPPORTED("""COMPUTED_VALUE"""),31.19)</f>
        <v>31.19</v>
      </c>
      <c r="C1155" s="2">
        <f t="shared" ca="1" si="4"/>
        <v>-1.359898798228968E-2</v>
      </c>
    </row>
    <row r="1156" spans="1:3">
      <c r="A1156" s="3">
        <f ca="1">IFERROR(__xludf.UNSUPPORTED("""COMPUTED_VALUE"""),45141.6666666666)</f>
        <v>45141.666666666599</v>
      </c>
      <c r="B1156" s="1">
        <f ca="1">IFERROR(__xludf.UNSUPPORTED("""COMPUTED_VALUE"""),31.41)</f>
        <v>31.41</v>
      </c>
      <c r="C1156" s="2">
        <f t="shared" ca="1" si="4"/>
        <v>7.053542802180149E-3</v>
      </c>
    </row>
    <row r="1157" spans="1:3">
      <c r="A1157" s="3">
        <f ca="1">IFERROR(__xludf.UNSUPPORTED("""COMPUTED_VALUE"""),45142.6666666666)</f>
        <v>45142.666666666599</v>
      </c>
      <c r="B1157" s="1">
        <f ca="1">IFERROR(__xludf.UNSUPPORTED("""COMPUTED_VALUE"""),31.3)</f>
        <v>31.3</v>
      </c>
      <c r="C1157" s="2">
        <f t="shared" ca="1" si="4"/>
        <v>-3.502069404648183E-3</v>
      </c>
    </row>
    <row r="1158" spans="1:3">
      <c r="A1158" s="3">
        <f ca="1">IFERROR(__xludf.UNSUPPORTED("""COMPUTED_VALUE"""),45145.6666666666)</f>
        <v>45145.666666666599</v>
      </c>
      <c r="B1158" s="1">
        <f ca="1">IFERROR(__xludf.UNSUPPORTED("""COMPUTED_VALUE"""),31.88)</f>
        <v>31.88</v>
      </c>
      <c r="C1158" s="2">
        <f t="shared" ca="1" si="4"/>
        <v>1.8530351437699627E-2</v>
      </c>
    </row>
    <row r="1159" spans="1:3">
      <c r="A1159" s="3">
        <f ca="1">IFERROR(__xludf.UNSUPPORTED("""COMPUTED_VALUE"""),45146.6666666666)</f>
        <v>45146.666666666599</v>
      </c>
      <c r="B1159" s="1">
        <f ca="1">IFERROR(__xludf.UNSUPPORTED("""COMPUTED_VALUE"""),31.27)</f>
        <v>31.27</v>
      </c>
      <c r="C1159" s="2">
        <f t="shared" ca="1" si="4"/>
        <v>-1.9134253450439131E-2</v>
      </c>
    </row>
    <row r="1160" spans="1:3">
      <c r="A1160" s="3">
        <f ca="1">IFERROR(__xludf.UNSUPPORTED("""COMPUTED_VALUE"""),45147.6666666666)</f>
        <v>45147.666666666599</v>
      </c>
      <c r="B1160" s="1">
        <f ca="1">IFERROR(__xludf.UNSUPPORTED("""COMPUTED_VALUE"""),30.86)</f>
        <v>30.86</v>
      </c>
      <c r="C1160" s="2">
        <f t="shared" ca="1" si="4"/>
        <v>-1.3111608570514875E-2</v>
      </c>
    </row>
    <row r="1161" spans="1:3">
      <c r="A1161" s="3">
        <f ca="1">IFERROR(__xludf.UNSUPPORTED("""COMPUTED_VALUE"""),45148.6666666666)</f>
        <v>45148.666666666599</v>
      </c>
      <c r="B1161" s="1">
        <f ca="1">IFERROR(__xludf.UNSUPPORTED("""COMPUTED_VALUE"""),30.94)</f>
        <v>30.94</v>
      </c>
      <c r="C1161" s="2">
        <f t="shared" ca="1" si="4"/>
        <v>2.5923525599482128E-3</v>
      </c>
    </row>
    <row r="1162" spans="1:3">
      <c r="A1162" s="3">
        <f ca="1">IFERROR(__xludf.UNSUPPORTED("""COMPUTED_VALUE"""),45149.6666666666)</f>
        <v>45149.666666666599</v>
      </c>
      <c r="B1162" s="1">
        <f ca="1">IFERROR(__xludf.UNSUPPORTED("""COMPUTED_VALUE"""),31.29)</f>
        <v>31.29</v>
      </c>
      <c r="C1162" s="2">
        <f t="shared" ca="1" si="4"/>
        <v>1.1312217194570066E-2</v>
      </c>
    </row>
    <row r="1163" spans="1:3">
      <c r="A1163" s="3">
        <f ca="1">IFERROR(__xludf.UNSUPPORTED("""COMPUTED_VALUE"""),45152.6666666666)</f>
        <v>45152.666666666599</v>
      </c>
      <c r="B1163" s="1">
        <f ca="1">IFERROR(__xludf.UNSUPPORTED("""COMPUTED_VALUE"""),30.93)</f>
        <v>30.93</v>
      </c>
      <c r="C1163" s="2">
        <f t="shared" ca="1" si="4"/>
        <v>-1.1505273250239676E-2</v>
      </c>
    </row>
    <row r="1164" spans="1:3">
      <c r="A1164" s="3">
        <f ca="1">IFERROR(__xludf.UNSUPPORTED("""COMPUTED_VALUE"""),45153.6666666666)</f>
        <v>45153.666666666599</v>
      </c>
      <c r="B1164" s="1">
        <f ca="1">IFERROR(__xludf.UNSUPPORTED("""COMPUTED_VALUE"""),29.94)</f>
        <v>29.94</v>
      </c>
      <c r="C1164" s="2">
        <f t="shared" ca="1" si="4"/>
        <v>-3.2007759456837974E-2</v>
      </c>
    </row>
    <row r="1165" spans="1:3">
      <c r="A1165" s="3">
        <f ca="1">IFERROR(__xludf.UNSUPPORTED("""COMPUTED_VALUE"""),45154.6666666666)</f>
        <v>45154.666666666599</v>
      </c>
      <c r="B1165" s="1">
        <f ca="1">IFERROR(__xludf.UNSUPPORTED("""COMPUTED_VALUE"""),29.29)</f>
        <v>29.29</v>
      </c>
      <c r="C1165" s="2">
        <f t="shared" ca="1" si="4"/>
        <v>-2.171008684034743E-2</v>
      </c>
    </row>
    <row r="1166" spans="1:3">
      <c r="A1166" s="3">
        <f ca="1">IFERROR(__xludf.UNSUPPORTED("""COMPUTED_VALUE"""),45155.6666666666)</f>
        <v>45155.666666666599</v>
      </c>
      <c r="B1166" s="1">
        <f ca="1">IFERROR(__xludf.UNSUPPORTED("""COMPUTED_VALUE"""),29.28)</f>
        <v>29.28</v>
      </c>
      <c r="C1166" s="2">
        <f t="shared" ca="1" si="4"/>
        <v>-3.4141345168992867E-4</v>
      </c>
    </row>
    <row r="1167" spans="1:3">
      <c r="A1167" s="3">
        <f ca="1">IFERROR(__xludf.UNSUPPORTED("""COMPUTED_VALUE"""),45156.6666666666)</f>
        <v>45156.666666666599</v>
      </c>
      <c r="B1167" s="1">
        <f ca="1">IFERROR(__xludf.UNSUPPORTED("""COMPUTED_VALUE"""),29.11)</f>
        <v>29.11</v>
      </c>
      <c r="C1167" s="2">
        <f t="shared" ca="1" si="4"/>
        <v>-5.8060109289618063E-3</v>
      </c>
    </row>
    <row r="1168" spans="1:3">
      <c r="A1168" s="3">
        <f ca="1">IFERROR(__xludf.UNSUPPORTED("""COMPUTED_VALUE"""),45159.6666666666)</f>
        <v>45159.666666666599</v>
      </c>
      <c r="B1168" s="1">
        <f ca="1">IFERROR(__xludf.UNSUPPORTED("""COMPUTED_VALUE"""),29.15)</f>
        <v>29.15</v>
      </c>
      <c r="C1168" s="2">
        <f t="shared" ca="1" si="4"/>
        <v>1.3740982480247045E-3</v>
      </c>
    </row>
    <row r="1169" spans="1:3">
      <c r="A1169" s="3">
        <f ca="1">IFERROR(__xludf.UNSUPPORTED("""COMPUTED_VALUE"""),45160.6666666666)</f>
        <v>45160.666666666599</v>
      </c>
      <c r="B1169" s="1">
        <f ca="1">IFERROR(__xludf.UNSUPPORTED("""COMPUTED_VALUE"""),28.44)</f>
        <v>28.44</v>
      </c>
      <c r="C1169" s="2">
        <f t="shared" ca="1" si="4"/>
        <v>-2.4356775300171433E-2</v>
      </c>
    </row>
    <row r="1170" spans="1:3">
      <c r="A1170" s="3">
        <f ca="1">IFERROR(__xludf.UNSUPPORTED("""COMPUTED_VALUE"""),45161.6666666666)</f>
        <v>45161.666666666599</v>
      </c>
      <c r="B1170" s="1">
        <f ca="1">IFERROR(__xludf.UNSUPPORTED("""COMPUTED_VALUE"""),28.45)</f>
        <v>28.45</v>
      </c>
      <c r="C1170" s="2">
        <f t="shared" ca="1" si="4"/>
        <v>3.5161744022496518E-4</v>
      </c>
    </row>
    <row r="1171" spans="1:3">
      <c r="A1171" s="3">
        <f ca="1">IFERROR(__xludf.UNSUPPORTED("""COMPUTED_VALUE"""),45162.6666666666)</f>
        <v>45162.666666666599</v>
      </c>
      <c r="B1171" s="1">
        <f ca="1">IFERROR(__xludf.UNSUPPORTED("""COMPUTED_VALUE"""),28.62)</f>
        <v>28.62</v>
      </c>
      <c r="C1171" s="2">
        <f t="shared" ca="1" si="4"/>
        <v>5.9753954305800253E-3</v>
      </c>
    </row>
    <row r="1172" spans="1:3">
      <c r="A1172" s="3">
        <f ca="1">IFERROR(__xludf.UNSUPPORTED("""COMPUTED_VALUE"""),45163.6666666666)</f>
        <v>45163.666666666599</v>
      </c>
      <c r="B1172" s="1">
        <f ca="1">IFERROR(__xludf.UNSUPPORTED("""COMPUTED_VALUE"""),28.5)</f>
        <v>28.5</v>
      </c>
      <c r="C1172" s="2">
        <f t="shared" ca="1" si="4"/>
        <v>-4.1928721174004542E-3</v>
      </c>
    </row>
    <row r="1173" spans="1:3">
      <c r="A1173" s="3">
        <f ca="1">IFERROR(__xludf.UNSUPPORTED("""COMPUTED_VALUE"""),45166.6666666666)</f>
        <v>45166.666666666599</v>
      </c>
      <c r="B1173" s="1">
        <f ca="1">IFERROR(__xludf.UNSUPPORTED("""COMPUTED_VALUE"""),28.76)</f>
        <v>28.76</v>
      </c>
      <c r="C1173" s="2">
        <f t="shared" ca="1" si="4"/>
        <v>9.1228070175439144E-3</v>
      </c>
    </row>
    <row r="1174" spans="1:3">
      <c r="A1174" s="3">
        <f ca="1">IFERROR(__xludf.UNSUPPORTED("""COMPUTED_VALUE"""),45167.6666666666)</f>
        <v>45167.666666666599</v>
      </c>
      <c r="B1174" s="1">
        <f ca="1">IFERROR(__xludf.UNSUPPORTED("""COMPUTED_VALUE"""),29.17)</f>
        <v>29.17</v>
      </c>
      <c r="C1174" s="2">
        <f t="shared" ca="1" si="4"/>
        <v>1.4255910987482618E-2</v>
      </c>
    </row>
    <row r="1175" spans="1:3">
      <c r="A1175" s="3">
        <f ca="1">IFERROR(__xludf.UNSUPPORTED("""COMPUTED_VALUE"""),45168.6666666666)</f>
        <v>45168.666666666599</v>
      </c>
      <c r="B1175" s="1">
        <f ca="1">IFERROR(__xludf.UNSUPPORTED("""COMPUTED_VALUE"""),29.04)</f>
        <v>29.04</v>
      </c>
      <c r="C1175" s="2">
        <f t="shared" ca="1" si="4"/>
        <v>-4.4566335275969338E-3</v>
      </c>
    </row>
    <row r="1176" spans="1:3">
      <c r="A1176" s="3">
        <f ca="1">IFERROR(__xludf.UNSUPPORTED("""COMPUTED_VALUE"""),45169.6666666666)</f>
        <v>45169.666666666599</v>
      </c>
      <c r="B1176" s="1">
        <f ca="1">IFERROR(__xludf.UNSUPPORTED("""COMPUTED_VALUE"""),28.67)</f>
        <v>28.67</v>
      </c>
      <c r="C1176" s="2">
        <f t="shared" ca="1" si="4"/>
        <v>-1.2741046831955835E-2</v>
      </c>
    </row>
    <row r="1177" spans="1:3">
      <c r="A1177" s="3">
        <f ca="1">IFERROR(__xludf.UNSUPPORTED("""COMPUTED_VALUE"""),45170.6666666666)</f>
        <v>45170.666666666599</v>
      </c>
      <c r="B1177" s="1">
        <f ca="1">IFERROR(__xludf.UNSUPPORTED("""COMPUTED_VALUE"""),28.98)</f>
        <v>28.98</v>
      </c>
      <c r="C1177" s="2">
        <f t="shared" ca="1" si="4"/>
        <v>1.0812696198116452E-2</v>
      </c>
    </row>
    <row r="1178" spans="1:3">
      <c r="A1178" s="3">
        <f ca="1">IFERROR(__xludf.UNSUPPORTED("""COMPUTED_VALUE"""),45174.6666666666)</f>
        <v>45174.666666666599</v>
      </c>
      <c r="B1178" s="1">
        <f ca="1">IFERROR(__xludf.UNSUPPORTED("""COMPUTED_VALUE"""),28.65)</f>
        <v>28.65</v>
      </c>
      <c r="C1178" s="2">
        <f t="shared" ca="1" si="4"/>
        <v>-1.1387163561076668E-2</v>
      </c>
    </row>
    <row r="1179" spans="1:3">
      <c r="A1179" s="3">
        <f ca="1">IFERROR(__xludf.UNSUPPORTED("""COMPUTED_VALUE"""),45175.6666666666)</f>
        <v>45175.666666666599</v>
      </c>
      <c r="B1179" s="1">
        <f ca="1">IFERROR(__xludf.UNSUPPORTED("""COMPUTED_VALUE"""),28.39)</f>
        <v>28.39</v>
      </c>
      <c r="C1179" s="2">
        <f t="shared" ca="1" si="4"/>
        <v>-9.0750436300173834E-3</v>
      </c>
    </row>
    <row r="1180" spans="1:3">
      <c r="A1180" s="3">
        <f ca="1">IFERROR(__xludf.UNSUPPORTED("""COMPUTED_VALUE"""),45176.6666666666)</f>
        <v>45176.666666666599</v>
      </c>
      <c r="B1180" s="1">
        <f ca="1">IFERROR(__xludf.UNSUPPORTED("""COMPUTED_VALUE"""),28.13)</f>
        <v>28.13</v>
      </c>
      <c r="C1180" s="2">
        <f t="shared" ca="1" si="4"/>
        <v>-9.1581542796759976E-3</v>
      </c>
    </row>
    <row r="1181" spans="1:3">
      <c r="A1181" s="3">
        <f ca="1">IFERROR(__xludf.UNSUPPORTED("""COMPUTED_VALUE"""),45177.6666666666)</f>
        <v>45177.666666666599</v>
      </c>
      <c r="B1181" s="1">
        <f ca="1">IFERROR(__xludf.UNSUPPORTED("""COMPUTED_VALUE"""),28.36)</f>
        <v>28.36</v>
      </c>
      <c r="C1181" s="2">
        <f t="shared" ca="1" si="4"/>
        <v>8.1763242090295216E-3</v>
      </c>
    </row>
    <row r="1182" spans="1:3">
      <c r="A1182" s="3">
        <f ca="1">IFERROR(__xludf.UNSUPPORTED("""COMPUTED_VALUE"""),45180.6666666666)</f>
        <v>45180.666666666599</v>
      </c>
      <c r="B1182" s="1">
        <f ca="1">IFERROR(__xludf.UNSUPPORTED("""COMPUTED_VALUE"""),28.48)</f>
        <v>28.48</v>
      </c>
      <c r="C1182" s="2">
        <f t="shared" ca="1" si="4"/>
        <v>4.2313117066290901E-3</v>
      </c>
    </row>
    <row r="1183" spans="1:3">
      <c r="A1183" s="3">
        <f ca="1">IFERROR(__xludf.UNSUPPORTED("""COMPUTED_VALUE"""),45181.6666666666)</f>
        <v>45181.666666666599</v>
      </c>
      <c r="B1183" s="1">
        <f ca="1">IFERROR(__xludf.UNSUPPORTED("""COMPUTED_VALUE"""),28.97)</f>
        <v>28.97</v>
      </c>
      <c r="C1183" s="2">
        <f t="shared" ca="1" si="4"/>
        <v>1.7205056179775226E-2</v>
      </c>
    </row>
    <row r="1184" spans="1:3">
      <c r="A1184" s="3">
        <f ca="1">IFERROR(__xludf.UNSUPPORTED("""COMPUTED_VALUE"""),45182.6666666666)</f>
        <v>45182.666666666599</v>
      </c>
      <c r="B1184" s="1">
        <f ca="1">IFERROR(__xludf.UNSUPPORTED("""COMPUTED_VALUE"""),28.88)</f>
        <v>28.88</v>
      </c>
      <c r="C1184" s="2">
        <f t="shared" ca="1" si="4"/>
        <v>-3.1066620642043446E-3</v>
      </c>
    </row>
    <row r="1185" spans="1:3">
      <c r="A1185" s="3">
        <f ca="1">IFERROR(__xludf.UNSUPPORTED("""COMPUTED_VALUE"""),45183.6666666666)</f>
        <v>45183.666666666599</v>
      </c>
      <c r="B1185" s="1">
        <f ca="1">IFERROR(__xludf.UNSUPPORTED("""COMPUTED_VALUE"""),29.2)</f>
        <v>29.2</v>
      </c>
      <c r="C1185" s="2">
        <f t="shared" ca="1" si="4"/>
        <v>1.108033240997231E-2</v>
      </c>
    </row>
    <row r="1186" spans="1:3">
      <c r="A1186" s="3">
        <f ca="1">IFERROR(__xludf.UNSUPPORTED("""COMPUTED_VALUE"""),45184.6666666666)</f>
        <v>45184.666666666599</v>
      </c>
      <c r="B1186" s="1">
        <f ca="1">IFERROR(__xludf.UNSUPPORTED("""COMPUTED_VALUE"""),28.84)</f>
        <v>28.84</v>
      </c>
      <c r="C1186" s="2">
        <f t="shared" ca="1" si="4"/>
        <v>-1.2328767123287652E-2</v>
      </c>
    </row>
    <row r="1187" spans="1:3">
      <c r="A1187" s="3">
        <f ca="1">IFERROR(__xludf.UNSUPPORTED("""COMPUTED_VALUE"""),45187.6666666666)</f>
        <v>45187.666666666599</v>
      </c>
      <c r="B1187" s="1">
        <f ca="1">IFERROR(__xludf.UNSUPPORTED("""COMPUTED_VALUE"""),28.76)</f>
        <v>28.76</v>
      </c>
      <c r="C1187" s="2">
        <f t="shared" ca="1" si="4"/>
        <v>-2.7739251040221325E-3</v>
      </c>
    </row>
    <row r="1188" spans="1:3">
      <c r="A1188" s="3">
        <f ca="1">IFERROR(__xludf.UNSUPPORTED("""COMPUTED_VALUE"""),45188.6666666666)</f>
        <v>45188.666666666599</v>
      </c>
      <c r="B1188" s="1">
        <f ca="1">IFERROR(__xludf.UNSUPPORTED("""COMPUTED_VALUE"""),28.65)</f>
        <v>28.65</v>
      </c>
      <c r="C1188" s="2">
        <f t="shared" ca="1" si="4"/>
        <v>-3.8247566063978784E-3</v>
      </c>
    </row>
    <row r="1189" spans="1:3">
      <c r="A1189" s="3">
        <f ca="1">IFERROR(__xludf.UNSUPPORTED("""COMPUTED_VALUE"""),45189.6666666666)</f>
        <v>45189.666666666599</v>
      </c>
      <c r="B1189" s="1">
        <f ca="1">IFERROR(__xludf.UNSUPPORTED("""COMPUTED_VALUE"""),28.55)</f>
        <v>28.55</v>
      </c>
      <c r="C1189" s="2">
        <f t="shared" ca="1" si="4"/>
        <v>-3.4904013961604844E-3</v>
      </c>
    </row>
    <row r="1190" spans="1:3">
      <c r="A1190" s="3">
        <f ca="1">IFERROR(__xludf.UNSUPPORTED("""COMPUTED_VALUE"""),45190.6666666666)</f>
        <v>45190.666666666599</v>
      </c>
      <c r="B1190" s="1">
        <f ca="1">IFERROR(__xludf.UNSUPPORTED("""COMPUTED_VALUE"""),28.05)</f>
        <v>28.05</v>
      </c>
      <c r="C1190" s="2">
        <f t="shared" ca="1" si="4"/>
        <v>-1.7513134851138354E-2</v>
      </c>
    </row>
    <row r="1191" spans="1:3">
      <c r="A1191" s="3">
        <f ca="1">IFERROR(__xludf.UNSUPPORTED("""COMPUTED_VALUE"""),45191.6666666666)</f>
        <v>45191.666666666599</v>
      </c>
      <c r="B1191" s="1">
        <f ca="1">IFERROR(__xludf.UNSUPPORTED("""COMPUTED_VALUE"""),27.64)</f>
        <v>27.64</v>
      </c>
      <c r="C1191" s="2">
        <f t="shared" ca="1" si="4"/>
        <v>-1.4616755793226386E-2</v>
      </c>
    </row>
    <row r="1192" spans="1:3">
      <c r="A1192" s="3">
        <f ca="1">IFERROR(__xludf.UNSUPPORTED("""COMPUTED_VALUE"""),45194.6666666666)</f>
        <v>45194.666666666599</v>
      </c>
      <c r="B1192" s="1">
        <f ca="1">IFERROR(__xludf.UNSUPPORTED("""COMPUTED_VALUE"""),27.6)</f>
        <v>27.6</v>
      </c>
      <c r="C1192" s="2">
        <f t="shared" ca="1" si="4"/>
        <v>-1.4471780028943251E-3</v>
      </c>
    </row>
    <row r="1193" spans="1:3">
      <c r="A1193" s="3">
        <f ca="1">IFERROR(__xludf.UNSUPPORTED("""COMPUTED_VALUE"""),45195.6666666666)</f>
        <v>45195.666666666599</v>
      </c>
      <c r="B1193" s="1">
        <f ca="1">IFERROR(__xludf.UNSUPPORTED("""COMPUTED_VALUE"""),27.17)</f>
        <v>27.17</v>
      </c>
      <c r="C1193" s="2">
        <f t="shared" ca="1" si="4"/>
        <v>-1.5579710144927525E-2</v>
      </c>
    </row>
    <row r="1194" spans="1:3">
      <c r="A1194" s="3">
        <f ca="1">IFERROR(__xludf.UNSUPPORTED("""COMPUTED_VALUE"""),45196.6666666666)</f>
        <v>45196.666666666599</v>
      </c>
      <c r="B1194" s="1">
        <f ca="1">IFERROR(__xludf.UNSUPPORTED("""COMPUTED_VALUE"""),27.27)</f>
        <v>27.27</v>
      </c>
      <c r="C1194" s="2">
        <f t="shared" ca="1" si="4"/>
        <v>3.6805299963193912E-3</v>
      </c>
    </row>
    <row r="1195" spans="1:3">
      <c r="A1195" s="3">
        <f ca="1">IFERROR(__xludf.UNSUPPORTED("""COMPUTED_VALUE"""),45197.6666666666)</f>
        <v>45197.666666666599</v>
      </c>
      <c r="B1195" s="1">
        <f ca="1">IFERROR(__xludf.UNSUPPORTED("""COMPUTED_VALUE"""),27.56)</f>
        <v>27.56</v>
      </c>
      <c r="C1195" s="2">
        <f t="shared" ca="1" si="4"/>
        <v>1.0634396773010603E-2</v>
      </c>
    </row>
    <row r="1196" spans="1:3">
      <c r="A1196" s="3">
        <f ca="1">IFERROR(__xludf.UNSUPPORTED("""COMPUTED_VALUE"""),45198.6666666666)</f>
        <v>45198.666666666599</v>
      </c>
      <c r="B1196" s="1">
        <f ca="1">IFERROR(__xludf.UNSUPPORTED("""COMPUTED_VALUE"""),27.38)</f>
        <v>27.38</v>
      </c>
      <c r="C1196" s="2">
        <f t="shared" ca="1" si="4"/>
        <v>-6.5312046444121813E-3</v>
      </c>
    </row>
    <row r="1197" spans="1:3">
      <c r="A1197" s="3">
        <f ca="1">IFERROR(__xludf.UNSUPPORTED("""COMPUTED_VALUE"""),45201.6666666666)</f>
        <v>45201.666666666599</v>
      </c>
      <c r="B1197" s="1">
        <f ca="1">IFERROR(__xludf.UNSUPPORTED("""COMPUTED_VALUE"""),26.7)</f>
        <v>26.7</v>
      </c>
      <c r="C1197" s="2">
        <f t="shared" ca="1" si="4"/>
        <v>-2.483564645726807E-2</v>
      </c>
    </row>
    <row r="1198" spans="1:3">
      <c r="A1198" s="3">
        <f ca="1">IFERROR(__xludf.UNSUPPORTED("""COMPUTED_VALUE"""),45202.6666666666)</f>
        <v>45202.666666666599</v>
      </c>
      <c r="B1198" s="1">
        <f ca="1">IFERROR(__xludf.UNSUPPORTED("""COMPUTED_VALUE"""),25.91)</f>
        <v>25.91</v>
      </c>
      <c r="C1198" s="2">
        <f t="shared" ca="1" si="4"/>
        <v>-2.9588014981273378E-2</v>
      </c>
    </row>
    <row r="1199" spans="1:3">
      <c r="A1199" s="3">
        <f ca="1">IFERROR(__xludf.UNSUPPORTED("""COMPUTED_VALUE"""),45203.6666666666)</f>
        <v>45203.666666666599</v>
      </c>
      <c r="B1199" s="1">
        <f ca="1">IFERROR(__xludf.UNSUPPORTED("""COMPUTED_VALUE"""),25.94)</f>
        <v>25.94</v>
      </c>
      <c r="C1199" s="2">
        <f t="shared" ca="1" si="4"/>
        <v>1.1578541103821358E-3</v>
      </c>
    </row>
    <row r="1200" spans="1:3">
      <c r="A1200" s="3">
        <f ca="1">IFERROR(__xludf.UNSUPPORTED("""COMPUTED_VALUE"""),45204.6666666666)</f>
        <v>45204.666666666599</v>
      </c>
      <c r="B1200" s="1">
        <f ca="1">IFERROR(__xludf.UNSUPPORTED("""COMPUTED_VALUE"""),26.06)</f>
        <v>26.06</v>
      </c>
      <c r="C1200" s="2">
        <f t="shared" ca="1" si="4"/>
        <v>4.6260601387817053E-3</v>
      </c>
    </row>
    <row r="1201" spans="1:3">
      <c r="A1201" s="3">
        <f ca="1">IFERROR(__xludf.UNSUPPORTED("""COMPUTED_VALUE"""),45205.6666666666)</f>
        <v>45205.666666666599</v>
      </c>
      <c r="B1201" s="1">
        <f ca="1">IFERROR(__xludf.UNSUPPORTED("""COMPUTED_VALUE"""),26.07)</f>
        <v>26.07</v>
      </c>
      <c r="C1201" s="2">
        <f t="shared" ca="1" si="4"/>
        <v>3.8372985418271542E-4</v>
      </c>
    </row>
    <row r="1202" spans="1:3">
      <c r="A1202" s="3">
        <f ca="1">IFERROR(__xludf.UNSUPPORTED("""COMPUTED_VALUE"""),45208.6666666666)</f>
        <v>45208.666666666599</v>
      </c>
      <c r="B1202" s="1">
        <f ca="1">IFERROR(__xludf.UNSUPPORTED("""COMPUTED_VALUE"""),26.31)</f>
        <v>26.31</v>
      </c>
      <c r="C1202" s="2">
        <f t="shared" ca="1" si="4"/>
        <v>9.2059838895281326E-3</v>
      </c>
    </row>
    <row r="1203" spans="1:3">
      <c r="A1203" s="3">
        <f ca="1">IFERROR(__xludf.UNSUPPORTED("""COMPUTED_VALUE"""),45209.6666666666)</f>
        <v>45209.666666666599</v>
      </c>
      <c r="B1203" s="1">
        <f ca="1">IFERROR(__xludf.UNSUPPORTED("""COMPUTED_VALUE"""),27.01)</f>
        <v>27.01</v>
      </c>
      <c r="C1203" s="2">
        <f t="shared" ca="1" si="4"/>
        <v>2.660585328772341E-2</v>
      </c>
    </row>
    <row r="1204" spans="1:3">
      <c r="A1204" s="3">
        <f ca="1">IFERROR(__xludf.UNSUPPORTED("""COMPUTED_VALUE"""),45210.6666666666)</f>
        <v>45210.666666666599</v>
      </c>
      <c r="B1204" s="1">
        <f ca="1">IFERROR(__xludf.UNSUPPORTED("""COMPUTED_VALUE"""),27.02)</f>
        <v>27.02</v>
      </c>
      <c r="C1204" s="2">
        <f t="shared" ca="1" si="4"/>
        <v>3.7023324694550206E-4</v>
      </c>
    </row>
    <row r="1205" spans="1:3">
      <c r="A1205" s="3">
        <f ca="1">IFERROR(__xludf.UNSUPPORTED("""COMPUTED_VALUE"""),45211.6666666666)</f>
        <v>45211.666666666599</v>
      </c>
      <c r="B1205" s="1">
        <f ca="1">IFERROR(__xludf.UNSUPPORTED("""COMPUTED_VALUE"""),26.9)</f>
        <v>26.9</v>
      </c>
      <c r="C1205" s="2">
        <f t="shared" ca="1" si="4"/>
        <v>-4.4411547002220948E-3</v>
      </c>
    </row>
    <row r="1206" spans="1:3">
      <c r="A1206" s="3">
        <f ca="1">IFERROR(__xludf.UNSUPPORTED("""COMPUTED_VALUE"""),45212.6666666666)</f>
        <v>45212.666666666599</v>
      </c>
      <c r="B1206" s="1">
        <f ca="1">IFERROR(__xludf.UNSUPPORTED("""COMPUTED_VALUE"""),26.76)</f>
        <v>26.76</v>
      </c>
      <c r="C1206" s="2">
        <f t="shared" ca="1" si="4"/>
        <v>-5.2044609665426404E-3</v>
      </c>
    </row>
    <row r="1207" spans="1:3">
      <c r="A1207" s="3">
        <f ca="1">IFERROR(__xludf.UNSUPPORTED("""COMPUTED_VALUE"""),45215.6666666666)</f>
        <v>45215.666666666599</v>
      </c>
      <c r="B1207" s="1">
        <f ca="1">IFERROR(__xludf.UNSUPPORTED("""COMPUTED_VALUE"""),26.99)</f>
        <v>26.99</v>
      </c>
      <c r="C1207" s="2">
        <f t="shared" ca="1" si="4"/>
        <v>8.594917787742783E-3</v>
      </c>
    </row>
    <row r="1208" spans="1:3">
      <c r="A1208" s="3">
        <f ca="1">IFERROR(__xludf.UNSUPPORTED("""COMPUTED_VALUE"""),45216.6666666666)</f>
        <v>45216.666666666599</v>
      </c>
      <c r="B1208" s="1">
        <f ca="1">IFERROR(__xludf.UNSUPPORTED("""COMPUTED_VALUE"""),27.62)</f>
        <v>27.62</v>
      </c>
      <c r="C1208" s="2">
        <f t="shared" ca="1" si="4"/>
        <v>2.3341978510559563E-2</v>
      </c>
    </row>
    <row r="1209" spans="1:3">
      <c r="A1209" s="3">
        <f ca="1">IFERROR(__xludf.UNSUPPORTED("""COMPUTED_VALUE"""),45217.6666666666)</f>
        <v>45217.666666666599</v>
      </c>
      <c r="B1209" s="1">
        <f ca="1">IFERROR(__xludf.UNSUPPORTED("""COMPUTED_VALUE"""),27.31)</f>
        <v>27.31</v>
      </c>
      <c r="C1209" s="2">
        <f t="shared" ca="1" si="4"/>
        <v>-1.1223750905141284E-2</v>
      </c>
    </row>
    <row r="1210" spans="1:3">
      <c r="A1210" s="3">
        <f ca="1">IFERROR(__xludf.UNSUPPORTED("""COMPUTED_VALUE"""),45218.6666666666)</f>
        <v>45218.666666666599</v>
      </c>
      <c r="B1210" s="1">
        <f ca="1">IFERROR(__xludf.UNSUPPORTED("""COMPUTED_VALUE"""),26.96)</f>
        <v>26.96</v>
      </c>
      <c r="C1210" s="2">
        <f t="shared" ca="1" si="4"/>
        <v>-1.2815818381545144E-2</v>
      </c>
    </row>
    <row r="1211" spans="1:3">
      <c r="A1211" s="3">
        <f ca="1">IFERROR(__xludf.UNSUPPORTED("""COMPUTED_VALUE"""),45219.6666666666)</f>
        <v>45219.666666666599</v>
      </c>
      <c r="B1211" s="1">
        <f ca="1">IFERROR(__xludf.UNSUPPORTED("""COMPUTED_VALUE"""),26.31)</f>
        <v>26.31</v>
      </c>
      <c r="C1211" s="2">
        <f t="shared" ca="1" si="4"/>
        <v>-2.4109792284866548E-2</v>
      </c>
    </row>
    <row r="1212" spans="1:3">
      <c r="A1212" s="3">
        <f ca="1">IFERROR(__xludf.UNSUPPORTED("""COMPUTED_VALUE"""),45222.6666666666)</f>
        <v>45222.666666666599</v>
      </c>
      <c r="B1212" s="1">
        <f ca="1">IFERROR(__xludf.UNSUPPORTED("""COMPUTED_VALUE"""),25.57)</f>
        <v>25.57</v>
      </c>
      <c r="C1212" s="2">
        <f t="shared" ca="1" si="4"/>
        <v>-2.8126187761307431E-2</v>
      </c>
    </row>
    <row r="1213" spans="1:3">
      <c r="A1213" s="3">
        <f ca="1">IFERROR(__xludf.UNSUPPORTED("""COMPUTED_VALUE"""),45223.6666666666)</f>
        <v>45223.666666666599</v>
      </c>
      <c r="B1213" s="1">
        <f ca="1">IFERROR(__xludf.UNSUPPORTED("""COMPUTED_VALUE"""),25.47)</f>
        <v>25.47</v>
      </c>
      <c r="C1213" s="2">
        <f t="shared" ca="1" si="4"/>
        <v>-3.9108330074306384E-3</v>
      </c>
    </row>
    <row r="1214" spans="1:3">
      <c r="A1214" s="3">
        <f ca="1">IFERROR(__xludf.UNSUPPORTED("""COMPUTED_VALUE"""),45224.6666666666)</f>
        <v>45224.666666666599</v>
      </c>
      <c r="B1214" s="1">
        <f ca="1">IFERROR(__xludf.UNSUPPORTED("""COMPUTED_VALUE"""),25.55)</f>
        <v>25.55</v>
      </c>
      <c r="C1214" s="2">
        <f t="shared" ca="1" si="4"/>
        <v>3.140950137416641E-3</v>
      </c>
    </row>
    <row r="1215" spans="1:3">
      <c r="A1215" s="3">
        <f ca="1">IFERROR(__xludf.UNSUPPORTED("""COMPUTED_VALUE"""),45225.6666666666)</f>
        <v>45225.666666666599</v>
      </c>
      <c r="B1215" s="1">
        <f ca="1">IFERROR(__xludf.UNSUPPORTED("""COMPUTED_VALUE"""),26.12)</f>
        <v>26.12</v>
      </c>
      <c r="C1215" s="2">
        <f t="shared" ca="1" si="4"/>
        <v>2.2309197651663417E-2</v>
      </c>
    </row>
    <row r="1216" spans="1:3">
      <c r="A1216" s="3">
        <f ca="1">IFERROR(__xludf.UNSUPPORTED("""COMPUTED_VALUE"""),45226.6666666666)</f>
        <v>45226.666666666599</v>
      </c>
      <c r="B1216" s="1">
        <f ca="1">IFERROR(__xludf.UNSUPPORTED("""COMPUTED_VALUE"""),25.17)</f>
        <v>25.17</v>
      </c>
      <c r="C1216" s="2">
        <f t="shared" ca="1" si="4"/>
        <v>-3.6370597243491551E-2</v>
      </c>
    </row>
    <row r="1217" spans="1:3">
      <c r="A1217" s="3">
        <f ca="1">IFERROR(__xludf.UNSUPPORTED("""COMPUTED_VALUE"""),45229.6666666666)</f>
        <v>45229.666666666599</v>
      </c>
      <c r="B1217" s="1">
        <f ca="1">IFERROR(__xludf.UNSUPPORTED("""COMPUTED_VALUE"""),25.69)</f>
        <v>25.69</v>
      </c>
      <c r="C1217" s="2">
        <f t="shared" ca="1" si="4"/>
        <v>2.0659515295987269E-2</v>
      </c>
    </row>
    <row r="1218" spans="1:3">
      <c r="A1218" s="3">
        <f ca="1">IFERROR(__xludf.UNSUPPORTED("""COMPUTED_VALUE"""),45230.6666666666)</f>
        <v>45230.666666666599</v>
      </c>
      <c r="B1218" s="1">
        <f ca="1">IFERROR(__xludf.UNSUPPORTED("""COMPUTED_VALUE"""),26.34)</f>
        <v>26.34</v>
      </c>
      <c r="C1218" s="2">
        <f t="shared" ca="1" si="4"/>
        <v>2.5301673803036145E-2</v>
      </c>
    </row>
    <row r="1219" spans="1:3">
      <c r="A1219" s="3">
        <f ca="1">IFERROR(__xludf.UNSUPPORTED("""COMPUTED_VALUE"""),45231.6666666666)</f>
        <v>45231.666666666599</v>
      </c>
      <c r="B1219" s="1">
        <f ca="1">IFERROR(__xludf.UNSUPPORTED("""COMPUTED_VALUE"""),26.4)</f>
        <v>26.4</v>
      </c>
      <c r="C1219" s="2">
        <f t="shared" ca="1" si="4"/>
        <v>2.2779043280181746E-3</v>
      </c>
    </row>
    <row r="1220" spans="1:3">
      <c r="A1220" s="3">
        <f ca="1">IFERROR(__xludf.UNSUPPORTED("""COMPUTED_VALUE"""),45232.6666666666)</f>
        <v>45232.666666666599</v>
      </c>
      <c r="B1220" s="1">
        <f ca="1">IFERROR(__xludf.UNSUPPORTED("""COMPUTED_VALUE"""),27.62)</f>
        <v>27.62</v>
      </c>
      <c r="C1220" s="2">
        <f t="shared" ca="1" si="4"/>
        <v>4.6212121212121308E-2</v>
      </c>
    </row>
    <row r="1221" spans="1:3">
      <c r="A1221" s="3">
        <f ca="1">IFERROR(__xludf.UNSUPPORTED("""COMPUTED_VALUE"""),45233.6666666666)</f>
        <v>45233.666666666599</v>
      </c>
      <c r="B1221" s="1">
        <f ca="1">IFERROR(__xludf.UNSUPPORTED("""COMPUTED_VALUE"""),28.42)</f>
        <v>28.42</v>
      </c>
      <c r="C1221" s="2">
        <f t="shared" ca="1" si="4"/>
        <v>2.8964518464880545E-2</v>
      </c>
    </row>
    <row r="1222" spans="1:3">
      <c r="A1222" s="3">
        <f ca="1">IFERROR(__xludf.UNSUPPORTED("""COMPUTED_VALUE"""),45236.6666666666)</f>
        <v>45236.666666666599</v>
      </c>
      <c r="B1222" s="1">
        <f ca="1">IFERROR(__xludf.UNSUPPORTED("""COMPUTED_VALUE"""),28.33)</f>
        <v>28.33</v>
      </c>
      <c r="C1222" s="2">
        <f t="shared" ca="1" si="4"/>
        <v>-3.1667839549614145E-3</v>
      </c>
    </row>
    <row r="1223" spans="1:3">
      <c r="A1223" s="3">
        <f ca="1">IFERROR(__xludf.UNSUPPORTED("""COMPUTED_VALUE"""),45237.6666666666)</f>
        <v>45237.666666666599</v>
      </c>
      <c r="B1223" s="1">
        <f ca="1">IFERROR(__xludf.UNSUPPORTED("""COMPUTED_VALUE"""),28.16)</f>
        <v>28.16</v>
      </c>
      <c r="C1223" s="2">
        <f t="shared" ca="1" si="4"/>
        <v>-6.00070596540763E-3</v>
      </c>
    </row>
    <row r="1224" spans="1:3">
      <c r="A1224" s="3">
        <f ca="1">IFERROR(__xludf.UNSUPPORTED("""COMPUTED_VALUE"""),45238.6666666666)</f>
        <v>45238.666666666599</v>
      </c>
      <c r="B1224" s="1">
        <f ca="1">IFERROR(__xludf.UNSUPPORTED("""COMPUTED_VALUE"""),27.89)</f>
        <v>27.89</v>
      </c>
      <c r="C1224" s="2">
        <f t="shared" ca="1" si="4"/>
        <v>-9.5880681818181664E-3</v>
      </c>
    </row>
    <row r="1225" spans="1:3">
      <c r="A1225" s="3">
        <f ca="1">IFERROR(__xludf.UNSUPPORTED("""COMPUTED_VALUE"""),45239.6666666666)</f>
        <v>45239.666666666599</v>
      </c>
      <c r="B1225" s="1">
        <f ca="1">IFERROR(__xludf.UNSUPPORTED("""COMPUTED_VALUE"""),27.53)</f>
        <v>27.53</v>
      </c>
      <c r="C1225" s="2">
        <f t="shared" ca="1" si="4"/>
        <v>-1.2907852276801701E-2</v>
      </c>
    </row>
    <row r="1226" spans="1:3">
      <c r="A1226" s="3">
        <f ca="1">IFERROR(__xludf.UNSUPPORTED("""COMPUTED_VALUE"""),45240.6666666666)</f>
        <v>45240.666666666599</v>
      </c>
      <c r="B1226" s="1">
        <f ca="1">IFERROR(__xludf.UNSUPPORTED("""COMPUTED_VALUE"""),27.68)</f>
        <v>27.68</v>
      </c>
      <c r="C1226" s="2">
        <f t="shared" ca="1" si="4"/>
        <v>5.4486015256083754E-3</v>
      </c>
    </row>
    <row r="1227" spans="1:3">
      <c r="A1227" s="3">
        <f ca="1">IFERROR(__xludf.UNSUPPORTED("""COMPUTED_VALUE"""),45243.6666666666)</f>
        <v>45243.666666666599</v>
      </c>
      <c r="B1227" s="1">
        <f ca="1">IFERROR(__xludf.UNSUPPORTED("""COMPUTED_VALUE"""),27.7)</f>
        <v>27.7</v>
      </c>
      <c r="C1227" s="2">
        <f t="shared" ca="1" si="4"/>
        <v>7.2254335260114064E-4</v>
      </c>
    </row>
    <row r="1228" spans="1:3">
      <c r="A1228" s="3">
        <f ca="1">IFERROR(__xludf.UNSUPPORTED("""COMPUTED_VALUE"""),45244.6666666666)</f>
        <v>45244.666666666599</v>
      </c>
      <c r="B1228" s="1">
        <f ca="1">IFERROR(__xludf.UNSUPPORTED("""COMPUTED_VALUE"""),29.22)</f>
        <v>29.22</v>
      </c>
      <c r="C1228" s="2">
        <f t="shared" ca="1" si="4"/>
        <v>5.487364620938627E-2</v>
      </c>
    </row>
    <row r="1229" spans="1:3">
      <c r="A1229" s="3">
        <f ca="1">IFERROR(__xludf.UNSUPPORTED("""COMPUTED_VALUE"""),45245.6666666666)</f>
        <v>45245.666666666599</v>
      </c>
      <c r="B1229" s="1">
        <f ca="1">IFERROR(__xludf.UNSUPPORTED("""COMPUTED_VALUE"""),29.62)</f>
        <v>29.62</v>
      </c>
      <c r="C1229" s="2">
        <f t="shared" ca="1" si="4"/>
        <v>1.368925393566058E-2</v>
      </c>
    </row>
    <row r="1230" spans="1:3">
      <c r="A1230" s="3">
        <f ca="1">IFERROR(__xludf.UNSUPPORTED("""COMPUTED_VALUE"""),45246.6666666666)</f>
        <v>45246.666666666599</v>
      </c>
      <c r="B1230" s="1">
        <f ca="1">IFERROR(__xludf.UNSUPPORTED("""COMPUTED_VALUE"""),29.54)</f>
        <v>29.54</v>
      </c>
      <c r="C1230" s="2">
        <f t="shared" ca="1" si="4"/>
        <v>-2.7008777852802783E-3</v>
      </c>
    </row>
    <row r="1231" spans="1:3">
      <c r="A1231" s="3">
        <f ca="1">IFERROR(__xludf.UNSUPPORTED("""COMPUTED_VALUE"""),45247.6666666666)</f>
        <v>45247.666666666599</v>
      </c>
      <c r="B1231" s="1">
        <f ca="1">IFERROR(__xludf.UNSUPPORTED("""COMPUTED_VALUE"""),29.98)</f>
        <v>29.98</v>
      </c>
      <c r="C1231" s="2">
        <f t="shared" ca="1" si="4"/>
        <v>1.4895057549086028E-2</v>
      </c>
    </row>
    <row r="1232" spans="1:3">
      <c r="A1232" s="3">
        <f ca="1">IFERROR(__xludf.UNSUPPORTED("""COMPUTED_VALUE"""),45250.6666666666)</f>
        <v>45250.666666666599</v>
      </c>
      <c r="B1232" s="1">
        <f ca="1">IFERROR(__xludf.UNSUPPORTED("""COMPUTED_VALUE"""),30.01)</f>
        <v>30.01</v>
      </c>
      <c r="C1232" s="2">
        <f t="shared" ca="1" si="4"/>
        <v>1.0006671114076429E-3</v>
      </c>
    </row>
    <row r="1233" spans="1:3">
      <c r="A1233" s="3">
        <f ca="1">IFERROR(__xludf.UNSUPPORTED("""COMPUTED_VALUE"""),45251.6666666666)</f>
        <v>45251.666666666599</v>
      </c>
      <c r="B1233" s="1">
        <f ca="1">IFERROR(__xludf.UNSUPPORTED("""COMPUTED_VALUE"""),29.66)</f>
        <v>29.66</v>
      </c>
      <c r="C1233" s="2">
        <f t="shared" ca="1" si="4"/>
        <v>-1.1662779073642167E-2</v>
      </c>
    </row>
    <row r="1234" spans="1:3">
      <c r="A1234" s="3">
        <f ca="1">IFERROR(__xludf.UNSUPPORTED("""COMPUTED_VALUE"""),45252.6666666666)</f>
        <v>45252.666666666599</v>
      </c>
      <c r="B1234" s="1">
        <f ca="1">IFERROR(__xludf.UNSUPPORTED("""COMPUTED_VALUE"""),29.63)</f>
        <v>29.63</v>
      </c>
      <c r="C1234" s="2">
        <f t="shared" ca="1" si="4"/>
        <v>-1.0114632501686156E-3</v>
      </c>
    </row>
    <row r="1235" spans="1:3">
      <c r="A1235" s="3">
        <f ca="1">IFERROR(__xludf.UNSUPPORTED("""COMPUTED_VALUE"""),45254.5416666666)</f>
        <v>45254.541666666599</v>
      </c>
      <c r="B1235" s="1">
        <f ca="1">IFERROR(__xludf.UNSUPPORTED("""COMPUTED_VALUE"""),29.73)</f>
        <v>29.73</v>
      </c>
      <c r="C1235" s="2">
        <f t="shared" ca="1" si="4"/>
        <v>3.374957813027385E-3</v>
      </c>
    </row>
    <row r="1236" spans="1:3">
      <c r="A1236" s="3">
        <f ca="1">IFERROR(__xludf.UNSUPPORTED("""COMPUTED_VALUE"""),45257.6666666666)</f>
        <v>45257.666666666599</v>
      </c>
      <c r="B1236" s="1">
        <f ca="1">IFERROR(__xludf.UNSUPPORTED("""COMPUTED_VALUE"""),29.56)</f>
        <v>29.56</v>
      </c>
      <c r="C1236" s="2">
        <f t="shared" ca="1" si="4"/>
        <v>-5.7181298351833736E-3</v>
      </c>
    </row>
    <row r="1237" spans="1:3">
      <c r="A1237" s="3">
        <f ca="1">IFERROR(__xludf.UNSUPPORTED("""COMPUTED_VALUE"""),45258.6666666666)</f>
        <v>45258.666666666599</v>
      </c>
      <c r="B1237" s="1">
        <f ca="1">IFERROR(__xludf.UNSUPPORTED("""COMPUTED_VALUE"""),29.53)</f>
        <v>29.53</v>
      </c>
      <c r="C1237" s="2">
        <f t="shared" ca="1" si="4"/>
        <v>-1.0148849797022186E-3</v>
      </c>
    </row>
    <row r="1238" spans="1:3">
      <c r="A1238" s="3">
        <f ca="1">IFERROR(__xludf.UNSUPPORTED("""COMPUTED_VALUE"""),45259.6666666666)</f>
        <v>45259.666666666599</v>
      </c>
      <c r="B1238" s="1">
        <f ca="1">IFERROR(__xludf.UNSUPPORTED("""COMPUTED_VALUE"""),30.31)</f>
        <v>30.31</v>
      </c>
      <c r="C1238" s="2">
        <f t="shared" ca="1" si="4"/>
        <v>2.6413816457839401E-2</v>
      </c>
    </row>
    <row r="1239" spans="1:3">
      <c r="A1239" s="3">
        <f ca="1">IFERROR(__xludf.UNSUPPORTED("""COMPUTED_VALUE"""),45260.6666666666)</f>
        <v>45260.666666666599</v>
      </c>
      <c r="B1239" s="1">
        <f ca="1">IFERROR(__xludf.UNSUPPORTED("""COMPUTED_VALUE"""),30.49)</f>
        <v>30.49</v>
      </c>
      <c r="C1239" s="2">
        <f t="shared" ca="1" si="4"/>
        <v>5.9386341141537359E-3</v>
      </c>
    </row>
    <row r="1240" spans="1:3">
      <c r="A1240" s="3">
        <f ca="1">IFERROR(__xludf.UNSUPPORTED("""COMPUTED_VALUE"""),45261.6666666666)</f>
        <v>45261.666666666599</v>
      </c>
      <c r="B1240" s="1">
        <f ca="1">IFERROR(__xludf.UNSUPPORTED("""COMPUTED_VALUE"""),30.96)</f>
        <v>30.96</v>
      </c>
      <c r="C1240" s="2">
        <f t="shared" ca="1" si="4"/>
        <v>1.541489012791087E-2</v>
      </c>
    </row>
    <row r="1241" spans="1:3">
      <c r="A1241" s="3">
        <f ca="1">IFERROR(__xludf.UNSUPPORTED("""COMPUTED_VALUE"""),45264.6666666666)</f>
        <v>45264.666666666599</v>
      </c>
      <c r="B1241" s="1">
        <f ca="1">IFERROR(__xludf.UNSUPPORTED("""COMPUTED_VALUE"""),30.82)</f>
        <v>30.82</v>
      </c>
      <c r="C1241" s="2">
        <f t="shared" ca="1" si="4"/>
        <v>-4.5219638242894235E-3</v>
      </c>
    </row>
    <row r="1242" spans="1:3">
      <c r="A1242" s="3">
        <f ca="1">IFERROR(__xludf.UNSUPPORTED("""COMPUTED_VALUE"""),45265.6666666666)</f>
        <v>45265.666666666599</v>
      </c>
      <c r="B1242" s="1">
        <f ca="1">IFERROR(__xludf.UNSUPPORTED("""COMPUTED_VALUE"""),30.58)</f>
        <v>30.58</v>
      </c>
      <c r="C1242" s="2">
        <f t="shared" ca="1" si="4"/>
        <v>-7.787151200519208E-3</v>
      </c>
    </row>
    <row r="1243" spans="1:3">
      <c r="A1243" s="3">
        <f ca="1">IFERROR(__xludf.UNSUPPORTED("""COMPUTED_VALUE"""),45266.6666666666)</f>
        <v>45266.666666666599</v>
      </c>
      <c r="B1243" s="1">
        <f ca="1">IFERROR(__xludf.UNSUPPORTED("""COMPUTED_VALUE"""),30.53)</f>
        <v>30.53</v>
      </c>
      <c r="C1243" s="2">
        <f t="shared" ca="1" si="4"/>
        <v>-1.6350555918900314E-3</v>
      </c>
    </row>
    <row r="1244" spans="1:3">
      <c r="A1244" s="3">
        <f ca="1">IFERROR(__xludf.UNSUPPORTED("""COMPUTED_VALUE"""),45267.6666666666)</f>
        <v>45267.666666666599</v>
      </c>
      <c r="B1244" s="1">
        <f ca="1">IFERROR(__xludf.UNSUPPORTED("""COMPUTED_VALUE"""),30.66)</f>
        <v>30.66</v>
      </c>
      <c r="C1244" s="2">
        <f t="shared" ca="1" si="4"/>
        <v>4.258106780216148E-3</v>
      </c>
    </row>
    <row r="1245" spans="1:3">
      <c r="A1245" s="3">
        <f ca="1">IFERROR(__xludf.UNSUPPORTED("""COMPUTED_VALUE"""),45268.6666666666)</f>
        <v>45268.666666666599</v>
      </c>
      <c r="B1245" s="1">
        <f ca="1">IFERROR(__xludf.UNSUPPORTED("""COMPUTED_VALUE"""),30.96)</f>
        <v>30.96</v>
      </c>
      <c r="C1245" s="2">
        <f t="shared" ca="1" si="4"/>
        <v>9.7847358121330962E-3</v>
      </c>
    </row>
    <row r="1246" spans="1:3">
      <c r="A1246" s="3">
        <f ca="1">IFERROR(__xludf.UNSUPPORTED("""COMPUTED_VALUE"""),45271.6666666666)</f>
        <v>45271.666666666599</v>
      </c>
      <c r="B1246" s="1">
        <f ca="1">IFERROR(__xludf.UNSUPPORTED("""COMPUTED_VALUE"""),30.85)</f>
        <v>30.85</v>
      </c>
      <c r="C1246" s="2">
        <f t="shared" ca="1" si="4"/>
        <v>-3.5529715762273716E-3</v>
      </c>
    </row>
    <row r="1247" spans="1:3">
      <c r="A1247" s="3">
        <f ca="1">IFERROR(__xludf.UNSUPPORTED("""COMPUTED_VALUE"""),45272.6666666666)</f>
        <v>45272.666666666599</v>
      </c>
      <c r="B1247" s="1">
        <f ca="1">IFERROR(__xludf.UNSUPPORTED("""COMPUTED_VALUE"""),30.74)</f>
        <v>30.74</v>
      </c>
      <c r="C1247" s="2">
        <f t="shared" ca="1" si="4"/>
        <v>-3.5656401944895617E-3</v>
      </c>
    </row>
    <row r="1248" spans="1:3">
      <c r="A1248" s="3">
        <f ca="1">IFERROR(__xludf.UNSUPPORTED("""COMPUTED_VALUE"""),45273.6666666666)</f>
        <v>45273.666666666599</v>
      </c>
      <c r="B1248" s="1">
        <f ca="1">IFERROR(__xludf.UNSUPPORTED("""COMPUTED_VALUE"""),32.04)</f>
        <v>32.04</v>
      </c>
      <c r="C1248" s="2">
        <f t="shared" ca="1" si="4"/>
        <v>4.2290175666883562E-2</v>
      </c>
    </row>
    <row r="1249" spans="1:3">
      <c r="A1249" s="3">
        <f ca="1">IFERROR(__xludf.UNSUPPORTED("""COMPUTED_VALUE"""),45274.6666666666)</f>
        <v>45274.666666666599</v>
      </c>
      <c r="B1249" s="1">
        <f ca="1">IFERROR(__xludf.UNSUPPORTED("""COMPUTED_VALUE"""),33.94)</f>
        <v>33.94</v>
      </c>
      <c r="C1249" s="2">
        <f t="shared" ca="1" si="4"/>
        <v>5.9300873907615438E-2</v>
      </c>
    </row>
    <row r="1250" spans="1:3">
      <c r="A1250" s="3">
        <f ca="1">IFERROR(__xludf.UNSUPPORTED("""COMPUTED_VALUE"""),45275.6666666666)</f>
        <v>45275.666666666599</v>
      </c>
      <c r="B1250" s="1">
        <f ca="1">IFERROR(__xludf.UNSUPPORTED("""COMPUTED_VALUE"""),33.6)</f>
        <v>33.6</v>
      </c>
      <c r="C1250" s="2">
        <f t="shared" ca="1" si="4"/>
        <v>-1.0017678255745325E-2</v>
      </c>
    </row>
    <row r="1251" spans="1:3">
      <c r="A1251" s="3">
        <f ca="1">IFERROR(__xludf.UNSUPPORTED("""COMPUTED_VALUE"""),45278.6666666666)</f>
        <v>45278.666666666599</v>
      </c>
      <c r="B1251" s="1">
        <f ca="1">IFERROR(__xludf.UNSUPPORTED("""COMPUTED_VALUE"""),33.43)</f>
        <v>33.43</v>
      </c>
      <c r="C1251" s="2">
        <f t="shared" ca="1" si="4"/>
        <v>-5.0595238095238601E-3</v>
      </c>
    </row>
    <row r="1252" spans="1:3">
      <c r="A1252" s="3">
        <f ca="1">IFERROR(__xludf.UNSUPPORTED("""COMPUTED_VALUE"""),45279.6666666666)</f>
        <v>45279.666666666599</v>
      </c>
      <c r="B1252" s="1">
        <f ca="1">IFERROR(__xludf.UNSUPPORTED("""COMPUTED_VALUE"""),33.51)</f>
        <v>33.51</v>
      </c>
      <c r="C1252" s="2">
        <f t="shared" ca="1" si="4"/>
        <v>2.3930601256356055E-3</v>
      </c>
    </row>
    <row r="1253" spans="1:3">
      <c r="A1253" s="3">
        <f ca="1">IFERROR(__xludf.UNSUPPORTED("""COMPUTED_VALUE"""),45280.6666666666)</f>
        <v>45280.666666666599</v>
      </c>
      <c r="B1253" s="1">
        <f ca="1">IFERROR(__xludf.UNSUPPORTED("""COMPUTED_VALUE"""),32.98)</f>
        <v>32.979999999999997</v>
      </c>
      <c r="C1253" s="2">
        <f t="shared" ca="1" si="4"/>
        <v>-1.5816174276335457E-2</v>
      </c>
    </row>
    <row r="1254" spans="1:3">
      <c r="A1254" s="3">
        <f ca="1">IFERROR(__xludf.UNSUPPORTED("""COMPUTED_VALUE"""),45281.6666666666)</f>
        <v>45281.666666666599</v>
      </c>
      <c r="B1254" s="1">
        <f ca="1">IFERROR(__xludf.UNSUPPORTED("""COMPUTED_VALUE"""),33.2)</f>
        <v>33.200000000000003</v>
      </c>
      <c r="C1254" s="2">
        <f t="shared" ca="1" si="4"/>
        <v>6.6707095209219526E-3</v>
      </c>
    </row>
    <row r="1255" spans="1:3">
      <c r="A1255" s="3">
        <f ca="1">IFERROR(__xludf.UNSUPPORTED("""COMPUTED_VALUE"""),45282.6666666666)</f>
        <v>45282.666666666599</v>
      </c>
      <c r="B1255" s="1">
        <f ca="1">IFERROR(__xludf.UNSUPPORTED("""COMPUTED_VALUE"""),33.43)</f>
        <v>33.43</v>
      </c>
      <c r="C1255" s="2">
        <f t="shared" ca="1" si="4"/>
        <v>6.927710843373399E-3</v>
      </c>
    </row>
    <row r="1256" spans="1:3">
      <c r="A1256" s="3">
        <f ca="1">IFERROR(__xludf.UNSUPPORTED("""COMPUTED_VALUE"""),45286.6666666666)</f>
        <v>45286.666666666599</v>
      </c>
      <c r="B1256" s="1">
        <f ca="1">IFERROR(__xludf.UNSUPPORTED("""COMPUTED_VALUE"""),33.86)</f>
        <v>33.86</v>
      </c>
      <c r="C1256" s="2">
        <f t="shared" ca="1" si="4"/>
        <v>1.2862698175291646E-2</v>
      </c>
    </row>
    <row r="1257" spans="1:3">
      <c r="A1257" s="3">
        <f ca="1">IFERROR(__xludf.UNSUPPORTED("""COMPUTED_VALUE"""),45287.6666666666)</f>
        <v>45287.666666666599</v>
      </c>
      <c r="B1257" s="1">
        <f ca="1">IFERROR(__xludf.UNSUPPORTED("""COMPUTED_VALUE"""),33.84)</f>
        <v>33.840000000000003</v>
      </c>
      <c r="C1257" s="2">
        <f t="shared" ca="1" si="4"/>
        <v>-5.9066745422315476E-4</v>
      </c>
    </row>
    <row r="1258" spans="1:3">
      <c r="A1258" s="3">
        <f ca="1">IFERROR(__xludf.UNSUPPORTED("""COMPUTED_VALUE"""),45288.6666666666)</f>
        <v>45288.666666666599</v>
      </c>
      <c r="B1258" s="1">
        <f ca="1">IFERROR(__xludf.UNSUPPORTED("""COMPUTED_VALUE"""),33.88)</f>
        <v>33.880000000000003</v>
      </c>
      <c r="C1258" s="2">
        <f t="shared" ca="1" si="4"/>
        <v>1.1820330969266885E-3</v>
      </c>
    </row>
    <row r="1259" spans="1:3">
      <c r="A1259" s="3">
        <f ca="1">IFERROR(__xludf.UNSUPPORTED("""COMPUTED_VALUE"""),45289.6666666666)</f>
        <v>45289.666666666599</v>
      </c>
      <c r="B1259" s="1">
        <f ca="1">IFERROR(__xludf.UNSUPPORTED("""COMPUTED_VALUE"""),33.67)</f>
        <v>33.67</v>
      </c>
      <c r="C1259" s="2">
        <f t="shared" ca="1" si="4"/>
        <v>-6.198347107438041E-3</v>
      </c>
    </row>
    <row r="1260" spans="1:3">
      <c r="A1260" s="3">
        <f ca="1">IFERROR(__xludf.UNSUPPORTED("""COMPUTED_VALUE"""),45293.6666666666)</f>
        <v>45293.666666666599</v>
      </c>
      <c r="B1260" s="1">
        <f ca="1">IFERROR(__xludf.UNSUPPORTED("""COMPUTED_VALUE"""),33.9)</f>
        <v>33.9</v>
      </c>
      <c r="C1260" s="2">
        <f t="shared" ca="1" si="4"/>
        <v>6.831006831006738E-3</v>
      </c>
    </row>
    <row r="1261" spans="1:3">
      <c r="A1261" s="3">
        <f ca="1">IFERROR(__xludf.UNSUPPORTED("""COMPUTED_VALUE"""),45294.6666666666)</f>
        <v>45294.666666666599</v>
      </c>
      <c r="B1261" s="1">
        <f ca="1">IFERROR(__xludf.UNSUPPORTED("""COMPUTED_VALUE"""),33.53)</f>
        <v>33.53</v>
      </c>
      <c r="C1261" s="2">
        <f t="shared" ca="1" si="4"/>
        <v>-1.0914454277286061E-2</v>
      </c>
    </row>
    <row r="1262" spans="1:3">
      <c r="A1262" s="3">
        <f ca="1">IFERROR(__xludf.UNSUPPORTED("""COMPUTED_VALUE"""),45295.6666666666)</f>
        <v>45295.666666666599</v>
      </c>
      <c r="B1262" s="1">
        <f ca="1">IFERROR(__xludf.UNSUPPORTED("""COMPUTED_VALUE"""),33.8)</f>
        <v>33.799999999999997</v>
      </c>
      <c r="C1262" s="2">
        <f t="shared" ca="1" si="4"/>
        <v>8.0524903071874741E-3</v>
      </c>
    </row>
    <row r="1263" spans="1:3">
      <c r="A1263" s="3">
        <f ca="1">IFERROR(__xludf.UNSUPPORTED("""COMPUTED_VALUE"""),45296.6666666666)</f>
        <v>45296.666666666599</v>
      </c>
      <c r="B1263" s="1">
        <f ca="1">IFERROR(__xludf.UNSUPPORTED("""COMPUTED_VALUE"""),34.43)</f>
        <v>34.43</v>
      </c>
      <c r="C1263" s="2">
        <f t="shared" ca="1" si="4"/>
        <v>1.8639053254437946E-2</v>
      </c>
    </row>
    <row r="1264" spans="1:3">
      <c r="A1264" s="3">
        <f ca="1">IFERROR(__xludf.UNSUPPORTED("""COMPUTED_VALUE"""),45299.6666666666)</f>
        <v>45299.666666666599</v>
      </c>
      <c r="B1264" s="1">
        <f ca="1">IFERROR(__xludf.UNSUPPORTED("""COMPUTED_VALUE"""),34.16)</f>
        <v>34.159999999999997</v>
      </c>
      <c r="C1264" s="2">
        <f t="shared" ca="1" si="4"/>
        <v>-7.8419982573338116E-3</v>
      </c>
    </row>
    <row r="1265" spans="1:3">
      <c r="A1265" s="3">
        <f ca="1">IFERROR(__xludf.UNSUPPORTED("""COMPUTED_VALUE"""),45300.6666666666)</f>
        <v>45300.666666666599</v>
      </c>
      <c r="B1265" s="1">
        <f ca="1">IFERROR(__xludf.UNSUPPORTED("""COMPUTED_VALUE"""),33.63)</f>
        <v>33.630000000000003</v>
      </c>
      <c r="C1265" s="2">
        <f t="shared" ca="1" si="4"/>
        <v>-1.5515222482435424E-2</v>
      </c>
    </row>
    <row r="1266" spans="1:3">
      <c r="A1266" s="3">
        <f ca="1">IFERROR(__xludf.UNSUPPORTED("""COMPUTED_VALUE"""),45301.6666666666)</f>
        <v>45301.666666666599</v>
      </c>
      <c r="B1266" s="1">
        <f ca="1">IFERROR(__xludf.UNSUPPORTED("""COMPUTED_VALUE"""),33.6)</f>
        <v>33.6</v>
      </c>
      <c r="C1266" s="2">
        <f t="shared" ca="1" si="4"/>
        <v>-8.9206066012492225E-4</v>
      </c>
    </row>
    <row r="1267" spans="1:3">
      <c r="A1267" s="3">
        <f ca="1">IFERROR(__xludf.UNSUPPORTED("""COMPUTED_VALUE"""),45302.6666666666)</f>
        <v>45302.666666666599</v>
      </c>
      <c r="B1267" s="1">
        <f ca="1">IFERROR(__xludf.UNSUPPORTED("""COMPUTED_VALUE"""),33.15)</f>
        <v>33.15</v>
      </c>
      <c r="C1267" s="2">
        <f t="shared" ca="1" si="4"/>
        <v>-1.3392857142857227E-2</v>
      </c>
    </row>
    <row r="1268" spans="1:3">
      <c r="A1268" s="3">
        <f ca="1">IFERROR(__xludf.UNSUPPORTED("""COMPUTED_VALUE"""),45303.6666666666)</f>
        <v>45303.666666666599</v>
      </c>
      <c r="B1268" s="1">
        <f ca="1">IFERROR(__xludf.UNSUPPORTED("""COMPUTED_VALUE"""),32.8)</f>
        <v>32.799999999999997</v>
      </c>
      <c r="C1268" s="2">
        <f t="shared" ca="1" si="4"/>
        <v>-1.0558069381598837E-2</v>
      </c>
    </row>
    <row r="1269" spans="1:3">
      <c r="A1269" s="3">
        <f ca="1">IFERROR(__xludf.UNSUPPORTED("""COMPUTED_VALUE"""),45307.6666666666)</f>
        <v>45307.666666666599</v>
      </c>
      <c r="B1269" s="1">
        <f ca="1">IFERROR(__xludf.UNSUPPORTED("""COMPUTED_VALUE"""),32.12)</f>
        <v>32.119999999999997</v>
      </c>
      <c r="C1269" s="2">
        <f t="shared" ca="1" si="4"/>
        <v>-2.0731707317073165E-2</v>
      </c>
    </row>
    <row r="1270" spans="1:3">
      <c r="A1270" s="3">
        <f ca="1">IFERROR(__xludf.UNSUPPORTED("""COMPUTED_VALUE"""),45308.6666666666)</f>
        <v>45308.666666666599</v>
      </c>
      <c r="B1270" s="1">
        <f ca="1">IFERROR(__xludf.UNSUPPORTED("""COMPUTED_VALUE"""),31.8)</f>
        <v>31.8</v>
      </c>
      <c r="C1270" s="2">
        <f t="shared" ca="1" si="4"/>
        <v>-9.9626400996263003E-3</v>
      </c>
    </row>
    <row r="1271" spans="1:3">
      <c r="A1271" s="3">
        <f ca="1">IFERROR(__xludf.UNSUPPORTED("""COMPUTED_VALUE"""),45309.6666666666)</f>
        <v>45309.666666666599</v>
      </c>
      <c r="B1271" s="1">
        <f ca="1">IFERROR(__xludf.UNSUPPORTED("""COMPUTED_VALUE"""),31.73)</f>
        <v>31.73</v>
      </c>
      <c r="C1271" s="2">
        <f t="shared" ca="1" si="4"/>
        <v>-2.2012578616352292E-3</v>
      </c>
    </row>
    <row r="1272" spans="1:3">
      <c r="A1272" s="3">
        <f ca="1">IFERROR(__xludf.UNSUPPORTED("""COMPUTED_VALUE"""),45310.6666666666)</f>
        <v>45310.666666666599</v>
      </c>
      <c r="B1272" s="1">
        <f ca="1">IFERROR(__xludf.UNSUPPORTED("""COMPUTED_VALUE"""),32.22)</f>
        <v>32.22</v>
      </c>
      <c r="C1272" s="2">
        <f t="shared" ca="1" si="4"/>
        <v>1.5442798613299667E-2</v>
      </c>
    </row>
    <row r="1273" spans="1:3">
      <c r="A1273" s="3">
        <f ca="1">IFERROR(__xludf.UNSUPPORTED("""COMPUTED_VALUE"""),45313.6666666666)</f>
        <v>45313.666666666599</v>
      </c>
      <c r="B1273" s="1">
        <f ca="1">IFERROR(__xludf.UNSUPPORTED("""COMPUTED_VALUE"""),32.55)</f>
        <v>32.549999999999997</v>
      </c>
      <c r="C1273" s="2">
        <f t="shared" ca="1" si="4"/>
        <v>1.0242085661080022E-2</v>
      </c>
    </row>
    <row r="1274" spans="1:3">
      <c r="A1274" s="3">
        <f ca="1">IFERROR(__xludf.UNSUPPORTED("""COMPUTED_VALUE"""),45314.6666666666)</f>
        <v>45314.666666666599</v>
      </c>
      <c r="B1274" s="1">
        <f ca="1">IFERROR(__xludf.UNSUPPORTED("""COMPUTED_VALUE"""),32.77)</f>
        <v>32.770000000000003</v>
      </c>
      <c r="C1274" s="2">
        <f t="shared" ca="1" si="4"/>
        <v>6.7588325652843621E-3</v>
      </c>
    </row>
    <row r="1275" spans="1:3">
      <c r="A1275" s="3">
        <f ca="1">IFERROR(__xludf.UNSUPPORTED("""COMPUTED_VALUE"""),45315.6666666666)</f>
        <v>45315.666666666599</v>
      </c>
      <c r="B1275" s="1">
        <f ca="1">IFERROR(__xludf.UNSUPPORTED("""COMPUTED_VALUE"""),32.98)</f>
        <v>32.979999999999997</v>
      </c>
      <c r="C1275" s="2">
        <f t="shared" ca="1" si="4"/>
        <v>6.4083002746412486E-3</v>
      </c>
    </row>
    <row r="1276" spans="1:3">
      <c r="A1276" s="3">
        <f ca="1">IFERROR(__xludf.UNSUPPORTED("""COMPUTED_VALUE"""),45316.6666666666)</f>
        <v>45316.666666666599</v>
      </c>
      <c r="B1276" s="1">
        <f ca="1">IFERROR(__xludf.UNSUPPORTED("""COMPUTED_VALUE"""),33.39)</f>
        <v>33.39</v>
      </c>
      <c r="C1276" s="2">
        <f t="shared" ca="1" si="4"/>
        <v>1.2431776834445232E-2</v>
      </c>
    </row>
    <row r="1277" spans="1:3">
      <c r="A1277" s="3">
        <f ca="1">IFERROR(__xludf.UNSUPPORTED("""COMPUTED_VALUE"""),45317.6666666666)</f>
        <v>45317.666666666599</v>
      </c>
      <c r="B1277" s="1">
        <f ca="1">IFERROR(__xludf.UNSUPPORTED("""COMPUTED_VALUE"""),33.43)</f>
        <v>33.43</v>
      </c>
      <c r="C1277" s="2">
        <f t="shared" ca="1" si="4"/>
        <v>1.19796346211438E-3</v>
      </c>
    </row>
    <row r="1278" spans="1:3">
      <c r="A1278" s="3">
        <f ca="1">IFERROR(__xludf.UNSUPPORTED("""COMPUTED_VALUE"""),45320.6666666666)</f>
        <v>45320.666666666599</v>
      </c>
      <c r="B1278" s="1">
        <f ca="1">IFERROR(__xludf.UNSUPPORTED("""COMPUTED_VALUE"""),33.61)</f>
        <v>33.61</v>
      </c>
      <c r="C1278" s="2">
        <f t="shared" ref="C1278:C1532" ca="1" si="5">(B1278-B1277)/B1277</f>
        <v>5.3843852826802189E-3</v>
      </c>
    </row>
    <row r="1279" spans="1:3">
      <c r="A1279" s="3">
        <f ca="1">IFERROR(__xludf.UNSUPPORTED("""COMPUTED_VALUE"""),45321.6666666666)</f>
        <v>45321.666666666599</v>
      </c>
      <c r="B1279" s="1">
        <f ca="1">IFERROR(__xludf.UNSUPPORTED("""COMPUTED_VALUE"""),34.79)</f>
        <v>34.79</v>
      </c>
      <c r="C1279" s="2">
        <f t="shared" ca="1" si="5"/>
        <v>3.5108598631359705E-2</v>
      </c>
    </row>
    <row r="1280" spans="1:3">
      <c r="A1280" s="3">
        <f ca="1">IFERROR(__xludf.UNSUPPORTED("""COMPUTED_VALUE"""),45322.6666666666)</f>
        <v>45322.666666666599</v>
      </c>
      <c r="B1280" s="1">
        <f ca="1">IFERROR(__xludf.UNSUPPORTED("""COMPUTED_VALUE"""),34.01)</f>
        <v>34.01</v>
      </c>
      <c r="C1280" s="2">
        <f t="shared" ca="1" si="5"/>
        <v>-2.2420235699913801E-2</v>
      </c>
    </row>
    <row r="1281" spans="1:3">
      <c r="A1281" s="3">
        <f ca="1">IFERROR(__xludf.UNSUPPORTED("""COMPUTED_VALUE"""),45323.6666666666)</f>
        <v>45323.666666666599</v>
      </c>
      <c r="B1281" s="1">
        <f ca="1">IFERROR(__xludf.UNSUPPORTED("""COMPUTED_VALUE"""),33.55)</f>
        <v>33.549999999999997</v>
      </c>
      <c r="C1281" s="2">
        <f t="shared" ca="1" si="5"/>
        <v>-1.3525433695971799E-2</v>
      </c>
    </row>
    <row r="1282" spans="1:3">
      <c r="A1282" s="3">
        <f ca="1">IFERROR(__xludf.UNSUPPORTED("""COMPUTED_VALUE"""),45324.6666666666)</f>
        <v>45324.666666666599</v>
      </c>
      <c r="B1282" s="1">
        <f ca="1">IFERROR(__xludf.UNSUPPORTED("""COMPUTED_VALUE"""),33.47)</f>
        <v>33.47</v>
      </c>
      <c r="C1282" s="2">
        <f t="shared" ca="1" si="5"/>
        <v>-2.3845007451564321E-3</v>
      </c>
    </row>
    <row r="1283" spans="1:3">
      <c r="A1283" s="3">
        <f ca="1">IFERROR(__xludf.UNSUPPORTED("""COMPUTED_VALUE"""),45327.6666666666)</f>
        <v>45327.666666666599</v>
      </c>
      <c r="B1283" s="1">
        <f ca="1">IFERROR(__xludf.UNSUPPORTED("""COMPUTED_VALUE"""),32.99)</f>
        <v>32.99</v>
      </c>
      <c r="C1283" s="2">
        <f t="shared" ca="1" si="5"/>
        <v>-1.4341201075589987E-2</v>
      </c>
    </row>
    <row r="1284" spans="1:3">
      <c r="A1284" s="3">
        <f ca="1">IFERROR(__xludf.UNSUPPORTED("""COMPUTED_VALUE"""),45328.6666666666)</f>
        <v>45328.666666666599</v>
      </c>
      <c r="B1284" s="1">
        <f ca="1">IFERROR(__xludf.UNSUPPORTED("""COMPUTED_VALUE"""),33.04)</f>
        <v>33.04</v>
      </c>
      <c r="C1284" s="2">
        <f t="shared" ca="1" si="5"/>
        <v>1.5156107911487467E-3</v>
      </c>
    </row>
    <row r="1285" spans="1:3">
      <c r="A1285" s="3">
        <f ca="1">IFERROR(__xludf.UNSUPPORTED("""COMPUTED_VALUE"""),45329.6666666666)</f>
        <v>45329.666666666599</v>
      </c>
      <c r="B1285" s="1">
        <f ca="1">IFERROR(__xludf.UNSUPPORTED("""COMPUTED_VALUE"""),33.18)</f>
        <v>33.18</v>
      </c>
      <c r="C1285" s="2">
        <f t="shared" ca="1" si="5"/>
        <v>4.2372881355932377E-3</v>
      </c>
    </row>
    <row r="1286" spans="1:3">
      <c r="A1286" s="3">
        <f ca="1">IFERROR(__xludf.UNSUPPORTED("""COMPUTED_VALUE"""),45330.6666666666)</f>
        <v>45330.666666666599</v>
      </c>
      <c r="B1286" s="1">
        <f ca="1">IFERROR(__xludf.UNSUPPORTED("""COMPUTED_VALUE"""),33.12)</f>
        <v>33.119999999999997</v>
      </c>
      <c r="C1286" s="2">
        <f t="shared" ca="1" si="5"/>
        <v>-1.808318264014535E-3</v>
      </c>
    </row>
    <row r="1287" spans="1:3">
      <c r="A1287" s="3">
        <f ca="1">IFERROR(__xludf.UNSUPPORTED("""COMPUTED_VALUE"""),45331.6666666666)</f>
        <v>45331.666666666599</v>
      </c>
      <c r="B1287" s="1">
        <f ca="1">IFERROR(__xludf.UNSUPPORTED("""COMPUTED_VALUE"""),33.07)</f>
        <v>33.07</v>
      </c>
      <c r="C1287" s="2">
        <f t="shared" ca="1" si="5"/>
        <v>-1.5096618357487066E-3</v>
      </c>
    </row>
    <row r="1288" spans="1:3">
      <c r="A1288" s="3">
        <f ca="1">IFERROR(__xludf.UNSUPPORTED("""COMPUTED_VALUE"""),45334.6666666666)</f>
        <v>45334.666666666599</v>
      </c>
      <c r="B1288" s="1">
        <f ca="1">IFERROR(__xludf.UNSUPPORTED("""COMPUTED_VALUE"""),33.62)</f>
        <v>33.619999999999997</v>
      </c>
      <c r="C1288" s="2">
        <f t="shared" ca="1" si="5"/>
        <v>1.6631387964922806E-2</v>
      </c>
    </row>
    <row r="1289" spans="1:3">
      <c r="A1289" s="3">
        <f ca="1">IFERROR(__xludf.UNSUPPORTED("""COMPUTED_VALUE"""),45335.6666666666)</f>
        <v>45335.666666666599</v>
      </c>
      <c r="B1289" s="1">
        <f ca="1">IFERROR(__xludf.UNSUPPORTED("""COMPUTED_VALUE"""),32.75)</f>
        <v>32.75</v>
      </c>
      <c r="C1289" s="2">
        <f t="shared" ca="1" si="5"/>
        <v>-2.5877453896490109E-2</v>
      </c>
    </row>
    <row r="1290" spans="1:3">
      <c r="A1290" s="3">
        <f ca="1">IFERROR(__xludf.UNSUPPORTED("""COMPUTED_VALUE"""),45336.6666666666)</f>
        <v>45336.666666666599</v>
      </c>
      <c r="B1290" s="1">
        <f ca="1">IFERROR(__xludf.UNSUPPORTED("""COMPUTED_VALUE"""),33.13)</f>
        <v>33.130000000000003</v>
      </c>
      <c r="C1290" s="2">
        <f t="shared" ca="1" si="5"/>
        <v>1.1603053435114582E-2</v>
      </c>
    </row>
    <row r="1291" spans="1:3">
      <c r="A1291" s="3">
        <f ca="1">IFERROR(__xludf.UNSUPPORTED("""COMPUTED_VALUE"""),45337.6666666666)</f>
        <v>45337.666666666599</v>
      </c>
      <c r="B1291" s="1">
        <f ca="1">IFERROR(__xludf.UNSUPPORTED("""COMPUTED_VALUE"""),34.07)</f>
        <v>34.07</v>
      </c>
      <c r="C1291" s="2">
        <f t="shared" ca="1" si="5"/>
        <v>2.8373075762149039E-2</v>
      </c>
    </row>
    <row r="1292" spans="1:3">
      <c r="A1292" s="3">
        <f ca="1">IFERROR(__xludf.UNSUPPORTED("""COMPUTED_VALUE"""),45338.6666666666)</f>
        <v>45338.666666666599</v>
      </c>
      <c r="B1292" s="1">
        <f ca="1">IFERROR(__xludf.UNSUPPORTED("""COMPUTED_VALUE"""),34.09)</f>
        <v>34.090000000000003</v>
      </c>
      <c r="C1292" s="2">
        <f t="shared" ca="1" si="5"/>
        <v>5.8702670971538383E-4</v>
      </c>
    </row>
    <row r="1293" spans="1:3">
      <c r="A1293" s="3">
        <f ca="1">IFERROR(__xludf.UNSUPPORTED("""COMPUTED_VALUE"""),45342.6666666666)</f>
        <v>45342.666666666599</v>
      </c>
      <c r="B1293" s="1">
        <f ca="1">IFERROR(__xludf.UNSUPPORTED("""COMPUTED_VALUE"""),33.96)</f>
        <v>33.96</v>
      </c>
      <c r="C1293" s="2">
        <f t="shared" ca="1" si="5"/>
        <v>-3.813435024934073E-3</v>
      </c>
    </row>
    <row r="1294" spans="1:3">
      <c r="A1294" s="3">
        <f ca="1">IFERROR(__xludf.UNSUPPORTED("""COMPUTED_VALUE"""),45343.6666666666)</f>
        <v>45343.666666666599</v>
      </c>
      <c r="B1294" s="1">
        <f ca="1">IFERROR(__xludf.UNSUPPORTED("""COMPUTED_VALUE"""),33.7)</f>
        <v>33.700000000000003</v>
      </c>
      <c r="C1294" s="2">
        <f t="shared" ca="1" si="5"/>
        <v>-7.6560659599528274E-3</v>
      </c>
    </row>
    <row r="1295" spans="1:3">
      <c r="A1295" s="3">
        <f ca="1">IFERROR(__xludf.UNSUPPORTED("""COMPUTED_VALUE"""),45344.6666666666)</f>
        <v>45344.666666666599</v>
      </c>
      <c r="B1295" s="1">
        <f ca="1">IFERROR(__xludf.UNSUPPORTED("""COMPUTED_VALUE"""),33.61)</f>
        <v>33.61</v>
      </c>
      <c r="C1295" s="2">
        <f t="shared" ca="1" si="5"/>
        <v>-2.6706231454006945E-3</v>
      </c>
    </row>
    <row r="1296" spans="1:3">
      <c r="A1296" s="3">
        <f ca="1">IFERROR(__xludf.UNSUPPORTED("""COMPUTED_VALUE"""),45345.6666666666)</f>
        <v>45345.666666666599</v>
      </c>
      <c r="B1296" s="1">
        <f ca="1">IFERROR(__xludf.UNSUPPORTED("""COMPUTED_VALUE"""),33.92)</f>
        <v>33.92</v>
      </c>
      <c r="C1296" s="2">
        <f t="shared" ca="1" si="5"/>
        <v>9.2234454031538907E-3</v>
      </c>
    </row>
    <row r="1297" spans="1:3">
      <c r="A1297" s="3">
        <f ca="1">IFERROR(__xludf.UNSUPPORTED("""COMPUTED_VALUE"""),45348.6666666666)</f>
        <v>45348.666666666599</v>
      </c>
      <c r="B1297" s="1">
        <f ca="1">IFERROR(__xludf.UNSUPPORTED("""COMPUTED_VALUE"""),33.61)</f>
        <v>33.61</v>
      </c>
      <c r="C1297" s="2">
        <f t="shared" ca="1" si="5"/>
        <v>-9.1391509433962938E-3</v>
      </c>
    </row>
    <row r="1298" spans="1:3">
      <c r="A1298" s="3">
        <f ca="1">IFERROR(__xludf.UNSUPPORTED("""COMPUTED_VALUE"""),45349.6666666666)</f>
        <v>45349.666666666599</v>
      </c>
      <c r="B1298" s="1">
        <f ca="1">IFERROR(__xludf.UNSUPPORTED("""COMPUTED_VALUE"""),34.28)</f>
        <v>34.28</v>
      </c>
      <c r="C1298" s="2">
        <f t="shared" ca="1" si="5"/>
        <v>1.9934543290687348E-2</v>
      </c>
    </row>
    <row r="1299" spans="1:3">
      <c r="A1299" s="3">
        <f ca="1">IFERROR(__xludf.UNSUPPORTED("""COMPUTED_VALUE"""),45350.6666666666)</f>
        <v>45350.666666666599</v>
      </c>
      <c r="B1299" s="1">
        <f ca="1">IFERROR(__xludf.UNSUPPORTED("""COMPUTED_VALUE"""),34.31)</f>
        <v>34.31</v>
      </c>
      <c r="C1299" s="2">
        <f t="shared" ca="1" si="5"/>
        <v>8.7514585764297359E-4</v>
      </c>
    </row>
    <row r="1300" spans="1:3">
      <c r="A1300" s="3">
        <f ca="1">IFERROR(__xludf.UNSUPPORTED("""COMPUTED_VALUE"""),45351.6666666666)</f>
        <v>45351.666666666599</v>
      </c>
      <c r="B1300" s="1">
        <f ca="1">IFERROR(__xludf.UNSUPPORTED("""COMPUTED_VALUE"""),34.52)</f>
        <v>34.520000000000003</v>
      </c>
      <c r="C1300" s="2">
        <f t="shared" ca="1" si="5"/>
        <v>6.1206645292917758E-3</v>
      </c>
    </row>
    <row r="1301" spans="1:3">
      <c r="A1301" s="3">
        <f ca="1">IFERROR(__xludf.UNSUPPORTED("""COMPUTED_VALUE"""),45352.6666666666)</f>
        <v>45352.666666666599</v>
      </c>
      <c r="B1301" s="1">
        <f ca="1">IFERROR(__xludf.UNSUPPORTED("""COMPUTED_VALUE"""),34.35)</f>
        <v>34.35</v>
      </c>
      <c r="C1301" s="2">
        <f t="shared" ca="1" si="5"/>
        <v>-4.9246813441483689E-3</v>
      </c>
    </row>
    <row r="1302" spans="1:3">
      <c r="A1302" s="3">
        <f ca="1">IFERROR(__xludf.UNSUPPORTED("""COMPUTED_VALUE"""),45355.6666666666)</f>
        <v>45355.666666666599</v>
      </c>
      <c r="B1302" s="1">
        <f ca="1">IFERROR(__xludf.UNSUPPORTED("""COMPUTED_VALUE"""),35.15)</f>
        <v>35.15</v>
      </c>
      <c r="C1302" s="2">
        <f t="shared" ca="1" si="5"/>
        <v>2.3289665211062509E-2</v>
      </c>
    </row>
    <row r="1303" spans="1:3">
      <c r="A1303" s="3">
        <f ca="1">IFERROR(__xludf.UNSUPPORTED("""COMPUTED_VALUE"""),45356.6666666666)</f>
        <v>45356.666666666599</v>
      </c>
      <c r="B1303" s="1">
        <f ca="1">IFERROR(__xludf.UNSUPPORTED("""COMPUTED_VALUE"""),35.39)</f>
        <v>35.39</v>
      </c>
      <c r="C1303" s="2">
        <f t="shared" ca="1" si="5"/>
        <v>6.8278805120910949E-3</v>
      </c>
    </row>
    <row r="1304" spans="1:3">
      <c r="A1304" s="3">
        <f ca="1">IFERROR(__xludf.UNSUPPORTED("""COMPUTED_VALUE"""),45357.6666666666)</f>
        <v>45357.666666666599</v>
      </c>
      <c r="B1304" s="1">
        <f ca="1">IFERROR(__xludf.UNSUPPORTED("""COMPUTED_VALUE"""),35.42)</f>
        <v>35.42</v>
      </c>
      <c r="C1304" s="2">
        <f t="shared" ca="1" si="5"/>
        <v>8.4769708957335786E-4</v>
      </c>
    </row>
    <row r="1305" spans="1:3">
      <c r="A1305" s="3">
        <f ca="1">IFERROR(__xludf.UNSUPPORTED("""COMPUTED_VALUE"""),45358.6666666666)</f>
        <v>45358.666666666599</v>
      </c>
      <c r="B1305" s="1">
        <f ca="1">IFERROR(__xludf.UNSUPPORTED("""COMPUTED_VALUE"""),35.63)</f>
        <v>35.630000000000003</v>
      </c>
      <c r="C1305" s="2">
        <f t="shared" ca="1" si="5"/>
        <v>5.9288537549407353E-3</v>
      </c>
    </row>
    <row r="1306" spans="1:3">
      <c r="A1306" s="3">
        <f ca="1">IFERROR(__xludf.UNSUPPORTED("""COMPUTED_VALUE"""),45359.6666666666)</f>
        <v>45359.666666666599</v>
      </c>
      <c r="B1306" s="1">
        <f ca="1">IFERROR(__xludf.UNSUPPORTED("""COMPUTED_VALUE"""),35.6)</f>
        <v>35.6</v>
      </c>
      <c r="C1306" s="2">
        <f t="shared" ca="1" si="5"/>
        <v>-8.419870895313257E-4</v>
      </c>
    </row>
    <row r="1307" spans="1:3">
      <c r="A1307" s="3">
        <f ca="1">IFERROR(__xludf.UNSUPPORTED("""COMPUTED_VALUE"""),45362.6666666666)</f>
        <v>45362.666666666599</v>
      </c>
      <c r="B1307" s="1">
        <f ca="1">IFERROR(__xludf.UNSUPPORTED("""COMPUTED_VALUE"""),35.89)</f>
        <v>35.89</v>
      </c>
      <c r="C1307" s="2">
        <f t="shared" ca="1" si="5"/>
        <v>8.1460674157303129E-3</v>
      </c>
    </row>
    <row r="1308" spans="1:3">
      <c r="A1308" s="3">
        <f ca="1">IFERROR(__xludf.UNSUPPORTED("""COMPUTED_VALUE"""),45363.6666666666)</f>
        <v>45363.666666666599</v>
      </c>
      <c r="B1308" s="1">
        <f ca="1">IFERROR(__xludf.UNSUPPORTED("""COMPUTED_VALUE"""),35.96)</f>
        <v>35.96</v>
      </c>
      <c r="C1308" s="2">
        <f t="shared" ca="1" si="5"/>
        <v>1.9504040122596902E-3</v>
      </c>
    </row>
    <row r="1309" spans="1:3">
      <c r="A1309" s="3">
        <f ca="1">IFERROR(__xludf.UNSUPPORTED("""COMPUTED_VALUE"""),45364.6666666666)</f>
        <v>45364.666666666599</v>
      </c>
      <c r="B1309" s="1">
        <f ca="1">IFERROR(__xludf.UNSUPPORTED("""COMPUTED_VALUE"""),36.08)</f>
        <v>36.08</v>
      </c>
      <c r="C1309" s="2">
        <f t="shared" ca="1" si="5"/>
        <v>3.337041156840863E-3</v>
      </c>
    </row>
    <row r="1310" spans="1:3">
      <c r="A1310" s="3">
        <f ca="1">IFERROR(__xludf.UNSUPPORTED("""COMPUTED_VALUE"""),45365.6666666666)</f>
        <v>45365.666666666599</v>
      </c>
      <c r="B1310" s="1">
        <f ca="1">IFERROR(__xludf.UNSUPPORTED("""COMPUTED_VALUE"""),35.69)</f>
        <v>35.69</v>
      </c>
      <c r="C1310" s="2">
        <f t="shared" ca="1" si="5"/>
        <v>-1.0809312638580948E-2</v>
      </c>
    </row>
    <row r="1311" spans="1:3">
      <c r="A1311" s="3">
        <f ca="1">IFERROR(__xludf.UNSUPPORTED("""COMPUTED_VALUE"""),45366.6666666666)</f>
        <v>45366.666666666599</v>
      </c>
      <c r="B1311" s="1">
        <f ca="1">IFERROR(__xludf.UNSUPPORTED("""COMPUTED_VALUE"""),35.41)</f>
        <v>35.409999999999997</v>
      </c>
      <c r="C1311" s="2">
        <f t="shared" ca="1" si="5"/>
        <v>-7.845334827682857E-3</v>
      </c>
    </row>
    <row r="1312" spans="1:3">
      <c r="A1312" s="3">
        <f ca="1">IFERROR(__xludf.UNSUPPORTED("""COMPUTED_VALUE"""),45369.6666666666)</f>
        <v>45369.666666666599</v>
      </c>
      <c r="B1312" s="1">
        <f ca="1">IFERROR(__xludf.UNSUPPORTED("""COMPUTED_VALUE"""),36.01)</f>
        <v>36.01</v>
      </c>
      <c r="C1312" s="2">
        <f t="shared" ca="1" si="5"/>
        <v>1.6944365998305604E-2</v>
      </c>
    </row>
    <row r="1313" spans="1:3">
      <c r="A1313" s="3">
        <f ca="1">IFERROR(__xludf.UNSUPPORTED("""COMPUTED_VALUE"""),45370.6666666666)</f>
        <v>45370.666666666599</v>
      </c>
      <c r="B1313" s="1">
        <f ca="1">IFERROR(__xludf.UNSUPPORTED("""COMPUTED_VALUE"""),36.03)</f>
        <v>36.03</v>
      </c>
      <c r="C1313" s="2">
        <f t="shared" ca="1" si="5"/>
        <v>5.5540127742302495E-4</v>
      </c>
    </row>
    <row r="1314" spans="1:3">
      <c r="A1314" s="3">
        <f ca="1">IFERROR(__xludf.UNSUPPORTED("""COMPUTED_VALUE"""),45371.6666666666)</f>
        <v>45371.666666666599</v>
      </c>
      <c r="B1314" s="1">
        <f ca="1">IFERROR(__xludf.UNSUPPORTED("""COMPUTED_VALUE"""),36.75)</f>
        <v>36.75</v>
      </c>
      <c r="C1314" s="2">
        <f t="shared" ca="1" si="5"/>
        <v>1.9983347210657754E-2</v>
      </c>
    </row>
    <row r="1315" spans="1:3">
      <c r="A1315" s="3">
        <f ca="1">IFERROR(__xludf.UNSUPPORTED("""COMPUTED_VALUE"""),45372.6666666666)</f>
        <v>45372.666666666599</v>
      </c>
      <c r="B1315" s="1">
        <f ca="1">IFERROR(__xludf.UNSUPPORTED("""COMPUTED_VALUE"""),37.51)</f>
        <v>37.51</v>
      </c>
      <c r="C1315" s="2">
        <f t="shared" ca="1" si="5"/>
        <v>2.0680272108843482E-2</v>
      </c>
    </row>
    <row r="1316" spans="1:3">
      <c r="A1316" s="3">
        <f ca="1">IFERROR(__xludf.UNSUPPORTED("""COMPUTED_VALUE"""),45373.6666666666)</f>
        <v>45373.666666666599</v>
      </c>
      <c r="B1316" s="1">
        <f ca="1">IFERROR(__xludf.UNSUPPORTED("""COMPUTED_VALUE"""),37.05)</f>
        <v>37.049999999999997</v>
      </c>
      <c r="C1316" s="2">
        <f t="shared" ca="1" si="5"/>
        <v>-1.2263396427619325E-2</v>
      </c>
    </row>
    <row r="1317" spans="1:3">
      <c r="A1317" s="3">
        <f ca="1">IFERROR(__xludf.UNSUPPORTED("""COMPUTED_VALUE"""),45376.6666666666)</f>
        <v>45376.666666666599</v>
      </c>
      <c r="B1317" s="1">
        <f ca="1">IFERROR(__xludf.UNSUPPORTED("""COMPUTED_VALUE"""),36.86)</f>
        <v>36.86</v>
      </c>
      <c r="C1317" s="2">
        <f t="shared" ca="1" si="5"/>
        <v>-5.1282051282050675E-3</v>
      </c>
    </row>
    <row r="1318" spans="1:3">
      <c r="A1318" s="3">
        <f ca="1">IFERROR(__xludf.UNSUPPORTED("""COMPUTED_VALUE"""),45377.6666666666)</f>
        <v>45377.666666666599</v>
      </c>
      <c r="B1318" s="1">
        <f ca="1">IFERROR(__xludf.UNSUPPORTED("""COMPUTED_VALUE"""),37.09)</f>
        <v>37.090000000000003</v>
      </c>
      <c r="C1318" s="2">
        <f t="shared" ca="1" si="5"/>
        <v>6.2398263700489415E-3</v>
      </c>
    </row>
    <row r="1319" spans="1:3">
      <c r="A1319" s="3">
        <f ca="1">IFERROR(__xludf.UNSUPPORTED("""COMPUTED_VALUE"""),45378.6666666666)</f>
        <v>45378.666666666599</v>
      </c>
      <c r="B1319" s="1">
        <f ca="1">IFERROR(__xludf.UNSUPPORTED("""COMPUTED_VALUE"""),37.81)</f>
        <v>37.81</v>
      </c>
      <c r="C1319" s="2">
        <f t="shared" ca="1" si="5"/>
        <v>1.9412240496090558E-2</v>
      </c>
    </row>
    <row r="1320" spans="1:3">
      <c r="A1320" s="3">
        <f ca="1">IFERROR(__xludf.UNSUPPORTED("""COMPUTED_VALUE"""),45379.6666666666)</f>
        <v>45379.666666666599</v>
      </c>
      <c r="B1320" s="1">
        <f ca="1">IFERROR(__xludf.UNSUPPORTED("""COMPUTED_VALUE"""),37.92)</f>
        <v>37.92</v>
      </c>
      <c r="C1320" s="2">
        <f t="shared" ca="1" si="5"/>
        <v>2.9092832583972341E-3</v>
      </c>
    </row>
    <row r="1321" spans="1:3">
      <c r="A1321" s="3">
        <f ca="1">IFERROR(__xludf.UNSUPPORTED("""COMPUTED_VALUE"""),45383.6666666666)</f>
        <v>45383.666666666599</v>
      </c>
      <c r="B1321" s="1">
        <f ca="1">IFERROR(__xludf.UNSUPPORTED("""COMPUTED_VALUE"""),37.52)</f>
        <v>37.520000000000003</v>
      </c>
      <c r="C1321" s="2">
        <f t="shared" ca="1" si="5"/>
        <v>-1.0548523206751016E-2</v>
      </c>
    </row>
    <row r="1322" spans="1:3">
      <c r="A1322" s="3">
        <f ca="1">IFERROR(__xludf.UNSUPPORTED("""COMPUTED_VALUE"""),45384.6666666666)</f>
        <v>45384.666666666599</v>
      </c>
      <c r="B1322" s="1">
        <f ca="1">IFERROR(__xludf.UNSUPPORTED("""COMPUTED_VALUE"""),37.3)</f>
        <v>37.299999999999997</v>
      </c>
      <c r="C1322" s="2">
        <f t="shared" ca="1" si="5"/>
        <v>-5.863539445629156E-3</v>
      </c>
    </row>
    <row r="1323" spans="1:3">
      <c r="A1323" s="3">
        <f ca="1">IFERROR(__xludf.UNSUPPORTED("""COMPUTED_VALUE"""),45385.6666666666)</f>
        <v>45385.666666666599</v>
      </c>
      <c r="B1323" s="1">
        <f ca="1">IFERROR(__xludf.UNSUPPORTED("""COMPUTED_VALUE"""),37.44)</f>
        <v>37.44</v>
      </c>
      <c r="C1323" s="2">
        <f t="shared" ca="1" si="5"/>
        <v>3.7533512064343317E-3</v>
      </c>
    </row>
    <row r="1324" spans="1:3">
      <c r="A1324" s="3">
        <f ca="1">IFERROR(__xludf.UNSUPPORTED("""COMPUTED_VALUE"""),45386.6666666666)</f>
        <v>45386.666666666599</v>
      </c>
      <c r="B1324" s="1">
        <f ca="1">IFERROR(__xludf.UNSUPPORTED("""COMPUTED_VALUE"""),36.92)</f>
        <v>36.92</v>
      </c>
      <c r="C1324" s="2">
        <f t="shared" ca="1" si="5"/>
        <v>-1.3888888888888784E-2</v>
      </c>
    </row>
    <row r="1325" spans="1:3">
      <c r="A1325" s="3">
        <f ca="1">IFERROR(__xludf.UNSUPPORTED("""COMPUTED_VALUE"""),45387.6666666666)</f>
        <v>45387.666666666599</v>
      </c>
      <c r="B1325" s="1">
        <f ca="1">IFERROR(__xludf.UNSUPPORTED("""COMPUTED_VALUE"""),37.11)</f>
        <v>37.11</v>
      </c>
      <c r="C1325" s="2">
        <f t="shared" ca="1" si="5"/>
        <v>5.1462621885156479E-3</v>
      </c>
    </row>
    <row r="1326" spans="1:3">
      <c r="A1326" s="3">
        <f ca="1">IFERROR(__xludf.UNSUPPORTED("""COMPUTED_VALUE"""),45390.6666666666)</f>
        <v>45390.666666666599</v>
      </c>
      <c r="B1326" s="1">
        <f ca="1">IFERROR(__xludf.UNSUPPORTED("""COMPUTED_VALUE"""),37.5)</f>
        <v>37.5</v>
      </c>
      <c r="C1326" s="2">
        <f t="shared" ca="1" si="5"/>
        <v>1.0509296685529522E-2</v>
      </c>
    </row>
    <row r="1327" spans="1:3">
      <c r="A1327" s="3">
        <f ca="1">IFERROR(__xludf.UNSUPPORTED("""COMPUTED_VALUE"""),45391.6666666666)</f>
        <v>45391.666666666599</v>
      </c>
      <c r="B1327" s="1">
        <f ca="1">IFERROR(__xludf.UNSUPPORTED("""COMPUTED_VALUE"""),37.73)</f>
        <v>37.729999999999997</v>
      </c>
      <c r="C1327" s="2">
        <f t="shared" ca="1" si="5"/>
        <v>6.1333333333332503E-3</v>
      </c>
    </row>
    <row r="1328" spans="1:3">
      <c r="A1328" s="3">
        <f ca="1">IFERROR(__xludf.UNSUPPORTED("""COMPUTED_VALUE"""),45392.6666666666)</f>
        <v>45392.666666666599</v>
      </c>
      <c r="B1328" s="1">
        <f ca="1">IFERROR(__xludf.UNSUPPORTED("""COMPUTED_VALUE"""),36.65)</f>
        <v>36.65</v>
      </c>
      <c r="C1328" s="2">
        <f t="shared" ca="1" si="5"/>
        <v>-2.8624436787702053E-2</v>
      </c>
    </row>
    <row r="1329" spans="1:3">
      <c r="A1329" s="3">
        <f ca="1">IFERROR(__xludf.UNSUPPORTED("""COMPUTED_VALUE"""),45393.6666666666)</f>
        <v>45393.666666666599</v>
      </c>
      <c r="B1329" s="1">
        <f ca="1">IFERROR(__xludf.UNSUPPORTED("""COMPUTED_VALUE"""),36.35)</f>
        <v>36.35</v>
      </c>
      <c r="C1329" s="2">
        <f t="shared" ca="1" si="5"/>
        <v>-8.1855388813096095E-3</v>
      </c>
    </row>
    <row r="1330" spans="1:3">
      <c r="A1330" s="3">
        <f ca="1">IFERROR(__xludf.UNSUPPORTED("""COMPUTED_VALUE"""),45394.6666666666)</f>
        <v>45394.666666666599</v>
      </c>
      <c r="B1330" s="1">
        <f ca="1">IFERROR(__xludf.UNSUPPORTED("""COMPUTED_VALUE"""),35.79)</f>
        <v>35.79</v>
      </c>
      <c r="C1330" s="2">
        <f t="shared" ca="1" si="5"/>
        <v>-1.5405777166437476E-2</v>
      </c>
    </row>
    <row r="1331" spans="1:3">
      <c r="A1331" s="3">
        <f ca="1">IFERROR(__xludf.UNSUPPORTED("""COMPUTED_VALUE"""),45397.6666666666)</f>
        <v>45397.666666666599</v>
      </c>
      <c r="B1331" s="1">
        <f ca="1">IFERROR(__xludf.UNSUPPORTED("""COMPUTED_VALUE"""),35.95)</f>
        <v>35.950000000000003</v>
      </c>
      <c r="C1331" s="2">
        <f t="shared" ca="1" si="5"/>
        <v>4.4705224923163927E-3</v>
      </c>
    </row>
    <row r="1332" spans="1:3">
      <c r="A1332" s="3">
        <f ca="1">IFERROR(__xludf.UNSUPPORTED("""COMPUTED_VALUE"""),45398.6666666666)</f>
        <v>45398.666666666599</v>
      </c>
      <c r="B1332" s="1">
        <f ca="1">IFERROR(__xludf.UNSUPPORTED("""COMPUTED_VALUE"""),34.68)</f>
        <v>34.68</v>
      </c>
      <c r="C1332" s="2">
        <f t="shared" ca="1" si="5"/>
        <v>-3.5326842837274074E-2</v>
      </c>
    </row>
    <row r="1333" spans="1:3">
      <c r="A1333" s="3">
        <f ca="1">IFERROR(__xludf.UNSUPPORTED("""COMPUTED_VALUE"""),45399.6666666666)</f>
        <v>45399.666666666599</v>
      </c>
      <c r="B1333" s="1">
        <f ca="1">IFERROR(__xludf.UNSUPPORTED("""COMPUTED_VALUE"""),35.23)</f>
        <v>35.229999999999997</v>
      </c>
      <c r="C1333" s="2">
        <f t="shared" ca="1" si="5"/>
        <v>1.5859284890426678E-2</v>
      </c>
    </row>
    <row r="1334" spans="1:3">
      <c r="A1334" s="3">
        <f ca="1">IFERROR(__xludf.UNSUPPORTED("""COMPUTED_VALUE"""),45400.6666666666)</f>
        <v>45400.666666666599</v>
      </c>
      <c r="B1334" s="1">
        <f ca="1">IFERROR(__xludf.UNSUPPORTED("""COMPUTED_VALUE"""),35.77)</f>
        <v>35.770000000000003</v>
      </c>
      <c r="C1334" s="2">
        <f t="shared" ca="1" si="5"/>
        <v>1.5327845586148348E-2</v>
      </c>
    </row>
    <row r="1335" spans="1:3">
      <c r="A1335" s="3">
        <f ca="1">IFERROR(__xludf.UNSUPPORTED("""COMPUTED_VALUE"""),45401.6666666666)</f>
        <v>45401.666666666599</v>
      </c>
      <c r="B1335" s="1">
        <f ca="1">IFERROR(__xludf.UNSUPPORTED("""COMPUTED_VALUE"""),36.97)</f>
        <v>36.97</v>
      </c>
      <c r="C1335" s="2">
        <f t="shared" ca="1" si="5"/>
        <v>3.3547665641598987E-2</v>
      </c>
    </row>
    <row r="1336" spans="1:3">
      <c r="A1336" s="3">
        <f ca="1">IFERROR(__xludf.UNSUPPORTED("""COMPUTED_VALUE"""),45404.6666666666)</f>
        <v>45404.666666666599</v>
      </c>
      <c r="B1336" s="1">
        <f ca="1">IFERROR(__xludf.UNSUPPORTED("""COMPUTED_VALUE"""),37.73)</f>
        <v>37.729999999999997</v>
      </c>
      <c r="C1336" s="2">
        <f t="shared" ca="1" si="5"/>
        <v>2.0557208547470868E-2</v>
      </c>
    </row>
    <row r="1337" spans="1:3">
      <c r="A1337" s="3">
        <f ca="1">IFERROR(__xludf.UNSUPPORTED("""COMPUTED_VALUE"""),45405.6666666666)</f>
        <v>45405.666666666599</v>
      </c>
      <c r="B1337" s="1">
        <f ca="1">IFERROR(__xludf.UNSUPPORTED("""COMPUTED_VALUE"""),38.37)</f>
        <v>38.369999999999997</v>
      </c>
      <c r="C1337" s="2">
        <f t="shared" ca="1" si="5"/>
        <v>1.6962629207527183E-2</v>
      </c>
    </row>
    <row r="1338" spans="1:3">
      <c r="A1338" s="3">
        <f ca="1">IFERROR(__xludf.UNSUPPORTED("""COMPUTED_VALUE"""),45406.6666666666)</f>
        <v>45406.666666666599</v>
      </c>
      <c r="B1338" s="1">
        <f ca="1">IFERROR(__xludf.UNSUPPORTED("""COMPUTED_VALUE"""),38.32)</f>
        <v>38.32</v>
      </c>
      <c r="C1338" s="2">
        <f t="shared" ca="1" si="5"/>
        <v>-1.3031013812873902E-3</v>
      </c>
    </row>
    <row r="1339" spans="1:3">
      <c r="A1339" s="3">
        <f ca="1">IFERROR(__xludf.UNSUPPORTED("""COMPUTED_VALUE"""),45407.6666666666)</f>
        <v>45407.666666666599</v>
      </c>
      <c r="B1339" s="1">
        <f ca="1">IFERROR(__xludf.UNSUPPORTED("""COMPUTED_VALUE"""),37.91)</f>
        <v>37.909999999999997</v>
      </c>
      <c r="C1339" s="2">
        <f t="shared" ca="1" si="5"/>
        <v>-1.0699373695198426E-2</v>
      </c>
    </row>
    <row r="1340" spans="1:3">
      <c r="A1340" s="3">
        <f ca="1">IFERROR(__xludf.UNSUPPORTED("""COMPUTED_VALUE"""),45408.6666666666)</f>
        <v>45408.666666666599</v>
      </c>
      <c r="B1340" s="1">
        <f ca="1">IFERROR(__xludf.UNSUPPORTED("""COMPUTED_VALUE"""),37.83)</f>
        <v>37.83</v>
      </c>
      <c r="C1340" s="2">
        <f t="shared" ca="1" si="5"/>
        <v>-2.1102611448166261E-3</v>
      </c>
    </row>
    <row r="1341" spans="1:3">
      <c r="A1341" s="3">
        <f ca="1">IFERROR(__xludf.UNSUPPORTED("""COMPUTED_VALUE"""),45411.6666666666)</f>
        <v>45411.666666666599</v>
      </c>
      <c r="B1341" s="1">
        <f ca="1">IFERROR(__xludf.UNSUPPORTED("""COMPUTED_VALUE"""),37.55)</f>
        <v>37.549999999999997</v>
      </c>
      <c r="C1341" s="2">
        <f t="shared" ca="1" si="5"/>
        <v>-7.4015331747290811E-3</v>
      </c>
    </row>
    <row r="1342" spans="1:3">
      <c r="A1342" s="3">
        <f ca="1">IFERROR(__xludf.UNSUPPORTED("""COMPUTED_VALUE"""),45412.6666666666)</f>
        <v>45412.666666666599</v>
      </c>
      <c r="B1342" s="1">
        <f ca="1">IFERROR(__xludf.UNSUPPORTED("""COMPUTED_VALUE"""),37.01)</f>
        <v>37.01</v>
      </c>
      <c r="C1342" s="2">
        <f t="shared" ca="1" si="5"/>
        <v>-1.4380825565912095E-2</v>
      </c>
    </row>
    <row r="1343" spans="1:3">
      <c r="A1343" s="3">
        <f ca="1">IFERROR(__xludf.UNSUPPORTED("""COMPUTED_VALUE"""),45413.6666666666)</f>
        <v>45413.666666666599</v>
      </c>
      <c r="B1343" s="1">
        <f ca="1">IFERROR(__xludf.UNSUPPORTED("""COMPUTED_VALUE"""),36.95)</f>
        <v>36.950000000000003</v>
      </c>
      <c r="C1343" s="2">
        <f t="shared" ca="1" si="5"/>
        <v>-1.6211834639285375E-3</v>
      </c>
    </row>
    <row r="1344" spans="1:3">
      <c r="A1344" s="3">
        <f ca="1">IFERROR(__xludf.UNSUPPORTED("""COMPUTED_VALUE"""),45414.6666666666)</f>
        <v>45414.666666666599</v>
      </c>
      <c r="B1344" s="1">
        <f ca="1">IFERROR(__xludf.UNSUPPORTED("""COMPUTED_VALUE"""),36.88)</f>
        <v>36.880000000000003</v>
      </c>
      <c r="C1344" s="2">
        <f t="shared" ca="1" si="5"/>
        <v>-1.8944519621109683E-3</v>
      </c>
    </row>
    <row r="1345" spans="1:3">
      <c r="A1345" s="3">
        <f ca="1">IFERROR(__xludf.UNSUPPORTED("""COMPUTED_VALUE"""),45415.6666666666)</f>
        <v>45415.666666666599</v>
      </c>
      <c r="B1345" s="1">
        <f ca="1">IFERROR(__xludf.UNSUPPORTED("""COMPUTED_VALUE"""),37.25)</f>
        <v>37.25</v>
      </c>
      <c r="C1345" s="2">
        <f t="shared" ca="1" si="5"/>
        <v>1.0032537960954376E-2</v>
      </c>
    </row>
    <row r="1346" spans="1:3">
      <c r="A1346" s="3">
        <f ca="1">IFERROR(__xludf.UNSUPPORTED("""COMPUTED_VALUE"""),45418.6666666666)</f>
        <v>45418.666666666599</v>
      </c>
      <c r="B1346" s="1">
        <f ca="1">IFERROR(__xludf.UNSUPPORTED("""COMPUTED_VALUE"""),37.69)</f>
        <v>37.69</v>
      </c>
      <c r="C1346" s="2">
        <f t="shared" ca="1" si="5"/>
        <v>1.181208053691269E-2</v>
      </c>
    </row>
    <row r="1347" spans="1:3">
      <c r="A1347" s="3">
        <f ca="1">IFERROR(__xludf.UNSUPPORTED("""COMPUTED_VALUE"""),45419.6666666666)</f>
        <v>45419.666666666599</v>
      </c>
      <c r="B1347" s="1">
        <f ca="1">IFERROR(__xludf.UNSUPPORTED("""COMPUTED_VALUE"""),37.84)</f>
        <v>37.840000000000003</v>
      </c>
      <c r="C1347" s="2">
        <f t="shared" ca="1" si="5"/>
        <v>3.979835500132812E-3</v>
      </c>
    </row>
    <row r="1348" spans="1:3">
      <c r="A1348" s="3">
        <f ca="1">IFERROR(__xludf.UNSUPPORTED("""COMPUTED_VALUE"""),45420.6666666666)</f>
        <v>45420.666666666599</v>
      </c>
      <c r="B1348" s="1">
        <f ca="1">IFERROR(__xludf.UNSUPPORTED("""COMPUTED_VALUE"""),37.71)</f>
        <v>37.71</v>
      </c>
      <c r="C1348" s="2">
        <f t="shared" ca="1" si="5"/>
        <v>-3.4355179704017584E-3</v>
      </c>
    </row>
    <row r="1349" spans="1:3">
      <c r="A1349" s="3">
        <f ca="1">IFERROR(__xludf.UNSUPPORTED("""COMPUTED_VALUE"""),45421.6666666666)</f>
        <v>45421.666666666599</v>
      </c>
      <c r="B1349" s="1">
        <f ca="1">IFERROR(__xludf.UNSUPPORTED("""COMPUTED_VALUE"""),38.28)</f>
        <v>38.28</v>
      </c>
      <c r="C1349" s="2">
        <f t="shared" ca="1" si="5"/>
        <v>1.5115354017501996E-2</v>
      </c>
    </row>
    <row r="1350" spans="1:3">
      <c r="A1350" s="3">
        <f ca="1">IFERROR(__xludf.UNSUPPORTED("""COMPUTED_VALUE"""),45422.6666666666)</f>
        <v>45422.666666666599</v>
      </c>
      <c r="B1350" s="1">
        <f ca="1">IFERROR(__xludf.UNSUPPORTED("""COMPUTED_VALUE"""),38.45)</f>
        <v>38.450000000000003</v>
      </c>
      <c r="C1350" s="2">
        <f t="shared" ca="1" si="5"/>
        <v>4.4409613375131062E-3</v>
      </c>
    </row>
    <row r="1351" spans="1:3">
      <c r="A1351" s="3">
        <f ca="1">IFERROR(__xludf.UNSUPPORTED("""COMPUTED_VALUE"""),45425.6666666666)</f>
        <v>45425.666666666599</v>
      </c>
      <c r="B1351" s="1">
        <f ca="1">IFERROR(__xludf.UNSUPPORTED("""COMPUTED_VALUE"""),38.21)</f>
        <v>38.21</v>
      </c>
      <c r="C1351" s="2">
        <f t="shared" ca="1" si="5"/>
        <v>-6.241872561768582E-3</v>
      </c>
    </row>
    <row r="1352" spans="1:3">
      <c r="A1352" s="3">
        <f ca="1">IFERROR(__xludf.UNSUPPORTED("""COMPUTED_VALUE"""),45426.6666666666)</f>
        <v>45426.666666666599</v>
      </c>
      <c r="B1352" s="1">
        <f ca="1">IFERROR(__xludf.UNSUPPORTED("""COMPUTED_VALUE"""),38.49)</f>
        <v>38.49</v>
      </c>
      <c r="C1352" s="2">
        <f t="shared" ca="1" si="5"/>
        <v>7.3279246270610086E-3</v>
      </c>
    </row>
    <row r="1353" spans="1:3">
      <c r="A1353" s="3">
        <f ca="1">IFERROR(__xludf.UNSUPPORTED("""COMPUTED_VALUE"""),45427.6666666666)</f>
        <v>45427.666666666599</v>
      </c>
      <c r="B1353" s="1">
        <f ca="1">IFERROR(__xludf.UNSUPPORTED("""COMPUTED_VALUE"""),38.91)</f>
        <v>38.909999999999997</v>
      </c>
      <c r="C1353" s="2">
        <f t="shared" ca="1" si="5"/>
        <v>1.0911925175370086E-2</v>
      </c>
    </row>
    <row r="1354" spans="1:3">
      <c r="A1354" s="3">
        <f ca="1">IFERROR(__xludf.UNSUPPORTED("""COMPUTED_VALUE"""),45428.6666666666)</f>
        <v>45428.666666666599</v>
      </c>
      <c r="B1354" s="1">
        <f ca="1">IFERROR(__xludf.UNSUPPORTED("""COMPUTED_VALUE"""),39.22)</f>
        <v>39.22</v>
      </c>
      <c r="C1354" s="2">
        <f t="shared" ca="1" si="5"/>
        <v>7.9671035723464997E-3</v>
      </c>
    </row>
    <row r="1355" spans="1:3">
      <c r="A1355" s="3">
        <f ca="1">IFERROR(__xludf.UNSUPPORTED("""COMPUTED_VALUE"""),45429.6666666666)</f>
        <v>45429.666666666599</v>
      </c>
      <c r="B1355" s="1">
        <f ca="1">IFERROR(__xludf.UNSUPPORTED("""COMPUTED_VALUE"""),39.29)</f>
        <v>39.29</v>
      </c>
      <c r="C1355" s="2">
        <f t="shared" ca="1" si="5"/>
        <v>1.7848036715961317E-3</v>
      </c>
    </row>
    <row r="1356" spans="1:3">
      <c r="A1356" s="3">
        <f ca="1">IFERROR(__xludf.UNSUPPORTED("""COMPUTED_VALUE"""),45432.6666666666)</f>
        <v>45432.666666666599</v>
      </c>
      <c r="B1356" s="1">
        <f ca="1">IFERROR(__xludf.UNSUPPORTED("""COMPUTED_VALUE"""),38.82)</f>
        <v>38.82</v>
      </c>
      <c r="C1356" s="2">
        <f t="shared" ca="1" si="5"/>
        <v>-1.1962331382031023E-2</v>
      </c>
    </row>
    <row r="1357" spans="1:3">
      <c r="A1357" s="3">
        <f ca="1">IFERROR(__xludf.UNSUPPORTED("""COMPUTED_VALUE"""),45433.6666666666)</f>
        <v>45433.666666666599</v>
      </c>
      <c r="B1357" s="1">
        <f ca="1">IFERROR(__xludf.UNSUPPORTED("""COMPUTED_VALUE"""),39.65)</f>
        <v>39.65</v>
      </c>
      <c r="C1357" s="2">
        <f t="shared" ca="1" si="5"/>
        <v>2.1380731581658895E-2</v>
      </c>
    </row>
    <row r="1358" spans="1:3">
      <c r="A1358" s="3">
        <f ca="1">IFERROR(__xludf.UNSUPPORTED("""COMPUTED_VALUE"""),45434.6666666666)</f>
        <v>45434.666666666599</v>
      </c>
      <c r="B1358" s="1">
        <f ca="1">IFERROR(__xludf.UNSUPPORTED("""COMPUTED_VALUE"""),39.76)</f>
        <v>39.76</v>
      </c>
      <c r="C1358" s="2">
        <f t="shared" ca="1" si="5"/>
        <v>2.7742749054224321E-3</v>
      </c>
    </row>
    <row r="1359" spans="1:3">
      <c r="A1359" s="3">
        <f ca="1">IFERROR(__xludf.UNSUPPORTED("""COMPUTED_VALUE"""),45435.6666666666)</f>
        <v>45435.666666666599</v>
      </c>
      <c r="B1359" s="1">
        <f ca="1">IFERROR(__xludf.UNSUPPORTED("""COMPUTED_VALUE"""),39.17)</f>
        <v>39.17</v>
      </c>
      <c r="C1359" s="2">
        <f t="shared" ca="1" si="5"/>
        <v>-1.4839034205231296E-2</v>
      </c>
    </row>
    <row r="1360" spans="1:3">
      <c r="A1360" s="3">
        <f ca="1">IFERROR(__xludf.UNSUPPORTED("""COMPUTED_VALUE"""),45436.6666666666)</f>
        <v>45436.666666666599</v>
      </c>
      <c r="B1360" s="1">
        <f ca="1">IFERROR(__xludf.UNSUPPORTED("""COMPUTED_VALUE"""),39.7)</f>
        <v>39.700000000000003</v>
      </c>
      <c r="C1360" s="2">
        <f t="shared" ca="1" si="5"/>
        <v>1.3530763339290302E-2</v>
      </c>
    </row>
    <row r="1361" spans="1:3">
      <c r="A1361" s="3">
        <f ca="1">IFERROR(__xludf.UNSUPPORTED("""COMPUTED_VALUE"""),45440.6666666666)</f>
        <v>45440.666666666599</v>
      </c>
      <c r="B1361" s="1">
        <f ca="1">IFERROR(__xludf.UNSUPPORTED("""COMPUTED_VALUE"""),39.32)</f>
        <v>39.32</v>
      </c>
      <c r="C1361" s="2">
        <f t="shared" ca="1" si="5"/>
        <v>-9.5717884130982998E-3</v>
      </c>
    </row>
    <row r="1362" spans="1:3">
      <c r="A1362" s="3">
        <f ca="1">IFERROR(__xludf.UNSUPPORTED("""COMPUTED_VALUE"""),45441.6666666666)</f>
        <v>45441.666666666599</v>
      </c>
      <c r="B1362" s="1">
        <f ca="1">IFERROR(__xludf.UNSUPPORTED("""COMPUTED_VALUE"""),38.72)</f>
        <v>38.72</v>
      </c>
      <c r="C1362" s="2">
        <f t="shared" ca="1" si="5"/>
        <v>-1.5259409969481216E-2</v>
      </c>
    </row>
    <row r="1363" spans="1:3">
      <c r="A1363" s="3">
        <f ca="1">IFERROR(__xludf.UNSUPPORTED("""COMPUTED_VALUE"""),45442.6666666666)</f>
        <v>45442.666666666599</v>
      </c>
      <c r="B1363" s="1">
        <f ca="1">IFERROR(__xludf.UNSUPPORTED("""COMPUTED_VALUE"""),38.63)</f>
        <v>38.630000000000003</v>
      </c>
      <c r="C1363" s="2">
        <f t="shared" ca="1" si="5"/>
        <v>-2.3243801652891609E-3</v>
      </c>
    </row>
    <row r="1364" spans="1:3">
      <c r="A1364" s="3">
        <f ca="1">IFERROR(__xludf.UNSUPPORTED("""COMPUTED_VALUE"""),45443.6666666666)</f>
        <v>45443.666666666599</v>
      </c>
      <c r="B1364" s="1">
        <f ca="1">IFERROR(__xludf.UNSUPPORTED("""COMPUTED_VALUE"""),39.99)</f>
        <v>39.99</v>
      </c>
      <c r="C1364" s="2">
        <f t="shared" ca="1" si="5"/>
        <v>3.5205798602122688E-2</v>
      </c>
    </row>
    <row r="1365" spans="1:3">
      <c r="A1365" s="3">
        <f ca="1">IFERROR(__xludf.UNSUPPORTED("""COMPUTED_VALUE"""),45446.6666666666)</f>
        <v>45446.666666666599</v>
      </c>
      <c r="B1365" s="1">
        <f ca="1">IFERROR(__xludf.UNSUPPORTED("""COMPUTED_VALUE"""),39.88)</f>
        <v>39.880000000000003</v>
      </c>
      <c r="C1365" s="2">
        <f t="shared" ca="1" si="5"/>
        <v>-2.7506876719179652E-3</v>
      </c>
    </row>
    <row r="1366" spans="1:3">
      <c r="A1366" s="3">
        <f ca="1">IFERROR(__xludf.UNSUPPORTED("""COMPUTED_VALUE"""),45447.6666666666)</f>
        <v>45447.666666666599</v>
      </c>
      <c r="B1366" s="1">
        <f ca="1">IFERROR(__xludf.UNSUPPORTED("""COMPUTED_VALUE"""),39.68)</f>
        <v>39.68</v>
      </c>
      <c r="C1366" s="2">
        <f t="shared" ca="1" si="5"/>
        <v>-5.0150451354062896E-3</v>
      </c>
    </row>
    <row r="1367" spans="1:3">
      <c r="A1367" s="3">
        <f ca="1">IFERROR(__xludf.UNSUPPORTED("""COMPUTED_VALUE"""),45448.6666666666)</f>
        <v>45448.666666666599</v>
      </c>
      <c r="B1367" s="1">
        <f ca="1">IFERROR(__xludf.UNSUPPORTED("""COMPUTED_VALUE"""),39.96)</f>
        <v>39.96</v>
      </c>
      <c r="C1367" s="2">
        <f t="shared" ca="1" si="5"/>
        <v>7.0564516129032542E-3</v>
      </c>
    </row>
    <row r="1368" spans="1:3">
      <c r="A1368" s="3">
        <f ca="1">IFERROR(__xludf.UNSUPPORTED("""COMPUTED_VALUE"""),45449.6666666666)</f>
        <v>45449.666666666599</v>
      </c>
      <c r="B1368" s="1">
        <f ca="1">IFERROR(__xludf.UNSUPPORTED("""COMPUTED_VALUE"""),39.7)</f>
        <v>39.700000000000003</v>
      </c>
      <c r="C1368" s="2">
        <f t="shared" ca="1" si="5"/>
        <v>-6.506506506506457E-3</v>
      </c>
    </row>
    <row r="1369" spans="1:3">
      <c r="A1369" s="3">
        <f ca="1">IFERROR(__xludf.UNSUPPORTED("""COMPUTED_VALUE"""),45450.6666666666)</f>
        <v>45450.666666666599</v>
      </c>
      <c r="B1369" s="1">
        <f ca="1">IFERROR(__xludf.UNSUPPORTED("""COMPUTED_VALUE"""),39.78)</f>
        <v>39.78</v>
      </c>
      <c r="C1369" s="2">
        <f t="shared" ca="1" si="5"/>
        <v>2.0151133501259016E-3</v>
      </c>
    </row>
    <row r="1370" spans="1:3">
      <c r="A1370" s="3">
        <f ca="1">IFERROR(__xludf.UNSUPPORTED("""COMPUTED_VALUE"""),45453.6666666666)</f>
        <v>45453.666666666599</v>
      </c>
      <c r="B1370" s="1">
        <f ca="1">IFERROR(__xludf.UNSUPPORTED("""COMPUTED_VALUE"""),39.67)</f>
        <v>39.67</v>
      </c>
      <c r="C1370" s="2">
        <f t="shared" ca="1" si="5"/>
        <v>-2.7652086475615746E-3</v>
      </c>
    </row>
    <row r="1371" spans="1:3">
      <c r="A1371" s="3">
        <f ca="1">IFERROR(__xludf.UNSUPPORTED("""COMPUTED_VALUE"""),45454.6666666666)</f>
        <v>45454.666666666599</v>
      </c>
      <c r="B1371" s="1">
        <f ca="1">IFERROR(__xludf.UNSUPPORTED("""COMPUTED_VALUE"""),38.86)</f>
        <v>38.86</v>
      </c>
      <c r="C1371" s="2">
        <f t="shared" ca="1" si="5"/>
        <v>-2.0418452230905021E-2</v>
      </c>
    </row>
    <row r="1372" spans="1:3">
      <c r="A1372" s="3">
        <f ca="1">IFERROR(__xludf.UNSUPPORTED("""COMPUTED_VALUE"""),45455.6666666666)</f>
        <v>45455.666666666599</v>
      </c>
      <c r="B1372" s="1">
        <f ca="1">IFERROR(__xludf.UNSUPPORTED("""COMPUTED_VALUE"""),39.41)</f>
        <v>39.409999999999997</v>
      </c>
      <c r="C1372" s="2">
        <f t="shared" ca="1" si="5"/>
        <v>1.4153371075656129E-2</v>
      </c>
    </row>
    <row r="1373" spans="1:3">
      <c r="A1373" s="3">
        <f ca="1">IFERROR(__xludf.UNSUPPORTED("""COMPUTED_VALUE"""),45456.6666666666)</f>
        <v>45456.666666666599</v>
      </c>
      <c r="B1373" s="1">
        <f ca="1">IFERROR(__xludf.UNSUPPORTED("""COMPUTED_VALUE"""),39.26)</f>
        <v>39.26</v>
      </c>
      <c r="C1373" s="2">
        <f t="shared" ca="1" si="5"/>
        <v>-3.8061405734584773E-3</v>
      </c>
    </row>
    <row r="1374" spans="1:3">
      <c r="A1374" s="3">
        <f ca="1">IFERROR(__xludf.UNSUPPORTED("""COMPUTED_VALUE"""),45457.6666666666)</f>
        <v>45457.666666666599</v>
      </c>
      <c r="B1374" s="1">
        <f ca="1">IFERROR(__xludf.UNSUPPORTED("""COMPUTED_VALUE"""),39.24)</f>
        <v>39.24</v>
      </c>
      <c r="C1374" s="2">
        <f t="shared" ca="1" si="5"/>
        <v>-5.0942435048385176E-4</v>
      </c>
    </row>
    <row r="1375" spans="1:3">
      <c r="A1375" s="3">
        <f ca="1">IFERROR(__xludf.UNSUPPORTED("""COMPUTED_VALUE"""),45460.6666666666)</f>
        <v>45460.666666666599</v>
      </c>
      <c r="B1375" s="1">
        <f ca="1">IFERROR(__xludf.UNSUPPORTED("""COMPUTED_VALUE"""),39.51)</f>
        <v>39.51</v>
      </c>
      <c r="C1375" s="2">
        <f t="shared" ca="1" si="5"/>
        <v>6.8807339449540265E-3</v>
      </c>
    </row>
    <row r="1376" spans="1:3">
      <c r="A1376" s="3">
        <f ca="1">IFERROR(__xludf.UNSUPPORTED("""COMPUTED_VALUE"""),45461.6666666666)</f>
        <v>45461.666666666599</v>
      </c>
      <c r="B1376" s="1">
        <f ca="1">IFERROR(__xludf.UNSUPPORTED("""COMPUTED_VALUE"""),39.99)</f>
        <v>39.99</v>
      </c>
      <c r="C1376" s="2">
        <f t="shared" ca="1" si="5"/>
        <v>1.2148823082763958E-2</v>
      </c>
    </row>
    <row r="1377" spans="1:3">
      <c r="A1377" s="3">
        <f ca="1">IFERROR(__xludf.UNSUPPORTED("""COMPUTED_VALUE"""),45463.6666666666)</f>
        <v>45463.666666666599</v>
      </c>
      <c r="B1377" s="1">
        <f ca="1">IFERROR(__xludf.UNSUPPORTED("""COMPUTED_VALUE"""),39.99)</f>
        <v>39.99</v>
      </c>
      <c r="C1377" s="2">
        <f t="shared" ca="1" si="5"/>
        <v>0</v>
      </c>
    </row>
    <row r="1378" spans="1:3">
      <c r="A1378" s="3">
        <f ca="1">IFERROR(__xludf.UNSUPPORTED("""COMPUTED_VALUE"""),45464.6666666666)</f>
        <v>45464.666666666599</v>
      </c>
      <c r="B1378" s="1">
        <f ca="1">IFERROR(__xludf.UNSUPPORTED("""COMPUTED_VALUE"""),39.49)</f>
        <v>39.49</v>
      </c>
      <c r="C1378" s="2">
        <f t="shared" ca="1" si="5"/>
        <v>-1.250312578144536E-2</v>
      </c>
    </row>
    <row r="1379" spans="1:3">
      <c r="A1379" s="3">
        <f ca="1">IFERROR(__xludf.UNSUPPORTED("""COMPUTED_VALUE"""),45467.6666666666)</f>
        <v>45467.666666666599</v>
      </c>
      <c r="B1379" s="1">
        <f ca="1">IFERROR(__xludf.UNSUPPORTED("""COMPUTED_VALUE"""),40.02)</f>
        <v>40.020000000000003</v>
      </c>
      <c r="C1379" s="2">
        <f t="shared" ca="1" si="5"/>
        <v>1.3421119270701472E-2</v>
      </c>
    </row>
    <row r="1380" spans="1:3">
      <c r="A1380" s="3">
        <f ca="1">IFERROR(__xludf.UNSUPPORTED("""COMPUTED_VALUE"""),45468.6666666666)</f>
        <v>45468.666666666599</v>
      </c>
      <c r="B1380" s="1">
        <f ca="1">IFERROR(__xludf.UNSUPPORTED("""COMPUTED_VALUE"""),39.38)</f>
        <v>39.380000000000003</v>
      </c>
      <c r="C1380" s="2">
        <f t="shared" ca="1" si="5"/>
        <v>-1.5992003998001013E-2</v>
      </c>
    </row>
    <row r="1381" spans="1:3">
      <c r="A1381" s="3">
        <f ca="1">IFERROR(__xludf.UNSUPPORTED("""COMPUTED_VALUE"""),45469.6666666666)</f>
        <v>45469.666666666599</v>
      </c>
      <c r="B1381" s="1">
        <f ca="1">IFERROR(__xludf.UNSUPPORTED("""COMPUTED_VALUE"""),39)</f>
        <v>39</v>
      </c>
      <c r="C1381" s="2">
        <f t="shared" ca="1" si="5"/>
        <v>-9.6495683087862508E-3</v>
      </c>
    </row>
    <row r="1382" spans="1:3">
      <c r="A1382" s="3">
        <f ca="1">IFERROR(__xludf.UNSUPPORTED("""COMPUTED_VALUE"""),45470.6666666666)</f>
        <v>45470.666666666599</v>
      </c>
      <c r="B1382" s="1">
        <f ca="1">IFERROR(__xludf.UNSUPPORTED("""COMPUTED_VALUE"""),39.25)</f>
        <v>39.25</v>
      </c>
      <c r="C1382" s="2">
        <f t="shared" ca="1" si="5"/>
        <v>6.41025641025641E-3</v>
      </c>
    </row>
    <row r="1383" spans="1:3">
      <c r="A1383" s="3">
        <f ca="1">IFERROR(__xludf.UNSUPPORTED("""COMPUTED_VALUE"""),45471.6666666666)</f>
        <v>45471.666666666599</v>
      </c>
      <c r="B1383" s="1">
        <f ca="1">IFERROR(__xludf.UNSUPPORTED("""COMPUTED_VALUE"""),39.77)</f>
        <v>39.770000000000003</v>
      </c>
      <c r="C1383" s="2">
        <f t="shared" ca="1" si="5"/>
        <v>1.3248407643312182E-2</v>
      </c>
    </row>
    <row r="1384" spans="1:3">
      <c r="A1384" s="3">
        <f ca="1">IFERROR(__xludf.UNSUPPORTED("""COMPUTED_VALUE"""),45474.6666666666)</f>
        <v>45474.666666666599</v>
      </c>
      <c r="B1384" s="1">
        <f ca="1">IFERROR(__xludf.UNSUPPORTED("""COMPUTED_VALUE"""),40.01)</f>
        <v>40.01</v>
      </c>
      <c r="C1384" s="2">
        <f t="shared" ca="1" si="5"/>
        <v>6.0346995222528253E-3</v>
      </c>
    </row>
    <row r="1385" spans="1:3">
      <c r="A1385" s="3">
        <f ca="1">IFERROR(__xludf.UNSUPPORTED("""COMPUTED_VALUE"""),45475.6666666666)</f>
        <v>45475.666666666599</v>
      </c>
      <c r="B1385" s="1">
        <f ca="1">IFERROR(__xludf.UNSUPPORTED("""COMPUTED_VALUE"""),40.93)</f>
        <v>40.93</v>
      </c>
      <c r="C1385" s="2">
        <f t="shared" ca="1" si="5"/>
        <v>2.2994251437140758E-2</v>
      </c>
    </row>
    <row r="1386" spans="1:3">
      <c r="A1386" s="3">
        <f ca="1">IFERROR(__xludf.UNSUPPORTED("""COMPUTED_VALUE"""),45476.5416666666)</f>
        <v>45476.541666666599</v>
      </c>
      <c r="B1386" s="1">
        <f ca="1">IFERROR(__xludf.UNSUPPORTED("""COMPUTED_VALUE"""),40.9)</f>
        <v>40.9</v>
      </c>
      <c r="C1386" s="2">
        <f t="shared" ca="1" si="5"/>
        <v>-7.3295870999269823E-4</v>
      </c>
    </row>
    <row r="1387" spans="1:3">
      <c r="A1387" s="3">
        <f ca="1">IFERROR(__xludf.UNSUPPORTED("""COMPUTED_VALUE"""),45478.6666666666)</f>
        <v>45478.666666666599</v>
      </c>
      <c r="B1387" s="1">
        <f ca="1">IFERROR(__xludf.UNSUPPORTED("""COMPUTED_VALUE"""),40.41)</f>
        <v>40.409999999999997</v>
      </c>
      <c r="C1387" s="2">
        <f t="shared" ca="1" si="5"/>
        <v>-1.198044009779956E-2</v>
      </c>
    </row>
    <row r="1388" spans="1:3">
      <c r="A1388" s="3">
        <f ca="1">IFERROR(__xludf.UNSUPPORTED("""COMPUTED_VALUE"""),45481.6666666666)</f>
        <v>45481.666666666599</v>
      </c>
      <c r="B1388" s="1">
        <f ca="1">IFERROR(__xludf.UNSUPPORTED("""COMPUTED_VALUE"""),40.62)</f>
        <v>40.619999999999997</v>
      </c>
      <c r="C1388" s="2">
        <f t="shared" ca="1" si="5"/>
        <v>5.1967334818114547E-3</v>
      </c>
    </row>
    <row r="1389" spans="1:3">
      <c r="A1389" s="3">
        <f ca="1">IFERROR(__xludf.UNSUPPORTED("""COMPUTED_VALUE"""),45482.6666666666)</f>
        <v>45482.666666666599</v>
      </c>
      <c r="B1389" s="1">
        <f ca="1">IFERROR(__xludf.UNSUPPORTED("""COMPUTED_VALUE"""),41.42)</f>
        <v>41.42</v>
      </c>
      <c r="C1389" s="2">
        <f t="shared" ca="1" si="5"/>
        <v>1.9694731659281248E-2</v>
      </c>
    </row>
    <row r="1390" spans="1:3">
      <c r="A1390" s="3">
        <f ca="1">IFERROR(__xludf.UNSUPPORTED("""COMPUTED_VALUE"""),45483.6666666666)</f>
        <v>45483.666666666599</v>
      </c>
      <c r="B1390" s="1">
        <f ca="1">IFERROR(__xludf.UNSUPPORTED("""COMPUTED_VALUE"""),41.74)</f>
        <v>41.74</v>
      </c>
      <c r="C1390" s="2">
        <f t="shared" ca="1" si="5"/>
        <v>7.7257363592467473E-3</v>
      </c>
    </row>
    <row r="1391" spans="1:3">
      <c r="A1391" s="3">
        <f ca="1">IFERROR(__xludf.UNSUPPORTED("""COMPUTED_VALUE"""),45484.6666666666)</f>
        <v>45484.666666666599</v>
      </c>
      <c r="B1391" s="1">
        <f ca="1">IFERROR(__xludf.UNSUPPORTED("""COMPUTED_VALUE"""),41.81)</f>
        <v>41.81</v>
      </c>
      <c r="C1391" s="2">
        <f t="shared" ca="1" si="5"/>
        <v>1.6770483948251144E-3</v>
      </c>
    </row>
    <row r="1392" spans="1:3">
      <c r="A1392" s="3">
        <f ca="1">IFERROR(__xludf.UNSUPPORTED("""COMPUTED_VALUE"""),45485.6666666666)</f>
        <v>45485.666666666599</v>
      </c>
      <c r="B1392" s="1">
        <f ca="1">IFERROR(__xludf.UNSUPPORTED("""COMPUTED_VALUE"""),41.59)</f>
        <v>41.59</v>
      </c>
      <c r="C1392" s="2">
        <f t="shared" ca="1" si="5"/>
        <v>-5.2618990672087746E-3</v>
      </c>
    </row>
    <row r="1393" spans="1:3">
      <c r="A1393" s="3">
        <f ca="1">IFERROR(__xludf.UNSUPPORTED("""COMPUTED_VALUE"""),45488.6666666666)</f>
        <v>45488.666666666599</v>
      </c>
      <c r="B1393" s="1">
        <f ca="1">IFERROR(__xludf.UNSUPPORTED("""COMPUTED_VALUE"""),41.89)</f>
        <v>41.89</v>
      </c>
      <c r="C1393" s="2">
        <f t="shared" ca="1" si="5"/>
        <v>7.2132724212550401E-3</v>
      </c>
    </row>
    <row r="1394" spans="1:3">
      <c r="A1394" s="3">
        <f ca="1">IFERROR(__xludf.UNSUPPORTED("""COMPUTED_VALUE"""),45489.6666666666)</f>
        <v>45489.666666666599</v>
      </c>
      <c r="B1394" s="1">
        <f ca="1">IFERROR(__xludf.UNSUPPORTED("""COMPUTED_VALUE"""),44.13)</f>
        <v>44.13</v>
      </c>
      <c r="C1394" s="2">
        <f t="shared" ca="1" si="5"/>
        <v>5.3473382668894773E-2</v>
      </c>
    </row>
    <row r="1395" spans="1:3">
      <c r="A1395" s="3">
        <f ca="1">IFERROR(__xludf.UNSUPPORTED("""COMPUTED_VALUE"""),45490.6666666666)</f>
        <v>45490.666666666599</v>
      </c>
      <c r="B1395" s="1">
        <f ca="1">IFERROR(__xludf.UNSUPPORTED("""COMPUTED_VALUE"""),43.98)</f>
        <v>43.98</v>
      </c>
      <c r="C1395" s="2">
        <f t="shared" ca="1" si="5"/>
        <v>-3.3990482664855129E-3</v>
      </c>
    </row>
    <row r="1396" spans="1:3">
      <c r="A1396" s="3">
        <f ca="1">IFERROR(__xludf.UNSUPPORTED("""COMPUTED_VALUE"""),45491.6666666666)</f>
        <v>45491.666666666599</v>
      </c>
      <c r="B1396" s="1">
        <f ca="1">IFERROR(__xludf.UNSUPPORTED("""COMPUTED_VALUE"""),43.01)</f>
        <v>43.01</v>
      </c>
      <c r="C1396" s="2">
        <f t="shared" ca="1" si="5"/>
        <v>-2.2055479763528854E-2</v>
      </c>
    </row>
    <row r="1397" spans="1:3">
      <c r="A1397" s="3">
        <f ca="1">IFERROR(__xludf.UNSUPPORTED("""COMPUTED_VALUE"""),45492.6666666666)</f>
        <v>45492.666666666599</v>
      </c>
      <c r="B1397" s="1">
        <f ca="1">IFERROR(__xludf.UNSUPPORTED("""COMPUTED_VALUE"""),42.9)</f>
        <v>42.9</v>
      </c>
      <c r="C1397" s="2">
        <f t="shared" ca="1" si="5"/>
        <v>-2.5575447570332348E-3</v>
      </c>
    </row>
    <row r="1398" spans="1:3">
      <c r="A1398" s="3">
        <f ca="1">IFERROR(__xludf.UNSUPPORTED("""COMPUTED_VALUE"""),45495.6666666666)</f>
        <v>45495.666666666599</v>
      </c>
      <c r="B1398" s="1">
        <f ca="1">IFERROR(__xludf.UNSUPPORTED("""COMPUTED_VALUE"""),42.3)</f>
        <v>42.3</v>
      </c>
      <c r="C1398" s="2">
        <f t="shared" ca="1" si="5"/>
        <v>-1.3986013986014019E-2</v>
      </c>
    </row>
    <row r="1399" spans="1:3">
      <c r="A1399" s="3">
        <f ca="1">IFERROR(__xludf.UNSUPPORTED("""COMPUTED_VALUE"""),45496.6666666666)</f>
        <v>45496.666666666599</v>
      </c>
      <c r="B1399" s="1">
        <f ca="1">IFERROR(__xludf.UNSUPPORTED("""COMPUTED_VALUE"""),42.41)</f>
        <v>42.41</v>
      </c>
      <c r="C1399" s="2">
        <f t="shared" ca="1" si="5"/>
        <v>2.6004728132387575E-3</v>
      </c>
    </row>
    <row r="1400" spans="1:3">
      <c r="A1400" s="3">
        <f ca="1">IFERROR(__xludf.UNSUPPORTED("""COMPUTED_VALUE"""),45497.6666666666)</f>
        <v>45497.666666666599</v>
      </c>
      <c r="B1400" s="1">
        <f ca="1">IFERROR(__xludf.UNSUPPORTED("""COMPUTED_VALUE"""),42.19)</f>
        <v>42.19</v>
      </c>
      <c r="C1400" s="2">
        <f t="shared" ca="1" si="5"/>
        <v>-5.187455788729047E-3</v>
      </c>
    </row>
    <row r="1401" spans="1:3">
      <c r="A1401" s="3">
        <f ca="1">IFERROR(__xludf.UNSUPPORTED("""COMPUTED_VALUE"""),45498.6666666666)</f>
        <v>45498.666666666599</v>
      </c>
      <c r="B1401" s="1">
        <f ca="1">IFERROR(__xludf.UNSUPPORTED("""COMPUTED_VALUE"""),41.68)</f>
        <v>41.68</v>
      </c>
      <c r="C1401" s="2">
        <f t="shared" ca="1" si="5"/>
        <v>-1.2088172552737569E-2</v>
      </c>
    </row>
    <row r="1402" spans="1:3">
      <c r="A1402" s="3">
        <f ca="1">IFERROR(__xludf.UNSUPPORTED("""COMPUTED_VALUE"""),45499.6666666666)</f>
        <v>45499.666666666599</v>
      </c>
      <c r="B1402" s="1">
        <f ca="1">IFERROR(__xludf.UNSUPPORTED("""COMPUTED_VALUE"""),41.67)</f>
        <v>41.67</v>
      </c>
      <c r="C1402" s="2">
        <f t="shared" ca="1" si="5"/>
        <v>-2.3992322456809046E-4</v>
      </c>
    </row>
    <row r="1403" spans="1:3">
      <c r="A1403" s="3">
        <f ca="1">IFERROR(__xludf.UNSUPPORTED("""COMPUTED_VALUE"""),45502.6666666666)</f>
        <v>45502.666666666599</v>
      </c>
      <c r="B1403" s="1">
        <f ca="1">IFERROR(__xludf.UNSUPPORTED("""COMPUTED_VALUE"""),41.09)</f>
        <v>41.09</v>
      </c>
      <c r="C1403" s="2">
        <f t="shared" ca="1" si="5"/>
        <v>-1.3918886489080831E-2</v>
      </c>
    </row>
    <row r="1404" spans="1:3">
      <c r="A1404" s="3">
        <f ca="1">IFERROR(__xludf.UNSUPPORTED("""COMPUTED_VALUE"""),45503.6666666666)</f>
        <v>45503.666666666599</v>
      </c>
      <c r="B1404" s="1">
        <f ca="1">IFERROR(__xludf.UNSUPPORTED("""COMPUTED_VALUE"""),41.28)</f>
        <v>41.28</v>
      </c>
      <c r="C1404" s="2">
        <f t="shared" ca="1" si="5"/>
        <v>4.6239961061084866E-3</v>
      </c>
    </row>
    <row r="1405" spans="1:3">
      <c r="A1405" s="3">
        <f ca="1">IFERROR(__xludf.UNSUPPORTED("""COMPUTED_VALUE"""),45504.6666666666)</f>
        <v>45504.666666666599</v>
      </c>
      <c r="B1405" s="1">
        <f ca="1">IFERROR(__xludf.UNSUPPORTED("""COMPUTED_VALUE"""),40.31)</f>
        <v>40.31</v>
      </c>
      <c r="C1405" s="2">
        <f t="shared" ca="1" si="5"/>
        <v>-2.3498062015503848E-2</v>
      </c>
    </row>
    <row r="1406" spans="1:3">
      <c r="A1406" s="3">
        <f ca="1">IFERROR(__xludf.UNSUPPORTED("""COMPUTED_VALUE"""),45505.6666666666)</f>
        <v>45505.666666666599</v>
      </c>
      <c r="B1406" s="1">
        <f ca="1">IFERROR(__xludf.UNSUPPORTED("""COMPUTED_VALUE"""),39.5)</f>
        <v>39.5</v>
      </c>
      <c r="C1406" s="2">
        <f t="shared" ca="1" si="5"/>
        <v>-2.0094269412056616E-2</v>
      </c>
    </row>
    <row r="1407" spans="1:3">
      <c r="A1407" s="3">
        <f ca="1">IFERROR(__xludf.UNSUPPORTED("""COMPUTED_VALUE"""),45506.6666666666)</f>
        <v>45506.666666666599</v>
      </c>
      <c r="B1407" s="1">
        <f ca="1">IFERROR(__xludf.UNSUPPORTED("""COMPUTED_VALUE"""),37.58)</f>
        <v>37.58</v>
      </c>
      <c r="C1407" s="2">
        <f t="shared" ca="1" si="5"/>
        <v>-4.8607594936708902E-2</v>
      </c>
    </row>
    <row r="1408" spans="1:3">
      <c r="A1408" s="3">
        <f ca="1">IFERROR(__xludf.UNSUPPORTED("""COMPUTED_VALUE"""),45509.6666666666)</f>
        <v>45509.666666666599</v>
      </c>
      <c r="B1408" s="1">
        <f ca="1">IFERROR(__xludf.UNSUPPORTED("""COMPUTED_VALUE"""),36.65)</f>
        <v>36.65</v>
      </c>
      <c r="C1408" s="2">
        <f t="shared" ca="1" si="5"/>
        <v>-2.4747205960617344E-2</v>
      </c>
    </row>
    <row r="1409" spans="1:3">
      <c r="A1409" s="3">
        <f ca="1">IFERROR(__xludf.UNSUPPORTED("""COMPUTED_VALUE"""),45510.6666666666)</f>
        <v>45510.666666666599</v>
      </c>
      <c r="B1409" s="1">
        <f ca="1">IFERROR(__xludf.UNSUPPORTED("""COMPUTED_VALUE"""),36.92)</f>
        <v>36.92</v>
      </c>
      <c r="C1409" s="2">
        <f t="shared" ca="1" si="5"/>
        <v>7.3669849931788031E-3</v>
      </c>
    </row>
    <row r="1410" spans="1:3">
      <c r="A1410" s="3">
        <f ca="1">IFERROR(__xludf.UNSUPPORTED("""COMPUTED_VALUE"""),45511.6666666666)</f>
        <v>45511.666666666599</v>
      </c>
      <c r="B1410" s="1">
        <f ca="1">IFERROR(__xludf.UNSUPPORTED("""COMPUTED_VALUE"""),37.3)</f>
        <v>37.299999999999997</v>
      </c>
      <c r="C1410" s="2">
        <f t="shared" ca="1" si="5"/>
        <v>1.0292524377031296E-2</v>
      </c>
    </row>
    <row r="1411" spans="1:3">
      <c r="A1411" s="3">
        <f ca="1">IFERROR(__xludf.UNSUPPORTED("""COMPUTED_VALUE"""),45512.6666666666)</f>
        <v>45512.666666666599</v>
      </c>
      <c r="B1411" s="1">
        <f ca="1">IFERROR(__xludf.UNSUPPORTED("""COMPUTED_VALUE"""),38.21)</f>
        <v>38.21</v>
      </c>
      <c r="C1411" s="2">
        <f t="shared" ca="1" si="5"/>
        <v>2.4396782841823159E-2</v>
      </c>
    </row>
    <row r="1412" spans="1:3">
      <c r="A1412" s="3">
        <f ca="1">IFERROR(__xludf.UNSUPPORTED("""COMPUTED_VALUE"""),45513.6666666666)</f>
        <v>45513.666666666599</v>
      </c>
      <c r="B1412" s="1">
        <f ca="1">IFERROR(__xludf.UNSUPPORTED("""COMPUTED_VALUE"""),38.28)</f>
        <v>38.28</v>
      </c>
      <c r="C1412" s="2">
        <f t="shared" ca="1" si="5"/>
        <v>1.8319811567652521E-3</v>
      </c>
    </row>
    <row r="1413" spans="1:3">
      <c r="A1413" s="3">
        <f ca="1">IFERROR(__xludf.UNSUPPORTED("""COMPUTED_VALUE"""),45516.6666666666)</f>
        <v>45516.666666666599</v>
      </c>
      <c r="B1413" s="1">
        <f ca="1">IFERROR(__xludf.UNSUPPORTED("""COMPUTED_VALUE"""),38.17)</f>
        <v>38.17</v>
      </c>
      <c r="C1413" s="2">
        <f t="shared" ca="1" si="5"/>
        <v>-2.8735632183907898E-3</v>
      </c>
    </row>
    <row r="1414" spans="1:3">
      <c r="A1414" s="3">
        <f ca="1">IFERROR(__xludf.UNSUPPORTED("""COMPUTED_VALUE"""),45517.6666666666)</f>
        <v>45517.666666666599</v>
      </c>
      <c r="B1414" s="1">
        <f ca="1">IFERROR(__xludf.UNSUPPORTED("""COMPUTED_VALUE"""),38.46)</f>
        <v>38.46</v>
      </c>
      <c r="C1414" s="2">
        <f t="shared" ca="1" si="5"/>
        <v>7.5975897301545489E-3</v>
      </c>
    </row>
    <row r="1415" spans="1:3">
      <c r="A1415" s="3">
        <f ca="1">IFERROR(__xludf.UNSUPPORTED("""COMPUTED_VALUE"""),45518.6666666666)</f>
        <v>45518.666666666599</v>
      </c>
      <c r="B1415" s="1">
        <f ca="1">IFERROR(__xludf.UNSUPPORTED("""COMPUTED_VALUE"""),38.81)</f>
        <v>38.81</v>
      </c>
      <c r="C1415" s="2">
        <f t="shared" ca="1" si="5"/>
        <v>9.1003640145606197E-3</v>
      </c>
    </row>
    <row r="1416" spans="1:3">
      <c r="A1416" s="3">
        <f ca="1">IFERROR(__xludf.UNSUPPORTED("""COMPUTED_VALUE"""),45519.6666666666)</f>
        <v>45519.666666666599</v>
      </c>
      <c r="B1416" s="1">
        <f ca="1">IFERROR(__xludf.UNSUPPORTED("""COMPUTED_VALUE"""),39.03)</f>
        <v>39.03</v>
      </c>
      <c r="C1416" s="2">
        <f t="shared" ca="1" si="5"/>
        <v>5.6686421025508591E-3</v>
      </c>
    </row>
    <row r="1417" spans="1:3">
      <c r="A1417" s="3">
        <f ca="1">IFERROR(__xludf.UNSUPPORTED("""COMPUTED_VALUE"""),45520.6666666666)</f>
        <v>45520.666666666599</v>
      </c>
      <c r="B1417" s="1">
        <f ca="1">IFERROR(__xludf.UNSUPPORTED("""COMPUTED_VALUE"""),39.34)</f>
        <v>39.340000000000003</v>
      </c>
      <c r="C1417" s="2">
        <f t="shared" ca="1" si="5"/>
        <v>7.9426082500641121E-3</v>
      </c>
    </row>
    <row r="1418" spans="1:3">
      <c r="A1418" s="3">
        <f ca="1">IFERROR(__xludf.UNSUPPORTED("""COMPUTED_VALUE"""),45523.6666666666)</f>
        <v>45523.666666666599</v>
      </c>
      <c r="B1418" s="1">
        <f ca="1">IFERROR(__xludf.UNSUPPORTED("""COMPUTED_VALUE"""),39.67)</f>
        <v>39.67</v>
      </c>
      <c r="C1418" s="2">
        <f t="shared" ca="1" si="5"/>
        <v>8.3884087442805868E-3</v>
      </c>
    </row>
    <row r="1419" spans="1:3">
      <c r="A1419" s="3">
        <f ca="1">IFERROR(__xludf.UNSUPPORTED("""COMPUTED_VALUE"""),45524.6666666666)</f>
        <v>45524.666666666599</v>
      </c>
      <c r="B1419" s="1">
        <f ca="1">IFERROR(__xludf.UNSUPPORTED("""COMPUTED_VALUE"""),38.69)</f>
        <v>38.69</v>
      </c>
      <c r="C1419" s="2">
        <f t="shared" ca="1" si="5"/>
        <v>-2.4703806402823391E-2</v>
      </c>
    </row>
    <row r="1420" spans="1:3">
      <c r="A1420" s="3">
        <f ca="1">IFERROR(__xludf.UNSUPPORTED("""COMPUTED_VALUE"""),45525.6666666666)</f>
        <v>45525.666666666599</v>
      </c>
      <c r="B1420" s="1">
        <f ca="1">IFERROR(__xludf.UNSUPPORTED("""COMPUTED_VALUE"""),38.75)</f>
        <v>38.75</v>
      </c>
      <c r="C1420" s="2">
        <f t="shared" ca="1" si="5"/>
        <v>1.5507883173947344E-3</v>
      </c>
    </row>
    <row r="1421" spans="1:3">
      <c r="A1421" s="3">
        <f ca="1">IFERROR(__xludf.UNSUPPORTED("""COMPUTED_VALUE"""),45526.6666666666)</f>
        <v>45526.666666666599</v>
      </c>
      <c r="B1421" s="1">
        <f ca="1">IFERROR(__xludf.UNSUPPORTED("""COMPUTED_VALUE"""),39.24)</f>
        <v>39.24</v>
      </c>
      <c r="C1421" s="2">
        <f t="shared" ca="1" si="5"/>
        <v>1.2645161290322633E-2</v>
      </c>
    </row>
    <row r="1422" spans="1:3">
      <c r="A1422" s="3">
        <f ca="1">IFERROR(__xludf.UNSUPPORTED("""COMPUTED_VALUE"""),45527.6666666666)</f>
        <v>45527.666666666599</v>
      </c>
      <c r="B1422" s="1">
        <f ca="1">IFERROR(__xludf.UNSUPPORTED("""COMPUTED_VALUE"""),39.77)</f>
        <v>39.770000000000003</v>
      </c>
      <c r="C1422" s="2">
        <f t="shared" ca="1" si="5"/>
        <v>1.3506625891947021E-2</v>
      </c>
    </row>
    <row r="1423" spans="1:3">
      <c r="A1423" s="3">
        <f ca="1">IFERROR(__xludf.UNSUPPORTED("""COMPUTED_VALUE"""),45530.6666666666)</f>
        <v>45530.666666666599</v>
      </c>
      <c r="B1423" s="1">
        <f ca="1">IFERROR(__xludf.UNSUPPORTED("""COMPUTED_VALUE"""),39.92)</f>
        <v>39.92</v>
      </c>
      <c r="C1423" s="2">
        <f t="shared" ca="1" si="5"/>
        <v>3.7716872014080605E-3</v>
      </c>
    </row>
    <row r="1424" spans="1:3">
      <c r="A1424" s="3">
        <f ca="1">IFERROR(__xludf.UNSUPPORTED("""COMPUTED_VALUE"""),45531.6666666666)</f>
        <v>45531.666666666599</v>
      </c>
      <c r="B1424" s="1">
        <f ca="1">IFERROR(__xludf.UNSUPPORTED("""COMPUTED_VALUE"""),39.67)</f>
        <v>39.67</v>
      </c>
      <c r="C1424" s="2">
        <f t="shared" ca="1" si="5"/>
        <v>-6.2625250501001997E-3</v>
      </c>
    </row>
    <row r="1425" spans="1:3">
      <c r="A1425" s="3">
        <f ca="1">IFERROR(__xludf.UNSUPPORTED("""COMPUTED_VALUE"""),45532.6666666666)</f>
        <v>45532.666666666599</v>
      </c>
      <c r="B1425" s="1">
        <f ca="1">IFERROR(__xludf.UNSUPPORTED("""COMPUTED_VALUE"""),39.95)</f>
        <v>39.950000000000003</v>
      </c>
      <c r="C1425" s="2">
        <f t="shared" ca="1" si="5"/>
        <v>7.0582304008066834E-3</v>
      </c>
    </row>
    <row r="1426" spans="1:3">
      <c r="A1426" s="3">
        <f ca="1">IFERROR(__xludf.UNSUPPORTED("""COMPUTED_VALUE"""),45533.6666666666)</f>
        <v>45533.666666666599</v>
      </c>
      <c r="B1426" s="1">
        <f ca="1">IFERROR(__xludf.UNSUPPORTED("""COMPUTED_VALUE"""),40.17)</f>
        <v>40.17</v>
      </c>
      <c r="C1426" s="2">
        <f t="shared" ca="1" si="5"/>
        <v>5.5068836045056033E-3</v>
      </c>
    </row>
    <row r="1427" spans="1:3">
      <c r="A1427" s="3">
        <f ca="1">IFERROR(__xludf.UNSUPPORTED("""COMPUTED_VALUE"""),45534.6666666666)</f>
        <v>45534.666666666599</v>
      </c>
      <c r="B1427" s="1">
        <f ca="1">IFERROR(__xludf.UNSUPPORTED("""COMPUTED_VALUE"""),40.75)</f>
        <v>40.75</v>
      </c>
      <c r="C1427" s="2">
        <f t="shared" ca="1" si="5"/>
        <v>1.4438635797859057E-2</v>
      </c>
    </row>
    <row r="1428" spans="1:3">
      <c r="A1428" s="3">
        <f ca="1">IFERROR(__xludf.UNSUPPORTED("""COMPUTED_VALUE"""),45538.6666666666)</f>
        <v>45538.666666666599</v>
      </c>
      <c r="B1428" s="1">
        <f ca="1">IFERROR(__xludf.UNSUPPORTED("""COMPUTED_VALUE"""),40.7)</f>
        <v>40.700000000000003</v>
      </c>
      <c r="C1428" s="2">
        <f t="shared" ca="1" si="5"/>
        <v>-1.2269938650306051E-3</v>
      </c>
    </row>
    <row r="1429" spans="1:3">
      <c r="A1429" s="3">
        <f ca="1">IFERROR(__xludf.UNSUPPORTED("""COMPUTED_VALUE"""),45539.6666666666)</f>
        <v>45539.666666666599</v>
      </c>
      <c r="B1429" s="1">
        <f ca="1">IFERROR(__xludf.UNSUPPORTED("""COMPUTED_VALUE"""),40.5)</f>
        <v>40.5</v>
      </c>
      <c r="C1429" s="2">
        <f t="shared" ca="1" si="5"/>
        <v>-4.9140049140049833E-3</v>
      </c>
    </row>
    <row r="1430" spans="1:3">
      <c r="A1430" s="3">
        <f ca="1">IFERROR(__xludf.UNSUPPORTED("""COMPUTED_VALUE"""),45540.6666666666)</f>
        <v>45540.666666666599</v>
      </c>
      <c r="B1430" s="1">
        <f ca="1">IFERROR(__xludf.UNSUPPORTED("""COMPUTED_VALUE"""),40.14)</f>
        <v>40.14</v>
      </c>
      <c r="C1430" s="2">
        <f t="shared" ca="1" si="5"/>
        <v>-8.888888888888875E-3</v>
      </c>
    </row>
    <row r="1431" spans="1:3">
      <c r="A1431" s="3">
        <f ca="1">IFERROR(__xludf.UNSUPPORTED("""COMPUTED_VALUE"""),45541.6666666666)</f>
        <v>45541.666666666599</v>
      </c>
      <c r="B1431" s="1">
        <f ca="1">IFERROR(__xludf.UNSUPPORTED("""COMPUTED_VALUE"""),38.76)</f>
        <v>38.76</v>
      </c>
      <c r="C1431" s="2">
        <f t="shared" ca="1" si="5"/>
        <v>-3.4379671150971659E-2</v>
      </c>
    </row>
    <row r="1432" spans="1:3">
      <c r="A1432" s="3">
        <f ca="1">IFERROR(__xludf.UNSUPPORTED("""COMPUTED_VALUE"""),45544.6666666666)</f>
        <v>45544.666666666599</v>
      </c>
      <c r="B1432" s="1">
        <f ca="1">IFERROR(__xludf.UNSUPPORTED("""COMPUTED_VALUE"""),39.47)</f>
        <v>39.47</v>
      </c>
      <c r="C1432" s="2">
        <f t="shared" ca="1" si="5"/>
        <v>1.8317853457172364E-2</v>
      </c>
    </row>
    <row r="1433" spans="1:3">
      <c r="A1433" s="3">
        <f ca="1">IFERROR(__xludf.UNSUPPORTED("""COMPUTED_VALUE"""),45545.6666666666)</f>
        <v>45545.666666666599</v>
      </c>
      <c r="B1433" s="1">
        <f ca="1">IFERROR(__xludf.UNSUPPORTED("""COMPUTED_VALUE"""),39.28)</f>
        <v>39.28</v>
      </c>
      <c r="C1433" s="2">
        <f t="shared" ca="1" si="5"/>
        <v>-4.8137826197111157E-3</v>
      </c>
    </row>
    <row r="1434" spans="1:3">
      <c r="A1434" s="3">
        <f ca="1">IFERROR(__xludf.UNSUPPORTED("""COMPUTED_VALUE"""),45546.6666666666)</f>
        <v>45546.666666666599</v>
      </c>
      <c r="B1434" s="1">
        <f ca="1">IFERROR(__xludf.UNSUPPORTED("""COMPUTED_VALUE"""),39)</f>
        <v>39</v>
      </c>
      <c r="C1434" s="2">
        <f t="shared" ca="1" si="5"/>
        <v>-7.1283095723014547E-3</v>
      </c>
    </row>
    <row r="1435" spans="1:3">
      <c r="A1435" s="3">
        <f ca="1">IFERROR(__xludf.UNSUPPORTED("""COMPUTED_VALUE"""),45547.6666666666)</f>
        <v>45547.666666666599</v>
      </c>
      <c r="B1435" s="1">
        <f ca="1">IFERROR(__xludf.UNSUPPORTED("""COMPUTED_VALUE"""),38.78)</f>
        <v>38.78</v>
      </c>
      <c r="C1435" s="2">
        <f t="shared" ca="1" si="5"/>
        <v>-5.641025641025612E-3</v>
      </c>
    </row>
    <row r="1436" spans="1:3">
      <c r="A1436" s="3">
        <f ca="1">IFERROR(__xludf.UNSUPPORTED("""COMPUTED_VALUE"""),45548.6666666666)</f>
        <v>45548.666666666599</v>
      </c>
      <c r="B1436" s="1">
        <f ca="1">IFERROR(__xludf.UNSUPPORTED("""COMPUTED_VALUE"""),38.65)</f>
        <v>38.65</v>
      </c>
      <c r="C1436" s="2">
        <f t="shared" ca="1" si="5"/>
        <v>-3.3522434244456565E-3</v>
      </c>
    </row>
    <row r="1437" spans="1:3">
      <c r="A1437" s="3">
        <f ca="1">IFERROR(__xludf.UNSUPPORTED("""COMPUTED_VALUE"""),45551.6666666666)</f>
        <v>45551.666666666599</v>
      </c>
      <c r="B1437" s="1">
        <f ca="1">IFERROR(__xludf.UNSUPPORTED("""COMPUTED_VALUE"""),39.1)</f>
        <v>39.1</v>
      </c>
      <c r="C1437" s="2">
        <f t="shared" ca="1" si="5"/>
        <v>1.1642949547218702E-2</v>
      </c>
    </row>
    <row r="1438" spans="1:3">
      <c r="A1438" s="3">
        <f ca="1">IFERROR(__xludf.UNSUPPORTED("""COMPUTED_VALUE"""),45552.6666666666)</f>
        <v>45552.666666666599</v>
      </c>
      <c r="B1438" s="1">
        <f ca="1">IFERROR(__xludf.UNSUPPORTED("""COMPUTED_VALUE"""),39.55)</f>
        <v>39.549999999999997</v>
      </c>
      <c r="C1438" s="2">
        <f t="shared" ca="1" si="5"/>
        <v>1.1508951406649507E-2</v>
      </c>
    </row>
    <row r="1439" spans="1:3">
      <c r="A1439" s="3">
        <f ca="1">IFERROR(__xludf.UNSUPPORTED("""COMPUTED_VALUE"""),45553.6666666666)</f>
        <v>45553.666666666599</v>
      </c>
      <c r="B1439" s="1">
        <f ca="1">IFERROR(__xludf.UNSUPPORTED("""COMPUTED_VALUE"""),39.62)</f>
        <v>39.619999999999997</v>
      </c>
      <c r="C1439" s="2">
        <f t="shared" ca="1" si="5"/>
        <v>1.7699115044247861E-3</v>
      </c>
    </row>
    <row r="1440" spans="1:3">
      <c r="A1440" s="3">
        <f ca="1">IFERROR(__xludf.UNSUPPORTED("""COMPUTED_VALUE"""),45554.6666666666)</f>
        <v>45554.666666666599</v>
      </c>
      <c r="B1440" s="1">
        <f ca="1">IFERROR(__xludf.UNSUPPORTED("""COMPUTED_VALUE"""),40.87)</f>
        <v>40.869999999999997</v>
      </c>
      <c r="C1440" s="2">
        <f t="shared" ca="1" si="5"/>
        <v>3.154972236244321E-2</v>
      </c>
    </row>
    <row r="1441" spans="1:3">
      <c r="A1441" s="3">
        <f ca="1">IFERROR(__xludf.UNSUPPORTED("""COMPUTED_VALUE"""),45555.6666666666)</f>
        <v>45555.666666666599</v>
      </c>
      <c r="B1441" s="1">
        <f ca="1">IFERROR(__xludf.UNSUPPORTED("""COMPUTED_VALUE"""),40.27)</f>
        <v>40.270000000000003</v>
      </c>
      <c r="C1441" s="2">
        <f t="shared" ca="1" si="5"/>
        <v>-1.4680694886224477E-2</v>
      </c>
    </row>
    <row r="1442" spans="1:3">
      <c r="A1442" s="3">
        <f ca="1">IFERROR(__xludf.UNSUPPORTED("""COMPUTED_VALUE"""),45558.6666666666)</f>
        <v>45558.666666666599</v>
      </c>
      <c r="B1442" s="1">
        <f ca="1">IFERROR(__xludf.UNSUPPORTED("""COMPUTED_VALUE"""),39.87)</f>
        <v>39.869999999999997</v>
      </c>
      <c r="C1442" s="2">
        <f t="shared" ca="1" si="5"/>
        <v>-9.9329525701516187E-3</v>
      </c>
    </row>
    <row r="1443" spans="1:3">
      <c r="A1443" s="3">
        <f ca="1">IFERROR(__xludf.UNSUPPORTED("""COMPUTED_VALUE"""),45559.6666666666)</f>
        <v>45559.666666666599</v>
      </c>
      <c r="B1443" s="1">
        <f ca="1">IFERROR(__xludf.UNSUPPORTED("""COMPUTED_VALUE"""),39.45)</f>
        <v>39.450000000000003</v>
      </c>
      <c r="C1443" s="2">
        <f t="shared" ca="1" si="5"/>
        <v>-1.0534236267870445E-2</v>
      </c>
    </row>
    <row r="1444" spans="1:3">
      <c r="A1444" s="3">
        <f ca="1">IFERROR(__xludf.UNSUPPORTED("""COMPUTED_VALUE"""),45560.6666666666)</f>
        <v>45560.666666666599</v>
      </c>
      <c r="B1444" s="1">
        <f ca="1">IFERROR(__xludf.UNSUPPORTED("""COMPUTED_VALUE"""),39.25)</f>
        <v>39.25</v>
      </c>
      <c r="C1444" s="2">
        <f t="shared" ca="1" si="5"/>
        <v>-5.0697084917617954E-3</v>
      </c>
    </row>
    <row r="1445" spans="1:3">
      <c r="A1445" s="3">
        <f ca="1">IFERROR(__xludf.UNSUPPORTED("""COMPUTED_VALUE"""),45561.6666666666)</f>
        <v>45561.666666666599</v>
      </c>
      <c r="B1445" s="1">
        <f ca="1">IFERROR(__xludf.UNSUPPORTED("""COMPUTED_VALUE"""),39.52)</f>
        <v>39.520000000000003</v>
      </c>
      <c r="C1445" s="2">
        <f t="shared" ca="1" si="5"/>
        <v>6.8789808917198245E-3</v>
      </c>
    </row>
    <row r="1446" spans="1:3">
      <c r="A1446" s="3">
        <f ca="1">IFERROR(__xludf.UNSUPPORTED("""COMPUTED_VALUE"""),45562.6666666666)</f>
        <v>45562.666666666599</v>
      </c>
      <c r="B1446" s="1">
        <f ca="1">IFERROR(__xludf.UNSUPPORTED("""COMPUTED_VALUE"""),39.4)</f>
        <v>39.4</v>
      </c>
      <c r="C1446" s="2">
        <f t="shared" ca="1" si="5"/>
        <v>-3.0364372469636777E-3</v>
      </c>
    </row>
    <row r="1447" spans="1:3">
      <c r="A1447" s="3">
        <f ca="1">IFERROR(__xludf.UNSUPPORTED("""COMPUTED_VALUE"""),45565.6666666666)</f>
        <v>45565.666666666599</v>
      </c>
      <c r="B1447" s="1">
        <f ca="1">IFERROR(__xludf.UNSUPPORTED("""COMPUTED_VALUE"""),39.68)</f>
        <v>39.68</v>
      </c>
      <c r="C1447" s="2">
        <f t="shared" ca="1" si="5"/>
        <v>7.1065989847716024E-3</v>
      </c>
    </row>
    <row r="1448" spans="1:3">
      <c r="A1448" s="3">
        <f ca="1">IFERROR(__xludf.UNSUPPORTED("""COMPUTED_VALUE"""),45566.6666666666)</f>
        <v>45566.666666666599</v>
      </c>
      <c r="B1448" s="1">
        <f ca="1">IFERROR(__xludf.UNSUPPORTED("""COMPUTED_VALUE"""),39.22)</f>
        <v>39.22</v>
      </c>
      <c r="C1448" s="2">
        <f t="shared" ca="1" si="5"/>
        <v>-1.1592741935483892E-2</v>
      </c>
    </row>
    <row r="1449" spans="1:3">
      <c r="A1449" s="3">
        <f ca="1">IFERROR(__xludf.UNSUPPORTED("""COMPUTED_VALUE"""),45567.6666666666)</f>
        <v>45567.666666666599</v>
      </c>
      <c r="B1449" s="1">
        <f ca="1">IFERROR(__xludf.UNSUPPORTED("""COMPUTED_VALUE"""),39.23)</f>
        <v>39.229999999999997</v>
      </c>
      <c r="C1449" s="2">
        <f t="shared" ca="1" si="5"/>
        <v>2.5497195308510991E-4</v>
      </c>
    </row>
    <row r="1450" spans="1:3">
      <c r="A1450" s="3">
        <f ca="1">IFERROR(__xludf.UNSUPPORTED("""COMPUTED_VALUE"""),45568.6666666666)</f>
        <v>45568.666666666599</v>
      </c>
      <c r="B1450" s="1">
        <f ca="1">IFERROR(__xludf.UNSUPPORTED("""COMPUTED_VALUE"""),39.25)</f>
        <v>39.25</v>
      </c>
      <c r="C1450" s="2">
        <f t="shared" ca="1" si="5"/>
        <v>5.0981391792003893E-4</v>
      </c>
    </row>
    <row r="1451" spans="1:3">
      <c r="A1451" s="3">
        <f ca="1">IFERROR(__xludf.UNSUPPORTED("""COMPUTED_VALUE"""),45569.6666666666)</f>
        <v>45569.666666666599</v>
      </c>
      <c r="B1451" s="1">
        <f ca="1">IFERROR(__xludf.UNSUPPORTED("""COMPUTED_VALUE"""),40.11)</f>
        <v>40.11</v>
      </c>
      <c r="C1451" s="2">
        <f t="shared" ca="1" si="5"/>
        <v>2.1910828025477693E-2</v>
      </c>
    </row>
    <row r="1452" spans="1:3">
      <c r="A1452" s="3">
        <f ca="1">IFERROR(__xludf.UNSUPPORTED("""COMPUTED_VALUE"""),45572.6666666666)</f>
        <v>45572.666666666599</v>
      </c>
      <c r="B1452" s="1">
        <f ca="1">IFERROR(__xludf.UNSUPPORTED("""COMPUTED_VALUE"""),39.96)</f>
        <v>39.96</v>
      </c>
      <c r="C1452" s="2">
        <f t="shared" ca="1" si="5"/>
        <v>-3.7397157816005631E-3</v>
      </c>
    </row>
    <row r="1453" spans="1:3">
      <c r="A1453" s="3">
        <f ca="1">IFERROR(__xludf.UNSUPPORTED("""COMPUTED_VALUE"""),45573.6666666666)</f>
        <v>45573.666666666599</v>
      </c>
      <c r="B1453" s="1">
        <f ca="1">IFERROR(__xludf.UNSUPPORTED("""COMPUTED_VALUE"""),39.93)</f>
        <v>39.93</v>
      </c>
      <c r="C1453" s="2">
        <f t="shared" ca="1" si="5"/>
        <v>-7.5075075075077915E-4</v>
      </c>
    </row>
    <row r="1454" spans="1:3">
      <c r="A1454" s="3">
        <f ca="1">IFERROR(__xludf.UNSUPPORTED("""COMPUTED_VALUE"""),45574.6666666666)</f>
        <v>45574.666666666599</v>
      </c>
      <c r="B1454" s="1">
        <f ca="1">IFERROR(__xludf.UNSUPPORTED("""COMPUTED_VALUE"""),40.19)</f>
        <v>40.19</v>
      </c>
      <c r="C1454" s="2">
        <f t="shared" ca="1" si="5"/>
        <v>6.5113949411469575E-3</v>
      </c>
    </row>
    <row r="1455" spans="1:3">
      <c r="A1455" s="3">
        <f ca="1">IFERROR(__xludf.UNSUPPORTED("""COMPUTED_VALUE"""),45575.6666666666)</f>
        <v>45575.666666666599</v>
      </c>
      <c r="B1455" s="1">
        <f ca="1">IFERROR(__xludf.UNSUPPORTED("""COMPUTED_VALUE"""),39.97)</f>
        <v>39.97</v>
      </c>
      <c r="C1455" s="2">
        <f t="shared" ca="1" si="5"/>
        <v>-5.4739985070912881E-3</v>
      </c>
    </row>
    <row r="1456" spans="1:3">
      <c r="A1456" s="3">
        <f ca="1">IFERROR(__xludf.UNSUPPORTED("""COMPUTED_VALUE"""),45576.6666666666)</f>
        <v>45576.666666666599</v>
      </c>
      <c r="B1456" s="1">
        <f ca="1">IFERROR(__xludf.UNSUPPORTED("""COMPUTED_VALUE"""),41.95)</f>
        <v>41.95</v>
      </c>
      <c r="C1456" s="2">
        <f t="shared" ca="1" si="5"/>
        <v>4.953715286464859E-2</v>
      </c>
    </row>
    <row r="1457" spans="1:3">
      <c r="A1457" s="3">
        <f ca="1">IFERROR(__xludf.UNSUPPORTED("""COMPUTED_VALUE"""),45579.6666666666)</f>
        <v>45579.666666666599</v>
      </c>
      <c r="B1457" s="1">
        <f ca="1">IFERROR(__xludf.UNSUPPORTED("""COMPUTED_VALUE"""),41.91)</f>
        <v>41.91</v>
      </c>
      <c r="C1457" s="2">
        <f t="shared" ca="1" si="5"/>
        <v>-9.5351609058417759E-4</v>
      </c>
    </row>
    <row r="1458" spans="1:3">
      <c r="A1458" s="3">
        <f ca="1">IFERROR(__xludf.UNSUPPORTED("""COMPUTED_VALUE"""),45580.6666666666)</f>
        <v>45580.666666666599</v>
      </c>
      <c r="B1458" s="1">
        <f ca="1">IFERROR(__xludf.UNSUPPORTED("""COMPUTED_VALUE"""),42.14)</f>
        <v>42.14</v>
      </c>
      <c r="C1458" s="2">
        <f t="shared" ca="1" si="5"/>
        <v>5.4879503698402289E-3</v>
      </c>
    </row>
    <row r="1459" spans="1:3">
      <c r="A1459" s="3">
        <f ca="1">IFERROR(__xludf.UNSUPPORTED("""COMPUTED_VALUE"""),45581.6666666666)</f>
        <v>45581.666666666599</v>
      </c>
      <c r="B1459" s="1">
        <f ca="1">IFERROR(__xludf.UNSUPPORTED("""COMPUTED_VALUE"""),42.8)</f>
        <v>42.8</v>
      </c>
      <c r="C1459" s="2">
        <f t="shared" ca="1" si="5"/>
        <v>1.5662078785002292E-2</v>
      </c>
    </row>
    <row r="1460" spans="1:3">
      <c r="A1460" s="3">
        <f ca="1">IFERROR(__xludf.UNSUPPORTED("""COMPUTED_VALUE"""),45582.6666666666)</f>
        <v>45582.666666666599</v>
      </c>
      <c r="B1460" s="1">
        <f ca="1">IFERROR(__xludf.UNSUPPORTED("""COMPUTED_VALUE"""),42.6)</f>
        <v>42.6</v>
      </c>
      <c r="C1460" s="2">
        <f t="shared" ca="1" si="5"/>
        <v>-4.672897196261583E-3</v>
      </c>
    </row>
    <row r="1461" spans="1:3">
      <c r="A1461" s="3">
        <f ca="1">IFERROR(__xludf.UNSUPPORTED("""COMPUTED_VALUE"""),45583.6666666666)</f>
        <v>45583.666666666599</v>
      </c>
      <c r="B1461" s="1">
        <f ca="1">IFERROR(__xludf.UNSUPPORTED("""COMPUTED_VALUE"""),42.32)</f>
        <v>42.32</v>
      </c>
      <c r="C1461" s="2">
        <f t="shared" ca="1" si="5"/>
        <v>-6.5727699530516697E-3</v>
      </c>
    </row>
    <row r="1462" spans="1:3">
      <c r="A1462" s="3">
        <f ca="1">IFERROR(__xludf.UNSUPPORTED("""COMPUTED_VALUE"""),45586.6666666666)</f>
        <v>45586.666666666599</v>
      </c>
      <c r="B1462" s="1">
        <f ca="1">IFERROR(__xludf.UNSUPPORTED("""COMPUTED_VALUE"""),41.76)</f>
        <v>41.76</v>
      </c>
      <c r="C1462" s="2">
        <f t="shared" ca="1" si="5"/>
        <v>-1.3232514177693815E-2</v>
      </c>
    </row>
    <row r="1463" spans="1:3">
      <c r="A1463" s="3">
        <f ca="1">IFERROR(__xludf.UNSUPPORTED("""COMPUTED_VALUE"""),45587.6666666666)</f>
        <v>45587.666666666599</v>
      </c>
      <c r="B1463" s="1">
        <f ca="1">IFERROR(__xludf.UNSUPPORTED("""COMPUTED_VALUE"""),42.3)</f>
        <v>42.3</v>
      </c>
      <c r="C1463" s="2">
        <f t="shared" ca="1" si="5"/>
        <v>1.2931034482758601E-2</v>
      </c>
    </row>
    <row r="1464" spans="1:3">
      <c r="A1464" s="3">
        <f ca="1">IFERROR(__xludf.UNSUPPORTED("""COMPUTED_VALUE"""),45588.6666666666)</f>
        <v>45588.666666666599</v>
      </c>
      <c r="B1464" s="1">
        <f ca="1">IFERROR(__xludf.UNSUPPORTED("""COMPUTED_VALUE"""),42.34)</f>
        <v>42.34</v>
      </c>
      <c r="C1464" s="2">
        <f t="shared" ca="1" si="5"/>
        <v>9.45626477541519E-4</v>
      </c>
    </row>
    <row r="1465" spans="1:3">
      <c r="A1465" s="3">
        <f ca="1">IFERROR(__xludf.UNSUPPORTED("""COMPUTED_VALUE"""),45589.6666666666)</f>
        <v>45589.666666666599</v>
      </c>
      <c r="B1465" s="1">
        <f ca="1">IFERROR(__xludf.UNSUPPORTED("""COMPUTED_VALUE"""),42.65)</f>
        <v>42.65</v>
      </c>
      <c r="C1465" s="2">
        <f t="shared" ca="1" si="5"/>
        <v>7.3216816249408396E-3</v>
      </c>
    </row>
    <row r="1466" spans="1:3">
      <c r="A1466" s="3">
        <f ca="1">IFERROR(__xludf.UNSUPPORTED("""COMPUTED_VALUE"""),45590.6666666666)</f>
        <v>45590.666666666599</v>
      </c>
      <c r="B1466" s="1">
        <f ca="1">IFERROR(__xludf.UNSUPPORTED("""COMPUTED_VALUE"""),41.89)</f>
        <v>41.89</v>
      </c>
      <c r="C1466" s="2">
        <f t="shared" ca="1" si="5"/>
        <v>-1.7819460726846377E-2</v>
      </c>
    </row>
    <row r="1467" spans="1:3">
      <c r="A1467" s="3">
        <f ca="1">IFERROR(__xludf.UNSUPPORTED("""COMPUTED_VALUE"""),45593.6666666666)</f>
        <v>45593.666666666599</v>
      </c>
      <c r="B1467" s="1">
        <f ca="1">IFERROR(__xludf.UNSUPPORTED("""COMPUTED_VALUE"""),42.62)</f>
        <v>42.62</v>
      </c>
      <c r="C1467" s="2">
        <f t="shared" ca="1" si="5"/>
        <v>1.7426593459059368E-2</v>
      </c>
    </row>
    <row r="1468" spans="1:3">
      <c r="A1468" s="3">
        <f ca="1">IFERROR(__xludf.UNSUPPORTED("""COMPUTED_VALUE"""),45594.6666666666)</f>
        <v>45594.666666666599</v>
      </c>
      <c r="B1468" s="1">
        <f ca="1">IFERROR(__xludf.UNSUPPORTED("""COMPUTED_VALUE"""),42.53)</f>
        <v>42.53</v>
      </c>
      <c r="C1468" s="2">
        <f t="shared" ca="1" si="5"/>
        <v>-2.1116846550914199E-3</v>
      </c>
    </row>
    <row r="1469" spans="1:3">
      <c r="A1469" s="3">
        <f ca="1">IFERROR(__xludf.UNSUPPORTED("""COMPUTED_VALUE"""),45595.6666666666)</f>
        <v>45595.666666666599</v>
      </c>
      <c r="B1469" s="1">
        <f ca="1">IFERROR(__xludf.UNSUPPORTED("""COMPUTED_VALUE"""),42.31)</f>
        <v>42.31</v>
      </c>
      <c r="C1469" s="2">
        <f t="shared" ca="1" si="5"/>
        <v>-5.1728191864565919E-3</v>
      </c>
    </row>
    <row r="1470" spans="1:3">
      <c r="A1470" s="3">
        <f ca="1">IFERROR(__xludf.UNSUPPORTED("""COMPUTED_VALUE"""),45596.6666666666)</f>
        <v>45596.666666666599</v>
      </c>
      <c r="B1470" s="1">
        <f ca="1">IFERROR(__xludf.UNSUPPORTED("""COMPUTED_VALUE"""),41.82)</f>
        <v>41.82</v>
      </c>
      <c r="C1470" s="2">
        <f t="shared" ca="1" si="5"/>
        <v>-1.1581186480737461E-2</v>
      </c>
    </row>
    <row r="1471" spans="1:3">
      <c r="A1471" s="3">
        <f ca="1">IFERROR(__xludf.UNSUPPORTED("""COMPUTED_VALUE"""),45597.6666666666)</f>
        <v>45597.666666666599</v>
      </c>
      <c r="B1471" s="1">
        <f ca="1">IFERROR(__xludf.UNSUPPORTED("""COMPUTED_VALUE"""),41.76)</f>
        <v>41.76</v>
      </c>
      <c r="C1471" s="2">
        <f t="shared" ca="1" si="5"/>
        <v>-1.434720229555291E-3</v>
      </c>
    </row>
    <row r="1472" spans="1:3">
      <c r="A1472" s="3">
        <f ca="1">IFERROR(__xludf.UNSUPPORTED("""COMPUTED_VALUE"""),45600.6666666666)</f>
        <v>45600.666666666599</v>
      </c>
      <c r="B1472" s="1">
        <f ca="1">IFERROR(__xludf.UNSUPPORTED("""COMPUTED_VALUE"""),41.33)</f>
        <v>41.33</v>
      </c>
      <c r="C1472" s="2">
        <f t="shared" ca="1" si="5"/>
        <v>-1.0296934865900376E-2</v>
      </c>
    </row>
    <row r="1473" spans="1:3">
      <c r="A1473" s="3">
        <f ca="1">IFERROR(__xludf.UNSUPPORTED("""COMPUTED_VALUE"""),45601.6666666666)</f>
        <v>45601.666666666599</v>
      </c>
      <c r="B1473" s="1">
        <f ca="1">IFERROR(__xludf.UNSUPPORTED("""COMPUTED_VALUE"""),41.88)</f>
        <v>41.88</v>
      </c>
      <c r="C1473" s="2">
        <f t="shared" ca="1" si="5"/>
        <v>1.3307524800387232E-2</v>
      </c>
    </row>
    <row r="1474" spans="1:3">
      <c r="A1474" s="3">
        <f ca="1">IFERROR(__xludf.UNSUPPORTED("""COMPUTED_VALUE"""),45602.6666666666)</f>
        <v>45602.666666666599</v>
      </c>
      <c r="B1474" s="1">
        <f ca="1">IFERROR(__xludf.UNSUPPORTED("""COMPUTED_VALUE"""),45.41)</f>
        <v>45.41</v>
      </c>
      <c r="C1474" s="2">
        <f t="shared" ca="1" si="5"/>
        <v>8.4288443170964511E-2</v>
      </c>
    </row>
    <row r="1475" spans="1:3">
      <c r="A1475" s="3">
        <f ca="1">IFERROR(__xludf.UNSUPPORTED("""COMPUTED_VALUE"""),45603.6666666666)</f>
        <v>45603.666666666599</v>
      </c>
      <c r="B1475" s="1">
        <f ca="1">IFERROR(__xludf.UNSUPPORTED("""COMPUTED_VALUE"""),44.77)</f>
        <v>44.77</v>
      </c>
      <c r="C1475" s="2">
        <f t="shared" ca="1" si="5"/>
        <v>-1.4093811935696841E-2</v>
      </c>
    </row>
    <row r="1476" spans="1:3">
      <c r="A1476" s="3">
        <f ca="1">IFERROR(__xludf.UNSUPPORTED("""COMPUTED_VALUE"""),45604.6666666666)</f>
        <v>45604.666666666599</v>
      </c>
      <c r="B1476" s="1">
        <f ca="1">IFERROR(__xludf.UNSUPPORTED("""COMPUTED_VALUE"""),45.13)</f>
        <v>45.13</v>
      </c>
      <c r="C1476" s="2">
        <f t="shared" ca="1" si="5"/>
        <v>8.0410989501898452E-3</v>
      </c>
    </row>
    <row r="1477" spans="1:3">
      <c r="A1477" s="3">
        <f ca="1">IFERROR(__xludf.UNSUPPORTED("""COMPUTED_VALUE"""),45607.6666666666)</f>
        <v>45607.666666666599</v>
      </c>
      <c r="B1477" s="1">
        <f ca="1">IFERROR(__xludf.UNSUPPORTED("""COMPUTED_VALUE"""),46.08)</f>
        <v>46.08</v>
      </c>
      <c r="C1477" s="2">
        <f t="shared" ca="1" si="5"/>
        <v>2.1050299135829731E-2</v>
      </c>
    </row>
    <row r="1478" spans="1:3">
      <c r="A1478" s="3">
        <f ca="1">IFERROR(__xludf.UNSUPPORTED("""COMPUTED_VALUE"""),45608.6666666666)</f>
        <v>45608.666666666599</v>
      </c>
      <c r="B1478" s="1">
        <f ca="1">IFERROR(__xludf.UNSUPPORTED("""COMPUTED_VALUE"""),45.86)</f>
        <v>45.86</v>
      </c>
      <c r="C1478" s="2">
        <f t="shared" ca="1" si="5"/>
        <v>-4.7743055555555308E-3</v>
      </c>
    </row>
    <row r="1479" spans="1:3">
      <c r="A1479" s="3">
        <f ca="1">IFERROR(__xludf.UNSUPPORTED("""COMPUTED_VALUE"""),45609.6666666666)</f>
        <v>45609.666666666599</v>
      </c>
      <c r="B1479" s="1">
        <f ca="1">IFERROR(__xludf.UNSUPPORTED("""COMPUTED_VALUE"""),45.87)</f>
        <v>45.87</v>
      </c>
      <c r="C1479" s="2">
        <f t="shared" ca="1" si="5"/>
        <v>2.1805494984731815E-4</v>
      </c>
    </row>
    <row r="1480" spans="1:3">
      <c r="A1480" s="3">
        <f ca="1">IFERROR(__xludf.UNSUPPORTED("""COMPUTED_VALUE"""),45610.6666666666)</f>
        <v>45610.666666666599</v>
      </c>
      <c r="B1480" s="1">
        <f ca="1">IFERROR(__xludf.UNSUPPORTED("""COMPUTED_VALUE"""),45.9)</f>
        <v>45.9</v>
      </c>
      <c r="C1480" s="2">
        <f t="shared" ca="1" si="5"/>
        <v>6.5402223675607458E-4</v>
      </c>
    </row>
    <row r="1481" spans="1:3">
      <c r="A1481" s="3">
        <f ca="1">IFERROR(__xludf.UNSUPPORTED("""COMPUTED_VALUE"""),45611.6666666666)</f>
        <v>45611.666666666599</v>
      </c>
      <c r="B1481" s="1">
        <f ca="1">IFERROR(__xludf.UNSUPPORTED("""COMPUTED_VALUE"""),46.75)</f>
        <v>46.75</v>
      </c>
      <c r="C1481" s="2">
        <f t="shared" ca="1" si="5"/>
        <v>1.8518518518518549E-2</v>
      </c>
    </row>
    <row r="1482" spans="1:3">
      <c r="A1482" s="3">
        <f ca="1">IFERROR(__xludf.UNSUPPORTED("""COMPUTED_VALUE"""),45614.6666666666)</f>
        <v>45614.666666666599</v>
      </c>
      <c r="B1482" s="1">
        <f ca="1">IFERROR(__xludf.UNSUPPORTED("""COMPUTED_VALUE"""),46.72)</f>
        <v>46.72</v>
      </c>
      <c r="C1482" s="2">
        <f t="shared" ca="1" si="5"/>
        <v>-6.4171122994654834E-4</v>
      </c>
    </row>
    <row r="1483" spans="1:3">
      <c r="A1483" s="3">
        <f ca="1">IFERROR(__xludf.UNSUPPORTED("""COMPUTED_VALUE"""),45615.6666666666)</f>
        <v>45615.666666666599</v>
      </c>
      <c r="B1483" s="1">
        <f ca="1">IFERROR(__xludf.UNSUPPORTED("""COMPUTED_VALUE"""),46.41)</f>
        <v>46.41</v>
      </c>
      <c r="C1483" s="2">
        <f t="shared" ca="1" si="5"/>
        <v>-6.6352739726027888E-3</v>
      </c>
    </row>
    <row r="1484" spans="1:3">
      <c r="A1484" s="3">
        <f ca="1">IFERROR(__xludf.UNSUPPORTED("""COMPUTED_VALUE"""),45616.6666666666)</f>
        <v>45616.666666666599</v>
      </c>
      <c r="B1484" s="1">
        <f ca="1">IFERROR(__xludf.UNSUPPORTED("""COMPUTED_VALUE"""),46.06)</f>
        <v>46.06</v>
      </c>
      <c r="C1484" s="2">
        <f t="shared" ca="1" si="5"/>
        <v>-7.5414781297133016E-3</v>
      </c>
    </row>
    <row r="1485" spans="1:3">
      <c r="A1485" s="3">
        <f ca="1">IFERROR(__xludf.UNSUPPORTED("""COMPUTED_VALUE"""),45617.6666666666)</f>
        <v>45617.666666666599</v>
      </c>
      <c r="B1485" s="1">
        <f ca="1">IFERROR(__xludf.UNSUPPORTED("""COMPUTED_VALUE"""),46.46)</f>
        <v>46.46</v>
      </c>
      <c r="C1485" s="2">
        <f t="shared" ca="1" si="5"/>
        <v>8.6843247937472556E-3</v>
      </c>
    </row>
    <row r="1486" spans="1:3">
      <c r="A1486" s="3">
        <f ca="1">IFERROR(__xludf.UNSUPPORTED("""COMPUTED_VALUE"""),45618.6666666666)</f>
        <v>45618.666666666599</v>
      </c>
      <c r="B1486" s="1">
        <f ca="1">IFERROR(__xludf.UNSUPPORTED("""COMPUTED_VALUE"""),47)</f>
        <v>47</v>
      </c>
      <c r="C1486" s="2">
        <f t="shared" ca="1" si="5"/>
        <v>1.1622901420576821E-2</v>
      </c>
    </row>
    <row r="1487" spans="1:3">
      <c r="A1487" s="3">
        <f ca="1">IFERROR(__xludf.UNSUPPORTED("""COMPUTED_VALUE"""),45621.6666666666)</f>
        <v>45621.666666666599</v>
      </c>
      <c r="B1487" s="1">
        <f ca="1">IFERROR(__xludf.UNSUPPORTED("""COMPUTED_VALUE"""),47.5)</f>
        <v>47.5</v>
      </c>
      <c r="C1487" s="2">
        <f t="shared" ca="1" si="5"/>
        <v>1.0638297872340425E-2</v>
      </c>
    </row>
    <row r="1488" spans="1:3">
      <c r="A1488" s="3">
        <f ca="1">IFERROR(__xludf.UNSUPPORTED("""COMPUTED_VALUE"""),45622.6666666666)</f>
        <v>45622.666666666599</v>
      </c>
      <c r="B1488" s="1">
        <f ca="1">IFERROR(__xludf.UNSUPPORTED("""COMPUTED_VALUE"""),47.75)</f>
        <v>47.75</v>
      </c>
      <c r="C1488" s="2">
        <f t="shared" ca="1" si="5"/>
        <v>5.263157894736842E-3</v>
      </c>
    </row>
    <row r="1489" spans="1:3">
      <c r="A1489" s="3">
        <f ca="1">IFERROR(__xludf.UNSUPPORTED("""COMPUTED_VALUE"""),45623.6666666666)</f>
        <v>45623.666666666599</v>
      </c>
      <c r="B1489" s="1">
        <f ca="1">IFERROR(__xludf.UNSUPPORTED("""COMPUTED_VALUE"""),47.77)</f>
        <v>47.77</v>
      </c>
      <c r="C1489" s="2">
        <f t="shared" ca="1" si="5"/>
        <v>4.1884816753933249E-4</v>
      </c>
    </row>
    <row r="1490" spans="1:3">
      <c r="A1490" s="3">
        <f ca="1">IFERROR(__xludf.UNSUPPORTED("""COMPUTED_VALUE"""),45625.5416666666)</f>
        <v>45625.541666666599</v>
      </c>
      <c r="B1490" s="1">
        <f ca="1">IFERROR(__xludf.UNSUPPORTED("""COMPUTED_VALUE"""),47.51)</f>
        <v>47.51</v>
      </c>
      <c r="C1490" s="2">
        <f t="shared" ca="1" si="5"/>
        <v>-5.4427464936153466E-3</v>
      </c>
    </row>
    <row r="1491" spans="1:3">
      <c r="A1491" s="3">
        <f ca="1">IFERROR(__xludf.UNSUPPORTED("""COMPUTED_VALUE"""),45628.6666666666)</f>
        <v>45628.666666666599</v>
      </c>
      <c r="B1491" s="1">
        <f ca="1">IFERROR(__xludf.UNSUPPORTED("""COMPUTED_VALUE"""),47.04)</f>
        <v>47.04</v>
      </c>
      <c r="C1491" s="2">
        <f t="shared" ca="1" si="5"/>
        <v>-9.8926541780677522E-3</v>
      </c>
    </row>
    <row r="1492" spans="1:3">
      <c r="A1492" s="3">
        <f ca="1">IFERROR(__xludf.UNSUPPORTED("""COMPUTED_VALUE"""),45629.6666666666)</f>
        <v>45629.666666666599</v>
      </c>
      <c r="B1492" s="1">
        <f ca="1">IFERROR(__xludf.UNSUPPORTED("""COMPUTED_VALUE"""),46.82)</f>
        <v>46.82</v>
      </c>
      <c r="C1492" s="2">
        <f t="shared" ca="1" si="5"/>
        <v>-4.6768707482992954E-3</v>
      </c>
    </row>
    <row r="1493" spans="1:3">
      <c r="A1493" s="3">
        <f ca="1">IFERROR(__xludf.UNSUPPORTED("""COMPUTED_VALUE"""),45630.6666666666)</f>
        <v>45630.666666666599</v>
      </c>
      <c r="B1493" s="1">
        <f ca="1">IFERROR(__xludf.UNSUPPORTED("""COMPUTED_VALUE"""),46.37)</f>
        <v>46.37</v>
      </c>
      <c r="C1493" s="2">
        <f t="shared" ca="1" si="5"/>
        <v>-9.6112772319522175E-3</v>
      </c>
    </row>
    <row r="1494" spans="1:3">
      <c r="A1494" s="3">
        <f ca="1">IFERROR(__xludf.UNSUPPORTED("""COMPUTED_VALUE"""),45631.6666666666)</f>
        <v>45631.666666666599</v>
      </c>
      <c r="B1494" s="1">
        <f ca="1">IFERROR(__xludf.UNSUPPORTED("""COMPUTED_VALUE"""),47)</f>
        <v>47</v>
      </c>
      <c r="C1494" s="2">
        <f t="shared" ca="1" si="5"/>
        <v>1.3586370498166973E-2</v>
      </c>
    </row>
    <row r="1495" spans="1:3">
      <c r="A1495" s="3">
        <f ca="1">IFERROR(__xludf.UNSUPPORTED("""COMPUTED_VALUE"""),45632.6666666666)</f>
        <v>45632.666666666599</v>
      </c>
      <c r="B1495" s="1">
        <f ca="1">IFERROR(__xludf.UNSUPPORTED("""COMPUTED_VALUE"""),46.75)</f>
        <v>46.75</v>
      </c>
      <c r="C1495" s="2">
        <f t="shared" ca="1" si="5"/>
        <v>-5.3191489361702126E-3</v>
      </c>
    </row>
    <row r="1496" spans="1:3">
      <c r="A1496" s="3">
        <f ca="1">IFERROR(__xludf.UNSUPPORTED("""COMPUTED_VALUE"""),45635.6666666666)</f>
        <v>45635.666666666599</v>
      </c>
      <c r="B1496" s="1">
        <f ca="1">IFERROR(__xludf.UNSUPPORTED("""COMPUTED_VALUE"""),45.91)</f>
        <v>45.91</v>
      </c>
      <c r="C1496" s="2">
        <f t="shared" ca="1" si="5"/>
        <v>-1.7967914438502746E-2</v>
      </c>
    </row>
    <row r="1497" spans="1:3">
      <c r="A1497" s="3">
        <f ca="1">IFERROR(__xludf.UNSUPPORTED("""COMPUTED_VALUE"""),45636.6666666666)</f>
        <v>45636.666666666599</v>
      </c>
      <c r="B1497" s="1">
        <f ca="1">IFERROR(__xludf.UNSUPPORTED("""COMPUTED_VALUE"""),45.75)</f>
        <v>45.75</v>
      </c>
      <c r="C1497" s="2">
        <f t="shared" ca="1" si="5"/>
        <v>-3.4850795033760967E-3</v>
      </c>
    </row>
    <row r="1498" spans="1:3">
      <c r="A1498" s="3">
        <f ca="1">IFERROR(__xludf.UNSUPPORTED("""COMPUTED_VALUE"""),45637.6666666666)</f>
        <v>45637.666666666599</v>
      </c>
      <c r="B1498" s="1">
        <f ca="1">IFERROR(__xludf.UNSUPPORTED("""COMPUTED_VALUE"""),46.08)</f>
        <v>46.08</v>
      </c>
      <c r="C1498" s="2">
        <f t="shared" ca="1" si="5"/>
        <v>7.2131147540983234E-3</v>
      </c>
    </row>
    <row r="1499" spans="1:3">
      <c r="A1499" s="3">
        <f ca="1">IFERROR(__xludf.UNSUPPORTED("""COMPUTED_VALUE"""),45638.6666666666)</f>
        <v>45638.666666666599</v>
      </c>
      <c r="B1499" s="1">
        <f ca="1">IFERROR(__xludf.UNSUPPORTED("""COMPUTED_VALUE"""),46.08)</f>
        <v>46.08</v>
      </c>
      <c r="C1499" s="2">
        <f t="shared" ca="1" si="5"/>
        <v>0</v>
      </c>
    </row>
    <row r="1500" spans="1:3">
      <c r="A1500" s="3">
        <f ca="1">IFERROR(__xludf.UNSUPPORTED("""COMPUTED_VALUE"""),45639.6666666666)</f>
        <v>45639.666666666599</v>
      </c>
      <c r="B1500" s="1">
        <f ca="1">IFERROR(__xludf.UNSUPPORTED("""COMPUTED_VALUE"""),45.67)</f>
        <v>45.67</v>
      </c>
      <c r="C1500" s="2">
        <f t="shared" ca="1" si="5"/>
        <v>-8.8975694444443712E-3</v>
      </c>
    </row>
    <row r="1501" spans="1:3">
      <c r="A1501" s="3">
        <f ca="1">IFERROR(__xludf.UNSUPPORTED("""COMPUTED_VALUE"""),45642.6666666666)</f>
        <v>45642.666666666599</v>
      </c>
      <c r="B1501" s="1">
        <f ca="1">IFERROR(__xludf.UNSUPPORTED("""COMPUTED_VALUE"""),45.47)</f>
        <v>45.47</v>
      </c>
      <c r="C1501" s="2">
        <f t="shared" ca="1" si="5"/>
        <v>-4.3792423910664078E-3</v>
      </c>
    </row>
    <row r="1502" spans="1:3">
      <c r="A1502" s="3">
        <f ca="1">IFERROR(__xludf.UNSUPPORTED("""COMPUTED_VALUE"""),45643.6666666666)</f>
        <v>45643.666666666599</v>
      </c>
      <c r="B1502" s="1">
        <f ca="1">IFERROR(__xludf.UNSUPPORTED("""COMPUTED_VALUE"""),45.05)</f>
        <v>45.05</v>
      </c>
      <c r="C1502" s="2">
        <f t="shared" ca="1" si="5"/>
        <v>-9.2368594677809928E-3</v>
      </c>
    </row>
    <row r="1503" spans="1:3">
      <c r="A1503" s="3">
        <f ca="1">IFERROR(__xludf.UNSUPPORTED("""COMPUTED_VALUE"""),45644.6666666666)</f>
        <v>45644.666666666599</v>
      </c>
      <c r="B1503" s="1">
        <f ca="1">IFERROR(__xludf.UNSUPPORTED("""COMPUTED_VALUE"""),43.5)</f>
        <v>43.5</v>
      </c>
      <c r="C1503" s="2">
        <f t="shared" ca="1" si="5"/>
        <v>-3.4406215316315145E-2</v>
      </c>
    </row>
    <row r="1504" spans="1:3">
      <c r="A1504" s="3">
        <f ca="1">IFERROR(__xludf.UNSUPPORTED("""COMPUTED_VALUE"""),45645.6666666666)</f>
        <v>45645.666666666599</v>
      </c>
      <c r="B1504" s="1">
        <f ca="1">IFERROR(__xludf.UNSUPPORTED("""COMPUTED_VALUE"""),43.38)</f>
        <v>43.38</v>
      </c>
      <c r="C1504" s="2">
        <f t="shared" ca="1" si="5"/>
        <v>-2.7586206896551137E-3</v>
      </c>
    </row>
    <row r="1505" spans="1:3">
      <c r="A1505" s="3">
        <f ca="1">IFERROR(__xludf.UNSUPPORTED("""COMPUTED_VALUE"""),45646.6666666666)</f>
        <v>45646.666666666599</v>
      </c>
      <c r="B1505" s="1">
        <f ca="1">IFERROR(__xludf.UNSUPPORTED("""COMPUTED_VALUE"""),44.17)</f>
        <v>44.17</v>
      </c>
      <c r="C1505" s="2">
        <f t="shared" ca="1" si="5"/>
        <v>1.8211157215306573E-2</v>
      </c>
    </row>
    <row r="1506" spans="1:3">
      <c r="A1506" s="3">
        <f ca="1">IFERROR(__xludf.UNSUPPORTED("""COMPUTED_VALUE"""),45649.6666666666)</f>
        <v>45649.666666666599</v>
      </c>
      <c r="B1506" s="1">
        <f ca="1">IFERROR(__xludf.UNSUPPORTED("""COMPUTED_VALUE"""),43.89)</f>
        <v>43.89</v>
      </c>
      <c r="C1506" s="2">
        <f t="shared" ca="1" si="5"/>
        <v>-6.3391442155309287E-3</v>
      </c>
    </row>
    <row r="1507" spans="1:3">
      <c r="A1507" s="3">
        <f ca="1">IFERROR(__xludf.UNSUPPORTED("""COMPUTED_VALUE"""),45650.5416666666)</f>
        <v>45650.541666666599</v>
      </c>
      <c r="B1507" s="1">
        <f ca="1">IFERROR(__xludf.UNSUPPORTED("""COMPUTED_VALUE"""),44.38)</f>
        <v>44.38</v>
      </c>
      <c r="C1507" s="2">
        <f t="shared" ca="1" si="5"/>
        <v>1.1164274322169104E-2</v>
      </c>
    </row>
    <row r="1508" spans="1:3">
      <c r="A1508" s="3">
        <f ca="1">IFERROR(__xludf.UNSUPPORTED("""COMPUTED_VALUE"""),45652.6666666666)</f>
        <v>45652.666666666599</v>
      </c>
      <c r="B1508" s="1">
        <f ca="1">IFERROR(__xludf.UNSUPPORTED("""COMPUTED_VALUE"""),44.55)</f>
        <v>44.55</v>
      </c>
      <c r="C1508" s="2">
        <f t="shared" ca="1" si="5"/>
        <v>3.8305543037403019E-3</v>
      </c>
    </row>
    <row r="1509" spans="1:3">
      <c r="A1509" s="3">
        <f ca="1">IFERROR(__xludf.UNSUPPORTED("""COMPUTED_VALUE"""),45653.6666666666)</f>
        <v>45653.666666666599</v>
      </c>
      <c r="B1509" s="1">
        <f ca="1">IFERROR(__xludf.UNSUPPORTED("""COMPUTED_VALUE"""),44.34)</f>
        <v>44.34</v>
      </c>
      <c r="C1509" s="2">
        <f t="shared" ca="1" si="5"/>
        <v>-4.7138047138045739E-3</v>
      </c>
    </row>
    <row r="1510" spans="1:3">
      <c r="A1510" s="3">
        <f ca="1">IFERROR(__xludf.UNSUPPORTED("""COMPUTED_VALUE"""),45656.6666666666)</f>
        <v>45656.666666666599</v>
      </c>
      <c r="B1510" s="1">
        <f ca="1">IFERROR(__xludf.UNSUPPORTED("""COMPUTED_VALUE"""),43.91)</f>
        <v>43.91</v>
      </c>
      <c r="C1510" s="2">
        <f t="shared" ca="1" si="5"/>
        <v>-9.6977898060443563E-3</v>
      </c>
    </row>
    <row r="1511" spans="1:3">
      <c r="A1511" s="3">
        <f ca="1">IFERROR(__xludf.UNSUPPORTED("""COMPUTED_VALUE"""),45657.6666666666)</f>
        <v>45657.666666666599</v>
      </c>
      <c r="B1511" s="1">
        <f ca="1">IFERROR(__xludf.UNSUPPORTED("""COMPUTED_VALUE"""),43.95)</f>
        <v>43.95</v>
      </c>
      <c r="C1511" s="2">
        <f t="shared" ca="1" si="5"/>
        <v>9.1095422455035884E-4</v>
      </c>
    </row>
    <row r="1512" spans="1:3">
      <c r="A1512" s="3">
        <f ca="1">IFERROR(__xludf.UNSUPPORTED("""COMPUTED_VALUE"""),45659.6666666666)</f>
        <v>45659.666666666599</v>
      </c>
      <c r="B1512" s="1">
        <f ca="1">IFERROR(__xludf.UNSUPPORTED("""COMPUTED_VALUE"""),44.29)</f>
        <v>44.29</v>
      </c>
      <c r="C1512" s="2">
        <f t="shared" ca="1" si="5"/>
        <v>7.7360637087598699E-3</v>
      </c>
    </row>
    <row r="1513" spans="1:3">
      <c r="A1513" s="3">
        <f ca="1">IFERROR(__xludf.UNSUPPORTED("""COMPUTED_VALUE"""),45660.6666666666)</f>
        <v>45660.666666666599</v>
      </c>
      <c r="B1513" s="1">
        <f ca="1">IFERROR(__xludf.UNSUPPORTED("""COMPUTED_VALUE"""),44.81)</f>
        <v>44.81</v>
      </c>
      <c r="C1513" s="2">
        <f t="shared" ca="1" si="5"/>
        <v>1.1740799277489345E-2</v>
      </c>
    </row>
    <row r="1514" spans="1:3">
      <c r="A1514" s="3">
        <f ca="1">IFERROR(__xludf.UNSUPPORTED("""COMPUTED_VALUE"""),45663.6666666666)</f>
        <v>45663.666666666599</v>
      </c>
      <c r="B1514" s="1">
        <f ca="1">IFERROR(__xludf.UNSUPPORTED("""COMPUTED_VALUE"""),45.4)</f>
        <v>45.4</v>
      </c>
      <c r="C1514" s="2">
        <f t="shared" ca="1" si="5"/>
        <v>1.3166703860745286E-2</v>
      </c>
    </row>
    <row r="1515" spans="1:3">
      <c r="A1515" s="3">
        <f ca="1">IFERROR(__xludf.UNSUPPORTED("""COMPUTED_VALUE"""),45664.6666666666)</f>
        <v>45664.666666666599</v>
      </c>
      <c r="B1515" s="1">
        <f ca="1">IFERROR(__xludf.UNSUPPORTED("""COMPUTED_VALUE"""),46.08)</f>
        <v>46.08</v>
      </c>
      <c r="C1515" s="2">
        <f t="shared" ca="1" si="5"/>
        <v>1.4977973568281932E-2</v>
      </c>
    </row>
    <row r="1516" spans="1:3">
      <c r="A1516" s="3">
        <f ca="1">IFERROR(__xludf.UNSUPPORTED("""COMPUTED_VALUE"""),45665.6666666666)</f>
        <v>45665.666666666599</v>
      </c>
      <c r="B1516" s="1">
        <f ca="1">IFERROR(__xludf.UNSUPPORTED("""COMPUTED_VALUE"""),46.21)</f>
        <v>46.21</v>
      </c>
      <c r="C1516" s="2">
        <f t="shared" ca="1" si="5"/>
        <v>2.821180555555611E-3</v>
      </c>
    </row>
    <row r="1517" spans="1:3">
      <c r="A1517" s="3">
        <f ca="1">IFERROR(__xludf.UNSUPPORTED("""COMPUTED_VALUE"""),45667.6666666666)</f>
        <v>45667.666666666599</v>
      </c>
      <c r="B1517" s="1">
        <f ca="1">IFERROR(__xludf.UNSUPPORTED("""COMPUTED_VALUE"""),45.11)</f>
        <v>45.11</v>
      </c>
      <c r="C1517" s="2">
        <f t="shared" ca="1" si="5"/>
        <v>-2.3804371348193062E-2</v>
      </c>
    </row>
    <row r="1518" spans="1:3">
      <c r="A1518" s="3">
        <f ca="1">IFERROR(__xludf.UNSUPPORTED("""COMPUTED_VALUE"""),45670.6666666666)</f>
        <v>45670.666666666599</v>
      </c>
      <c r="B1518" s="1">
        <f ca="1">IFERROR(__xludf.UNSUPPORTED("""COMPUTED_VALUE"""),45.06)</f>
        <v>45.06</v>
      </c>
      <c r="C1518" s="2">
        <f t="shared" ca="1" si="5"/>
        <v>-1.1084016847704979E-3</v>
      </c>
    </row>
    <row r="1519" spans="1:3">
      <c r="A1519" s="3">
        <f ca="1">IFERROR(__xludf.UNSUPPORTED("""COMPUTED_VALUE"""),45671.6666666666)</f>
        <v>45671.666666666599</v>
      </c>
      <c r="B1519" s="1">
        <f ca="1">IFERROR(__xludf.UNSUPPORTED("""COMPUTED_VALUE"""),45.78)</f>
        <v>45.78</v>
      </c>
      <c r="C1519" s="2">
        <f t="shared" ca="1" si="5"/>
        <v>1.5978695073235658E-2</v>
      </c>
    </row>
    <row r="1520" spans="1:3">
      <c r="A1520" s="3">
        <f ca="1">IFERROR(__xludf.UNSUPPORTED("""COMPUTED_VALUE"""),45672.6666666666)</f>
        <v>45672.666666666599</v>
      </c>
      <c r="B1520" s="1">
        <f ca="1">IFERROR(__xludf.UNSUPPORTED("""COMPUTED_VALUE"""),47.1)</f>
        <v>47.1</v>
      </c>
      <c r="C1520" s="2">
        <f t="shared" ca="1" si="5"/>
        <v>2.883355176933159E-2</v>
      </c>
    </row>
    <row r="1521" spans="1:3">
      <c r="A1521" s="3">
        <f ca="1">IFERROR(__xludf.UNSUPPORTED("""COMPUTED_VALUE"""),45673.6666666666)</f>
        <v>45673.666666666599</v>
      </c>
      <c r="B1521" s="1">
        <f ca="1">IFERROR(__xludf.UNSUPPORTED("""COMPUTED_VALUE"""),46.64)</f>
        <v>46.64</v>
      </c>
      <c r="C1521" s="2">
        <f t="shared" ca="1" si="5"/>
        <v>-9.7664543524416322E-3</v>
      </c>
    </row>
    <row r="1522" spans="1:3">
      <c r="A1522" s="3">
        <f ca="1">IFERROR(__xludf.UNSUPPORTED("""COMPUTED_VALUE"""),45674.6666666666)</f>
        <v>45674.666666666599</v>
      </c>
      <c r="B1522" s="1">
        <f ca="1">IFERROR(__xludf.UNSUPPORTED("""COMPUTED_VALUE"""),46.53)</f>
        <v>46.53</v>
      </c>
      <c r="C1522" s="2">
        <f t="shared" ca="1" si="5"/>
        <v>-2.3584905660377236E-3</v>
      </c>
    </row>
    <row r="1523" spans="1:3">
      <c r="A1523" s="3">
        <f ca="1">IFERROR(__xludf.UNSUPPORTED("""COMPUTED_VALUE"""),45678.6666666666)</f>
        <v>45678.666666666599</v>
      </c>
      <c r="B1523" s="1">
        <f ca="1">IFERROR(__xludf.UNSUPPORTED("""COMPUTED_VALUE"""),46.66)</f>
        <v>46.66</v>
      </c>
      <c r="C1523" s="2">
        <f t="shared" ca="1" si="5"/>
        <v>2.7938964109175896E-3</v>
      </c>
    </row>
    <row r="1524" spans="1:3">
      <c r="A1524" s="3">
        <f ca="1">IFERROR(__xludf.UNSUPPORTED("""COMPUTED_VALUE"""),45679.6666666666)</f>
        <v>45679.666666666599</v>
      </c>
      <c r="B1524" s="1">
        <f ca="1">IFERROR(__xludf.UNSUPPORTED("""COMPUTED_VALUE"""),45.79)</f>
        <v>45.79</v>
      </c>
      <c r="C1524" s="2">
        <f t="shared" ca="1" si="5"/>
        <v>-1.8645520788684044E-2</v>
      </c>
    </row>
    <row r="1525" spans="1:3">
      <c r="A1525" s="3">
        <f ca="1">IFERROR(__xludf.UNSUPPORTED("""COMPUTED_VALUE"""),45680.6666666666)</f>
        <v>45680.666666666599</v>
      </c>
      <c r="B1525" s="1">
        <f ca="1">IFERROR(__xludf.UNSUPPORTED("""COMPUTED_VALUE"""),46.39)</f>
        <v>46.39</v>
      </c>
      <c r="C1525" s="2">
        <f t="shared" ca="1" si="5"/>
        <v>1.3103297663245281E-2</v>
      </c>
    </row>
    <row r="1526" spans="1:3">
      <c r="A1526" s="3">
        <f ca="1">IFERROR(__xludf.UNSUPPORTED("""COMPUTED_VALUE"""),45681.6666666666)</f>
        <v>45681.666666666599</v>
      </c>
      <c r="B1526" s="1">
        <f ca="1">IFERROR(__xludf.UNSUPPORTED("""COMPUTED_VALUE"""),46.52)</f>
        <v>46.52</v>
      </c>
      <c r="C1526" s="2">
        <f t="shared" ca="1" si="5"/>
        <v>2.8023280879500441E-3</v>
      </c>
    </row>
    <row r="1527" spans="1:3">
      <c r="A1527" s="3">
        <f ca="1">IFERROR(__xludf.UNSUPPORTED("""COMPUTED_VALUE"""),45684.6666666666)</f>
        <v>45684.666666666599</v>
      </c>
      <c r="B1527" s="1">
        <f ca="1">IFERROR(__xludf.UNSUPPORTED("""COMPUTED_VALUE"""),47.09)</f>
        <v>47.09</v>
      </c>
      <c r="C1527" s="2">
        <f t="shared" ca="1" si="5"/>
        <v>1.2252794496990547E-2</v>
      </c>
    </row>
    <row r="1528" spans="1:3">
      <c r="A1528" s="3">
        <f ca="1">IFERROR(__xludf.UNSUPPORTED("""COMPUTED_VALUE"""),45685.6666666666)</f>
        <v>45685.666666666599</v>
      </c>
      <c r="B1528" s="1">
        <f ca="1">IFERROR(__xludf.UNSUPPORTED("""COMPUTED_VALUE"""),46.84)</f>
        <v>46.84</v>
      </c>
      <c r="C1528" s="2">
        <f t="shared" ca="1" si="5"/>
        <v>-5.3089827988957311E-3</v>
      </c>
    </row>
    <row r="1529" spans="1:3">
      <c r="A1529" s="3">
        <f ca="1">IFERROR(__xludf.UNSUPPORTED("""COMPUTED_VALUE"""),45686.6666666666)</f>
        <v>45686.666666666599</v>
      </c>
      <c r="B1529" s="1">
        <f ca="1">IFERROR(__xludf.UNSUPPORTED("""COMPUTED_VALUE"""),46.75)</f>
        <v>46.75</v>
      </c>
      <c r="C1529" s="2">
        <f t="shared" ca="1" si="5"/>
        <v>-1.9214346712212512E-3</v>
      </c>
    </row>
    <row r="1530" spans="1:3">
      <c r="A1530" s="3">
        <f ca="1">IFERROR(__xludf.UNSUPPORTED("""COMPUTED_VALUE"""),45687.6666666666)</f>
        <v>45687.666666666599</v>
      </c>
      <c r="B1530" s="1">
        <f ca="1">IFERROR(__xludf.UNSUPPORTED("""COMPUTED_VALUE"""),46.72)</f>
        <v>46.72</v>
      </c>
      <c r="C1530" s="2">
        <f t="shared" ca="1" si="5"/>
        <v>-6.4171122994654834E-4</v>
      </c>
    </row>
    <row r="1531" spans="1:3">
      <c r="A1531" s="3">
        <f ca="1">IFERROR(__xludf.UNSUPPORTED("""COMPUTED_VALUE"""),45688.6666666666)</f>
        <v>45688.666666666599</v>
      </c>
      <c r="B1531" s="1">
        <f ca="1">IFERROR(__xludf.UNSUPPORTED("""COMPUTED_VALUE"""),46.3)</f>
        <v>46.3</v>
      </c>
      <c r="C1531" s="2">
        <f t="shared" ca="1" si="5"/>
        <v>-8.9897260273972962E-3</v>
      </c>
    </row>
    <row r="1532" spans="1:3">
      <c r="A1532" s="3">
        <f ca="1">IFERROR(__xludf.UNSUPPORTED("""COMPUTED_VALUE"""),45691.6666666666)</f>
        <v>45691.666666666599</v>
      </c>
      <c r="B1532" s="1">
        <f ca="1">IFERROR(__xludf.UNSUPPORTED("""COMPUTED_VALUE"""),46.21)</f>
        <v>46.21</v>
      </c>
      <c r="C1532" s="2">
        <f t="shared" ca="1" si="5"/>
        <v>-1.9438444924405251E-3</v>
      </c>
    </row>
    <row r="1533" spans="1:3">
      <c r="A1533" s="3">
        <f ca="1">IFERROR(__xludf.UNSUPPORTED("""COMPUTED_VALUE"""),45692.6666666666)</f>
        <v>45692.666666666599</v>
      </c>
      <c r="B1533" s="1">
        <f ca="1">IFERROR(__xludf.UNSUPPORTED("""COMPUTED_VALUE"""),46.71)</f>
        <v>46.71</v>
      </c>
      <c r="C1533" s="2">
        <f t="shared" ref="C1533:C1775" ca="1" si="6">(B1533-B1532)/B1532</f>
        <v>1.0820168794633196E-2</v>
      </c>
    </row>
    <row r="1534" spans="1:3">
      <c r="A1534" s="3">
        <f ca="1">IFERROR(__xludf.UNSUPPORTED("""COMPUTED_VALUE"""),45693.6666666666)</f>
        <v>45693.666666666599</v>
      </c>
      <c r="B1534" s="1">
        <f ca="1">IFERROR(__xludf.UNSUPPORTED("""COMPUTED_VALUE"""),47.11)</f>
        <v>47.11</v>
      </c>
      <c r="C1534" s="2">
        <f t="shared" ca="1" si="6"/>
        <v>8.5634767715692273E-3</v>
      </c>
    </row>
    <row r="1535" spans="1:3">
      <c r="A1535" s="3">
        <f ca="1">IFERROR(__xludf.UNSUPPORTED("""COMPUTED_VALUE"""),45694.6666666666)</f>
        <v>45694.666666666599</v>
      </c>
      <c r="B1535" s="1">
        <f ca="1">IFERROR(__xludf.UNSUPPORTED("""COMPUTED_VALUE"""),47.74)</f>
        <v>47.74</v>
      </c>
      <c r="C1535" s="2">
        <f t="shared" ca="1" si="6"/>
        <v>1.3372956909361125E-2</v>
      </c>
    </row>
    <row r="1536" spans="1:3">
      <c r="A1536" s="3">
        <f ca="1">IFERROR(__xludf.UNSUPPORTED("""COMPUTED_VALUE"""),45695.6666666666)</f>
        <v>45695.666666666599</v>
      </c>
      <c r="B1536" s="1">
        <f ca="1">IFERROR(__xludf.UNSUPPORTED("""COMPUTED_VALUE"""),47.4)</f>
        <v>47.4</v>
      </c>
      <c r="C1536" s="2">
        <f t="shared" ca="1" si="6"/>
        <v>-7.1219103477168704E-3</v>
      </c>
    </row>
    <row r="1537" spans="1:3">
      <c r="A1537" s="3">
        <f ca="1">IFERROR(__xludf.UNSUPPORTED("""COMPUTED_VALUE"""),45698.6666666666)</f>
        <v>45698.666666666599</v>
      </c>
      <c r="B1537" s="1">
        <f ca="1">IFERROR(__xludf.UNSUPPORTED("""COMPUTED_VALUE"""),46.67)</f>
        <v>46.67</v>
      </c>
      <c r="C1537" s="2">
        <f t="shared" ca="1" si="6"/>
        <v>-1.5400843881856474E-2</v>
      </c>
    </row>
    <row r="1538" spans="1:3">
      <c r="A1538" s="3">
        <f ca="1">IFERROR(__xludf.UNSUPPORTED("""COMPUTED_VALUE"""),45699.6666666666)</f>
        <v>45699.666666666599</v>
      </c>
      <c r="B1538" s="1">
        <f ca="1">IFERROR(__xludf.UNSUPPORTED("""COMPUTED_VALUE"""),46.79)</f>
        <v>46.79</v>
      </c>
      <c r="C1538" s="2">
        <f t="shared" ca="1" si="6"/>
        <v>2.5712449110777253E-3</v>
      </c>
    </row>
    <row r="1539" spans="1:3">
      <c r="A1539" s="3">
        <f ca="1">IFERROR(__xludf.UNSUPPORTED("""COMPUTED_VALUE"""),45700.6666666666)</f>
        <v>45700.666666666599</v>
      </c>
      <c r="B1539" s="1">
        <f ca="1">IFERROR(__xludf.UNSUPPORTED("""COMPUTED_VALUE"""),46.21)</f>
        <v>46.21</v>
      </c>
      <c r="C1539" s="2">
        <f t="shared" ca="1" si="6"/>
        <v>-1.2395811070741575E-2</v>
      </c>
    </row>
    <row r="1540" spans="1:3">
      <c r="A1540" s="3">
        <f ca="1">IFERROR(__xludf.UNSUPPORTED("""COMPUTED_VALUE"""),45701.6666666666)</f>
        <v>45701.666666666599</v>
      </c>
      <c r="B1540" s="1">
        <f ca="1">IFERROR(__xludf.UNSUPPORTED("""COMPUTED_VALUE"""),46.33)</f>
        <v>46.33</v>
      </c>
      <c r="C1540" s="2">
        <f t="shared" ca="1" si="6"/>
        <v>2.5968405107119116E-3</v>
      </c>
    </row>
    <row r="1541" spans="1:3">
      <c r="A1541" s="3">
        <f ca="1">IFERROR(__xludf.UNSUPPORTED("""COMPUTED_VALUE"""),45702.6666666666)</f>
        <v>45702.666666666599</v>
      </c>
      <c r="B1541" s="1">
        <f ca="1">IFERROR(__xludf.UNSUPPORTED("""COMPUTED_VALUE"""),46.96)</f>
        <v>46.96</v>
      </c>
      <c r="C1541" s="2">
        <f t="shared" ca="1" si="6"/>
        <v>1.3598100582775795E-2</v>
      </c>
    </row>
    <row r="1542" spans="1:3">
      <c r="A1542" s="3">
        <f ca="1">IFERROR(__xludf.UNSUPPORTED("""COMPUTED_VALUE"""),45706.6666666666)</f>
        <v>45706.666666666599</v>
      </c>
      <c r="B1542" s="1">
        <f ca="1">IFERROR(__xludf.UNSUPPORTED("""COMPUTED_VALUE"""),46.53)</f>
        <v>46.53</v>
      </c>
      <c r="C1542" s="2">
        <f t="shared" ca="1" si="6"/>
        <v>-9.1567291311754617E-3</v>
      </c>
    </row>
    <row r="1543" spans="1:3">
      <c r="A1543" s="3">
        <f ca="1">IFERROR(__xludf.UNSUPPORTED("""COMPUTED_VALUE"""),45707.6666666666)</f>
        <v>45707.666666666599</v>
      </c>
      <c r="B1543" s="1">
        <f ca="1">IFERROR(__xludf.UNSUPPORTED("""COMPUTED_VALUE"""),46.01)</f>
        <v>46.01</v>
      </c>
      <c r="C1543" s="2">
        <f t="shared" ca="1" si="6"/>
        <v>-1.1175585643670816E-2</v>
      </c>
    </row>
    <row r="1544" spans="1:3">
      <c r="A1544" s="3">
        <f ca="1">IFERROR(__xludf.UNSUPPORTED("""COMPUTED_VALUE"""),45708.6666666666)</f>
        <v>45708.666666666599</v>
      </c>
      <c r="B1544" s="1">
        <f ca="1">IFERROR(__xludf.UNSUPPORTED("""COMPUTED_VALUE"""),45.3)</f>
        <v>45.3</v>
      </c>
      <c r="C1544" s="2">
        <f t="shared" ca="1" si="6"/>
        <v>-1.5431427950445574E-2</v>
      </c>
    </row>
    <row r="1545" spans="1:3">
      <c r="A1545" s="3">
        <f ca="1">IFERROR(__xludf.UNSUPPORTED("""COMPUTED_VALUE"""),45709.6666666666)</f>
        <v>45709.666666666599</v>
      </c>
      <c r="B1545" s="1">
        <f ca="1">IFERROR(__xludf.UNSUPPORTED("""COMPUTED_VALUE"""),44.81)</f>
        <v>44.81</v>
      </c>
      <c r="C1545" s="2">
        <f t="shared" ca="1" si="6"/>
        <v>-1.0816777041942493E-2</v>
      </c>
    </row>
    <row r="1546" spans="1:3">
      <c r="A1546" s="3">
        <f ca="1">IFERROR(__xludf.UNSUPPORTED("""COMPUTED_VALUE"""),45712.6666666666)</f>
        <v>45712.666666666599</v>
      </c>
      <c r="B1546" s="1">
        <f ca="1">IFERROR(__xludf.UNSUPPORTED("""COMPUTED_VALUE"""),44.46)</f>
        <v>44.46</v>
      </c>
      <c r="C1546" s="2">
        <f t="shared" ca="1" si="6"/>
        <v>-7.8107565275608434E-3</v>
      </c>
    </row>
    <row r="1547" spans="1:3">
      <c r="A1547" s="3">
        <f ca="1">IFERROR(__xludf.UNSUPPORTED("""COMPUTED_VALUE"""),45713.6666666666)</f>
        <v>45713.666666666599</v>
      </c>
      <c r="B1547" s="1">
        <f ca="1">IFERROR(__xludf.UNSUPPORTED("""COMPUTED_VALUE"""),43.94)</f>
        <v>43.94</v>
      </c>
      <c r="C1547" s="2">
        <f t="shared" ca="1" si="6"/>
        <v>-1.1695906432748608E-2</v>
      </c>
    </row>
    <row r="1548" spans="1:3">
      <c r="A1548" s="3">
        <f ca="1">IFERROR(__xludf.UNSUPPORTED("""COMPUTED_VALUE"""),45714.6666666666)</f>
        <v>45714.666666666599</v>
      </c>
      <c r="B1548" s="1">
        <f ca="1">IFERROR(__xludf.UNSUPPORTED("""COMPUTED_VALUE"""),43.94)</f>
        <v>43.94</v>
      </c>
      <c r="C1548" s="2">
        <f t="shared" ca="1" si="6"/>
        <v>0</v>
      </c>
    </row>
    <row r="1549" spans="1:3">
      <c r="A1549" s="3">
        <f ca="1">IFERROR(__xludf.UNSUPPORTED("""COMPUTED_VALUE"""),45715.6666666666)</f>
        <v>45715.666666666599</v>
      </c>
      <c r="B1549" s="1">
        <f ca="1">IFERROR(__xludf.UNSUPPORTED("""COMPUTED_VALUE"""),44.12)</f>
        <v>44.12</v>
      </c>
      <c r="C1549" s="2">
        <f t="shared" ca="1" si="6"/>
        <v>4.0964952207555696E-3</v>
      </c>
    </row>
    <row r="1550" spans="1:3">
      <c r="A1550" s="3">
        <f ca="1">IFERROR(__xludf.UNSUPPORTED("""COMPUTED_VALUE"""),45716.6666666666)</f>
        <v>45716.666666666599</v>
      </c>
      <c r="B1550" s="1">
        <f ca="1">IFERROR(__xludf.UNSUPPORTED("""COMPUTED_VALUE"""),46.1)</f>
        <v>46.1</v>
      </c>
      <c r="C1550" s="2">
        <f t="shared" ca="1" si="6"/>
        <v>4.487760652765195E-2</v>
      </c>
    </row>
    <row r="1551" spans="1:3">
      <c r="A1551" s="3">
        <f ca="1">IFERROR(__xludf.UNSUPPORTED("""COMPUTED_VALUE"""),45719.6666666666)</f>
        <v>45719.666666666599</v>
      </c>
      <c r="B1551" s="1">
        <f ca="1">IFERROR(__xludf.UNSUPPORTED("""COMPUTED_VALUE"""),45.56)</f>
        <v>45.56</v>
      </c>
      <c r="C1551" s="2">
        <f t="shared" ca="1" si="6"/>
        <v>-1.1713665943600848E-2</v>
      </c>
    </row>
    <row r="1552" spans="1:3">
      <c r="A1552" s="3">
        <f ca="1">IFERROR(__xludf.UNSUPPORTED("""COMPUTED_VALUE"""),45720.6666666666)</f>
        <v>45720.666666666599</v>
      </c>
      <c r="B1552" s="1">
        <f ca="1">IFERROR(__xludf.UNSUPPORTED("""COMPUTED_VALUE"""),42.67)</f>
        <v>42.67</v>
      </c>
      <c r="C1552" s="2">
        <f t="shared" ca="1" si="6"/>
        <v>-6.3432835820895525E-2</v>
      </c>
    </row>
    <row r="1553" spans="1:3">
      <c r="A1553" s="3">
        <f ca="1">IFERROR(__xludf.UNSUPPORTED("""COMPUTED_VALUE"""),45721.6666666666)</f>
        <v>45721.666666666599</v>
      </c>
      <c r="B1553" s="1">
        <f ca="1">IFERROR(__xludf.UNSUPPORTED("""COMPUTED_VALUE"""),42.29)</f>
        <v>42.29</v>
      </c>
      <c r="C1553" s="2">
        <f t="shared" ca="1" si="6"/>
        <v>-8.9055542535739999E-3</v>
      </c>
    </row>
    <row r="1554" spans="1:3">
      <c r="A1554" s="3">
        <f ca="1">IFERROR(__xludf.UNSUPPORTED("""COMPUTED_VALUE"""),45722.6666666666)</f>
        <v>45722.666666666599</v>
      </c>
      <c r="B1554" s="1">
        <f ca="1">IFERROR(__xludf.UNSUPPORTED("""COMPUTED_VALUE"""),41.46)</f>
        <v>41.46</v>
      </c>
      <c r="C1554" s="2">
        <f t="shared" ca="1" si="6"/>
        <v>-1.9626389217309016E-2</v>
      </c>
    </row>
    <row r="1555" spans="1:3">
      <c r="A1555" s="3">
        <f ca="1">IFERROR(__xludf.UNSUPPORTED("""COMPUTED_VALUE"""),45723.6666666666)</f>
        <v>45723.666666666599</v>
      </c>
      <c r="B1555" s="1">
        <f ca="1">IFERROR(__xludf.UNSUPPORTED("""COMPUTED_VALUE"""),41.4)</f>
        <v>41.4</v>
      </c>
      <c r="C1555" s="2">
        <f t="shared" ca="1" si="6"/>
        <v>-1.4471780028944108E-3</v>
      </c>
    </row>
    <row r="1556" spans="1:3">
      <c r="A1556" s="3">
        <f ca="1">IFERROR(__xludf.UNSUPPORTED("""COMPUTED_VALUE"""),45726.6666666666)</f>
        <v>45726.666666666599</v>
      </c>
      <c r="B1556" s="1">
        <f ca="1">IFERROR(__xludf.UNSUPPORTED("""COMPUTED_VALUE"""),39.83)</f>
        <v>39.83</v>
      </c>
      <c r="C1556" s="2">
        <f t="shared" ca="1" si="6"/>
        <v>-3.7922705314009673E-2</v>
      </c>
    </row>
    <row r="1557" spans="1:3">
      <c r="A1557" s="3">
        <f ca="1">IFERROR(__xludf.UNSUPPORTED("""COMPUTED_VALUE"""),45727.6666666666)</f>
        <v>45727.666666666599</v>
      </c>
      <c r="B1557" s="1">
        <f ca="1">IFERROR(__xludf.UNSUPPORTED("""COMPUTED_VALUE"""),39.61)</f>
        <v>39.61</v>
      </c>
      <c r="C1557" s="2">
        <f t="shared" ca="1" si="6"/>
        <v>-5.5234747677629648E-3</v>
      </c>
    </row>
    <row r="1558" spans="1:3">
      <c r="A1558" s="3">
        <f ca="1">IFERROR(__xludf.UNSUPPORTED("""COMPUTED_VALUE"""),45728.6666666666)</f>
        <v>45728.666666666599</v>
      </c>
      <c r="B1558" s="1">
        <f ca="1">IFERROR(__xludf.UNSUPPORTED("""COMPUTED_VALUE"""),39.91)</f>
        <v>39.909999999999997</v>
      </c>
      <c r="C1558" s="2">
        <f t="shared" ca="1" si="6"/>
        <v>7.5738449886391607E-3</v>
      </c>
    </row>
    <row r="1559" spans="1:3">
      <c r="A1559" s="3">
        <f ca="1">IFERROR(__xludf.UNSUPPORTED("""COMPUTED_VALUE"""),45729.6666666666)</f>
        <v>45729.666666666599</v>
      </c>
      <c r="B1559" s="1">
        <f ca="1">IFERROR(__xludf.UNSUPPORTED("""COMPUTED_VALUE"""),39.67)</f>
        <v>39.67</v>
      </c>
      <c r="C1559" s="2">
        <f t="shared" ca="1" si="6"/>
        <v>-6.0135304434977424E-3</v>
      </c>
    </row>
    <row r="1560" spans="1:3">
      <c r="A1560" s="3">
        <f ca="1">IFERROR(__xludf.UNSUPPORTED("""COMPUTED_VALUE"""),45730.6666666666)</f>
        <v>45730.666666666599</v>
      </c>
      <c r="B1560" s="1">
        <f ca="1">IFERROR(__xludf.UNSUPPORTED("""COMPUTED_VALUE"""),40.89)</f>
        <v>40.89</v>
      </c>
      <c r="C1560" s="2">
        <f t="shared" ca="1" si="6"/>
        <v>3.0753718174943254E-2</v>
      </c>
    </row>
    <row r="1561" spans="1:3">
      <c r="A1561" s="3">
        <f ca="1">IFERROR(__xludf.UNSUPPORTED("""COMPUTED_VALUE"""),45733.6666666666)</f>
        <v>45733.666666666599</v>
      </c>
      <c r="B1561" s="1">
        <f ca="1">IFERROR(__xludf.UNSUPPORTED("""COMPUTED_VALUE"""),41.44)</f>
        <v>41.44</v>
      </c>
      <c r="C1561" s="2">
        <f t="shared" ca="1" si="6"/>
        <v>1.3450721447786675E-2</v>
      </c>
    </row>
    <row r="1562" spans="1:3">
      <c r="A1562" s="3">
        <f ca="1">IFERROR(__xludf.UNSUPPORTED("""COMPUTED_VALUE"""),45734.6666666666)</f>
        <v>45734.666666666599</v>
      </c>
      <c r="B1562" s="1">
        <f ca="1">IFERROR(__xludf.UNSUPPORTED("""COMPUTED_VALUE"""),41.65)</f>
        <v>41.65</v>
      </c>
      <c r="C1562" s="2">
        <f t="shared" ca="1" si="6"/>
        <v>5.0675675675675887E-3</v>
      </c>
    </row>
    <row r="1563" spans="1:3">
      <c r="A1563" s="3">
        <f ca="1">IFERROR(__xludf.UNSUPPORTED("""COMPUTED_VALUE"""),45735.6666666666)</f>
        <v>45735.666666666599</v>
      </c>
      <c r="B1563" s="1">
        <f ca="1">IFERROR(__xludf.UNSUPPORTED("""COMPUTED_VALUE"""),42.21)</f>
        <v>42.21</v>
      </c>
      <c r="C1563" s="2">
        <f t="shared" ca="1" si="6"/>
        <v>1.3445378151260559E-2</v>
      </c>
    </row>
    <row r="1564" spans="1:3">
      <c r="A1564" s="3">
        <f ca="1">IFERROR(__xludf.UNSUPPORTED("""COMPUTED_VALUE"""),45736.6666666666)</f>
        <v>45736.666666666599</v>
      </c>
      <c r="B1564" s="1">
        <f ca="1">IFERROR(__xludf.UNSUPPORTED("""COMPUTED_VALUE"""),42.48)</f>
        <v>42.48</v>
      </c>
      <c r="C1564" s="2">
        <f t="shared" ca="1" si="6"/>
        <v>6.3965884861406303E-3</v>
      </c>
    </row>
    <row r="1565" spans="1:3">
      <c r="A1565" s="3">
        <f ca="1">IFERROR(__xludf.UNSUPPORTED("""COMPUTED_VALUE"""),45737.6666666666)</f>
        <v>45737.666666666599</v>
      </c>
      <c r="B1565" s="1">
        <f ca="1">IFERROR(__xludf.UNSUPPORTED("""COMPUTED_VALUE"""),42.47)</f>
        <v>42.47</v>
      </c>
      <c r="C1565" s="2">
        <f t="shared" ca="1" si="6"/>
        <v>-2.3540489642179875E-4</v>
      </c>
    </row>
    <row r="1566" spans="1:3">
      <c r="A1566" s="3">
        <f ca="1">IFERROR(__xludf.UNSUPPORTED("""COMPUTED_VALUE"""),45740.6666666666)</f>
        <v>45740.666666666599</v>
      </c>
      <c r="B1566" s="1">
        <f ca="1">IFERROR(__xludf.UNSUPPORTED("""COMPUTED_VALUE"""),43.07)</f>
        <v>43.07</v>
      </c>
      <c r="C1566" s="2">
        <f t="shared" ca="1" si="6"/>
        <v>1.4127619496114938E-2</v>
      </c>
    </row>
    <row r="1567" spans="1:3">
      <c r="A1567" s="3">
        <f ca="1">IFERROR(__xludf.UNSUPPORTED("""COMPUTED_VALUE"""),45741.6666666666)</f>
        <v>45741.666666666599</v>
      </c>
      <c r="B1567" s="1">
        <f ca="1">IFERROR(__xludf.UNSUPPORTED("""COMPUTED_VALUE"""),43.28)</f>
        <v>43.28</v>
      </c>
      <c r="C1567" s="2">
        <f t="shared" ca="1" si="6"/>
        <v>4.8757836080798901E-3</v>
      </c>
    </row>
    <row r="1568" spans="1:3">
      <c r="A1568" s="3">
        <f ca="1">IFERROR(__xludf.UNSUPPORTED("""COMPUTED_VALUE"""),45742.6666666666)</f>
        <v>45742.666666666599</v>
      </c>
      <c r="B1568" s="1">
        <f ca="1">IFERROR(__xludf.UNSUPPORTED("""COMPUTED_VALUE"""),42.82)</f>
        <v>42.82</v>
      </c>
      <c r="C1568" s="2">
        <f t="shared" ca="1" si="6"/>
        <v>-1.0628465804066563E-2</v>
      </c>
    </row>
    <row r="1569" spans="1:3">
      <c r="A1569" s="3">
        <f ca="1">IFERROR(__xludf.UNSUPPORTED("""COMPUTED_VALUE"""),45743.6666666666)</f>
        <v>45743.666666666599</v>
      </c>
      <c r="B1569" s="1">
        <f ca="1">IFERROR(__xludf.UNSUPPORTED("""COMPUTED_VALUE"""),42.56)</f>
        <v>42.56</v>
      </c>
      <c r="C1569" s="2">
        <f t="shared" ca="1" si="6"/>
        <v>-6.0719290051377394E-3</v>
      </c>
    </row>
    <row r="1570" spans="1:3">
      <c r="A1570" s="3">
        <f ca="1">IFERROR(__xludf.UNSUPPORTED("""COMPUTED_VALUE"""),45744.6666666666)</f>
        <v>45744.666666666599</v>
      </c>
      <c r="B1570" s="1">
        <f ca="1">IFERROR(__xludf.UNSUPPORTED("""COMPUTED_VALUE"""),41.25)</f>
        <v>41.25</v>
      </c>
      <c r="C1570" s="2">
        <f t="shared" ca="1" si="6"/>
        <v>-3.0780075187969977E-2</v>
      </c>
    </row>
    <row r="1571" spans="1:3">
      <c r="A1571" s="3">
        <f ca="1">IFERROR(__xludf.UNSUPPORTED("""COMPUTED_VALUE"""),45747.6666666666)</f>
        <v>45747.666666666599</v>
      </c>
      <c r="B1571" s="1">
        <f ca="1">IFERROR(__xludf.UNSUPPORTED("""COMPUTED_VALUE"""),41.73)</f>
        <v>41.73</v>
      </c>
      <c r="C1571" s="2">
        <f t="shared" ca="1" si="6"/>
        <v>1.1636363636363561E-2</v>
      </c>
    </row>
    <row r="1572" spans="1:3">
      <c r="A1572" s="3">
        <f ca="1">IFERROR(__xludf.UNSUPPORTED("""COMPUTED_VALUE"""),45748.6666666666)</f>
        <v>45748.666666666599</v>
      </c>
      <c r="B1572" s="1">
        <f ca="1">IFERROR(__xludf.UNSUPPORTED("""COMPUTED_VALUE"""),41.49)</f>
        <v>41.49</v>
      </c>
      <c r="C1572" s="2">
        <f t="shared" ca="1" si="6"/>
        <v>-5.7512580877065638E-3</v>
      </c>
    </row>
    <row r="1573" spans="1:3">
      <c r="A1573" s="3">
        <f ca="1">IFERROR(__xludf.UNSUPPORTED("""COMPUTED_VALUE"""),45749.6666666666)</f>
        <v>45749.666666666599</v>
      </c>
      <c r="B1573" s="1">
        <f ca="1">IFERROR(__xludf.UNSUPPORTED("""COMPUTED_VALUE"""),41.85)</f>
        <v>41.85</v>
      </c>
      <c r="C1573" s="2">
        <f t="shared" ca="1" si="6"/>
        <v>8.676789587852481E-3</v>
      </c>
    </row>
    <row r="1574" spans="1:3">
      <c r="A1574" s="3">
        <f ca="1">IFERROR(__xludf.UNSUPPORTED("""COMPUTED_VALUE"""),45750.6666666666)</f>
        <v>45750.666666666599</v>
      </c>
      <c r="B1574" s="1">
        <f ca="1">IFERROR(__xludf.UNSUPPORTED("""COMPUTED_VALUE"""),37.22)</f>
        <v>37.22</v>
      </c>
      <c r="C1574" s="2">
        <f t="shared" ca="1" si="6"/>
        <v>-0.11063321385902036</v>
      </c>
    </row>
    <row r="1575" spans="1:3">
      <c r="A1575" s="3">
        <f ca="1">IFERROR(__xludf.UNSUPPORTED("""COMPUTED_VALUE"""),45751.6666666666)</f>
        <v>45751.666666666599</v>
      </c>
      <c r="B1575" s="1">
        <f ca="1">IFERROR(__xludf.UNSUPPORTED("""COMPUTED_VALUE"""),34.39)</f>
        <v>34.39</v>
      </c>
      <c r="C1575" s="2">
        <f t="shared" ca="1" si="6"/>
        <v>-7.603439011284252E-2</v>
      </c>
    </row>
    <row r="1576" spans="1:3">
      <c r="A1576" s="3">
        <f ca="1">IFERROR(__xludf.UNSUPPORTED("""COMPUTED_VALUE"""),45754.6666666666)</f>
        <v>45754.666666666599</v>
      </c>
      <c r="B1576" s="1">
        <f ca="1">IFERROR(__xludf.UNSUPPORTED("""COMPUTED_VALUE"""),35.58)</f>
        <v>35.58</v>
      </c>
      <c r="C1576" s="2">
        <f t="shared" ca="1" si="6"/>
        <v>3.4603082291363704E-2</v>
      </c>
    </row>
    <row r="1577" spans="1:3">
      <c r="A1577" s="3">
        <f ca="1">IFERROR(__xludf.UNSUPPORTED("""COMPUTED_VALUE"""),45755.6666666666)</f>
        <v>45755.666666666599</v>
      </c>
      <c r="B1577" s="1">
        <f ca="1">IFERROR(__xludf.UNSUPPORTED("""COMPUTED_VALUE"""),35.03)</f>
        <v>35.03</v>
      </c>
      <c r="C1577" s="2">
        <f t="shared" ca="1" si="6"/>
        <v>-1.5458122540753154E-2</v>
      </c>
    </row>
    <row r="1578" spans="1:3">
      <c r="A1578" s="3">
        <f ca="1">IFERROR(__xludf.UNSUPPORTED("""COMPUTED_VALUE"""),45756.6666666666)</f>
        <v>45756.666666666599</v>
      </c>
      <c r="B1578" s="1">
        <f ca="1">IFERROR(__xludf.UNSUPPORTED("""COMPUTED_VALUE"""),37.15)</f>
        <v>37.15</v>
      </c>
      <c r="C1578" s="2">
        <f t="shared" ca="1" si="6"/>
        <v>6.0519554667427845E-2</v>
      </c>
    </row>
    <row r="1579" spans="1:3">
      <c r="A1579" s="3">
        <f ca="1">IFERROR(__xludf.UNSUPPORTED("""COMPUTED_VALUE"""),45757.6666666666)</f>
        <v>45757.666666666599</v>
      </c>
      <c r="B1579" s="1">
        <f ca="1">IFERROR(__xludf.UNSUPPORTED("""COMPUTED_VALUE"""),35.85)</f>
        <v>35.85</v>
      </c>
      <c r="C1579" s="2">
        <f t="shared" ca="1" si="6"/>
        <v>-3.4993270524898985E-2</v>
      </c>
    </row>
    <row r="1580" spans="1:3">
      <c r="A1580" s="3">
        <f ca="1">IFERROR(__xludf.UNSUPPORTED("""COMPUTED_VALUE"""),45758.6666666666)</f>
        <v>45758.666666666599</v>
      </c>
      <c r="B1580" s="1">
        <f ca="1">IFERROR(__xludf.UNSUPPORTED("""COMPUTED_VALUE"""),35.95)</f>
        <v>35.950000000000003</v>
      </c>
      <c r="C1580" s="2">
        <f t="shared" ca="1" si="6"/>
        <v>2.7894002789400673E-3</v>
      </c>
    </row>
    <row r="1581" spans="1:3">
      <c r="A1581" s="3">
        <f ca="1">IFERROR(__xludf.UNSUPPORTED("""COMPUTED_VALUE"""),45761.6666666666)</f>
        <v>45761.666666666599</v>
      </c>
      <c r="B1581" s="1">
        <f ca="1">IFERROR(__xludf.UNSUPPORTED("""COMPUTED_VALUE"""),36.67)</f>
        <v>36.67</v>
      </c>
      <c r="C1581" s="2">
        <f t="shared" ca="1" si="6"/>
        <v>2.0027816411682858E-2</v>
      </c>
    </row>
    <row r="1582" spans="1:3">
      <c r="A1582" s="3">
        <f ca="1">IFERROR(__xludf.UNSUPPORTED("""COMPUTED_VALUE"""),45762.6666666666)</f>
        <v>45762.666666666599</v>
      </c>
      <c r="B1582" s="1">
        <f ca="1">IFERROR(__xludf.UNSUPPORTED("""COMPUTED_VALUE"""),37.99)</f>
        <v>37.99</v>
      </c>
      <c r="C1582" s="2">
        <f t="shared" ca="1" si="6"/>
        <v>3.5996727570220897E-2</v>
      </c>
    </row>
    <row r="1583" spans="1:3">
      <c r="A1583" s="3">
        <f ca="1">IFERROR(__xludf.UNSUPPORTED("""COMPUTED_VALUE"""),45763.6666666666)</f>
        <v>45763.666666666599</v>
      </c>
      <c r="B1583" s="1">
        <f ca="1">IFERROR(__xludf.UNSUPPORTED("""COMPUTED_VALUE"""),37.33)</f>
        <v>37.33</v>
      </c>
      <c r="C1583" s="2">
        <f t="shared" ca="1" si="6"/>
        <v>-1.7372992892866639E-2</v>
      </c>
    </row>
    <row r="1584" spans="1:3">
      <c r="A1584" s="3">
        <f ca="1">IFERROR(__xludf.UNSUPPORTED("""COMPUTED_VALUE"""),45764.6666666666)</f>
        <v>45764.666666666599</v>
      </c>
      <c r="B1584" s="1">
        <f ca="1">IFERROR(__xludf.UNSUPPORTED("""COMPUTED_VALUE"""),37.41)</f>
        <v>37.409999999999997</v>
      </c>
      <c r="C1584" s="2">
        <f t="shared" ca="1" si="6"/>
        <v>2.1430484864719606E-3</v>
      </c>
    </row>
    <row r="1585" spans="1:3">
      <c r="A1585" s="3">
        <f ca="1">IFERROR(__xludf.UNSUPPORTED("""COMPUTED_VALUE"""),45768.6666666666)</f>
        <v>45768.666666666599</v>
      </c>
      <c r="B1585" s="1">
        <f ca="1">IFERROR(__xludf.UNSUPPORTED("""COMPUTED_VALUE"""),36.92)</f>
        <v>36.92</v>
      </c>
      <c r="C1585" s="2">
        <f t="shared" ca="1" si="6"/>
        <v>-1.3098102111734695E-2</v>
      </c>
    </row>
    <row r="1586" spans="1:3">
      <c r="A1586" s="3">
        <f ca="1">IFERROR(__xludf.UNSUPPORTED("""COMPUTED_VALUE"""),45769.6666666666)</f>
        <v>45769.666666666599</v>
      </c>
      <c r="B1586" s="1">
        <f ca="1">IFERROR(__xludf.UNSUPPORTED("""COMPUTED_VALUE"""),38.32)</f>
        <v>38.32</v>
      </c>
      <c r="C1586" s="2">
        <f t="shared" ca="1" si="6"/>
        <v>3.7919826652220975E-2</v>
      </c>
    </row>
    <row r="1587" spans="1:3">
      <c r="A1587" s="3">
        <f ca="1">IFERROR(__xludf.UNSUPPORTED("""COMPUTED_VALUE"""),45770.6666666666)</f>
        <v>45770.666666666599</v>
      </c>
      <c r="B1587" s="1">
        <f ca="1">IFERROR(__xludf.UNSUPPORTED("""COMPUTED_VALUE"""),38.75)</f>
        <v>38.75</v>
      </c>
      <c r="C1587" s="2">
        <f t="shared" ca="1" si="6"/>
        <v>1.1221294363256777E-2</v>
      </c>
    </row>
    <row r="1588" spans="1:3">
      <c r="A1588" s="3">
        <f ca="1">IFERROR(__xludf.UNSUPPORTED("""COMPUTED_VALUE"""),45771.6666666666)</f>
        <v>45771.666666666599</v>
      </c>
      <c r="B1588" s="1">
        <f ca="1">IFERROR(__xludf.UNSUPPORTED("""COMPUTED_VALUE"""),39.58)</f>
        <v>39.58</v>
      </c>
      <c r="C1588" s="2">
        <f t="shared" ca="1" si="6"/>
        <v>2.1419354838709635E-2</v>
      </c>
    </row>
    <row r="1589" spans="1:3">
      <c r="A1589" s="3">
        <f ca="1">IFERROR(__xludf.UNSUPPORTED("""COMPUTED_VALUE"""),45772.6666666666)</f>
        <v>45772.666666666599</v>
      </c>
      <c r="B1589" s="1">
        <f ca="1">IFERROR(__xludf.UNSUPPORTED("""COMPUTED_VALUE"""),39.69)</f>
        <v>39.69</v>
      </c>
      <c r="C1589" s="2">
        <f t="shared" ca="1" si="6"/>
        <v>2.7791814047498594E-3</v>
      </c>
    </row>
    <row r="1590" spans="1:3">
      <c r="A1590" s="3">
        <f ca="1">IFERROR(__xludf.UNSUPPORTED("""COMPUTED_VALUE"""),45775.6666666666)</f>
        <v>45775.666666666599</v>
      </c>
      <c r="B1590" s="1">
        <f ca="1">IFERROR(__xludf.UNSUPPORTED("""COMPUTED_VALUE"""),39.78)</f>
        <v>39.78</v>
      </c>
      <c r="C1590" s="2">
        <f t="shared" ca="1" si="6"/>
        <v>2.2675736961452106E-3</v>
      </c>
    </row>
    <row r="1591" spans="1:3">
      <c r="A1591" s="3">
        <f ca="1">IFERROR(__xludf.UNSUPPORTED("""COMPUTED_VALUE"""),45776.6666666666)</f>
        <v>45776.666666666599</v>
      </c>
      <c r="B1591" s="1">
        <f ca="1">IFERROR(__xludf.UNSUPPORTED("""COMPUTED_VALUE"""),39.99)</f>
        <v>39.99</v>
      </c>
      <c r="C1591" s="2">
        <f t="shared" ca="1" si="6"/>
        <v>5.2790346907994178E-3</v>
      </c>
    </row>
    <row r="1592" spans="1:3">
      <c r="A1592" s="3">
        <f ca="1">IFERROR(__xludf.UNSUPPORTED("""COMPUTED_VALUE"""),45777.6666666666)</f>
        <v>45777.666666666599</v>
      </c>
      <c r="B1592" s="1">
        <f ca="1">IFERROR(__xludf.UNSUPPORTED("""COMPUTED_VALUE"""),39.88)</f>
        <v>39.880000000000003</v>
      </c>
      <c r="C1592" s="2">
        <f t="shared" ca="1" si="6"/>
        <v>-2.7506876719179652E-3</v>
      </c>
    </row>
    <row r="1593" spans="1:3">
      <c r="A1593" s="3">
        <f ca="1">IFERROR(__xludf.UNSUPPORTED("""COMPUTED_VALUE"""),45778.6666666666)</f>
        <v>45778.666666666599</v>
      </c>
      <c r="B1593" s="1">
        <f ca="1">IFERROR(__xludf.UNSUPPORTED("""COMPUTED_VALUE"""),40.17)</f>
        <v>40.17</v>
      </c>
      <c r="C1593" s="2">
        <f t="shared" ca="1" si="6"/>
        <v>7.2718154463389953E-3</v>
      </c>
    </row>
    <row r="1594" spans="1:3">
      <c r="A1594" s="3">
        <f ca="1">IFERROR(__xludf.UNSUPPORTED("""COMPUTED_VALUE"""),45779.6666666666)</f>
        <v>45779.666666666599</v>
      </c>
      <c r="B1594" s="1">
        <f ca="1">IFERROR(__xludf.UNSUPPORTED("""COMPUTED_VALUE"""),41.07)</f>
        <v>41.07</v>
      </c>
      <c r="C1594" s="2">
        <f t="shared" ca="1" si="6"/>
        <v>2.2404779686333049E-2</v>
      </c>
    </row>
    <row r="1595" spans="1:3">
      <c r="A1595" s="3">
        <f ca="1">IFERROR(__xludf.UNSUPPORTED("""COMPUTED_VALUE"""),45782.6666666666)</f>
        <v>45782.666666666599</v>
      </c>
      <c r="B1595" s="1">
        <f ca="1">IFERROR(__xludf.UNSUPPORTED("""COMPUTED_VALUE"""),41.12)</f>
        <v>41.12</v>
      </c>
      <c r="C1595" s="2">
        <f t="shared" ca="1" si="6"/>
        <v>1.2174336498660132E-3</v>
      </c>
    </row>
    <row r="1596" spans="1:3">
      <c r="A1596" s="3">
        <f ca="1">IFERROR(__xludf.UNSUPPORTED("""COMPUTED_VALUE"""),45783.6666666666)</f>
        <v>45783.666666666599</v>
      </c>
      <c r="B1596" s="1">
        <f ca="1">IFERROR(__xludf.UNSUPPORTED("""COMPUTED_VALUE"""),40.84)</f>
        <v>40.840000000000003</v>
      </c>
      <c r="C1596" s="2">
        <f t="shared" ca="1" si="6"/>
        <v>-6.8093385214006335E-3</v>
      </c>
    </row>
    <row r="1597" spans="1:3">
      <c r="A1597" s="3">
        <f ca="1">IFERROR(__xludf.UNSUPPORTED("""COMPUTED_VALUE"""),45784.6666666666)</f>
        <v>45784.666666666599</v>
      </c>
      <c r="B1597" s="1">
        <f ca="1">IFERROR(__xludf.UNSUPPORTED("""COMPUTED_VALUE"""),40.93)</f>
        <v>40.93</v>
      </c>
      <c r="C1597" s="2">
        <f t="shared" ca="1" si="6"/>
        <v>2.2037218413319369E-3</v>
      </c>
    </row>
    <row r="1598" spans="1:3">
      <c r="A1598" s="3">
        <f ca="1">IFERROR(__xludf.UNSUPPORTED("""COMPUTED_VALUE"""),45785.6666666666)</f>
        <v>45785.666666666599</v>
      </c>
      <c r="B1598" s="1">
        <f ca="1">IFERROR(__xludf.UNSUPPORTED("""COMPUTED_VALUE"""),41.6)</f>
        <v>41.6</v>
      </c>
      <c r="C1598" s="2">
        <f t="shared" ca="1" si="6"/>
        <v>1.6369411189836348E-2</v>
      </c>
    </row>
    <row r="1599" spans="1:3">
      <c r="A1599" s="3">
        <f ca="1">IFERROR(__xludf.UNSUPPORTED("""COMPUTED_VALUE"""),45786.6666666666)</f>
        <v>45786.666666666599</v>
      </c>
      <c r="B1599" s="1">
        <f ca="1">IFERROR(__xludf.UNSUPPORTED("""COMPUTED_VALUE"""),41.79)</f>
        <v>41.79</v>
      </c>
      <c r="C1599" s="2">
        <f t="shared" ca="1" si="6"/>
        <v>4.5673076923076379E-3</v>
      </c>
    </row>
    <row r="1600" spans="1:3">
      <c r="A1600" s="3">
        <f ca="1">IFERROR(__xludf.UNSUPPORTED("""COMPUTED_VALUE"""),45789.6666666666)</f>
        <v>45789.666666666599</v>
      </c>
      <c r="B1600" s="1">
        <f ca="1">IFERROR(__xludf.UNSUPPORTED("""COMPUTED_VALUE"""),43.36)</f>
        <v>43.36</v>
      </c>
      <c r="C1600" s="2">
        <f t="shared" ca="1" si="6"/>
        <v>3.7568796362766221E-2</v>
      </c>
    </row>
    <row r="1601" spans="1:3">
      <c r="A1601" s="3">
        <f ca="1">IFERROR(__xludf.UNSUPPORTED("""COMPUTED_VALUE"""),45790.6666666666)</f>
        <v>45790.666666666599</v>
      </c>
      <c r="B1601" s="1">
        <f ca="1">IFERROR(__xludf.UNSUPPORTED("""COMPUTED_VALUE"""),44.28)</f>
        <v>44.28</v>
      </c>
      <c r="C1601" s="2">
        <f t="shared" ca="1" si="6"/>
        <v>2.121771217712181E-2</v>
      </c>
    </row>
    <row r="1602" spans="1:3">
      <c r="A1602" s="3">
        <f ca="1">IFERROR(__xludf.UNSUPPORTED("""COMPUTED_VALUE"""),45791.6666666666)</f>
        <v>45791.666666666599</v>
      </c>
      <c r="B1602" s="1">
        <f ca="1">IFERROR(__xludf.UNSUPPORTED("""COMPUTED_VALUE"""),44.74)</f>
        <v>44.74</v>
      </c>
      <c r="C1602" s="2">
        <f t="shared" ca="1" si="6"/>
        <v>1.0388437217705529E-2</v>
      </c>
    </row>
    <row r="1603" spans="1:3">
      <c r="A1603" s="3">
        <f ca="1">IFERROR(__xludf.UNSUPPORTED("""COMPUTED_VALUE"""),45792.6666666666)</f>
        <v>45792.666666666599</v>
      </c>
      <c r="B1603" s="1">
        <f ca="1">IFERROR(__xludf.UNSUPPORTED("""COMPUTED_VALUE"""),44.38)</f>
        <v>44.38</v>
      </c>
      <c r="C1603" s="2">
        <f t="shared" ca="1" si="6"/>
        <v>-8.0464908359409795E-3</v>
      </c>
    </row>
    <row r="1604" spans="1:3">
      <c r="A1604" s="3">
        <f ca="1">IFERROR(__xludf.UNSUPPORTED("""COMPUTED_VALUE"""),45793.6666666666)</f>
        <v>45793.666666666599</v>
      </c>
      <c r="B1604" s="1">
        <f ca="1">IFERROR(__xludf.UNSUPPORTED("""COMPUTED_VALUE"""),44.69)</f>
        <v>44.69</v>
      </c>
      <c r="C1604" s="2">
        <f t="shared" ca="1" si="6"/>
        <v>6.985128436232428E-3</v>
      </c>
    </row>
    <row r="1605" spans="1:3">
      <c r="A1605" s="3">
        <f ca="1">IFERROR(__xludf.UNSUPPORTED("""COMPUTED_VALUE"""),45796.6666666666)</f>
        <v>45796.666666666599</v>
      </c>
      <c r="B1605" s="1">
        <f ca="1">IFERROR(__xludf.UNSUPPORTED("""COMPUTED_VALUE"""),44.77)</f>
        <v>44.77</v>
      </c>
      <c r="C1605" s="2">
        <f t="shared" ca="1" si="6"/>
        <v>1.7901096442158291E-3</v>
      </c>
    </row>
    <row r="1606" spans="1:3">
      <c r="A1606" s="3">
        <f ca="1">IFERROR(__xludf.UNSUPPORTED("""COMPUTED_VALUE"""),45797.6666666666)</f>
        <v>45797.666666666599</v>
      </c>
      <c r="B1606" s="1">
        <f ca="1">IFERROR(__xludf.UNSUPPORTED("""COMPUTED_VALUE"""),44.69)</f>
        <v>44.69</v>
      </c>
      <c r="C1606" s="2">
        <f t="shared" ca="1" si="6"/>
        <v>-1.7869108778200892E-3</v>
      </c>
    </row>
    <row r="1607" spans="1:3">
      <c r="A1607" s="3">
        <f ca="1">IFERROR(__xludf.UNSUPPORTED("""COMPUTED_VALUE"""),45798.6666666666)</f>
        <v>45798.666666666599</v>
      </c>
      <c r="B1607" s="1">
        <f ca="1">IFERROR(__xludf.UNSUPPORTED("""COMPUTED_VALUE"""),43.25)</f>
        <v>43.25</v>
      </c>
      <c r="C1607" s="2">
        <f t="shared" ca="1" si="6"/>
        <v>-3.2221973595882698E-2</v>
      </c>
    </row>
    <row r="1608" spans="1:3">
      <c r="A1608" s="3">
        <f ca="1">IFERROR(__xludf.UNSUPPORTED("""COMPUTED_VALUE"""),45799.6666666666)</f>
        <v>45799.666666666599</v>
      </c>
      <c r="B1608" s="1">
        <f ca="1">IFERROR(__xludf.UNSUPPORTED("""COMPUTED_VALUE"""),43.25)</f>
        <v>43.25</v>
      </c>
      <c r="C1608" s="2">
        <f t="shared" ca="1" si="6"/>
        <v>0</v>
      </c>
    </row>
    <row r="1609" spans="1:3">
      <c r="A1609" s="3">
        <f ca="1">IFERROR(__xludf.UNSUPPORTED("""COMPUTED_VALUE"""),45800.6666666666)</f>
        <v>45800.666666666599</v>
      </c>
      <c r="B1609" s="1">
        <f ca="1">IFERROR(__xludf.UNSUPPORTED("""COMPUTED_VALUE"""),43.2)</f>
        <v>43.2</v>
      </c>
      <c r="C1609" s="2">
        <f t="shared" ca="1" si="6"/>
        <v>-1.1560693641617841E-3</v>
      </c>
    </row>
    <row r="1610" spans="1:3">
      <c r="A1610" s="3">
        <f ca="1">IFERROR(__xludf.UNSUPPORTED("""COMPUTED_VALUE"""),45804.6666666666)</f>
        <v>45804.666666666599</v>
      </c>
      <c r="B1610" s="1">
        <f ca="1">IFERROR(__xludf.UNSUPPORTED("""COMPUTED_VALUE"""),44.22)</f>
        <v>44.22</v>
      </c>
      <c r="C1610" s="2">
        <f t="shared" ca="1" si="6"/>
        <v>2.3611111111111017E-2</v>
      </c>
    </row>
    <row r="1611" spans="1:3">
      <c r="A1611" s="3">
        <f ca="1">IFERROR(__xludf.UNSUPPORTED("""COMPUTED_VALUE"""),45805.6666666666)</f>
        <v>45805.666666666599</v>
      </c>
      <c r="B1611" s="1">
        <f ca="1">IFERROR(__xludf.UNSUPPORTED("""COMPUTED_VALUE"""),44.06)</f>
        <v>44.06</v>
      </c>
      <c r="C1611" s="2">
        <f t="shared" ca="1" si="6"/>
        <v>-3.6182722749886157E-3</v>
      </c>
    </row>
    <row r="1612" spans="1:3">
      <c r="A1612" s="3">
        <f ca="1">IFERROR(__xludf.UNSUPPORTED("""COMPUTED_VALUE"""),45806.6666666666)</f>
        <v>45806.666666666599</v>
      </c>
      <c r="B1612" s="1">
        <f ca="1">IFERROR(__xludf.UNSUPPORTED("""COMPUTED_VALUE"""),44.24)</f>
        <v>44.24</v>
      </c>
      <c r="C1612" s="2">
        <f t="shared" ca="1" si="6"/>
        <v>4.0853381752156085E-3</v>
      </c>
    </row>
    <row r="1613" spans="1:3">
      <c r="A1613" s="3">
        <f ca="1">IFERROR(__xludf.UNSUPPORTED("""COMPUTED_VALUE"""),45807.6666666666)</f>
        <v>45807.666666666599</v>
      </c>
      <c r="B1613" s="1">
        <f ca="1">IFERROR(__xludf.UNSUPPORTED("""COMPUTED_VALUE"""),44.13)</f>
        <v>44.13</v>
      </c>
      <c r="C1613" s="2">
        <f t="shared" ca="1" si="6"/>
        <v>-2.4864376130198785E-3</v>
      </c>
    </row>
    <row r="1614" spans="1:3">
      <c r="A1614" s="3">
        <f ca="1">IFERROR(__xludf.UNSUPPORTED("""COMPUTED_VALUE"""),45810.6666666666)</f>
        <v>45810.666666666599</v>
      </c>
      <c r="B1614" s="1">
        <f ca="1">IFERROR(__xludf.UNSUPPORTED("""COMPUTED_VALUE"""),44.08)</f>
        <v>44.08</v>
      </c>
      <c r="C1614" s="2">
        <f t="shared" ca="1" si="6"/>
        <v>-1.1330160888285579E-3</v>
      </c>
    </row>
    <row r="1615" spans="1:3">
      <c r="A1615" s="3">
        <f ca="1">IFERROR(__xludf.UNSUPPORTED("""COMPUTED_VALUE"""),45811.6666666666)</f>
        <v>45811.666666666599</v>
      </c>
      <c r="B1615" s="1">
        <f ca="1">IFERROR(__xludf.UNSUPPORTED("""COMPUTED_VALUE"""),44.65)</f>
        <v>44.65</v>
      </c>
      <c r="C1615" s="2">
        <f t="shared" ca="1" si="6"/>
        <v>1.2931034482758627E-2</v>
      </c>
    </row>
    <row r="1616" spans="1:3">
      <c r="A1616" s="3">
        <f ca="1">IFERROR(__xludf.UNSUPPORTED("""COMPUTED_VALUE"""),45812.6666666666)</f>
        <v>45812.666666666599</v>
      </c>
      <c r="B1616" s="1">
        <f ca="1">IFERROR(__xludf.UNSUPPORTED("""COMPUTED_VALUE"""),44.36)</f>
        <v>44.36</v>
      </c>
      <c r="C1616" s="2">
        <f t="shared" ca="1" si="6"/>
        <v>-6.4949608062709781E-3</v>
      </c>
    </row>
    <row r="1617" spans="1:3">
      <c r="A1617" s="3">
        <f ca="1">IFERROR(__xludf.UNSUPPORTED("""COMPUTED_VALUE"""),45813.6666666666)</f>
        <v>45813.666666666599</v>
      </c>
      <c r="B1617" s="1">
        <f ca="1">IFERROR(__xludf.UNSUPPORTED("""COMPUTED_VALUE"""),44.38)</f>
        <v>44.38</v>
      </c>
      <c r="C1617" s="2">
        <f t="shared" ca="1" si="6"/>
        <v>4.5085662759249611E-4</v>
      </c>
    </row>
    <row r="1618" spans="1:3">
      <c r="A1618" s="3">
        <f ca="1">IFERROR(__xludf.UNSUPPORTED("""COMPUTED_VALUE"""),45814.6666666666)</f>
        <v>45814.666666666599</v>
      </c>
      <c r="B1618" s="1">
        <f ca="1">IFERROR(__xludf.UNSUPPORTED("""COMPUTED_VALUE"""),44.97)</f>
        <v>44.97</v>
      </c>
      <c r="C1618" s="2">
        <f t="shared" ca="1" si="6"/>
        <v>1.3294276701216681E-2</v>
      </c>
    </row>
    <row r="1619" spans="1:3">
      <c r="A1619" s="3">
        <f ca="1">IFERROR(__xludf.UNSUPPORTED("""COMPUTED_VALUE"""),45817.6666666666)</f>
        <v>45817.666666666599</v>
      </c>
      <c r="B1619" s="1">
        <f ca="1">IFERROR(__xludf.UNSUPPORTED("""COMPUTED_VALUE"""),44.87)</f>
        <v>44.87</v>
      </c>
      <c r="C1619" s="2">
        <f t="shared" ca="1" si="6"/>
        <v>-2.223704692016932E-3</v>
      </c>
    </row>
    <row r="1620" spans="1:3">
      <c r="A1620" s="3">
        <f ca="1">IFERROR(__xludf.UNSUPPORTED("""COMPUTED_VALUE"""),45818.6666666666)</f>
        <v>45818.666666666599</v>
      </c>
      <c r="B1620" s="1">
        <f ca="1">IFERROR(__xludf.UNSUPPORTED("""COMPUTED_VALUE"""),45.09)</f>
        <v>45.09</v>
      </c>
      <c r="C1620" s="2">
        <f t="shared" ca="1" si="6"/>
        <v>4.9030532649878755E-3</v>
      </c>
    </row>
    <row r="1621" spans="1:3">
      <c r="A1621" s="3">
        <f ca="1">IFERROR(__xludf.UNSUPPORTED("""COMPUTED_VALUE"""),45819.6666666666)</f>
        <v>45819.666666666599</v>
      </c>
      <c r="B1621" s="1">
        <f ca="1">IFERROR(__xludf.UNSUPPORTED("""COMPUTED_VALUE"""),44.73)</f>
        <v>44.73</v>
      </c>
      <c r="C1621" s="2">
        <f t="shared" ca="1" si="6"/>
        <v>-7.9840319361278896E-3</v>
      </c>
    </row>
    <row r="1622" spans="1:3">
      <c r="A1622" s="3">
        <f ca="1">IFERROR(__xludf.UNSUPPORTED("""COMPUTED_VALUE"""),45820.6666666666)</f>
        <v>45820.666666666599</v>
      </c>
      <c r="B1622" s="1">
        <f ca="1">IFERROR(__xludf.UNSUPPORTED("""COMPUTED_VALUE"""),44.62)</f>
        <v>44.62</v>
      </c>
      <c r="C1622" s="2">
        <f t="shared" ca="1" si="6"/>
        <v>-2.4591996422982211E-3</v>
      </c>
    </row>
    <row r="1623" spans="1:3">
      <c r="A1623" s="3">
        <f ca="1">IFERROR(__xludf.UNSUPPORTED("""COMPUTED_VALUE"""),45821.6666666666)</f>
        <v>45821.666666666599</v>
      </c>
      <c r="B1623" s="1">
        <f ca="1">IFERROR(__xludf.UNSUPPORTED("""COMPUTED_VALUE"""),44.09)</f>
        <v>44.09</v>
      </c>
      <c r="C1623" s="2">
        <f t="shared" ca="1" si="6"/>
        <v>-1.1878081577767685E-2</v>
      </c>
    </row>
    <row r="1624" spans="1:3">
      <c r="A1624" s="3">
        <f ca="1">IFERROR(__xludf.UNSUPPORTED("""COMPUTED_VALUE"""),45824.6666666666)</f>
        <v>45824.666666666599</v>
      </c>
      <c r="B1624" s="1">
        <f ca="1">IFERROR(__xludf.UNSUPPORTED("""COMPUTED_VALUE"""),44.41)</f>
        <v>44.41</v>
      </c>
      <c r="C1624" s="2">
        <f t="shared" ca="1" si="6"/>
        <v>7.2578816058061499E-3</v>
      </c>
    </row>
    <row r="1625" spans="1:3">
      <c r="A1625" s="3">
        <f ca="1">IFERROR(__xludf.UNSUPPORTED("""COMPUTED_VALUE"""),45825.6666666666)</f>
        <v>45825.666666666599</v>
      </c>
      <c r="B1625" s="1">
        <f ca="1">IFERROR(__xludf.UNSUPPORTED("""COMPUTED_VALUE"""),44.23)</f>
        <v>44.23</v>
      </c>
      <c r="C1625" s="2">
        <f t="shared" ca="1" si="6"/>
        <v>-4.0531411844179181E-3</v>
      </c>
    </row>
    <row r="1626" spans="1:3">
      <c r="A1626" s="3">
        <f ca="1">IFERROR(__xludf.UNSUPPORTED("""COMPUTED_VALUE"""),45826.6666666666)</f>
        <v>45826.666666666599</v>
      </c>
      <c r="B1626" s="1">
        <f ca="1">IFERROR(__xludf.UNSUPPORTED("""COMPUTED_VALUE"""),45.06)</f>
        <v>45.06</v>
      </c>
      <c r="C1626" s="2">
        <f t="shared" ca="1" si="6"/>
        <v>1.8765543748587056E-2</v>
      </c>
    </row>
    <row r="1627" spans="1:3">
      <c r="A1627" s="3">
        <f ca="1">IFERROR(__xludf.UNSUPPORTED("""COMPUTED_VALUE"""),45828.6666666666)</f>
        <v>45828.666666666599</v>
      </c>
      <c r="B1627" s="1">
        <f ca="1">IFERROR(__xludf.UNSUPPORTED("""COMPUTED_VALUE"""),45.5)</f>
        <v>45.5</v>
      </c>
      <c r="C1627" s="2">
        <f t="shared" ca="1" si="6"/>
        <v>9.7647581003106453E-3</v>
      </c>
    </row>
    <row r="1628" spans="1:3">
      <c r="A1628" s="3">
        <f ca="1">IFERROR(__xludf.UNSUPPORTED("""COMPUTED_VALUE"""),45831.6666666666)</f>
        <v>45831.666666666599</v>
      </c>
      <c r="B1628" s="1">
        <f ca="1">IFERROR(__xludf.UNSUPPORTED("""COMPUTED_VALUE"""),46.3)</f>
        <v>46.3</v>
      </c>
      <c r="C1628" s="2">
        <f t="shared" ca="1" si="6"/>
        <v>1.758241758241752E-2</v>
      </c>
    </row>
    <row r="1629" spans="1:3">
      <c r="A1629" s="3">
        <f ca="1">IFERROR(__xludf.UNSUPPORTED("""COMPUTED_VALUE"""),45832.6666666666)</f>
        <v>45832.666666666599</v>
      </c>
      <c r="B1629" s="1">
        <f ca="1">IFERROR(__xludf.UNSUPPORTED("""COMPUTED_VALUE"""),46.66)</f>
        <v>46.66</v>
      </c>
      <c r="C1629" s="2">
        <f t="shared" ca="1" si="6"/>
        <v>7.7753779697624075E-3</v>
      </c>
    </row>
    <row r="1630" spans="1:3">
      <c r="A1630" s="3">
        <f ca="1">IFERROR(__xludf.UNSUPPORTED("""COMPUTED_VALUE"""),45833.6666666666)</f>
        <v>45833.666666666599</v>
      </c>
      <c r="B1630" s="1">
        <f ca="1">IFERROR(__xludf.UNSUPPORTED("""COMPUTED_VALUE"""),46.85)</f>
        <v>46.85</v>
      </c>
      <c r="C1630" s="2">
        <f t="shared" ca="1" si="6"/>
        <v>4.0720102871839876E-3</v>
      </c>
    </row>
    <row r="1631" spans="1:3">
      <c r="A1631" s="3">
        <f ca="1">IFERROR(__xludf.UNSUPPORTED("""COMPUTED_VALUE"""),45834.6666666666)</f>
        <v>45834.666666666599</v>
      </c>
      <c r="B1631" s="1">
        <f ca="1">IFERROR(__xludf.UNSUPPORTED("""COMPUTED_VALUE"""),47.46)</f>
        <v>47.46</v>
      </c>
      <c r="C1631" s="2">
        <f t="shared" ca="1" si="6"/>
        <v>1.302027748132336E-2</v>
      </c>
    </row>
    <row r="1632" spans="1:3">
      <c r="A1632" s="3">
        <f ca="1">IFERROR(__xludf.UNSUPPORTED("""COMPUTED_VALUE"""),45835.6666666666)</f>
        <v>45835.666666666599</v>
      </c>
      <c r="B1632" s="1">
        <f ca="1">IFERROR(__xludf.UNSUPPORTED("""COMPUTED_VALUE"""),47.12)</f>
        <v>47.12</v>
      </c>
      <c r="C1632" s="2">
        <f t="shared" ca="1" si="6"/>
        <v>-7.1639275179098908E-3</v>
      </c>
    </row>
    <row r="1633" spans="1:3">
      <c r="A1633" s="3">
        <f ca="1">IFERROR(__xludf.UNSUPPORTED("""COMPUTED_VALUE"""),45838.6666666666)</f>
        <v>45838.666666666599</v>
      </c>
      <c r="B1633" s="1">
        <f ca="1">IFERROR(__xludf.UNSUPPORTED("""COMPUTED_VALUE"""),47.32)</f>
        <v>47.32</v>
      </c>
      <c r="C1633" s="2">
        <f t="shared" ca="1" si="6"/>
        <v>4.2444821731749335E-3</v>
      </c>
    </row>
    <row r="1634" spans="1:3">
      <c r="A1634" s="3">
        <f ca="1">IFERROR(__xludf.UNSUPPORTED("""COMPUTED_VALUE"""),45839.6666666666)</f>
        <v>45839.666666666599</v>
      </c>
      <c r="B1634" s="1">
        <f ca="1">IFERROR(__xludf.UNSUPPORTED("""COMPUTED_VALUE"""),48.15)</f>
        <v>48.15</v>
      </c>
      <c r="C1634" s="2">
        <f t="shared" ca="1" si="6"/>
        <v>1.7540152155536736E-2</v>
      </c>
    </row>
    <row r="1635" spans="1:3">
      <c r="A1635" s="3">
        <f ca="1">IFERROR(__xludf.UNSUPPORTED("""COMPUTED_VALUE"""),45840.6666666666)</f>
        <v>45840.666666666599</v>
      </c>
      <c r="B1635" s="1">
        <f ca="1">IFERROR(__xludf.UNSUPPORTED("""COMPUTED_VALUE"""),48.71)</f>
        <v>48.71</v>
      </c>
      <c r="C1635" s="2">
        <f t="shared" ca="1" si="6"/>
        <v>1.163032191069579E-2</v>
      </c>
    </row>
    <row r="1636" spans="1:3">
      <c r="A1636" s="3">
        <f ca="1">IFERROR(__xludf.UNSUPPORTED("""COMPUTED_VALUE"""),45841.5416666666)</f>
        <v>45841.541666666599</v>
      </c>
      <c r="B1636" s="1">
        <f ca="1">IFERROR(__xludf.UNSUPPORTED("""COMPUTED_VALUE"""),48.93)</f>
        <v>48.93</v>
      </c>
      <c r="C1636" s="2">
        <f t="shared" ca="1" si="6"/>
        <v>4.516526380619972E-3</v>
      </c>
    </row>
    <row r="1637" spans="1:3">
      <c r="A1637" s="3">
        <f ca="1">IFERROR(__xludf.UNSUPPORTED("""COMPUTED_VALUE"""),45845.6666666666)</f>
        <v>45845.666666666599</v>
      </c>
      <c r="B1637" s="1">
        <f ca="1">IFERROR(__xludf.UNSUPPORTED("""COMPUTED_VALUE"""),48.66)</f>
        <v>48.66</v>
      </c>
      <c r="C1637" s="2">
        <f t="shared" ca="1" si="6"/>
        <v>-5.5180870631515045E-3</v>
      </c>
    </row>
    <row r="1638" spans="1:3">
      <c r="A1638" s="3">
        <f ca="1">IFERROR(__xludf.UNSUPPORTED("""COMPUTED_VALUE"""),45846.6666666666)</f>
        <v>45846.666666666599</v>
      </c>
      <c r="B1638" s="1">
        <f ca="1">IFERROR(__xludf.UNSUPPORTED("""COMPUTED_VALUE"""),47.15)</f>
        <v>47.15</v>
      </c>
      <c r="C1638" s="2">
        <f t="shared" ca="1" si="6"/>
        <v>-3.1031648170982289E-2</v>
      </c>
    </row>
    <row r="1639" spans="1:3">
      <c r="A1639" s="3">
        <f ca="1">IFERROR(__xludf.UNSUPPORTED("""COMPUTED_VALUE"""),45847.6666666666)</f>
        <v>45847.666666666599</v>
      </c>
      <c r="B1639" s="1">
        <f ca="1">IFERROR(__xludf.UNSUPPORTED("""COMPUTED_VALUE"""),46.84)</f>
        <v>46.84</v>
      </c>
      <c r="C1639" s="2">
        <f t="shared" ca="1" si="6"/>
        <v>-6.5747613997878089E-3</v>
      </c>
    </row>
    <row r="1640" spans="1:3">
      <c r="A1640" s="3">
        <f ca="1">IFERROR(__xludf.UNSUPPORTED("""COMPUTED_VALUE"""),45848.6666666666)</f>
        <v>45848.666666666599</v>
      </c>
      <c r="B1640" s="1">
        <f ca="1">IFERROR(__xludf.UNSUPPORTED("""COMPUTED_VALUE"""),46.97)</f>
        <v>46.97</v>
      </c>
      <c r="C1640" s="2">
        <f t="shared" ca="1" si="6"/>
        <v>2.7754056362082717E-3</v>
      </c>
    </row>
    <row r="1641" spans="1:3">
      <c r="A1641" s="3">
        <f ca="1">IFERROR(__xludf.UNSUPPORTED("""COMPUTED_VALUE"""),45849.6666666666)</f>
        <v>45849.666666666599</v>
      </c>
      <c r="B1641" s="1">
        <f ca="1">IFERROR(__xludf.UNSUPPORTED("""COMPUTED_VALUE"""),46.73)</f>
        <v>46.73</v>
      </c>
      <c r="C1641" s="2">
        <f t="shared" ca="1" si="6"/>
        <v>-5.1096444539067915E-3</v>
      </c>
    </row>
    <row r="1642" spans="1:3">
      <c r="A1642" s="3">
        <f ca="1">IFERROR(__xludf.UNSUPPORTED("""COMPUTED_VALUE"""),45852.6666666666)</f>
        <v>45852.666666666599</v>
      </c>
      <c r="B1642" s="1">
        <f ca="1">IFERROR(__xludf.UNSUPPORTED("""COMPUTED_VALUE"""),47.07)</f>
        <v>47.07</v>
      </c>
      <c r="C1642" s="2">
        <f t="shared" ca="1" si="6"/>
        <v>7.2758399315215796E-3</v>
      </c>
    </row>
    <row r="1643" spans="1:3">
      <c r="A1643" s="3">
        <f ca="1">IFERROR(__xludf.UNSUPPORTED("""COMPUTED_VALUE"""),45853.6666666666)</f>
        <v>45853.666666666599</v>
      </c>
      <c r="B1643" s="1">
        <f ca="1">IFERROR(__xludf.UNSUPPORTED("""COMPUTED_VALUE"""),46.15)</f>
        <v>46.15</v>
      </c>
      <c r="C1643" s="2">
        <f t="shared" ca="1" si="6"/>
        <v>-1.9545357977480384E-2</v>
      </c>
    </row>
    <row r="1644" spans="1:3">
      <c r="A1644" s="3">
        <f ca="1">IFERROR(__xludf.UNSUPPORTED("""COMPUTED_VALUE"""),45854.6666666666)</f>
        <v>45854.666666666599</v>
      </c>
      <c r="B1644" s="1">
        <f ca="1">IFERROR(__xludf.UNSUPPORTED("""COMPUTED_VALUE"""),46.03)</f>
        <v>46.03</v>
      </c>
      <c r="C1644" s="2">
        <f t="shared" ca="1" si="6"/>
        <v>-2.6002166847236717E-3</v>
      </c>
    </row>
    <row r="1645" spans="1:3">
      <c r="A1645" s="3">
        <f ca="1">IFERROR(__xludf.UNSUPPORTED("""COMPUTED_VALUE"""),45855.6666666666)</f>
        <v>45855.666666666599</v>
      </c>
      <c r="B1645" s="1">
        <f ca="1">IFERROR(__xludf.UNSUPPORTED("""COMPUTED_VALUE"""),47.02)</f>
        <v>47.02</v>
      </c>
      <c r="C1645" s="2">
        <f t="shared" ca="1" si="6"/>
        <v>2.1507712361503409E-2</v>
      </c>
    </row>
    <row r="1646" spans="1:3">
      <c r="A1646" s="3">
        <f ca="1">IFERROR(__xludf.UNSUPPORTED("""COMPUTED_VALUE"""),45856.6666666666)</f>
        <v>45856.666666666599</v>
      </c>
      <c r="B1646" s="1">
        <f ca="1">IFERROR(__xludf.UNSUPPORTED("""COMPUTED_VALUE"""),47.32)</f>
        <v>47.32</v>
      </c>
      <c r="C1646" s="2">
        <f t="shared" ca="1" si="6"/>
        <v>6.3802637175669318E-3</v>
      </c>
    </row>
    <row r="1647" spans="1:3">
      <c r="A1647" s="3">
        <f ca="1">IFERROR(__xludf.UNSUPPORTED("""COMPUTED_VALUE"""),45859.6666666666)</f>
        <v>45859.666666666599</v>
      </c>
      <c r="B1647" s="1">
        <f ca="1">IFERROR(__xludf.UNSUPPORTED("""COMPUTED_VALUE"""),47.48)</f>
        <v>47.48</v>
      </c>
      <c r="C1647" s="2">
        <f t="shared" ca="1" si="6"/>
        <v>3.3812341504648475E-3</v>
      </c>
    </row>
    <row r="1648" spans="1:3">
      <c r="A1648" s="3">
        <f ca="1">IFERROR(__xludf.UNSUPPORTED("""COMPUTED_VALUE"""),45860.6666666666)</f>
        <v>45860.666666666599</v>
      </c>
      <c r="B1648" s="1">
        <f ca="1">IFERROR(__xludf.UNSUPPORTED("""COMPUTED_VALUE"""),47.77)</f>
        <v>47.77</v>
      </c>
      <c r="C1648" s="2">
        <f t="shared" ca="1" si="6"/>
        <v>6.1078348778434346E-3</v>
      </c>
    </row>
    <row r="1649" spans="1:3">
      <c r="A1649" s="3">
        <f ca="1">IFERROR(__xludf.UNSUPPORTED("""COMPUTED_VALUE"""),45861.6666666666)</f>
        <v>45861.666666666599</v>
      </c>
      <c r="B1649" s="1">
        <f ca="1">IFERROR(__xludf.UNSUPPORTED("""COMPUTED_VALUE"""),48.14)</f>
        <v>48.14</v>
      </c>
      <c r="C1649" s="2">
        <f t="shared" ca="1" si="6"/>
        <v>7.7454469332216332E-3</v>
      </c>
    </row>
    <row r="1650" spans="1:3">
      <c r="A1650" s="3">
        <f ca="1">IFERROR(__xludf.UNSUPPORTED("""COMPUTED_VALUE"""),45862.6666666666)</f>
        <v>45862.666666666599</v>
      </c>
      <c r="B1650" s="1">
        <f ca="1">IFERROR(__xludf.UNSUPPORTED("""COMPUTED_VALUE"""),48.39)</f>
        <v>48.39</v>
      </c>
      <c r="C1650" s="2">
        <f t="shared" ca="1" si="6"/>
        <v>5.1931865392604902E-3</v>
      </c>
    </row>
    <row r="1651" spans="1:3">
      <c r="A1651" s="3">
        <f ca="1">IFERROR(__xludf.UNSUPPORTED("""COMPUTED_VALUE"""),45863.6666666666)</f>
        <v>45863.666666666599</v>
      </c>
      <c r="B1651" s="1">
        <f ca="1">IFERROR(__xludf.UNSUPPORTED("""COMPUTED_VALUE"""),48.45)</f>
        <v>48.45</v>
      </c>
      <c r="C1651" s="2">
        <f t="shared" ca="1" si="6"/>
        <v>1.2399256044637792E-3</v>
      </c>
    </row>
    <row r="1652" spans="1:3">
      <c r="A1652" s="3">
        <f ca="1">IFERROR(__xludf.UNSUPPORTED("""COMPUTED_VALUE"""),45866.6666666666)</f>
        <v>45866.666666666599</v>
      </c>
      <c r="B1652" s="1">
        <f ca="1">IFERROR(__xludf.UNSUPPORTED("""COMPUTED_VALUE"""),48.23)</f>
        <v>48.23</v>
      </c>
      <c r="C1652" s="2">
        <f t="shared" ca="1" si="6"/>
        <v>-4.540763673890732E-3</v>
      </c>
    </row>
    <row r="1653" spans="1:3">
      <c r="A1653" s="3">
        <f ca="1">IFERROR(__xludf.UNSUPPORTED("""COMPUTED_VALUE"""),45867.6666666666)</f>
        <v>45867.666666666599</v>
      </c>
      <c r="B1653" s="1">
        <f ca="1">IFERROR(__xludf.UNSUPPORTED("""COMPUTED_VALUE"""),47.95)</f>
        <v>47.95</v>
      </c>
      <c r="C1653" s="2">
        <f t="shared" ca="1" si="6"/>
        <v>-5.8055152394773804E-3</v>
      </c>
    </row>
    <row r="1654" spans="1:3">
      <c r="A1654" s="3">
        <f ca="1">IFERROR(__xludf.UNSUPPORTED("""COMPUTED_VALUE"""),45868.6666666666)</f>
        <v>45868.666666666599</v>
      </c>
      <c r="B1654" s="1">
        <f ca="1">IFERROR(__xludf.UNSUPPORTED("""COMPUTED_VALUE"""),47.96)</f>
        <v>47.96</v>
      </c>
      <c r="C1654" s="2">
        <f t="shared" ca="1" si="6"/>
        <v>2.0855057351403566E-4</v>
      </c>
    </row>
    <row r="1655" spans="1:3">
      <c r="A1655" s="3">
        <f ca="1">IFERROR(__xludf.UNSUPPORTED("""COMPUTED_VALUE"""),45869.6666666666)</f>
        <v>45869.666666666599</v>
      </c>
      <c r="B1655" s="1">
        <f ca="1">IFERROR(__xludf.UNSUPPORTED("""COMPUTED_VALUE"""),47.27)</f>
        <v>47.27</v>
      </c>
      <c r="C1655" s="2">
        <f t="shared" ca="1" si="6"/>
        <v>-1.4386989157631312E-2</v>
      </c>
    </row>
    <row r="1656" spans="1:3">
      <c r="A1656" s="3">
        <f ca="1">IFERROR(__xludf.UNSUPPORTED("""COMPUTED_VALUE"""),45870.6666666666)</f>
        <v>45870.666666666599</v>
      </c>
      <c r="B1656" s="1">
        <f ca="1">IFERROR(__xludf.UNSUPPORTED("""COMPUTED_VALUE"""),45.66)</f>
        <v>45.66</v>
      </c>
      <c r="C1656" s="2">
        <f t="shared" ca="1" si="6"/>
        <v>-3.405965728792059E-2</v>
      </c>
    </row>
    <row r="1657" spans="1:3">
      <c r="A1657" s="3">
        <f ca="1">IFERROR(__xludf.UNSUPPORTED("""COMPUTED_VALUE"""),45873.6666666666)</f>
        <v>45873.666666666599</v>
      </c>
      <c r="B1657" s="1">
        <f ca="1">IFERROR(__xludf.UNSUPPORTED("""COMPUTED_VALUE"""),45.85)</f>
        <v>45.85</v>
      </c>
      <c r="C1657" s="2">
        <f t="shared" ca="1" si="6"/>
        <v>4.1611914148051874E-3</v>
      </c>
    </row>
    <row r="1658" spans="1:3">
      <c r="A1658" s="3">
        <f ca="1">IFERROR(__xludf.UNSUPPORTED("""COMPUTED_VALUE"""),45874.6666666666)</f>
        <v>45874.666666666599</v>
      </c>
      <c r="B1658" s="1">
        <f ca="1">IFERROR(__xludf.UNSUPPORTED("""COMPUTED_VALUE"""),45.56)</f>
        <v>45.56</v>
      </c>
      <c r="C1658" s="2">
        <f t="shared" ca="1" si="6"/>
        <v>-6.3249727371864585E-3</v>
      </c>
    </row>
    <row r="1659" spans="1:3">
      <c r="A1659" s="3">
        <f ca="1">IFERROR(__xludf.UNSUPPORTED("""COMPUTED_VALUE"""),45875.6666666666)</f>
        <v>45875.666666666599</v>
      </c>
      <c r="B1659" s="1">
        <f ca="1">IFERROR(__xludf.UNSUPPORTED("""COMPUTED_VALUE"""),45.42)</f>
        <v>45.42</v>
      </c>
      <c r="C1659" s="2">
        <f t="shared" ca="1" si="6"/>
        <v>-3.0728709394205567E-3</v>
      </c>
    </row>
    <row r="1660" spans="1:3">
      <c r="A1660" s="3">
        <f ca="1">IFERROR(__xludf.UNSUPPORTED("""COMPUTED_VALUE"""),45876.6666666666)</f>
        <v>45876.666666666599</v>
      </c>
      <c r="B1660" s="1">
        <f ca="1">IFERROR(__xludf.UNSUPPORTED("""COMPUTED_VALUE"""),44.92)</f>
        <v>44.92</v>
      </c>
      <c r="C1660" s="2">
        <f t="shared" ca="1" si="6"/>
        <v>-1.1008366358432407E-2</v>
      </c>
    </row>
    <row r="1661" spans="1:3">
      <c r="A1661" s="3">
        <f ca="1">IFERROR(__xludf.UNSUPPORTED("""COMPUTED_VALUE"""),45877.6666666666)</f>
        <v>45877.666666666599</v>
      </c>
      <c r="B1661" s="1">
        <f ca="1">IFERROR(__xludf.UNSUPPORTED("""COMPUTED_VALUE"""),46.01)</f>
        <v>46.01</v>
      </c>
      <c r="C1661" s="2">
        <f t="shared" ca="1" si="6"/>
        <v>2.4265360641139721E-2</v>
      </c>
    </row>
    <row r="1662" spans="1:3">
      <c r="A1662" s="3">
        <f ca="1">IFERROR(__xludf.UNSUPPORTED("""COMPUTED_VALUE"""),45880.6666666666)</f>
        <v>45880.666666666599</v>
      </c>
      <c r="B1662" s="1">
        <f ca="1">IFERROR(__xludf.UNSUPPORTED("""COMPUTED_VALUE"""),46.16)</f>
        <v>46.16</v>
      </c>
      <c r="C1662" s="2">
        <f t="shared" ca="1" si="6"/>
        <v>3.2601608346011428E-3</v>
      </c>
    </row>
    <row r="1663" spans="1:3">
      <c r="A1663" s="3">
        <f ca="1">IFERROR(__xludf.UNSUPPORTED("""COMPUTED_VALUE"""),45881.6666666666)</f>
        <v>45881.666666666599</v>
      </c>
      <c r="B1663" s="1">
        <f ca="1">IFERROR(__xludf.UNSUPPORTED("""COMPUTED_VALUE"""),47.5)</f>
        <v>47.5</v>
      </c>
      <c r="C1663" s="2">
        <f t="shared" ca="1" si="6"/>
        <v>2.9029462738301638E-2</v>
      </c>
    </row>
    <row r="1664" spans="1:3">
      <c r="A1664" s="3">
        <f ca="1">IFERROR(__xludf.UNSUPPORTED("""COMPUTED_VALUE"""),45882.6666666666)</f>
        <v>45882.666666666599</v>
      </c>
      <c r="B1664" s="1">
        <f ca="1">IFERROR(__xludf.UNSUPPORTED("""COMPUTED_VALUE"""),47.24)</f>
        <v>47.24</v>
      </c>
      <c r="C1664" s="2">
        <f t="shared" ca="1" si="6"/>
        <v>-5.4736842105262739E-3</v>
      </c>
    </row>
    <row r="1665" spans="1:3">
      <c r="A1665" s="3">
        <f ca="1">IFERROR(__xludf.UNSUPPORTED("""COMPUTED_VALUE"""),45883.6666666666)</f>
        <v>45883.666666666599</v>
      </c>
      <c r="B1665" s="1">
        <f ca="1">IFERROR(__xludf.UNSUPPORTED("""COMPUTED_VALUE"""),47.71)</f>
        <v>47.71</v>
      </c>
      <c r="C1665" s="2">
        <f t="shared" ca="1" si="6"/>
        <v>9.9491955969517112E-3</v>
      </c>
    </row>
    <row r="1666" spans="1:3">
      <c r="A1666" s="3">
        <f ca="1">IFERROR(__xludf.UNSUPPORTED("""COMPUTED_VALUE"""),45884.6666666666)</f>
        <v>45884.666666666599</v>
      </c>
      <c r="B1666" s="1">
        <f ca="1">IFERROR(__xludf.UNSUPPORTED("""COMPUTED_VALUE"""),46.94)</f>
        <v>46.94</v>
      </c>
      <c r="C1666" s="2">
        <f t="shared" ca="1" si="6"/>
        <v>-1.6139174177321382E-2</v>
      </c>
    </row>
    <row r="1667" spans="1:3">
      <c r="A1667" s="3">
        <f ca="1">IFERROR(__xludf.UNSUPPORTED("""COMPUTED_VALUE"""),45887.6666666666)</f>
        <v>45887.666666666599</v>
      </c>
      <c r="B1667" s="1">
        <f ca="1">IFERROR(__xludf.UNSUPPORTED("""COMPUTED_VALUE"""),47.92)</f>
        <v>47.92</v>
      </c>
      <c r="C1667" s="2">
        <f t="shared" ca="1" si="6"/>
        <v>2.0877716233489645E-2</v>
      </c>
    </row>
    <row r="1668" spans="1:3">
      <c r="A1668" s="3">
        <f ca="1">IFERROR(__xludf.UNSUPPORTED("""COMPUTED_VALUE"""),45888.6666666666)</f>
        <v>45888.666666666599</v>
      </c>
      <c r="B1668" s="1">
        <f ca="1">IFERROR(__xludf.UNSUPPORTED("""COMPUTED_VALUE"""),48.08)</f>
        <v>48.08</v>
      </c>
      <c r="C1668" s="2">
        <f t="shared" ca="1" si="6"/>
        <v>3.3388981636059386E-3</v>
      </c>
    </row>
    <row r="1669" spans="1:3">
      <c r="A1669" s="3">
        <f ca="1">IFERROR(__xludf.UNSUPPORTED("""COMPUTED_VALUE"""),45889.6666666666)</f>
        <v>45889.666666666599</v>
      </c>
      <c r="B1669" s="1">
        <f ca="1">IFERROR(__xludf.UNSUPPORTED("""COMPUTED_VALUE"""),48.35)</f>
        <v>48.35</v>
      </c>
      <c r="C1669" s="2">
        <f t="shared" ca="1" si="6"/>
        <v>5.6156405990017292E-3</v>
      </c>
    </row>
    <row r="1670" spans="1:3">
      <c r="A1670" s="3">
        <f ca="1">IFERROR(__xludf.UNSUPPORTED("""COMPUTED_VALUE"""),45890.6666666666)</f>
        <v>45890.666666666599</v>
      </c>
      <c r="B1670" s="1">
        <f ca="1">IFERROR(__xludf.UNSUPPORTED("""COMPUTED_VALUE"""),48.26)</f>
        <v>48.26</v>
      </c>
      <c r="C1670" s="2">
        <f t="shared" ca="1" si="6"/>
        <v>-1.8614270941055514E-3</v>
      </c>
    </row>
    <row r="1671" spans="1:3">
      <c r="A1671" s="3">
        <f ca="1">IFERROR(__xludf.UNSUPPORTED("""COMPUTED_VALUE"""),45891.6666666666)</f>
        <v>45891.666666666599</v>
      </c>
      <c r="B1671" s="1">
        <f ca="1">IFERROR(__xludf.UNSUPPORTED("""COMPUTED_VALUE"""),49.48)</f>
        <v>49.48</v>
      </c>
      <c r="C1671" s="2">
        <f t="shared" ca="1" si="6"/>
        <v>2.5279734769995833E-2</v>
      </c>
    </row>
    <row r="1672" spans="1:3">
      <c r="A1672" s="3">
        <f ca="1">IFERROR(__xludf.UNSUPPORTED("""COMPUTED_VALUE"""),45894.6666666666)</f>
        <v>45894.666666666599</v>
      </c>
      <c r="B1672" s="1">
        <f ca="1">IFERROR(__xludf.UNSUPPORTED("""COMPUTED_VALUE"""),49.48)</f>
        <v>49.48</v>
      </c>
      <c r="C1672" s="2">
        <f t="shared" ca="1" si="6"/>
        <v>0</v>
      </c>
    </row>
    <row r="1673" spans="1:3">
      <c r="A1673" s="3">
        <f ca="1">IFERROR(__xludf.UNSUPPORTED("""COMPUTED_VALUE"""),45895.6666666666)</f>
        <v>45895.666666666599</v>
      </c>
      <c r="B1673" s="1">
        <f ca="1">IFERROR(__xludf.UNSUPPORTED("""COMPUTED_VALUE"""),50.25)</f>
        <v>50.25</v>
      </c>
      <c r="C1673" s="2">
        <f t="shared" ca="1" si="6"/>
        <v>1.5561843168957219E-2</v>
      </c>
    </row>
    <row r="1674" spans="1:3">
      <c r="A1674" s="3">
        <f ca="1">IFERROR(__xludf.UNSUPPORTED("""COMPUTED_VALUE"""),45896.6666666666)</f>
        <v>45896.666666666599</v>
      </c>
      <c r="B1674" s="1">
        <f ca="1">IFERROR(__xludf.UNSUPPORTED("""COMPUTED_VALUE"""),50.38)</f>
        <v>50.38</v>
      </c>
      <c r="C1674" s="2">
        <f t="shared" ca="1" si="6"/>
        <v>2.5870646766169665E-3</v>
      </c>
    </row>
    <row r="1675" spans="1:3">
      <c r="A1675" s="3">
        <f ca="1">IFERROR(__xludf.UNSUPPORTED("""COMPUTED_VALUE"""),45897.6666666666)</f>
        <v>45897.666666666599</v>
      </c>
      <c r="B1675" s="1">
        <f ca="1">IFERROR(__xludf.UNSUPPORTED("""COMPUTED_VALUE"""),50.49)</f>
        <v>50.49</v>
      </c>
      <c r="C1675" s="2">
        <f t="shared" ca="1" si="6"/>
        <v>2.1834061135371065E-3</v>
      </c>
    </row>
    <row r="1676" spans="1:3">
      <c r="A1676" s="3">
        <f ca="1">IFERROR(__xludf.UNSUPPORTED("""COMPUTED_VALUE"""),45898.6666666666)</f>
        <v>45898.666666666599</v>
      </c>
      <c r="B1676" s="1">
        <f ca="1">IFERROR(__xludf.UNSUPPORTED("""COMPUTED_VALUE"""),50.74)</f>
        <v>50.74</v>
      </c>
      <c r="C1676" s="2">
        <f t="shared" ca="1" si="6"/>
        <v>4.9514755397108336E-3</v>
      </c>
    </row>
    <row r="1677" spans="1:3">
      <c r="A1677" s="3">
        <f ca="1">IFERROR(__xludf.UNSUPPORTED("""COMPUTED_VALUE"""),45902.6666666666)</f>
        <v>45902.666666666599</v>
      </c>
      <c r="B1677" s="1">
        <f ca="1">IFERROR(__xludf.UNSUPPORTED("""COMPUTED_VALUE"""),50.42)</f>
        <v>50.42</v>
      </c>
      <c r="C1677" s="2">
        <f t="shared" ca="1" si="6"/>
        <v>-6.3066614111154957E-3</v>
      </c>
    </row>
    <row r="1678" spans="1:3">
      <c r="A1678" s="3">
        <f ca="1">IFERROR(__xludf.UNSUPPORTED("""COMPUTED_VALUE"""),45903.6666666666)</f>
        <v>45903.666666666599</v>
      </c>
      <c r="B1678" s="1">
        <f ca="1">IFERROR(__xludf.UNSUPPORTED("""COMPUTED_VALUE"""),50.06)</f>
        <v>50.06</v>
      </c>
      <c r="C1678" s="2">
        <f t="shared" ca="1" si="6"/>
        <v>-7.1400238000793219E-3</v>
      </c>
    </row>
    <row r="1679" spans="1:3">
      <c r="A1679" s="3">
        <f ca="1">IFERROR(__xludf.UNSUPPORTED("""COMPUTED_VALUE"""),45904.6666666666)</f>
        <v>45904.666666666599</v>
      </c>
      <c r="B1679" s="1">
        <f ca="1">IFERROR(__xludf.UNSUPPORTED("""COMPUTED_VALUE"""),50.62)</f>
        <v>50.62</v>
      </c>
      <c r="C1679" s="2">
        <f t="shared" ca="1" si="6"/>
        <v>1.1186576108669499E-2</v>
      </c>
    </row>
    <row r="1680" spans="1:3">
      <c r="A1680" s="3">
        <f ca="1">IFERROR(__xludf.UNSUPPORTED("""COMPUTED_VALUE"""),45905.6666666666)</f>
        <v>45905.666666666599</v>
      </c>
      <c r="B1680" s="1">
        <f ca="1">IFERROR(__xludf.UNSUPPORTED("""COMPUTED_VALUE"""),49.77)</f>
        <v>49.77</v>
      </c>
      <c r="C1680" s="2">
        <f t="shared" ca="1" si="6"/>
        <v>-1.6791781904385506E-2</v>
      </c>
    </row>
    <row r="1681" spans="1:3">
      <c r="A1681" s="3">
        <f ca="1">IFERROR(__xludf.UNSUPPORTED("""COMPUTED_VALUE"""),45908.6666666666)</f>
        <v>45908.666666666599</v>
      </c>
      <c r="B1681" s="1">
        <f ca="1">IFERROR(__xludf.UNSUPPORTED("""COMPUTED_VALUE"""),49.46)</f>
        <v>49.46</v>
      </c>
      <c r="C1681" s="2">
        <f t="shared" ca="1" si="6"/>
        <v>-6.2286517982720968E-3</v>
      </c>
    </row>
    <row r="1682" spans="1:3">
      <c r="A1682" s="3">
        <f ca="1">IFERROR(__xludf.UNSUPPORTED("""COMPUTED_VALUE"""),45909.6666666666)</f>
        <v>45909.666666666599</v>
      </c>
      <c r="B1682" s="1">
        <f ca="1">IFERROR(__xludf.UNSUPPORTED("""COMPUTED_VALUE"""),50.29)</f>
        <v>50.29</v>
      </c>
      <c r="C1682" s="2">
        <f t="shared" ca="1" si="6"/>
        <v>1.6781237363526047E-2</v>
      </c>
    </row>
    <row r="1683" spans="1:3">
      <c r="A1683" s="3">
        <f ca="1">IFERROR(__xludf.UNSUPPORTED("""COMPUTED_VALUE"""),45910.6666666666)</f>
        <v>45910.666666666599</v>
      </c>
      <c r="B1683" s="1">
        <f ca="1">IFERROR(__xludf.UNSUPPORTED("""COMPUTED_VALUE"""),50.13)</f>
        <v>50.13</v>
      </c>
      <c r="C1683" s="2">
        <f t="shared" ca="1" si="6"/>
        <v>-3.1815470272419286E-3</v>
      </c>
    </row>
    <row r="1684" spans="1:3">
      <c r="A1684" s="3">
        <f ca="1">IFERROR(__xludf.UNSUPPORTED("""COMPUTED_VALUE"""),45911.6666666666)</f>
        <v>45911.666666666599</v>
      </c>
      <c r="B1684" s="1">
        <f ca="1">IFERROR(__xludf.UNSUPPORTED("""COMPUTED_VALUE"""),50.75)</f>
        <v>50.75</v>
      </c>
      <c r="C1684" s="2">
        <f t="shared" ca="1" si="6"/>
        <v>1.2367843606622729E-2</v>
      </c>
    </row>
    <row r="1685" spans="1:3">
      <c r="A1685" s="3">
        <f ca="1">IFERROR(__xludf.UNSUPPORTED("""COMPUTED_VALUE"""),45912.6666666666)</f>
        <v>45912.666666666599</v>
      </c>
      <c r="B1685" s="1">
        <f ca="1">IFERROR(__xludf.UNSUPPORTED("""COMPUTED_VALUE"""),50.58)</f>
        <v>50.58</v>
      </c>
      <c r="C1685" s="2">
        <f t="shared" ca="1" si="6"/>
        <v>-3.3497536945813144E-3</v>
      </c>
    </row>
    <row r="1686" spans="1:3">
      <c r="A1686" s="3">
        <f ca="1">IFERROR(__xludf.UNSUPPORTED("""COMPUTED_VALUE"""),45915.6666666666)</f>
        <v>45915.666666666599</v>
      </c>
      <c r="B1686" s="1">
        <f ca="1">IFERROR(__xludf.UNSUPPORTED("""COMPUTED_VALUE"""),50.59)</f>
        <v>50.59</v>
      </c>
      <c r="C1686" s="2">
        <f t="shared" ca="1" si="6"/>
        <v>1.9770660340065474E-4</v>
      </c>
    </row>
    <row r="1687" spans="1:3">
      <c r="A1687" s="3">
        <f ca="1">IFERROR(__xludf.UNSUPPORTED("""COMPUTED_VALUE"""),45916.6666666666)</f>
        <v>45916.666666666599</v>
      </c>
      <c r="B1687" s="1">
        <f ca="1">IFERROR(__xludf.UNSUPPORTED("""COMPUTED_VALUE"""),50.66)</f>
        <v>50.66</v>
      </c>
      <c r="C1687" s="2">
        <f t="shared" ca="1" si="6"/>
        <v>1.383672662581403E-3</v>
      </c>
    </row>
    <row r="1688" spans="1:3">
      <c r="A1688" s="3">
        <f ca="1">IFERROR(__xludf.UNSUPPORTED("""COMPUTED_VALUE"""),45917.6666666666)</f>
        <v>45917.666666666599</v>
      </c>
      <c r="B1688" s="1">
        <f ca="1">IFERROR(__xludf.UNSUPPORTED("""COMPUTED_VALUE"""),51.4)</f>
        <v>51.4</v>
      </c>
      <c r="C1688" s="2">
        <f t="shared" ca="1" si="6"/>
        <v>1.4607185155941612E-2</v>
      </c>
    </row>
    <row r="1689" spans="1:3">
      <c r="A1689" s="3">
        <f ca="1">IFERROR(__xludf.UNSUPPORTED("""COMPUTED_VALUE"""),45918.6666666666)</f>
        <v>45918.666666666599</v>
      </c>
      <c r="B1689" s="1">
        <f ca="1">IFERROR(__xludf.UNSUPPORTED("""COMPUTED_VALUE"""),52.13)</f>
        <v>52.13</v>
      </c>
      <c r="C1689" s="2">
        <f t="shared" ca="1" si="6"/>
        <v>1.4202334630350272E-2</v>
      </c>
    </row>
    <row r="1690" spans="1:3">
      <c r="A1690" s="3">
        <f ca="1">IFERROR(__xludf.UNSUPPORTED("""COMPUTED_VALUE"""),45919.6666666666)</f>
        <v>45919.666666666599</v>
      </c>
      <c r="B1690" s="1">
        <f ca="1">IFERROR(__xludf.UNSUPPORTED("""COMPUTED_VALUE"""),52.25)</f>
        <v>52.25</v>
      </c>
      <c r="C1690" s="2">
        <f t="shared" ca="1" si="6"/>
        <v>2.3019374640321781E-3</v>
      </c>
    </row>
    <row r="1691" spans="1:3">
      <c r="A1691" s="3">
        <f ca="1">IFERROR(__xludf.UNSUPPORTED("""COMPUTED_VALUE"""),45922.6666666666)</f>
        <v>45922.666666666599</v>
      </c>
      <c r="B1691" s="1">
        <f ca="1">IFERROR(__xludf.UNSUPPORTED("""COMPUTED_VALUE"""),51.92)</f>
        <v>51.92</v>
      </c>
      <c r="C1691" s="2">
        <f t="shared" ca="1" si="6"/>
        <v>-6.3157894736841783E-3</v>
      </c>
    </row>
    <row r="1692" spans="1:3">
      <c r="A1692" s="3">
        <f ca="1">IFERROR(__xludf.UNSUPPORTED("""COMPUTED_VALUE"""),45923.6666666666)</f>
        <v>45923.666666666599</v>
      </c>
      <c r="B1692" s="1">
        <f ca="1">IFERROR(__xludf.UNSUPPORTED("""COMPUTED_VALUE"""),51.7)</f>
        <v>51.7</v>
      </c>
      <c r="C1692" s="2">
        <f t="shared" ca="1" si="6"/>
        <v>-4.2372881355931986E-3</v>
      </c>
    </row>
    <row r="1693" spans="1:3">
      <c r="A1693" s="3">
        <f ca="1">IFERROR(__xludf.UNSUPPORTED("""COMPUTED_VALUE"""),45924.6666666666)</f>
        <v>45924.666666666599</v>
      </c>
      <c r="B1693" s="1">
        <f ca="1">IFERROR(__xludf.UNSUPPORTED("""COMPUTED_VALUE"""),51.7)</f>
        <v>51.7</v>
      </c>
      <c r="C1693" s="2">
        <f t="shared" ca="1" si="6"/>
        <v>0</v>
      </c>
    </row>
    <row r="1694" spans="1:3">
      <c r="A1694" s="3">
        <f ca="1">IFERROR(__xludf.UNSUPPORTED("""COMPUTED_VALUE"""),45925.6666666666)</f>
        <v>45925.666666666599</v>
      </c>
      <c r="B1694" s="1">
        <f ca="1">IFERROR(__xludf.UNSUPPORTED("""COMPUTED_VALUE"""),51.85)</f>
        <v>51.85</v>
      </c>
      <c r="C1694" s="2">
        <f t="shared" ca="1" si="6"/>
        <v>2.9013539651837248E-3</v>
      </c>
    </row>
    <row r="1695" spans="1:3">
      <c r="A1695" s="3">
        <f ca="1">IFERROR(__xludf.UNSUPPORTED("""COMPUTED_VALUE"""),45926.6666666666)</f>
        <v>45926.666666666599</v>
      </c>
      <c r="B1695" s="1">
        <f ca="1">IFERROR(__xludf.UNSUPPORTED("""COMPUTED_VALUE"""),52.21)</f>
        <v>52.21</v>
      </c>
      <c r="C1695" s="2">
        <f t="shared" ca="1" si="6"/>
        <v>6.9431051108968063E-3</v>
      </c>
    </row>
    <row r="1696" spans="1:3">
      <c r="A1696" s="3">
        <f ca="1">IFERROR(__xludf.UNSUPPORTED("""COMPUTED_VALUE"""),45929.6666666666)</f>
        <v>45929.666666666599</v>
      </c>
      <c r="B1696" s="1">
        <f ca="1">IFERROR(__xludf.UNSUPPORTED("""COMPUTED_VALUE"""),52.42)</f>
        <v>52.42</v>
      </c>
      <c r="C1696" s="2">
        <f t="shared" ca="1" si="6"/>
        <v>4.0222179659069306E-3</v>
      </c>
    </row>
    <row r="1697" spans="1:3">
      <c r="A1697" s="3">
        <f ca="1">IFERROR(__xludf.UNSUPPORTED("""COMPUTED_VALUE"""),45930.6666666666)</f>
        <v>45930.666666666599</v>
      </c>
      <c r="B1697" s="1">
        <f ca="1">IFERROR(__xludf.UNSUPPORTED("""COMPUTED_VALUE"""),51.59)</f>
        <v>51.59</v>
      </c>
      <c r="C1697" s="2">
        <f t="shared" ca="1" si="6"/>
        <v>-1.5833651278138083E-2</v>
      </c>
    </row>
    <row r="1698" spans="1:3">
      <c r="A1698" s="3">
        <f ca="1">IFERROR(__xludf.UNSUPPORTED("""COMPUTED_VALUE"""),45931.6666666666)</f>
        <v>45931.666666666599</v>
      </c>
      <c r="B1698" s="1">
        <f ca="1">IFERROR(__xludf.UNSUPPORTED("""COMPUTED_VALUE"""),50.68)</f>
        <v>50.68</v>
      </c>
      <c r="C1698" s="2">
        <f t="shared" ca="1" si="6"/>
        <v>-1.7639077340569947E-2</v>
      </c>
    </row>
    <row r="1699" spans="1:3">
      <c r="A1699" s="3">
        <f ca="1">IFERROR(__xludf.UNSUPPORTED("""COMPUTED_VALUE"""),45932.6666666666)</f>
        <v>45932.666666666599</v>
      </c>
      <c r="B1699" s="1">
        <f ca="1">IFERROR(__xludf.UNSUPPORTED("""COMPUTED_VALUE"""),50.48)</f>
        <v>50.48</v>
      </c>
      <c r="C1699" s="2">
        <f t="shared" ca="1" si="6"/>
        <v>-3.9463299131807976E-3</v>
      </c>
    </row>
    <row r="1700" spans="1:3">
      <c r="A1700" s="3">
        <f ca="1">IFERROR(__xludf.UNSUPPORTED("""COMPUTED_VALUE"""),45933.6666666666)</f>
        <v>45933.666666666599</v>
      </c>
      <c r="B1700" s="1">
        <f ca="1">IFERROR(__xludf.UNSUPPORTED("""COMPUTED_VALUE"""),50.64)</f>
        <v>50.64</v>
      </c>
      <c r="C1700" s="2">
        <f t="shared" ca="1" si="6"/>
        <v>3.1695721077655251E-3</v>
      </c>
    </row>
    <row r="1701" spans="1:3">
      <c r="A1701" s="3">
        <f ca="1">IFERROR(__xludf.UNSUPPORTED("""COMPUTED_VALUE"""),45936.6666666666)</f>
        <v>45936.666666666599</v>
      </c>
      <c r="B1701" s="1">
        <f ca="1">IFERROR(__xludf.UNSUPPORTED("""COMPUTED_VALUE"""),50.39)</f>
        <v>50.39</v>
      </c>
      <c r="C1701" s="2">
        <f t="shared" ca="1" si="6"/>
        <v>-4.9368088467614535E-3</v>
      </c>
    </row>
    <row r="1702" spans="1:3">
      <c r="A1702" s="3">
        <f ca="1">IFERROR(__xludf.UNSUPPORTED("""COMPUTED_VALUE"""),45937.6666666666)</f>
        <v>45937.666666666599</v>
      </c>
      <c r="B1702" s="1">
        <f ca="1">IFERROR(__xludf.UNSUPPORTED("""COMPUTED_VALUE"""),50.29)</f>
        <v>50.29</v>
      </c>
      <c r="C1702" s="2">
        <f t="shared" ca="1" si="6"/>
        <v>-1.9845207382417429E-3</v>
      </c>
    </row>
    <row r="1703" spans="1:3">
      <c r="A1703" s="3">
        <f ca="1">IFERROR(__xludf.UNSUPPORTED("""COMPUTED_VALUE"""),45938.6666666666)</f>
        <v>45938.666666666599</v>
      </c>
      <c r="B1703" s="1">
        <f ca="1">IFERROR(__xludf.UNSUPPORTED("""COMPUTED_VALUE"""),49.84)</f>
        <v>49.84</v>
      </c>
      <c r="C1703" s="2">
        <f t="shared" ca="1" si="6"/>
        <v>-8.9481010141180296E-3</v>
      </c>
    </row>
    <row r="1704" spans="1:3">
      <c r="A1704" s="3">
        <f ca="1">IFERROR(__xludf.UNSUPPORTED("""COMPUTED_VALUE"""),45939.6666666666)</f>
        <v>45939.666666666599</v>
      </c>
      <c r="B1704" s="1">
        <f ca="1">IFERROR(__xludf.UNSUPPORTED("""COMPUTED_VALUE"""),49.79)</f>
        <v>49.79</v>
      </c>
      <c r="C1704" s="2">
        <f t="shared" ca="1" si="6"/>
        <v>-1.0032102728732798E-3</v>
      </c>
    </row>
    <row r="1705" spans="1:3">
      <c r="A1705" s="3">
        <f ca="1">IFERROR(__xludf.UNSUPPORTED("""COMPUTED_VALUE"""),45940.6666666666)</f>
        <v>45940.666666666599</v>
      </c>
      <c r="B1705" s="1">
        <f ca="1">IFERROR(__xludf.UNSUPPORTED("""COMPUTED_VALUE"""),48.65)</f>
        <v>48.65</v>
      </c>
      <c r="C1705" s="2">
        <f t="shared" ca="1" si="6"/>
        <v>-2.2896163888331003E-2</v>
      </c>
    </row>
    <row r="1706" spans="1:3">
      <c r="A1706" s="3">
        <f ca="1">IFERROR(__xludf.UNSUPPORTED("""COMPUTED_VALUE"""),45943.6666666666)</f>
        <v>45943.666666666599</v>
      </c>
      <c r="B1706" s="1">
        <f ca="1">IFERROR(__xludf.UNSUPPORTED("""COMPUTED_VALUE"""),48.86)</f>
        <v>48.86</v>
      </c>
      <c r="C1706" s="2">
        <f t="shared" ca="1" si="6"/>
        <v>4.3165467625899453E-3</v>
      </c>
    </row>
    <row r="1707" spans="1:3">
      <c r="A1707" s="3">
        <f ca="1">IFERROR(__xludf.UNSUPPORTED("""COMPUTED_VALUE"""),45944.6666666666)</f>
        <v>45944.666666666599</v>
      </c>
      <c r="B1707" s="1">
        <f ca="1">IFERROR(__xludf.UNSUPPORTED("""COMPUTED_VALUE"""),50.09)</f>
        <v>50.09</v>
      </c>
      <c r="C1707" s="2">
        <f t="shared" ca="1" si="6"/>
        <v>2.5173966434711502E-2</v>
      </c>
    </row>
    <row r="1708" spans="1:3">
      <c r="A1708" s="3">
        <f ca="1">IFERROR(__xludf.UNSUPPORTED("""COMPUTED_VALUE"""),45945.6666666666)</f>
        <v>45945.666666666599</v>
      </c>
      <c r="B1708" s="1">
        <f ca="1">IFERROR(__xludf.UNSUPPORTED("""COMPUTED_VALUE"""),52.28)</f>
        <v>52.28</v>
      </c>
      <c r="C1708" s="2">
        <f t="shared" ca="1" si="6"/>
        <v>4.372130165701732E-2</v>
      </c>
    </row>
    <row r="1709" spans="1:3">
      <c r="A1709" s="3">
        <f ca="1">IFERROR(__xludf.UNSUPPORTED("""COMPUTED_VALUE"""),45946.6666666666)</f>
        <v>45946.666666666599</v>
      </c>
      <c r="B1709" s="1">
        <f ca="1">IFERROR(__xludf.UNSUPPORTED("""COMPUTED_VALUE"""),50.44)</f>
        <v>50.44</v>
      </c>
      <c r="C1709" s="2">
        <f t="shared" ca="1" si="6"/>
        <v>-3.519510328997711E-2</v>
      </c>
    </row>
    <row r="1710" spans="1:3">
      <c r="A1710" s="3">
        <f ca="1">IFERROR(__xludf.UNSUPPORTED("""COMPUTED_VALUE"""),45947.6666666666)</f>
        <v>45947.666666666599</v>
      </c>
      <c r="B1710" s="1">
        <f ca="1">IFERROR(__xludf.UNSUPPORTED("""COMPUTED_VALUE"""),51.28)</f>
        <v>51.28</v>
      </c>
      <c r="C1710" s="2">
        <f t="shared" ca="1" si="6"/>
        <v>1.6653449643140434E-2</v>
      </c>
    </row>
    <row r="1711" spans="1:3">
      <c r="A1711" s="3">
        <f ca="1">IFERROR(__xludf.UNSUPPORTED("""COMPUTED_VALUE"""),45950.6666666666)</f>
        <v>45950.666666666599</v>
      </c>
      <c r="B1711" s="1">
        <f ca="1">IFERROR(__xludf.UNSUPPORTED("""COMPUTED_VALUE"""),52.04)</f>
        <v>52.04</v>
      </c>
      <c r="C1711" s="2">
        <f t="shared" ca="1" si="6"/>
        <v>1.4820592823712909E-2</v>
      </c>
    </row>
    <row r="1712" spans="1:3">
      <c r="A1712" s="3">
        <f ca="1">IFERROR(__xludf.UNSUPPORTED("""COMPUTED_VALUE"""),45951.6666666666)</f>
        <v>45951.666666666599</v>
      </c>
      <c r="B1712" s="1">
        <f ca="1">IFERROR(__xludf.UNSUPPORTED("""COMPUTED_VALUE"""),51.52)</f>
        <v>51.52</v>
      </c>
      <c r="C1712" s="2">
        <f t="shared" ca="1" si="6"/>
        <v>-9.9923136049192163E-3</v>
      </c>
    </row>
    <row r="1713" spans="1:3">
      <c r="A1713" s="3">
        <f ca="1">IFERROR(__xludf.UNSUPPORTED("""COMPUTED_VALUE"""),45952.6666666666)</f>
        <v>45952.666666666599</v>
      </c>
      <c r="B1713" s="1">
        <f ca="1">IFERROR(__xludf.UNSUPPORTED("""COMPUTED_VALUE"""),51.1)</f>
        <v>51.1</v>
      </c>
      <c r="C1713" s="2">
        <f t="shared" ca="1" si="6"/>
        <v>-8.152173913043511E-3</v>
      </c>
    </row>
    <row r="1714" spans="1:3">
      <c r="A1714" s="3">
        <f ca="1">IFERROR(__xludf.UNSUPPORTED("""COMPUTED_VALUE"""),45953.6666666666)</f>
        <v>45953.666666666599</v>
      </c>
      <c r="B1714" s="1">
        <f ca="1">IFERROR(__xludf.UNSUPPORTED("""COMPUTED_VALUE"""),51.76)</f>
        <v>51.76</v>
      </c>
      <c r="C1714" s="2">
        <f t="shared" ca="1" si="6"/>
        <v>1.2915851272015588E-2</v>
      </c>
    </row>
    <row r="1715" spans="1:3">
      <c r="A1715" s="3">
        <f ca="1">IFERROR(__xludf.UNSUPPORTED("""COMPUTED_VALUE"""),45954.6666666666)</f>
        <v>45954.666666666599</v>
      </c>
      <c r="B1715" s="1">
        <f ca="1">IFERROR(__xludf.UNSUPPORTED("""COMPUTED_VALUE"""),52.57)</f>
        <v>52.57</v>
      </c>
      <c r="C1715" s="2">
        <f t="shared" ca="1" si="6"/>
        <v>1.564914992272029E-2</v>
      </c>
    </row>
    <row r="1716" spans="1:3">
      <c r="A1716" s="3">
        <f ca="1">IFERROR(__xludf.UNSUPPORTED("""COMPUTED_VALUE"""),45957.6666666666)</f>
        <v>45957.666666666599</v>
      </c>
      <c r="B1716" s="1">
        <f ca="1">IFERROR(__xludf.UNSUPPORTED("""COMPUTED_VALUE"""),53.02)</f>
        <v>53.02</v>
      </c>
      <c r="C1716" s="2">
        <f t="shared" ca="1" si="6"/>
        <v>8.5600152178048859E-3</v>
      </c>
    </row>
    <row r="1717" spans="1:3">
      <c r="A1717" s="3">
        <f ca="1">IFERROR(__xludf.UNSUPPORTED("""COMPUTED_VALUE"""),45958.6666666666)</f>
        <v>45958.666666666599</v>
      </c>
      <c r="B1717" s="1">
        <f ca="1">IFERROR(__xludf.UNSUPPORTED("""COMPUTED_VALUE"""),52.87)</f>
        <v>52.87</v>
      </c>
      <c r="C1717" s="2">
        <f t="shared" ca="1" si="6"/>
        <v>-2.8291210863826042E-3</v>
      </c>
    </row>
    <row r="1718" spans="1:3">
      <c r="A1718" s="3">
        <f ca="1">IFERROR(__xludf.UNSUPPORTED("""COMPUTED_VALUE"""),45959.6666666666)</f>
        <v>45959.666666666599</v>
      </c>
      <c r="B1718" s="1">
        <f ca="1">IFERROR(__xludf.UNSUPPORTED("""COMPUTED_VALUE"""),52.58)</f>
        <v>52.58</v>
      </c>
      <c r="C1718" s="2">
        <f t="shared" ca="1" si="6"/>
        <v>-5.4851522602610021E-3</v>
      </c>
    </row>
    <row r="1719" spans="1:3">
      <c r="A1719" s="3">
        <f ca="1">IFERROR(__xludf.UNSUPPORTED("""COMPUTED_VALUE"""),45960.6666666666)</f>
        <v>45960.666666666599</v>
      </c>
      <c r="B1719" s="1">
        <f ca="1">IFERROR(__xludf.UNSUPPORTED("""COMPUTED_VALUE"""),53.03)</f>
        <v>53.03</v>
      </c>
      <c r="C1719" s="2">
        <f t="shared" ca="1" si="6"/>
        <v>8.5583872194751401E-3</v>
      </c>
    </row>
    <row r="1720" spans="1:3">
      <c r="A1720" s="3">
        <f ca="1">IFERROR(__xludf.UNSUPPORTED("""COMPUTED_VALUE"""),45961.6666666666)</f>
        <v>45961.666666666599</v>
      </c>
      <c r="B1720" s="1">
        <f ca="1">IFERROR(__xludf.UNSUPPORTED("""COMPUTED_VALUE"""),53.45)</f>
        <v>53.45</v>
      </c>
      <c r="C1720" s="2">
        <f t="shared" ca="1" si="6"/>
        <v>7.9200452574015034E-3</v>
      </c>
    </row>
    <row r="1721" spans="1:3">
      <c r="A1721" s="3">
        <f ca="1">IFERROR(__xludf.UNSUPPORTED("""COMPUTED_VALUE"""),45964.6666666666)</f>
        <v>45964.666666666599</v>
      </c>
      <c r="B1721" s="1">
        <f ca="1">IFERROR(__xludf.UNSUPPORTED("""COMPUTED_VALUE"""),53.56)</f>
        <v>53.56</v>
      </c>
      <c r="C1721" s="2">
        <f t="shared" ca="1" si="6"/>
        <v>2.0579981290925991E-3</v>
      </c>
    </row>
    <row r="1722" spans="1:3">
      <c r="A1722" s="3">
        <f ca="1">IFERROR(__xludf.UNSUPPORTED("""COMPUTED_VALUE"""),45965.6666666666)</f>
        <v>45965.666666666599</v>
      </c>
      <c r="B1722" s="1">
        <f ca="1">IFERROR(__xludf.UNSUPPORTED("""COMPUTED_VALUE"""),53.54)</f>
        <v>53.54</v>
      </c>
      <c r="C1722" s="2">
        <f t="shared" ca="1" si="6"/>
        <v>-3.7341299477227643E-4</v>
      </c>
    </row>
    <row r="1723" spans="1:3">
      <c r="A1723" s="3">
        <f ca="1">IFERROR(__xludf.UNSUPPORTED("""COMPUTED_VALUE"""),45966.6666666666)</f>
        <v>45966.666666666599</v>
      </c>
      <c r="B1723" s="1">
        <f ca="1">IFERROR(__xludf.UNSUPPORTED("""COMPUTED_VALUE"""),52.45)</f>
        <v>52.45</v>
      </c>
      <c r="C1723" s="2">
        <f t="shared" ca="1" si="6"/>
        <v>-2.0358610384758991E-2</v>
      </c>
    </row>
    <row r="1724" spans="1:3">
      <c r="A1724" s="3">
        <f ca="1">IFERROR(__xludf.UNSUPPORTED("""COMPUTED_VALUE"""),45967.6666666666)</f>
        <v>45967.666666666599</v>
      </c>
      <c r="B1724" s="1">
        <f ca="1">IFERROR(__xludf.UNSUPPORTED("""COMPUTED_VALUE"""),53.29)</f>
        <v>53.29</v>
      </c>
      <c r="C1724" s="2">
        <f t="shared" ca="1" si="6"/>
        <v>1.6015252621544258E-2</v>
      </c>
    </row>
    <row r="1725" spans="1:3">
      <c r="A1725" s="3">
        <f ca="1">IFERROR(__xludf.UNSUPPORTED("""COMPUTED_VALUE"""),45968.6666666666)</f>
        <v>45968.666666666599</v>
      </c>
      <c r="B1725" s="1">
        <f ca="1">IFERROR(__xludf.UNSUPPORTED("""COMPUTED_VALUE"""),53.2)</f>
        <v>53.2</v>
      </c>
      <c r="C1725" s="2">
        <f t="shared" ca="1" si="6"/>
        <v>-1.6888722086694746E-3</v>
      </c>
    </row>
    <row r="1726" spans="1:3">
      <c r="A1726" s="3">
        <f ca="1">IFERROR(__xludf.UNSUPPORTED("""COMPUTED_VALUE"""),45971.6666666666)</f>
        <v>45971.666666666599</v>
      </c>
      <c r="B1726" s="1">
        <f ca="1">IFERROR(__xludf.UNSUPPORTED("""COMPUTED_VALUE"""),53.42)</f>
        <v>53.42</v>
      </c>
      <c r="C1726" s="2">
        <f t="shared" ca="1" si="6"/>
        <v>4.1353383458646404E-3</v>
      </c>
    </row>
    <row r="1727" spans="1:3">
      <c r="A1727" s="3">
        <f ca="1">IFERROR(__xludf.UNSUPPORTED("""COMPUTED_VALUE"""),45972.6666666666)</f>
        <v>45972.666666666599</v>
      </c>
      <c r="B1727" s="1">
        <f ca="1">IFERROR(__xludf.UNSUPPORTED("""COMPUTED_VALUE"""),53.63)</f>
        <v>53.63</v>
      </c>
      <c r="C1727" s="2">
        <f t="shared" ca="1" si="6"/>
        <v>3.9311119430924905E-3</v>
      </c>
    </row>
    <row r="1728" spans="1:3">
      <c r="A1728" s="3">
        <f ca="1">IFERROR(__xludf.UNSUPPORTED("""COMPUTED_VALUE"""),45973.6666666666)</f>
        <v>45973.666666666599</v>
      </c>
      <c r="B1728" s="1">
        <f ca="1">IFERROR(__xludf.UNSUPPORTED("""COMPUTED_VALUE"""),54.11)</f>
        <v>54.11</v>
      </c>
      <c r="C1728" s="2">
        <f t="shared" ca="1" si="6"/>
        <v>8.9502144322207138E-3</v>
      </c>
    </row>
    <row r="1729" spans="1:3">
      <c r="A1729" s="3">
        <f ca="1">IFERROR(__xludf.UNSUPPORTED("""COMPUTED_VALUE"""),45974.6666666666)</f>
        <v>45974.666666666599</v>
      </c>
      <c r="B1729" s="1">
        <f ca="1">IFERROR(__xludf.UNSUPPORTED("""COMPUTED_VALUE"""),52.87)</f>
        <v>52.87</v>
      </c>
      <c r="C1729" s="2">
        <f t="shared" ca="1" si="6"/>
        <v>-2.2916281648493846E-2</v>
      </c>
    </row>
    <row r="1730" spans="1:3">
      <c r="A1730" s="3">
        <f ca="1">IFERROR(__xludf.UNSUPPORTED("""COMPUTED_VALUE"""),45975.6666666666)</f>
        <v>45975.666666666599</v>
      </c>
      <c r="B1730" s="1">
        <f ca="1">IFERROR(__xludf.UNSUPPORTED("""COMPUTED_VALUE"""),52.61)</f>
        <v>52.61</v>
      </c>
      <c r="C1730" s="2">
        <f t="shared" ca="1" si="6"/>
        <v>-4.9177227160960473E-3</v>
      </c>
    </row>
    <row r="1731" spans="1:3">
      <c r="A1731" s="3">
        <f ca="1">IFERROR(__xludf.UNSUPPORTED("""COMPUTED_VALUE"""),45978.6666666666)</f>
        <v>45978.666666666599</v>
      </c>
      <c r="B1731" s="1">
        <f ca="1">IFERROR(__xludf.UNSUPPORTED("""COMPUTED_VALUE"""),51.48)</f>
        <v>51.48</v>
      </c>
      <c r="C1731" s="2">
        <f t="shared" ca="1" si="6"/>
        <v>-2.1478806310587389E-2</v>
      </c>
    </row>
    <row r="1732" spans="1:3">
      <c r="A1732" s="3">
        <f ca="1">IFERROR(__xludf.UNSUPPORTED("""COMPUTED_VALUE"""),45979.6666666666)</f>
        <v>45979.666666666599</v>
      </c>
      <c r="B1732" s="1">
        <f ca="1">IFERROR(__xludf.UNSUPPORTED("""COMPUTED_VALUE"""),51.64)</f>
        <v>51.64</v>
      </c>
      <c r="C1732" s="2">
        <f t="shared" ca="1" si="6"/>
        <v>3.10800310800318E-3</v>
      </c>
    </row>
    <row r="1733" spans="1:3">
      <c r="A1733" s="3">
        <f ca="1">IFERROR(__xludf.UNSUPPORTED("""COMPUTED_VALUE"""),45980.6666666666)</f>
        <v>45980.666666666599</v>
      </c>
      <c r="B1733" s="1">
        <f ca="1">IFERROR(__xludf.UNSUPPORTED("""COMPUTED_VALUE"""),52.02)</f>
        <v>52.02</v>
      </c>
      <c r="C1733" s="2">
        <f t="shared" ca="1" si="6"/>
        <v>7.3586367157242941E-3</v>
      </c>
    </row>
    <row r="1734" spans="1:3">
      <c r="A1734" s="3">
        <f ca="1">IFERROR(__xludf.UNSUPPORTED("""COMPUTED_VALUE"""),45981.6666666666)</f>
        <v>45981.666666666599</v>
      </c>
      <c r="B1734" s="1">
        <f ca="1">IFERROR(__xludf.UNSUPPORTED("""COMPUTED_VALUE"""),51)</f>
        <v>51</v>
      </c>
      <c r="C1734" s="2">
        <f t="shared" ca="1" si="6"/>
        <v>-1.9607843137254961E-2</v>
      </c>
    </row>
    <row r="1735" spans="1:3">
      <c r="A1735" s="3">
        <f ca="1">IFERROR(__xludf.UNSUPPORTED("""COMPUTED_VALUE"""),45982.6666666666)</f>
        <v>45982.666666666599</v>
      </c>
      <c r="B1735" s="1">
        <f ca="1">IFERROR(__xludf.UNSUPPORTED("""COMPUTED_VALUE"""),51.56)</f>
        <v>51.56</v>
      </c>
      <c r="C1735" s="2">
        <f t="shared" ca="1" si="6"/>
        <v>1.098039215686279E-2</v>
      </c>
    </row>
    <row r="1736" spans="1:3">
      <c r="A1736" s="3">
        <f ca="1">IFERROR(__xludf.UNSUPPORTED("""COMPUTED_VALUE"""),45985.6666666666)</f>
        <v>45985.666666666599</v>
      </c>
      <c r="B1736" s="1">
        <f ca="1">IFERROR(__xludf.UNSUPPORTED("""COMPUTED_VALUE"""),51.93)</f>
        <v>51.93</v>
      </c>
      <c r="C1736" s="2">
        <f t="shared" ca="1" si="6"/>
        <v>7.1761055081457992E-3</v>
      </c>
    </row>
    <row r="1737" spans="1:3">
      <c r="A1737" s="3">
        <f ca="1">IFERROR(__xludf.UNSUPPORTED("""COMPUTED_VALUE"""),45986.6666666666)</f>
        <v>45986.666666666599</v>
      </c>
      <c r="B1737" s="1">
        <f ca="1">IFERROR(__xludf.UNSUPPORTED("""COMPUTED_VALUE"""),52.48)</f>
        <v>52.48</v>
      </c>
      <c r="C1737" s="2">
        <f t="shared" ca="1" si="6"/>
        <v>1.0591180435201178E-2</v>
      </c>
    </row>
    <row r="1738" spans="1:3">
      <c r="A1738" s="3">
        <f ca="1">IFERROR(__xludf.UNSUPPORTED("""COMPUTED_VALUE"""),45987.6666666666)</f>
        <v>45987.666666666599</v>
      </c>
      <c r="B1738" s="1">
        <f ca="1">IFERROR(__xludf.UNSUPPORTED("""COMPUTED_VALUE"""),52.99)</f>
        <v>52.99</v>
      </c>
      <c r="C1738" s="2">
        <f t="shared" ca="1" si="6"/>
        <v>9.7179878048781476E-3</v>
      </c>
    </row>
    <row r="1739" spans="1:3">
      <c r="A1739" s="3">
        <f ca="1">IFERROR(__xludf.UNSUPPORTED("""COMPUTED_VALUE"""),45989.5416666666)</f>
        <v>45989.541666666599</v>
      </c>
      <c r="B1739" s="1">
        <f ca="1">IFERROR(__xludf.UNSUPPORTED("""COMPUTED_VALUE"""),53.65)</f>
        <v>53.65</v>
      </c>
      <c r="C1739" s="2">
        <f t="shared" ca="1" si="6"/>
        <v>1.245518022268346E-2</v>
      </c>
    </row>
    <row r="1740" spans="1:3">
      <c r="A1740" s="3">
        <f ca="1">IFERROR(__xludf.UNSUPPORTED("""COMPUTED_VALUE"""),45992.6666666666)</f>
        <v>45992.666666666599</v>
      </c>
      <c r="B1740" s="1">
        <f ca="1">IFERROR(__xludf.UNSUPPORTED("""COMPUTED_VALUE"""),53.24)</f>
        <v>53.24</v>
      </c>
      <c r="C1740" s="2">
        <f t="shared" ca="1" si="6"/>
        <v>-7.6421248835041302E-3</v>
      </c>
    </row>
    <row r="1741" spans="1:3">
      <c r="A1741" s="3">
        <f ca="1">IFERROR(__xludf.UNSUPPORTED("""COMPUTED_VALUE"""),45993.6666666666)</f>
        <v>45993.666666666599</v>
      </c>
      <c r="B1741" s="1">
        <f ca="1">IFERROR(__xludf.UNSUPPORTED("""COMPUTED_VALUE"""),53.19)</f>
        <v>53.19</v>
      </c>
      <c r="C1741" s="2">
        <f t="shared" ca="1" si="6"/>
        <v>-9.3914350112705221E-4</v>
      </c>
    </row>
    <row r="1742" spans="1:3">
      <c r="A1742" s="3">
        <f ca="1">IFERROR(__xludf.UNSUPPORTED("""COMPUTED_VALUE"""),45994.6666666666)</f>
        <v>45994.666666666599</v>
      </c>
      <c r="B1742" s="1">
        <f ca="1">IFERROR(__xludf.UNSUPPORTED("""COMPUTED_VALUE"""),54.09)</f>
        <v>54.09</v>
      </c>
      <c r="C1742" s="2">
        <f t="shared" ca="1" si="6"/>
        <v>1.6920473773265759E-2</v>
      </c>
    </row>
    <row r="1743" spans="1:3">
      <c r="A1743" s="3">
        <f ca="1">IFERROR(__xludf.UNSUPPORTED("""COMPUTED_VALUE"""),45995.6666666666)</f>
        <v>45995.666666666599</v>
      </c>
      <c r="B1743" s="1">
        <f ca="1">IFERROR(__xludf.UNSUPPORTED("""COMPUTED_VALUE"""),54.16)</f>
        <v>54.16</v>
      </c>
      <c r="C1743" s="2">
        <f t="shared" ca="1" si="6"/>
        <v>1.2941393973006688E-3</v>
      </c>
    </row>
    <row r="1744" spans="1:3">
      <c r="A1744" s="3">
        <f ca="1">IFERROR(__xludf.UNSUPPORTED("""COMPUTED_VALUE"""),45996.6666666666)</f>
        <v>45996.666666666599</v>
      </c>
      <c r="B1744" s="1">
        <f ca="1">IFERROR(__xludf.UNSUPPORTED("""COMPUTED_VALUE"""),53.95)</f>
        <v>53.95</v>
      </c>
      <c r="C1744" s="2">
        <f t="shared" ca="1" si="6"/>
        <v>-3.8774002954208597E-3</v>
      </c>
    </row>
    <row r="1745" spans="1:3">
      <c r="A1745" s="3">
        <f ca="1">IFERROR(__xludf.UNSUPPORTED("""COMPUTED_VALUE"""),45999.6666666666)</f>
        <v>45999.666666666599</v>
      </c>
      <c r="B1745" s="1">
        <f ca="1">IFERROR(__xludf.UNSUPPORTED("""COMPUTED_VALUE"""),53.9)</f>
        <v>53.9</v>
      </c>
      <c r="C1745" s="2">
        <f t="shared" ca="1" si="6"/>
        <v>-9.2678405931425874E-4</v>
      </c>
    </row>
    <row r="1746" spans="1:3">
      <c r="A1746" s="3">
        <f ca="1">IFERROR(__xludf.UNSUPPORTED("""COMPUTED_VALUE"""),46000.6666666666)</f>
        <v>46000.666666666599</v>
      </c>
      <c r="B1746" s="1">
        <f ca="1">IFERROR(__xludf.UNSUPPORTED("""COMPUTED_VALUE"""),53.54)</f>
        <v>53.54</v>
      </c>
      <c r="C1746" s="2">
        <f t="shared" ca="1" si="6"/>
        <v>-6.6790352504638118E-3</v>
      </c>
    </row>
    <row r="1747" spans="1:3">
      <c r="A1747" s="3">
        <f ca="1">IFERROR(__xludf.UNSUPPORTED("""COMPUTED_VALUE"""),46001.6666666666)</f>
        <v>46001.666666666599</v>
      </c>
      <c r="B1747" s="1">
        <f ca="1">IFERROR(__xludf.UNSUPPORTED("""COMPUTED_VALUE"""),54.08)</f>
        <v>54.08</v>
      </c>
      <c r="C1747" s="2">
        <f t="shared" ca="1" si="6"/>
        <v>1.0085917071348508E-2</v>
      </c>
    </row>
    <row r="1748" spans="1:3">
      <c r="A1748" s="3">
        <f ca="1">IFERROR(__xludf.UNSUPPORTED("""COMPUTED_VALUE"""),46002.6666666666)</f>
        <v>46002.666666666599</v>
      </c>
      <c r="B1748" s="1">
        <f ca="1">IFERROR(__xludf.UNSUPPORTED("""COMPUTED_VALUE"""),54.56)</f>
        <v>54.56</v>
      </c>
      <c r="C1748" s="2">
        <f t="shared" ca="1" si="6"/>
        <v>8.8757396449704873E-3</v>
      </c>
    </row>
    <row r="1749" spans="1:3">
      <c r="A1749" s="3">
        <f ca="1">IFERROR(__xludf.UNSUPPORTED("""COMPUTED_VALUE"""),46003.6666666666)</f>
        <v>46003.666666666599</v>
      </c>
      <c r="B1749" s="1">
        <f ca="1">IFERROR(__xludf.UNSUPPORTED("""COMPUTED_VALUE"""),55.14)</f>
        <v>55.14</v>
      </c>
      <c r="C1749" s="2">
        <f t="shared" ca="1" si="6"/>
        <v>1.0630498533724308E-2</v>
      </c>
    </row>
    <row r="1750" spans="1:3">
      <c r="A1750" s="3">
        <f ca="1">IFERROR(__xludf.UNSUPPORTED("""COMPUTED_VALUE"""),46006.6666666666)</f>
        <v>46006.666666666599</v>
      </c>
      <c r="B1750" s="1">
        <f ca="1">IFERROR(__xludf.UNSUPPORTED("""COMPUTED_VALUE"""),55.33)</f>
        <v>55.33</v>
      </c>
      <c r="C1750" s="2">
        <f t="shared" ca="1" si="6"/>
        <v>3.4457743924555264E-3</v>
      </c>
    </row>
    <row r="1751" spans="1:3">
      <c r="A1751" s="3">
        <f ca="1">IFERROR(__xludf.UNSUPPORTED("""COMPUTED_VALUE"""),46007.6666666666)</f>
        <v>46007.666666666599</v>
      </c>
      <c r="B1751" s="1">
        <f ca="1">IFERROR(__xludf.UNSUPPORTED("""COMPUTED_VALUE"""),54.81)</f>
        <v>54.81</v>
      </c>
      <c r="C1751" s="2">
        <f t="shared" ca="1" si="6"/>
        <v>-9.3981565154526662E-3</v>
      </c>
    </row>
    <row r="1752" spans="1:3">
      <c r="A1752" s="3">
        <f ca="1">IFERROR(__xludf.UNSUPPORTED("""COMPUTED_VALUE"""),46008.6666666666)</f>
        <v>46008.666666666599</v>
      </c>
      <c r="B1752" s="1">
        <f ca="1">IFERROR(__xludf.UNSUPPORTED("""COMPUTED_VALUE"""),54.55)</f>
        <v>54.55</v>
      </c>
      <c r="C1752" s="2">
        <f t="shared" ca="1" si="6"/>
        <v>-4.7436599160738026E-3</v>
      </c>
    </row>
    <row r="1753" spans="1:3">
      <c r="A1753" s="3">
        <f ca="1">IFERROR(__xludf.UNSUPPORTED("""COMPUTED_VALUE"""),46009.6666666666)</f>
        <v>46009.666666666599</v>
      </c>
      <c r="B1753" s="1">
        <f ca="1">IFERROR(__xludf.UNSUPPORTED("""COMPUTED_VALUE"""),54.26)</f>
        <v>54.26</v>
      </c>
      <c r="C1753" s="2">
        <f t="shared" ca="1" si="6"/>
        <v>-5.3162236480293152E-3</v>
      </c>
    </row>
    <row r="1754" spans="1:3">
      <c r="A1754" s="3">
        <f ca="1">IFERROR(__xludf.UNSUPPORTED("""COMPUTED_VALUE"""),46010.6666666666)</f>
        <v>46010.666666666599</v>
      </c>
      <c r="B1754" s="1">
        <f ca="1">IFERROR(__xludf.UNSUPPORTED("""COMPUTED_VALUE"""),55.27)</f>
        <v>55.27</v>
      </c>
      <c r="C1754" s="2">
        <f t="shared" ca="1" si="6"/>
        <v>1.8614080353851918E-2</v>
      </c>
    </row>
    <row r="1755" spans="1:3">
      <c r="A1755" s="3">
        <f ca="1">IFERROR(__xludf.UNSUPPORTED("""COMPUTED_VALUE"""),46013.6666666666)</f>
        <v>46013.666666666599</v>
      </c>
      <c r="B1755" s="1">
        <f ca="1">IFERROR(__xludf.UNSUPPORTED("""COMPUTED_VALUE"""),55.88)</f>
        <v>55.88</v>
      </c>
      <c r="C1755" s="2">
        <f t="shared" ca="1" si="6"/>
        <v>1.1036728785959822E-2</v>
      </c>
    </row>
    <row r="1756" spans="1:3">
      <c r="A1756" s="3">
        <f ca="1">IFERROR(__xludf.UNSUPPORTED("""COMPUTED_VALUE"""),46014.6666666666)</f>
        <v>46014.666666666599</v>
      </c>
      <c r="B1756" s="1">
        <f ca="1">IFERROR(__xludf.UNSUPPORTED("""COMPUTED_VALUE"""),55.97)</f>
        <v>55.97</v>
      </c>
      <c r="C1756" s="2">
        <f t="shared" ca="1" si="6"/>
        <v>1.6105941302791034E-3</v>
      </c>
    </row>
    <row r="1757" spans="1:3">
      <c r="A1757" s="3">
        <f ca="1">IFERROR(__xludf.UNSUPPORTED("""COMPUTED_VALUE"""),46015.5416666666)</f>
        <v>46015.541666666599</v>
      </c>
      <c r="B1757" s="1">
        <f ca="1">IFERROR(__xludf.UNSUPPORTED("""COMPUTED_VALUE"""),56.25)</f>
        <v>56.25</v>
      </c>
      <c r="C1757" s="2">
        <f t="shared" ca="1" si="6"/>
        <v>5.0026800071467058E-3</v>
      </c>
    </row>
    <row r="1758" spans="1:3">
      <c r="A1758" s="3">
        <f ca="1">IFERROR(__xludf.UNSUPPORTED("""COMPUTED_VALUE"""),46017.6666666666)</f>
        <v>46017.666666666599</v>
      </c>
      <c r="B1758" s="1">
        <f ca="1">IFERROR(__xludf.UNSUPPORTED("""COMPUTED_VALUE"""),56.17)</f>
        <v>56.17</v>
      </c>
      <c r="C1758" s="2">
        <f t="shared" ca="1" si="6"/>
        <v>-1.4222222222221919E-3</v>
      </c>
    </row>
    <row r="1759" spans="1:3">
      <c r="A1759" s="3">
        <f ca="1">IFERROR(__xludf.UNSUPPORTED("""COMPUTED_VALUE"""),46020.6666666666)</f>
        <v>46020.666666666599</v>
      </c>
      <c r="B1759" s="1">
        <f ca="1">IFERROR(__xludf.UNSUPPORTED("""COMPUTED_VALUE"""),55.35)</f>
        <v>55.35</v>
      </c>
      <c r="C1759" s="2">
        <f t="shared" ca="1" si="6"/>
        <v>-1.4598540145985406E-2</v>
      </c>
    </row>
    <row r="1760" spans="1:3">
      <c r="A1760" s="3">
        <f ca="1">IFERROR(__xludf.UNSUPPORTED("""COMPUTED_VALUE"""),46021.6666666666)</f>
        <v>46021.666666666599</v>
      </c>
      <c r="B1760" s="1">
        <f ca="1">IFERROR(__xludf.UNSUPPORTED("""COMPUTED_VALUE"""),55.28)</f>
        <v>55.28</v>
      </c>
      <c r="C1760" s="2">
        <f t="shared" ca="1" si="6"/>
        <v>-1.2646793134598064E-3</v>
      </c>
    </row>
    <row r="1761" spans="1:3">
      <c r="A1761" s="3">
        <f ca="1">IFERROR(__xludf.UNSUPPORTED("""COMPUTED_VALUE"""),46022.6666666666)</f>
        <v>46022.666666666599</v>
      </c>
      <c r="B1761" s="1">
        <f ca="1">IFERROR(__xludf.UNSUPPORTED("""COMPUTED_VALUE"""),55)</f>
        <v>55</v>
      </c>
      <c r="C1761" s="2">
        <f t="shared" ca="1" si="6"/>
        <v>-5.0651230101302668E-3</v>
      </c>
    </row>
    <row r="1762" spans="1:3">
      <c r="A1762" s="3">
        <f ca="1">IFERROR(__xludf.UNSUPPORTED("""COMPUTED_VALUE"""),46024.6666666666)</f>
        <v>46024.666666666599</v>
      </c>
      <c r="B1762" s="1">
        <f ca="1">IFERROR(__xludf.UNSUPPORTED("""COMPUTED_VALUE"""),55.95)</f>
        <v>55.95</v>
      </c>
      <c r="C1762" s="2">
        <f t="shared" ca="1" si="6"/>
        <v>1.7272727272727325E-2</v>
      </c>
    </row>
    <row r="1763" spans="1:3">
      <c r="A1763" s="3">
        <f ca="1">IFERROR(__xludf.UNSUPPORTED("""COMPUTED_VALUE"""),46027.6666666666)</f>
        <v>46027.666666666599</v>
      </c>
      <c r="B1763" s="1">
        <f ca="1">IFERROR(__xludf.UNSUPPORTED("""COMPUTED_VALUE"""),56.89)</f>
        <v>56.89</v>
      </c>
      <c r="C1763" s="2">
        <f t="shared" ca="1" si="6"/>
        <v>1.680071492403928E-2</v>
      </c>
    </row>
    <row r="1764" spans="1:3">
      <c r="A1764" s="3">
        <f ca="1">IFERROR(__xludf.UNSUPPORTED("""COMPUTED_VALUE"""),46028.6666666666)</f>
        <v>46028.666666666599</v>
      </c>
      <c r="B1764" s="1">
        <f ca="1">IFERROR(__xludf.UNSUPPORTED("""COMPUTED_VALUE"""),57.25)</f>
        <v>57.25</v>
      </c>
      <c r="C1764" s="2">
        <f t="shared" ca="1" si="6"/>
        <v>6.328001406222525E-3</v>
      </c>
    </row>
    <row r="1765" spans="1:3">
      <c r="A1765" s="3">
        <f ca="1">IFERROR(__xludf.UNSUPPORTED("""COMPUTED_VALUE"""),46029.6666666666)</f>
        <v>46029.666666666599</v>
      </c>
      <c r="B1765" s="1">
        <f ca="1">IFERROR(__xludf.UNSUPPORTED("""COMPUTED_VALUE"""),55.64)</f>
        <v>55.64</v>
      </c>
      <c r="C1765" s="2">
        <f t="shared" ca="1" si="6"/>
        <v>-2.8122270742358069E-2</v>
      </c>
    </row>
    <row r="1766" spans="1:3">
      <c r="A1766" s="3">
        <f ca="1">IFERROR(__xludf.UNSUPPORTED("""COMPUTED_VALUE"""),46030.6666666666)</f>
        <v>46030.666666666599</v>
      </c>
      <c r="B1766" s="1">
        <f ca="1">IFERROR(__xludf.UNSUPPORTED("""COMPUTED_VALUE"""),56.18)</f>
        <v>56.18</v>
      </c>
      <c r="C1766" s="2">
        <f t="shared" ca="1" si="6"/>
        <v>9.7052480230050177E-3</v>
      </c>
    </row>
    <row r="1767" spans="1:3">
      <c r="A1767" s="3">
        <f ca="1">IFERROR(__xludf.UNSUPPORTED("""COMPUTED_VALUE"""),46031.6666666666)</f>
        <v>46031.666666666599</v>
      </c>
      <c r="B1767" s="1">
        <f ca="1">IFERROR(__xludf.UNSUPPORTED("""COMPUTED_VALUE"""),55.85)</f>
        <v>55.85</v>
      </c>
      <c r="C1767" s="2">
        <f t="shared" ca="1" si="6"/>
        <v>-5.8739765040939536E-3</v>
      </c>
    </row>
    <row r="1768" spans="1:3">
      <c r="A1768" s="3">
        <f ca="1">IFERROR(__xludf.UNSUPPORTED("""COMPUTED_VALUE"""),46034.6666666666)</f>
        <v>46034.666666666599</v>
      </c>
      <c r="B1768" s="1">
        <f ca="1">IFERROR(__xludf.UNSUPPORTED("""COMPUTED_VALUE"""),55.19)</f>
        <v>55.19</v>
      </c>
      <c r="C1768" s="2">
        <f t="shared" ca="1" si="6"/>
        <v>-1.1817367949865777E-2</v>
      </c>
    </row>
    <row r="1769" spans="1:3">
      <c r="A1769" s="3">
        <f ca="1">IFERROR(__xludf.UNSUPPORTED("""COMPUTED_VALUE"""),46035.6666666666)</f>
        <v>46035.666666666599</v>
      </c>
      <c r="B1769" s="1">
        <f ca="1">IFERROR(__xludf.UNSUPPORTED("""COMPUTED_VALUE"""),54.54)</f>
        <v>54.54</v>
      </c>
      <c r="C1769" s="2">
        <f t="shared" ca="1" si="6"/>
        <v>-1.1777495923174463E-2</v>
      </c>
    </row>
    <row r="1770" spans="1:3">
      <c r="A1770" s="3">
        <f ca="1">IFERROR(__xludf.UNSUPPORTED("""COMPUTED_VALUE"""),46036.6666666666)</f>
        <v>46036.666666666599</v>
      </c>
      <c r="B1770" s="1">
        <f ca="1">IFERROR(__xludf.UNSUPPORTED("""COMPUTED_VALUE"""),52.48)</f>
        <v>52.48</v>
      </c>
      <c r="C1770" s="2">
        <f t="shared" ca="1" si="6"/>
        <v>-3.7770443711037813E-2</v>
      </c>
    </row>
    <row r="1771" spans="1:3">
      <c r="A1771" s="3">
        <f ca="1">IFERROR(__xludf.UNSUPPORTED("""COMPUTED_VALUE"""),46037.6666666666)</f>
        <v>46037.666666666599</v>
      </c>
      <c r="B1771" s="1">
        <f ca="1">IFERROR(__xludf.UNSUPPORTED("""COMPUTED_VALUE"""),52.59)</f>
        <v>52.59</v>
      </c>
      <c r="C1771" s="2">
        <f t="shared" ca="1" si="6"/>
        <v>2.0960365853659783E-3</v>
      </c>
    </row>
    <row r="1772" spans="1:3">
      <c r="A1772" s="3">
        <f ca="1">IFERROR(__xludf.UNSUPPORTED("""COMPUTED_VALUE"""),46038.6666666666)</f>
        <v>46038.666666666599</v>
      </c>
      <c r="B1772" s="1">
        <f ca="1">IFERROR(__xludf.UNSUPPORTED("""COMPUTED_VALUE"""),52.97)</f>
        <v>52.97</v>
      </c>
      <c r="C1772" s="2">
        <f t="shared" ca="1" si="6"/>
        <v>7.2257083095644686E-3</v>
      </c>
    </row>
    <row r="1773" spans="1:3">
      <c r="A1773" s="3">
        <f ca="1">IFERROR(__xludf.UNSUPPORTED("""COMPUTED_VALUE"""),46042.6666666666)</f>
        <v>46042.666666666599</v>
      </c>
      <c r="B1773" s="1">
        <f ca="1">IFERROR(__xludf.UNSUPPORTED("""COMPUTED_VALUE"""),52.1)</f>
        <v>52.1</v>
      </c>
      <c r="C1773" s="2">
        <f t="shared" ca="1" si="6"/>
        <v>-1.6424391164810221E-2</v>
      </c>
    </row>
    <row r="1774" spans="1:3">
      <c r="A1774" s="3">
        <f ca="1">IFERROR(__xludf.UNSUPPORTED("""COMPUTED_VALUE"""),46043.6666666666)</f>
        <v>46043.666666666599</v>
      </c>
      <c r="B1774" s="1">
        <f ca="1">IFERROR(__xludf.UNSUPPORTED("""COMPUTED_VALUE"""),52.07)</f>
        <v>52.07</v>
      </c>
      <c r="C1774" s="2">
        <f t="shared" ca="1" si="6"/>
        <v>-5.7581573896355346E-4</v>
      </c>
    </row>
    <row r="1775" spans="1:3">
      <c r="A1775" s="3">
        <f ca="1">IFERROR(__xludf.UNSUPPORTED("""COMPUTED_VALUE"""),46044.6666666666)</f>
        <v>46044.666666666599</v>
      </c>
      <c r="B1775" s="1">
        <f ca="1">IFERROR(__xludf.UNSUPPORTED("""COMPUTED_VALUE"""),52.45)</f>
        <v>52.45</v>
      </c>
      <c r="C1775" s="2">
        <f t="shared" ca="1" si="6"/>
        <v>7.2978682542731432E-3</v>
      </c>
    </row>
    <row r="1776" spans="1:3"/>
    <row r="1777"/>
    <row r="1778"/>
    <row r="1779"/>
    <row r="1780"/>
    <row r="1781"/>
    <row r="1782"/>
    <row r="1783"/>
    <row r="1784"/>
    <row r="1785"/>
    <row r="1786"/>
    <row r="1787"/>
    <row r="1788"/>
    <row r="1789"/>
    <row r="1790"/>
    <row r="1791"/>
    <row r="1792"/>
    <row r="1793"/>
    <row r="1794"/>
    <row r="1795"/>
    <row r="1796"/>
    <row r="1797"/>
    <row r="1798"/>
    <row r="1799"/>
    <row r="1800"/>
    <row r="1801"/>
    <row r="1802"/>
    <row r="1803"/>
    <row r="1804"/>
    <row r="1805"/>
    <row r="1806"/>
    <row r="1807"/>
    <row r="1808"/>
    <row r="1809"/>
    <row r="1810"/>
    <row r="1811"/>
    <row r="1812"/>
    <row r="1813"/>
    <row r="1814"/>
    <row r="1815"/>
    <row r="1816"/>
    <row r="1817"/>
    <row r="1818"/>
    <row r="1819"/>
    <row r="1820"/>
    <row r="1821"/>
    <row r="1822"/>
    <row r="1823"/>
    <row r="1824"/>
    <row r="1825"/>
    <row r="1826"/>
    <row r="1827"/>
    <row r="1828"/>
    <row r="1829"/>
    <row r="1830"/>
    <row r="1831"/>
    <row r="1832"/>
    <row r="1833"/>
    <row r="1834"/>
    <row r="1835"/>
    <row r="1836"/>
    <row r="1837"/>
    <row r="1838"/>
    <row r="1839"/>
    <row r="1840"/>
    <row r="1841"/>
    <row r="1842"/>
    <row r="1843"/>
    <row r="1844"/>
    <row r="1845"/>
    <row r="1846"/>
    <row r="1847"/>
    <row r="1848"/>
    <row r="1849"/>
    <row r="1850"/>
    <row r="1851"/>
    <row r="1852"/>
    <row r="1853"/>
    <row r="1854"/>
    <row r="1855"/>
    <row r="1856"/>
    <row r="1857"/>
    <row r="1858"/>
    <row r="1859"/>
    <row r="1860"/>
    <row r="1861"/>
    <row r="1862"/>
    <row r="1863"/>
    <row r="1864"/>
    <row r="1865"/>
    <row r="1866"/>
    <row r="1867"/>
    <row r="1868"/>
    <row r="1869"/>
    <row r="1870"/>
    <row r="1871"/>
    <row r="1872"/>
    <row r="1873"/>
    <row r="1874"/>
    <row r="1875"/>
    <row r="1876"/>
    <row r="1877"/>
    <row r="1878"/>
    <row r="1879"/>
    <row r="1880"/>
    <row r="1881"/>
    <row r="1882"/>
    <row r="1883"/>
    <row r="1884"/>
    <row r="1885"/>
    <row r="1886"/>
    <row r="1887"/>
    <row r="1888"/>
    <row r="1889"/>
    <row r="1890"/>
    <row r="1891"/>
    <row r="1892"/>
    <row r="1893"/>
    <row r="1894"/>
    <row r="1895"/>
    <row r="1896"/>
    <row r="1897"/>
    <row r="1898"/>
    <row r="1899"/>
    <row r="1900"/>
    <row r="1901"/>
    <row r="1902"/>
    <row r="1903"/>
    <row r="1904"/>
    <row r="1905"/>
    <row r="1906"/>
    <row r="1907"/>
    <row r="1908"/>
    <row r="1909"/>
    <row r="1910"/>
    <row r="1911"/>
    <row r="1912"/>
    <row r="1913"/>
    <row r="1914"/>
    <row r="1915"/>
    <row r="1916"/>
    <row r="1917"/>
    <row r="1918"/>
    <row r="1919"/>
    <row r="1920"/>
    <row r="1921"/>
    <row r="1922"/>
    <row r="1923"/>
    <row r="1924"/>
    <row r="1925"/>
    <row r="1926"/>
    <row r="1927"/>
    <row r="1928"/>
    <row r="1929"/>
    <row r="1930"/>
    <row r="1931"/>
    <row r="1932"/>
    <row r="1933"/>
    <row r="1934"/>
    <row r="1935"/>
    <row r="1936"/>
    <row r="1937"/>
    <row r="1938"/>
    <row r="1939"/>
    <row r="1940"/>
    <row r="1941"/>
    <row r="1942"/>
    <row r="1943"/>
    <row r="1944"/>
    <row r="1945"/>
    <row r="1946"/>
    <row r="1947"/>
    <row r="1948"/>
    <row r="1949"/>
    <row r="1950"/>
    <row r="1951"/>
    <row r="1952"/>
    <row r="1953"/>
    <row r="1954"/>
    <row r="1955"/>
    <row r="1956"/>
    <row r="1957"/>
    <row r="1958"/>
    <row r="1959"/>
    <row r="1960"/>
    <row r="1961"/>
    <row r="1962"/>
    <row r="1963"/>
    <row r="1964"/>
    <row r="1965"/>
    <row r="1966"/>
    <row r="1967"/>
    <row r="1968"/>
    <row r="1969"/>
    <row r="1970"/>
    <row r="1971"/>
    <row r="1972"/>
    <row r="1973"/>
    <row r="1974"/>
    <row r="1975"/>
    <row r="1976"/>
    <row r="1977"/>
    <row r="1978"/>
    <row r="1979"/>
    <row r="1980"/>
    <row r="1981"/>
    <row r="1982"/>
    <row r="1983"/>
    <row r="1984"/>
    <row r="1985"/>
    <row r="1986"/>
    <row r="1987"/>
    <row r="1988"/>
    <row r="1989"/>
    <row r="1990"/>
    <row r="1991"/>
    <row r="1992"/>
    <row r="1993"/>
    <row r="1994"/>
    <row r="1995"/>
    <row r="1996"/>
    <row r="1997"/>
    <row r="1998"/>
    <row r="1999"/>
    <row r="2000"/>
    <row r="2001"/>
    <row r="2002"/>
    <row r="2003"/>
    <row r="2004"/>
    <row r="2005"/>
    <row r="2006"/>
    <row r="2007"/>
    <row r="2008"/>
    <row r="2009"/>
    <row r="2010"/>
    <row r="2011"/>
    <row r="2012"/>
    <row r="2013"/>
    <row r="2014"/>
    <row r="2015"/>
    <row r="2016"/>
    <row r="2017"/>
    <row r="2018"/>
    <row r="2019"/>
    <row r="2020"/>
    <row r="2021"/>
    <row r="2022"/>
    <row r="2023"/>
    <row r="2024"/>
    <row r="2025"/>
    <row r="2026"/>
    <row r="2027"/>
    <row r="2028"/>
    <row r="2029"/>
    <row r="2030"/>
    <row r="2031"/>
    <row r="2032"/>
    <row r="2033"/>
    <row r="2034"/>
    <row r="2035"/>
    <row r="2036"/>
    <row r="2037"/>
    <row r="2038"/>
    <row r="2039"/>
    <row r="2040"/>
    <row r="2041"/>
    <row r="2042"/>
    <row r="2043"/>
    <row r="2044"/>
    <row r="2045"/>
    <row r="2046"/>
    <row r="2047"/>
    <row r="2048"/>
    <row r="2049"/>
    <row r="2050"/>
    <row r="2051"/>
    <row r="2052"/>
    <row r="2053"/>
    <row r="2054"/>
    <row r="2055"/>
    <row r="2056"/>
    <row r="2057"/>
    <row r="2058"/>
    <row r="2059"/>
    <row r="2060"/>
    <row r="2061"/>
    <row r="2062"/>
    <row r="2063"/>
    <row r="2064"/>
    <row r="2065"/>
    <row r="2066"/>
    <row r="2067"/>
    <row r="2068"/>
    <row r="2069"/>
    <row r="2070"/>
    <row r="2071"/>
    <row r="2072"/>
    <row r="2073"/>
    <row r="2074"/>
    <row r="2075"/>
    <row r="2076"/>
    <row r="2077"/>
    <row r="2078"/>
    <row r="2079"/>
    <row r="2080"/>
    <row r="2081"/>
    <row r="2082"/>
    <row r="2083"/>
    <row r="2084"/>
    <row r="2085"/>
    <row r="2086"/>
    <row r="2087"/>
    <row r="2088"/>
    <row r="2089"/>
    <row r="2090"/>
    <row r="2091"/>
    <row r="2092"/>
    <row r="2093"/>
    <row r="2094"/>
    <row r="2095"/>
    <row r="2096"/>
    <row r="2097"/>
    <row r="2098"/>
    <row r="2099"/>
    <row r="2100"/>
    <row r="2101"/>
    <row r="2102"/>
    <row r="2103"/>
    <row r="2104"/>
    <row r="2105"/>
    <row r="2106"/>
    <row r="2107"/>
    <row r="2108"/>
    <row r="2109"/>
    <row r="2110"/>
    <row r="2111"/>
    <row r="2112"/>
    <row r="2113"/>
    <row r="2114"/>
    <row r="2115"/>
    <row r="2116"/>
    <row r="2117"/>
    <row r="2118"/>
    <row r="2119"/>
    <row r="2120"/>
    <row r="2121"/>
    <row r="2122"/>
    <row r="2123"/>
    <row r="2124"/>
    <row r="2125"/>
    <row r="2126"/>
    <row r="2127"/>
    <row r="2128"/>
    <row r="2129"/>
    <row r="2130"/>
    <row r="2131"/>
    <row r="2132"/>
    <row r="2133"/>
    <row r="2134"/>
    <row r="2135"/>
    <row r="2136"/>
    <row r="2137"/>
    <row r="2138"/>
    <row r="2139"/>
    <row r="2140"/>
    <row r="2141"/>
    <row r="2142"/>
    <row r="2143"/>
    <row r="2144"/>
    <row r="2145"/>
    <row r="2146"/>
    <row r="2147"/>
    <row r="2148"/>
    <row r="2149"/>
    <row r="2150"/>
    <row r="2151"/>
    <row r="2152"/>
    <row r="2153"/>
    <row r="2154"/>
    <row r="2155"/>
    <row r="2156"/>
    <row r="2157"/>
    <row r="2158"/>
    <row r="2159"/>
    <row r="2160"/>
    <row r="2161"/>
    <row r="2162"/>
    <row r="2163"/>
    <row r="2164"/>
    <row r="2165"/>
    <row r="2166"/>
    <row r="2167"/>
    <row r="2168"/>
    <row r="2169"/>
    <row r="2170"/>
    <row r="2171"/>
    <row r="2172"/>
    <row r="2173"/>
    <row r="2174"/>
    <row r="2175"/>
    <row r="2176"/>
    <row r="2177"/>
    <row r="2178"/>
    <row r="2179"/>
    <row r="2180"/>
    <row r="2181"/>
    <row r="2182"/>
    <row r="2183"/>
    <row r="2184"/>
    <row r="2185"/>
    <row r="2186"/>
    <row r="2187"/>
    <row r="2188"/>
    <row r="2189"/>
    <row r="2190"/>
    <row r="2191"/>
    <row r="2192"/>
    <row r="2193"/>
    <row r="2194"/>
    <row r="2195"/>
    <row r="2196"/>
    <row r="2197"/>
    <row r="2198"/>
    <row r="2199"/>
    <row r="2200"/>
    <row r="2201"/>
    <row r="2202"/>
    <row r="2203"/>
    <row r="2204"/>
    <row r="2205"/>
    <row r="2206"/>
    <row r="2207"/>
    <row r="2208"/>
    <row r="2209"/>
    <row r="2210"/>
    <row r="2211"/>
    <row r="2212"/>
    <row r="2213"/>
    <row r="2214"/>
    <row r="2215"/>
    <row r="2216"/>
    <row r="2217"/>
    <row r="2218"/>
    <row r="2219"/>
    <row r="2220"/>
    <row r="2221"/>
    <row r="2222"/>
    <row r="2223"/>
    <row r="2224"/>
    <row r="2225"/>
    <row r="2226"/>
    <row r="2227"/>
    <row r="2228"/>
    <row r="2229"/>
    <row r="2230"/>
    <row r="2231"/>
    <row r="2232"/>
    <row r="2233"/>
    <row r="2234"/>
    <row r="2235"/>
    <row r="2236"/>
    <row r="2237"/>
    <row r="2238"/>
    <row r="2239"/>
    <row r="2240"/>
    <row r="2241"/>
    <row r="2242"/>
    <row r="2243"/>
    <row r="2244"/>
    <row r="2245"/>
    <row r="2246"/>
    <row r="2247"/>
    <row r="2248"/>
    <row r="2249"/>
    <row r="2250"/>
    <row r="2251"/>
    <row r="2252"/>
    <row r="2253"/>
    <row r="2254"/>
    <row r="2255"/>
    <row r="2256"/>
    <row r="2257"/>
    <row r="2258"/>
    <row r="2259"/>
    <row r="2260"/>
    <row r="2261"/>
    <row r="2262"/>
    <row r="2263"/>
    <row r="2264"/>
    <row r="2265"/>
    <row r="2266"/>
    <row r="2267"/>
    <row r="2268"/>
    <row r="2269"/>
    <row r="2270"/>
    <row r="2271"/>
    <row r="2272"/>
    <row r="2273"/>
    <row r="2274"/>
    <row r="2275"/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H2272"/>
  <sheetViews>
    <sheetView workbookViewId="0"/>
  </sheetViews>
  <sheetFormatPr defaultColWidth="12.5703125" defaultRowHeight="15.75" customHeight="1"/>
  <sheetData>
    <row r="1" spans="1:8">
      <c r="A1" s="1" t="str">
        <f ca="1">IFERROR(__xludf.UNSUPPORTED(GOOGLEFINANCE("KO", "price", "01/01/2019", "01/22/2026", "DAILY")),"Date")</f>
        <v>Date</v>
      </c>
      <c r="B1" s="1" t="str">
        <f ca="1">IFERROR(__xludf.UNSUPPORTED("""COMPUTED_VALUE"""),"Close")</f>
        <v>Close</v>
      </c>
      <c r="C1" s="2" t="s">
        <v>13</v>
      </c>
      <c r="E1" s="1" t="s">
        <v>14</v>
      </c>
      <c r="F1" s="2" t="s">
        <v>15</v>
      </c>
      <c r="G1" s="2" t="s">
        <v>16</v>
      </c>
      <c r="H1" s="2" t="s">
        <v>17</v>
      </c>
    </row>
    <row r="2" spans="1:8">
      <c r="A2" s="3">
        <f ca="1">IFERROR(__xludf.UNSUPPORTED("""COMPUTED_VALUE"""),43467.6666666666)</f>
        <v>43467.666666666599</v>
      </c>
      <c r="B2" s="1">
        <f ca="1">IFERROR(__xludf.UNSUPPORTED("""COMPUTED_VALUE"""),46.93)</f>
        <v>46.93</v>
      </c>
      <c r="C2" s="2"/>
      <c r="E2" s="2">
        <f ca="1">AVERAGE(C3:C1772)</f>
        <v>3.1991262155242021E-4</v>
      </c>
      <c r="F2" s="2">
        <f ca="1">_xlfn.STDEV.S(C3:C1772)</f>
        <v>1.2544537176183009E-2</v>
      </c>
      <c r="G2" s="2">
        <f ca="1">E2*252</f>
        <v>8.0617980631209896E-2</v>
      </c>
      <c r="H2" s="2">
        <f ca="1">F2*SQRT(252)</f>
        <v>0.19913835408350816</v>
      </c>
    </row>
    <row r="3" spans="1:8">
      <c r="A3" s="3">
        <f ca="1">IFERROR(__xludf.UNSUPPORTED("""COMPUTED_VALUE"""),43468.6666666666)</f>
        <v>43468.666666666599</v>
      </c>
      <c r="B3" s="1">
        <f ca="1">IFERROR(__xludf.UNSUPPORTED("""COMPUTED_VALUE"""),46.64)</f>
        <v>46.64</v>
      </c>
      <c r="C3" s="2">
        <f t="shared" ref="C3:C257" ca="1" si="0">(B3-B2)/B2</f>
        <v>-6.1794161517153027E-3</v>
      </c>
      <c r="F3" s="2"/>
      <c r="G3" s="2"/>
      <c r="H3" s="2"/>
    </row>
    <row r="4" spans="1:8">
      <c r="A4" s="3">
        <f ca="1">IFERROR(__xludf.UNSUPPORTED("""COMPUTED_VALUE"""),43469.6666666666)</f>
        <v>43469.666666666599</v>
      </c>
      <c r="B4" s="1">
        <f ca="1">IFERROR(__xludf.UNSUPPORTED("""COMPUTED_VALUE"""),47.57)</f>
        <v>47.57</v>
      </c>
      <c r="C4" s="2">
        <f t="shared" ca="1" si="0"/>
        <v>1.9939965694682669E-2</v>
      </c>
      <c r="F4" s="2"/>
      <c r="G4" s="2"/>
      <c r="H4" s="2"/>
    </row>
    <row r="5" spans="1:8">
      <c r="A5" s="3">
        <f ca="1">IFERROR(__xludf.UNSUPPORTED("""COMPUTED_VALUE"""),43472.6666666666)</f>
        <v>43472.666666666599</v>
      </c>
      <c r="B5" s="1">
        <f ca="1">IFERROR(__xludf.UNSUPPORTED("""COMPUTED_VALUE"""),46.95)</f>
        <v>46.95</v>
      </c>
      <c r="C5" s="2">
        <f t="shared" ca="1" si="0"/>
        <v>-1.303342442715992E-2</v>
      </c>
      <c r="F5" s="2"/>
      <c r="G5" s="2"/>
      <c r="H5" s="2"/>
    </row>
    <row r="6" spans="1:8">
      <c r="A6" s="3">
        <f ca="1">IFERROR(__xludf.UNSUPPORTED("""COMPUTED_VALUE"""),43473.6666666666)</f>
        <v>43473.666666666599</v>
      </c>
      <c r="B6" s="1">
        <f ca="1">IFERROR(__xludf.UNSUPPORTED("""COMPUTED_VALUE"""),47.48)</f>
        <v>47.48</v>
      </c>
      <c r="C6" s="2">
        <f t="shared" ca="1" si="0"/>
        <v>1.1288604898828413E-2</v>
      </c>
      <c r="F6" s="2"/>
      <c r="G6" s="2"/>
      <c r="H6" s="2"/>
    </row>
    <row r="7" spans="1:8">
      <c r="A7" s="3">
        <f ca="1">IFERROR(__xludf.UNSUPPORTED("""COMPUTED_VALUE"""),43474.6666666666)</f>
        <v>43474.666666666599</v>
      </c>
      <c r="B7" s="1">
        <f ca="1">IFERROR(__xludf.UNSUPPORTED("""COMPUTED_VALUE"""),46.57)</f>
        <v>46.57</v>
      </c>
      <c r="C7" s="2">
        <f t="shared" ca="1" si="0"/>
        <v>-1.9165964616680638E-2</v>
      </c>
      <c r="F7" s="2"/>
      <c r="G7" s="2"/>
      <c r="H7" s="2"/>
    </row>
    <row r="8" spans="1:8">
      <c r="A8" s="3">
        <f ca="1">IFERROR(__xludf.UNSUPPORTED("""COMPUTED_VALUE"""),43475.6666666666)</f>
        <v>43475.666666666599</v>
      </c>
      <c r="B8" s="1">
        <f ca="1">IFERROR(__xludf.UNSUPPORTED("""COMPUTED_VALUE"""),47.07)</f>
        <v>47.07</v>
      </c>
      <c r="C8" s="2">
        <f t="shared" ca="1" si="0"/>
        <v>1.0736525660296328E-2</v>
      </c>
      <c r="F8" s="2"/>
      <c r="G8" s="2"/>
      <c r="H8" s="2"/>
    </row>
    <row r="9" spans="1:8">
      <c r="A9" s="3">
        <f ca="1">IFERROR(__xludf.UNSUPPORTED("""COMPUTED_VALUE"""),43476.6666666666)</f>
        <v>43476.666666666599</v>
      </c>
      <c r="B9" s="1">
        <f ca="1">IFERROR(__xludf.UNSUPPORTED("""COMPUTED_VALUE"""),47.34)</f>
        <v>47.34</v>
      </c>
      <c r="C9" s="2">
        <f t="shared" ca="1" si="0"/>
        <v>5.7361376673040814E-3</v>
      </c>
      <c r="F9" s="2"/>
      <c r="G9" s="2"/>
      <c r="H9" s="2"/>
    </row>
    <row r="10" spans="1:8">
      <c r="A10" s="3">
        <f ca="1">IFERROR(__xludf.UNSUPPORTED("""COMPUTED_VALUE"""),43479.6666666666)</f>
        <v>43479.666666666599</v>
      </c>
      <c r="B10" s="1">
        <f ca="1">IFERROR(__xludf.UNSUPPORTED("""COMPUTED_VALUE"""),47.15)</f>
        <v>47.15</v>
      </c>
      <c r="C10" s="2">
        <f t="shared" ca="1" si="0"/>
        <v>-4.0135192226447994E-3</v>
      </c>
      <c r="F10" s="2"/>
      <c r="G10" s="2"/>
      <c r="H10" s="2"/>
    </row>
    <row r="11" spans="1:8">
      <c r="A11" s="3">
        <f ca="1">IFERROR(__xludf.UNSUPPORTED("""COMPUTED_VALUE"""),43480.6666666666)</f>
        <v>43480.666666666599</v>
      </c>
      <c r="B11" s="1">
        <f ca="1">IFERROR(__xludf.UNSUPPORTED("""COMPUTED_VALUE"""),47.57)</f>
        <v>47.57</v>
      </c>
      <c r="C11" s="2">
        <f t="shared" ca="1" si="0"/>
        <v>8.9077412513255926E-3</v>
      </c>
      <c r="F11" s="2"/>
      <c r="G11" s="2"/>
      <c r="H11" s="2"/>
    </row>
    <row r="12" spans="1:8">
      <c r="A12" s="3">
        <f ca="1">IFERROR(__xludf.UNSUPPORTED("""COMPUTED_VALUE"""),43481.6666666666)</f>
        <v>43481.666666666599</v>
      </c>
      <c r="B12" s="1">
        <f ca="1">IFERROR(__xludf.UNSUPPORTED("""COMPUTED_VALUE"""),46.92)</f>
        <v>46.92</v>
      </c>
      <c r="C12" s="2">
        <f t="shared" ca="1" si="0"/>
        <v>-1.3664073996216072E-2</v>
      </c>
      <c r="F12" s="2"/>
      <c r="G12" s="2"/>
      <c r="H12" s="2"/>
    </row>
    <row r="13" spans="1:8">
      <c r="A13" s="3">
        <f ca="1">IFERROR(__xludf.UNSUPPORTED("""COMPUTED_VALUE"""),43482.6666666666)</f>
        <v>43482.666666666599</v>
      </c>
      <c r="B13" s="1">
        <f ca="1">IFERROR(__xludf.UNSUPPORTED("""COMPUTED_VALUE"""),47.06)</f>
        <v>47.06</v>
      </c>
      <c r="C13" s="2">
        <f t="shared" ca="1" si="0"/>
        <v>2.9838022165388015E-3</v>
      </c>
      <c r="F13" s="2"/>
      <c r="G13" s="2"/>
      <c r="H13" s="2"/>
    </row>
    <row r="14" spans="1:8">
      <c r="A14" s="3">
        <f ca="1">IFERROR(__xludf.UNSUPPORTED("""COMPUTED_VALUE"""),43483.6666666666)</f>
        <v>43483.666666666599</v>
      </c>
      <c r="B14" s="1">
        <f ca="1">IFERROR(__xludf.UNSUPPORTED("""COMPUTED_VALUE"""),47.61)</f>
        <v>47.61</v>
      </c>
      <c r="C14" s="2">
        <f t="shared" ca="1" si="0"/>
        <v>1.1687207819804445E-2</v>
      </c>
      <c r="F14" s="2"/>
      <c r="G14" s="2"/>
      <c r="H14" s="2"/>
    </row>
    <row r="15" spans="1:8">
      <c r="A15" s="3">
        <f ca="1">IFERROR(__xludf.UNSUPPORTED("""COMPUTED_VALUE"""),43487.6666666666)</f>
        <v>43487.666666666599</v>
      </c>
      <c r="B15" s="1">
        <f ca="1">IFERROR(__xludf.UNSUPPORTED("""COMPUTED_VALUE"""),47.72)</f>
        <v>47.72</v>
      </c>
      <c r="C15" s="2">
        <f t="shared" ca="1" si="0"/>
        <v>2.3104389834068353E-3</v>
      </c>
      <c r="F15" s="2"/>
      <c r="G15" s="2"/>
      <c r="H15" s="2"/>
    </row>
    <row r="16" spans="1:8">
      <c r="A16" s="3">
        <f ca="1">IFERROR(__xludf.UNSUPPORTED("""COMPUTED_VALUE"""),43488.6666666666)</f>
        <v>43488.666666666599</v>
      </c>
      <c r="B16" s="1">
        <f ca="1">IFERROR(__xludf.UNSUPPORTED("""COMPUTED_VALUE"""),48.27)</f>
        <v>48.27</v>
      </c>
      <c r="C16" s="2">
        <f t="shared" ca="1" si="0"/>
        <v>1.1525565800503023E-2</v>
      </c>
      <c r="F16" s="2"/>
      <c r="G16" s="2"/>
      <c r="H16" s="2"/>
    </row>
    <row r="17" spans="1:3">
      <c r="A17" s="3">
        <f ca="1">IFERROR(__xludf.UNSUPPORTED("""COMPUTED_VALUE"""),43489.6666666666)</f>
        <v>43489.666666666599</v>
      </c>
      <c r="B17" s="1">
        <f ca="1">IFERROR(__xludf.UNSUPPORTED("""COMPUTED_VALUE"""),47.69)</f>
        <v>47.69</v>
      </c>
      <c r="C17" s="2">
        <f t="shared" ca="1" si="0"/>
        <v>-1.2015744769007776E-2</v>
      </c>
    </row>
    <row r="18" spans="1:3">
      <c r="A18" s="3">
        <f ca="1">IFERROR(__xludf.UNSUPPORTED("""COMPUTED_VALUE"""),43490.6666666666)</f>
        <v>43490.666666666599</v>
      </c>
      <c r="B18" s="1">
        <f ca="1">IFERROR(__xludf.UNSUPPORTED("""COMPUTED_VALUE"""),47.37)</f>
        <v>47.37</v>
      </c>
      <c r="C18" s="2">
        <f t="shared" ca="1" si="0"/>
        <v>-6.7100020968756616E-3</v>
      </c>
    </row>
    <row r="19" spans="1:3">
      <c r="A19" s="3">
        <f ca="1">IFERROR(__xludf.UNSUPPORTED("""COMPUTED_VALUE"""),43493.6666666666)</f>
        <v>43493.666666666599</v>
      </c>
      <c r="B19" s="1">
        <f ca="1">IFERROR(__xludf.UNSUPPORTED("""COMPUTED_VALUE"""),47.17)</f>
        <v>47.17</v>
      </c>
      <c r="C19" s="2">
        <f t="shared" ca="1" si="0"/>
        <v>-4.2220814861725934E-3</v>
      </c>
    </row>
    <row r="20" spans="1:3">
      <c r="A20" s="3">
        <f ca="1">IFERROR(__xludf.UNSUPPORTED("""COMPUTED_VALUE"""),43494.6666666666)</f>
        <v>43494.666666666599</v>
      </c>
      <c r="B20" s="1">
        <f ca="1">IFERROR(__xludf.UNSUPPORTED("""COMPUTED_VALUE"""),47.4)</f>
        <v>47.4</v>
      </c>
      <c r="C20" s="2">
        <f t="shared" ca="1" si="0"/>
        <v>4.8759804960779489E-3</v>
      </c>
    </row>
    <row r="21" spans="1:3">
      <c r="A21" s="3">
        <f ca="1">IFERROR(__xludf.UNSUPPORTED("""COMPUTED_VALUE"""),43495.6666666666)</f>
        <v>43495.666666666599</v>
      </c>
      <c r="B21" s="1">
        <f ca="1">IFERROR(__xludf.UNSUPPORTED("""COMPUTED_VALUE"""),47.86)</f>
        <v>47.86</v>
      </c>
      <c r="C21" s="2">
        <f t="shared" ca="1" si="0"/>
        <v>9.7046413502109886E-3</v>
      </c>
    </row>
    <row r="22" spans="1:3">
      <c r="A22" s="3">
        <f ca="1">IFERROR(__xludf.UNSUPPORTED("""COMPUTED_VALUE"""),43496.6666666666)</f>
        <v>43496.666666666599</v>
      </c>
      <c r="B22" s="1">
        <f ca="1">IFERROR(__xludf.UNSUPPORTED("""COMPUTED_VALUE"""),48.13)</f>
        <v>48.13</v>
      </c>
      <c r="C22" s="2">
        <f t="shared" ca="1" si="0"/>
        <v>5.6414542415378841E-3</v>
      </c>
    </row>
    <row r="23" spans="1:3">
      <c r="A23" s="3">
        <f ca="1">IFERROR(__xludf.UNSUPPORTED("""COMPUTED_VALUE"""),43497.6666666666)</f>
        <v>43497.666666666599</v>
      </c>
      <c r="B23" s="1">
        <f ca="1">IFERROR(__xludf.UNSUPPORTED("""COMPUTED_VALUE"""),48.7)</f>
        <v>48.7</v>
      </c>
      <c r="C23" s="2">
        <f t="shared" ca="1" si="0"/>
        <v>1.1842925410346983E-2</v>
      </c>
    </row>
    <row r="24" spans="1:3">
      <c r="A24" s="3">
        <f ca="1">IFERROR(__xludf.UNSUPPORTED("""COMPUTED_VALUE"""),43500.6666666666)</f>
        <v>43500.666666666599</v>
      </c>
      <c r="B24" s="1">
        <f ca="1">IFERROR(__xludf.UNSUPPORTED("""COMPUTED_VALUE"""),49.25)</f>
        <v>49.25</v>
      </c>
      <c r="C24" s="2">
        <f t="shared" ca="1" si="0"/>
        <v>1.1293634496919858E-2</v>
      </c>
    </row>
    <row r="25" spans="1:3">
      <c r="A25" s="3">
        <f ca="1">IFERROR(__xludf.UNSUPPORTED("""COMPUTED_VALUE"""),43501.6666666666)</f>
        <v>43501.666666666599</v>
      </c>
      <c r="B25" s="1">
        <f ca="1">IFERROR(__xludf.UNSUPPORTED("""COMPUTED_VALUE"""),49.26)</f>
        <v>49.26</v>
      </c>
      <c r="C25" s="2">
        <f t="shared" ca="1" si="0"/>
        <v>2.0304568527914742E-4</v>
      </c>
    </row>
    <row r="26" spans="1:3">
      <c r="A26" s="3">
        <f ca="1">IFERROR(__xludf.UNSUPPORTED("""COMPUTED_VALUE"""),43502.6666666666)</f>
        <v>43502.666666666599</v>
      </c>
      <c r="B26" s="1">
        <f ca="1">IFERROR(__xludf.UNSUPPORTED("""COMPUTED_VALUE"""),49.26)</f>
        <v>49.26</v>
      </c>
      <c r="C26" s="2">
        <f t="shared" ca="1" si="0"/>
        <v>0</v>
      </c>
    </row>
    <row r="27" spans="1:3">
      <c r="A27" s="3">
        <f ca="1">IFERROR(__xludf.UNSUPPORTED("""COMPUTED_VALUE"""),43503.6666666666)</f>
        <v>43503.666666666599</v>
      </c>
      <c r="B27" s="1">
        <f ca="1">IFERROR(__xludf.UNSUPPORTED("""COMPUTED_VALUE"""),49.42)</f>
        <v>49.42</v>
      </c>
      <c r="C27" s="2">
        <f t="shared" ca="1" si="0"/>
        <v>3.2480714575721416E-3</v>
      </c>
    </row>
    <row r="28" spans="1:3">
      <c r="A28" s="3">
        <f ca="1">IFERROR(__xludf.UNSUPPORTED("""COMPUTED_VALUE"""),43504.6666666666)</f>
        <v>43504.666666666599</v>
      </c>
      <c r="B28" s="1">
        <f ca="1">IFERROR(__xludf.UNSUPPORTED("""COMPUTED_VALUE"""),49.5)</f>
        <v>49.5</v>
      </c>
      <c r="C28" s="2">
        <f t="shared" ca="1" si="0"/>
        <v>1.6187778227437939E-3</v>
      </c>
    </row>
    <row r="29" spans="1:3">
      <c r="A29" s="3">
        <f ca="1">IFERROR(__xludf.UNSUPPORTED("""COMPUTED_VALUE"""),43507.6666666666)</f>
        <v>43507.666666666599</v>
      </c>
      <c r="B29" s="1">
        <f ca="1">IFERROR(__xludf.UNSUPPORTED("""COMPUTED_VALUE"""),49.61)</f>
        <v>49.61</v>
      </c>
      <c r="C29" s="2">
        <f t="shared" ca="1" si="0"/>
        <v>2.2222222222222109E-3</v>
      </c>
    </row>
    <row r="30" spans="1:3">
      <c r="A30" s="3">
        <f ca="1">IFERROR(__xludf.UNSUPPORTED("""COMPUTED_VALUE"""),43508.6666666666)</f>
        <v>43508.666666666599</v>
      </c>
      <c r="B30" s="1">
        <f ca="1">IFERROR(__xludf.UNSUPPORTED("""COMPUTED_VALUE"""),49.66)</f>
        <v>49.66</v>
      </c>
      <c r="C30" s="2">
        <f t="shared" ca="1" si="0"/>
        <v>1.0078613182825471E-3</v>
      </c>
    </row>
    <row r="31" spans="1:3">
      <c r="A31" s="3">
        <f ca="1">IFERROR(__xludf.UNSUPPORTED("""COMPUTED_VALUE"""),43509.6666666666)</f>
        <v>43509.666666666599</v>
      </c>
      <c r="B31" s="1">
        <f ca="1">IFERROR(__xludf.UNSUPPORTED("""COMPUTED_VALUE"""),49.79)</f>
        <v>49.79</v>
      </c>
      <c r="C31" s="2">
        <f t="shared" ca="1" si="0"/>
        <v>2.6178010471204706E-3</v>
      </c>
    </row>
    <row r="32" spans="1:3">
      <c r="A32" s="3">
        <f ca="1">IFERROR(__xludf.UNSUPPORTED("""COMPUTED_VALUE"""),43510.6666666666)</f>
        <v>43510.666666666599</v>
      </c>
      <c r="B32" s="1">
        <f ca="1">IFERROR(__xludf.UNSUPPORTED("""COMPUTED_VALUE"""),45.59)</f>
        <v>45.59</v>
      </c>
      <c r="C32" s="2">
        <f t="shared" ca="1" si="0"/>
        <v>-8.4354288009640399E-2</v>
      </c>
    </row>
    <row r="33" spans="1:3">
      <c r="A33" s="3">
        <f ca="1">IFERROR(__xludf.UNSUPPORTED("""COMPUTED_VALUE"""),43511.6666666666)</f>
        <v>43511.666666666599</v>
      </c>
      <c r="B33" s="1">
        <f ca="1">IFERROR(__xludf.UNSUPPORTED("""COMPUTED_VALUE"""),45.24)</f>
        <v>45.24</v>
      </c>
      <c r="C33" s="2">
        <f t="shared" ca="1" si="0"/>
        <v>-7.6771221759158017E-3</v>
      </c>
    </row>
    <row r="34" spans="1:3">
      <c r="A34" s="3">
        <f ca="1">IFERROR(__xludf.UNSUPPORTED("""COMPUTED_VALUE"""),43515.6666666666)</f>
        <v>43515.666666666599</v>
      </c>
      <c r="B34" s="1">
        <f ca="1">IFERROR(__xludf.UNSUPPORTED("""COMPUTED_VALUE"""),44.83)</f>
        <v>44.83</v>
      </c>
      <c r="C34" s="2">
        <f t="shared" ca="1" si="0"/>
        <v>-9.0627763041556952E-3</v>
      </c>
    </row>
    <row r="35" spans="1:3">
      <c r="A35" s="3">
        <f ca="1">IFERROR(__xludf.UNSUPPORTED("""COMPUTED_VALUE"""),43516.6666666666)</f>
        <v>43516.666666666599</v>
      </c>
      <c r="B35" s="1">
        <f ca="1">IFERROR(__xludf.UNSUPPORTED("""COMPUTED_VALUE"""),45.1)</f>
        <v>45.1</v>
      </c>
      <c r="C35" s="2">
        <f t="shared" ca="1" si="0"/>
        <v>6.0227526210127847E-3</v>
      </c>
    </row>
    <row r="36" spans="1:3">
      <c r="A36" s="3">
        <f ca="1">IFERROR(__xludf.UNSUPPORTED("""COMPUTED_VALUE"""),43517.6666666666)</f>
        <v>43517.666666666599</v>
      </c>
      <c r="B36" s="1">
        <f ca="1">IFERROR(__xludf.UNSUPPORTED("""COMPUTED_VALUE"""),45.86)</f>
        <v>45.86</v>
      </c>
      <c r="C36" s="2">
        <f t="shared" ca="1" si="0"/>
        <v>1.6851441241685101E-2</v>
      </c>
    </row>
    <row r="37" spans="1:3">
      <c r="A37" s="3">
        <f ca="1">IFERROR(__xludf.UNSUPPORTED("""COMPUTED_VALUE"""),43518.6666666666)</f>
        <v>43518.666666666599</v>
      </c>
      <c r="B37" s="1">
        <f ca="1">IFERROR(__xludf.UNSUPPORTED("""COMPUTED_VALUE"""),45.28)</f>
        <v>45.28</v>
      </c>
      <c r="C37" s="2">
        <f t="shared" ca="1" si="0"/>
        <v>-1.2647187091146933E-2</v>
      </c>
    </row>
    <row r="38" spans="1:3">
      <c r="A38" s="3">
        <f ca="1">IFERROR(__xludf.UNSUPPORTED("""COMPUTED_VALUE"""),43521.6666666666)</f>
        <v>43521.666666666599</v>
      </c>
      <c r="B38" s="1">
        <f ca="1">IFERROR(__xludf.UNSUPPORTED("""COMPUTED_VALUE"""),44.94)</f>
        <v>44.94</v>
      </c>
      <c r="C38" s="2">
        <f t="shared" ca="1" si="0"/>
        <v>-7.5088339222615591E-3</v>
      </c>
    </row>
    <row r="39" spans="1:3">
      <c r="A39" s="3">
        <f ca="1">IFERROR(__xludf.UNSUPPORTED("""COMPUTED_VALUE"""),43522.6666666666)</f>
        <v>43522.666666666599</v>
      </c>
      <c r="B39" s="1">
        <f ca="1">IFERROR(__xludf.UNSUPPORTED("""COMPUTED_VALUE"""),44.69)</f>
        <v>44.69</v>
      </c>
      <c r="C39" s="2">
        <f t="shared" ca="1" si="0"/>
        <v>-5.5629728526924794E-3</v>
      </c>
    </row>
    <row r="40" spans="1:3">
      <c r="A40" s="3">
        <f ca="1">IFERROR(__xludf.UNSUPPORTED("""COMPUTED_VALUE"""),43523.6666666666)</f>
        <v>43523.666666666599</v>
      </c>
      <c r="B40" s="1">
        <f ca="1">IFERROR(__xludf.UNSUPPORTED("""COMPUTED_VALUE"""),44.94)</f>
        <v>44.94</v>
      </c>
      <c r="C40" s="2">
        <f t="shared" ca="1" si="0"/>
        <v>5.5940926381740884E-3</v>
      </c>
    </row>
    <row r="41" spans="1:3">
      <c r="A41" s="3">
        <f ca="1">IFERROR(__xludf.UNSUPPORTED("""COMPUTED_VALUE"""),43524.6666666666)</f>
        <v>43524.666666666599</v>
      </c>
      <c r="B41" s="1">
        <f ca="1">IFERROR(__xludf.UNSUPPORTED("""COMPUTED_VALUE"""),45.34)</f>
        <v>45.34</v>
      </c>
      <c r="C41" s="2">
        <f t="shared" ca="1" si="0"/>
        <v>8.9007565643080926E-3</v>
      </c>
    </row>
    <row r="42" spans="1:3">
      <c r="A42" s="3">
        <f ca="1">IFERROR(__xludf.UNSUPPORTED("""COMPUTED_VALUE"""),43525.6666666666)</f>
        <v>43525.666666666599</v>
      </c>
      <c r="B42" s="1">
        <f ca="1">IFERROR(__xludf.UNSUPPORTED("""COMPUTED_VALUE"""),45.38)</f>
        <v>45.38</v>
      </c>
      <c r="C42" s="2">
        <f t="shared" ca="1" si="0"/>
        <v>8.8222320247020609E-4</v>
      </c>
    </row>
    <row r="43" spans="1:3">
      <c r="A43" s="3">
        <f ca="1">IFERROR(__xludf.UNSUPPORTED("""COMPUTED_VALUE"""),43528.6666666666)</f>
        <v>43528.666666666599</v>
      </c>
      <c r="B43" s="1">
        <f ca="1">IFERROR(__xludf.UNSUPPORTED("""COMPUTED_VALUE"""),45.65)</f>
        <v>45.65</v>
      </c>
      <c r="C43" s="2">
        <f t="shared" ca="1" si="0"/>
        <v>5.9497576024679592E-3</v>
      </c>
    </row>
    <row r="44" spans="1:3">
      <c r="A44" s="3">
        <f ca="1">IFERROR(__xludf.UNSUPPORTED("""COMPUTED_VALUE"""),43529.6666666666)</f>
        <v>43529.666666666599</v>
      </c>
      <c r="B44" s="1">
        <f ca="1">IFERROR(__xludf.UNSUPPORTED("""COMPUTED_VALUE"""),45.6)</f>
        <v>45.6</v>
      </c>
      <c r="C44" s="2">
        <f t="shared" ca="1" si="0"/>
        <v>-1.0952902519166957E-3</v>
      </c>
    </row>
    <row r="45" spans="1:3">
      <c r="A45" s="3">
        <f ca="1">IFERROR(__xludf.UNSUPPORTED("""COMPUTED_VALUE"""),43530.6666666666)</f>
        <v>43530.666666666599</v>
      </c>
      <c r="B45" s="1">
        <f ca="1">IFERROR(__xludf.UNSUPPORTED("""COMPUTED_VALUE"""),45.45)</f>
        <v>45.45</v>
      </c>
      <c r="C45" s="2">
        <f t="shared" ca="1" si="0"/>
        <v>-3.2894736842104949E-3</v>
      </c>
    </row>
    <row r="46" spans="1:3">
      <c r="A46" s="3">
        <f ca="1">IFERROR(__xludf.UNSUPPORTED("""COMPUTED_VALUE"""),43531.6666666666)</f>
        <v>43531.666666666599</v>
      </c>
      <c r="B46" s="1">
        <f ca="1">IFERROR(__xludf.UNSUPPORTED("""COMPUTED_VALUE"""),45.28)</f>
        <v>45.28</v>
      </c>
      <c r="C46" s="2">
        <f t="shared" ca="1" si="0"/>
        <v>-3.7403740374037779E-3</v>
      </c>
    </row>
    <row r="47" spans="1:3">
      <c r="A47" s="3">
        <f ca="1">IFERROR(__xludf.UNSUPPORTED("""COMPUTED_VALUE"""),43532.6666666666)</f>
        <v>43532.666666666599</v>
      </c>
      <c r="B47" s="1">
        <f ca="1">IFERROR(__xludf.UNSUPPORTED("""COMPUTED_VALUE"""),44.84)</f>
        <v>44.84</v>
      </c>
      <c r="C47" s="2">
        <f t="shared" ca="1" si="0"/>
        <v>-9.7173144876324582E-3</v>
      </c>
    </row>
    <row r="48" spans="1:3">
      <c r="A48" s="3">
        <f ca="1">IFERROR(__xludf.UNSUPPORTED("""COMPUTED_VALUE"""),43535.6666666666)</f>
        <v>43535.666666666599</v>
      </c>
      <c r="B48" s="1">
        <f ca="1">IFERROR(__xludf.UNSUPPORTED("""COMPUTED_VALUE"""),46.18)</f>
        <v>46.18</v>
      </c>
      <c r="C48" s="2">
        <f t="shared" ca="1" si="0"/>
        <v>2.9884032114183681E-2</v>
      </c>
    </row>
    <row r="49" spans="1:3">
      <c r="A49" s="3">
        <f ca="1">IFERROR(__xludf.UNSUPPORTED("""COMPUTED_VALUE"""),43536.6666666666)</f>
        <v>43536.666666666599</v>
      </c>
      <c r="B49" s="1">
        <f ca="1">IFERROR(__xludf.UNSUPPORTED("""COMPUTED_VALUE"""),46.05)</f>
        <v>46.05</v>
      </c>
      <c r="C49" s="2">
        <f t="shared" ca="1" si="0"/>
        <v>-2.815071459506335E-3</v>
      </c>
    </row>
    <row r="50" spans="1:3">
      <c r="A50" s="3">
        <f ca="1">IFERROR(__xludf.UNSUPPORTED("""COMPUTED_VALUE"""),43537.6666666666)</f>
        <v>43537.666666666599</v>
      </c>
      <c r="B50" s="1">
        <f ca="1">IFERROR(__xludf.UNSUPPORTED("""COMPUTED_VALUE"""),46.22)</f>
        <v>46.22</v>
      </c>
      <c r="C50" s="2">
        <f t="shared" ca="1" si="0"/>
        <v>3.6916395222584522E-3</v>
      </c>
    </row>
    <row r="51" spans="1:3">
      <c r="A51" s="3">
        <f ca="1">IFERROR(__xludf.UNSUPPORTED("""COMPUTED_VALUE"""),43538.6666666666)</f>
        <v>43538.666666666599</v>
      </c>
      <c r="B51" s="1">
        <f ca="1">IFERROR(__xludf.UNSUPPORTED("""COMPUTED_VALUE"""),45.7)</f>
        <v>45.7</v>
      </c>
      <c r="C51" s="2">
        <f t="shared" ca="1" si="0"/>
        <v>-1.1250540891388923E-2</v>
      </c>
    </row>
    <row r="52" spans="1:3">
      <c r="A52" s="3">
        <f ca="1">IFERROR(__xludf.UNSUPPORTED("""COMPUTED_VALUE"""),43539.6666666666)</f>
        <v>43539.666666666599</v>
      </c>
      <c r="B52" s="1">
        <f ca="1">IFERROR(__xludf.UNSUPPORTED("""COMPUTED_VALUE"""),45.3)</f>
        <v>45.3</v>
      </c>
      <c r="C52" s="2">
        <f t="shared" ca="1" si="0"/>
        <v>-8.7527352297594244E-3</v>
      </c>
    </row>
    <row r="53" spans="1:3">
      <c r="A53" s="3">
        <f ca="1">IFERROR(__xludf.UNSUPPORTED("""COMPUTED_VALUE"""),43542.6666666666)</f>
        <v>43542.666666666599</v>
      </c>
      <c r="B53" s="1">
        <f ca="1">IFERROR(__xludf.UNSUPPORTED("""COMPUTED_VALUE"""),45.41)</f>
        <v>45.41</v>
      </c>
      <c r="C53" s="2">
        <f t="shared" ca="1" si="0"/>
        <v>2.428256070640164E-3</v>
      </c>
    </row>
    <row r="54" spans="1:3">
      <c r="A54" s="3">
        <f ca="1">IFERROR(__xludf.UNSUPPORTED("""COMPUTED_VALUE"""),43543.6666666666)</f>
        <v>43543.666666666599</v>
      </c>
      <c r="B54" s="1">
        <f ca="1">IFERROR(__xludf.UNSUPPORTED("""COMPUTED_VALUE"""),45.56)</f>
        <v>45.56</v>
      </c>
      <c r="C54" s="2">
        <f t="shared" ca="1" si="0"/>
        <v>3.3032371724291058E-3</v>
      </c>
    </row>
    <row r="55" spans="1:3">
      <c r="A55" s="3">
        <f ca="1">IFERROR(__xludf.UNSUPPORTED("""COMPUTED_VALUE"""),43544.6666666666)</f>
        <v>43544.666666666599</v>
      </c>
      <c r="B55" s="1">
        <f ca="1">IFERROR(__xludf.UNSUPPORTED("""COMPUTED_VALUE"""),45.53)</f>
        <v>45.53</v>
      </c>
      <c r="C55" s="2">
        <f t="shared" ca="1" si="0"/>
        <v>-6.5847234416157013E-4</v>
      </c>
    </row>
    <row r="56" spans="1:3">
      <c r="A56" s="3">
        <f ca="1">IFERROR(__xludf.UNSUPPORTED("""COMPUTED_VALUE"""),43545.6666666666)</f>
        <v>43545.666666666599</v>
      </c>
      <c r="B56" s="1">
        <f ca="1">IFERROR(__xludf.UNSUPPORTED("""COMPUTED_VALUE"""),45.51)</f>
        <v>45.51</v>
      </c>
      <c r="C56" s="2">
        <f t="shared" ca="1" si="0"/>
        <v>-4.3927081045471393E-4</v>
      </c>
    </row>
    <row r="57" spans="1:3">
      <c r="A57" s="3">
        <f ca="1">IFERROR(__xludf.UNSUPPORTED("""COMPUTED_VALUE"""),43546.6666666666)</f>
        <v>43546.666666666599</v>
      </c>
      <c r="B57" s="1">
        <f ca="1">IFERROR(__xludf.UNSUPPORTED("""COMPUTED_VALUE"""),45.93)</f>
        <v>45.93</v>
      </c>
      <c r="C57" s="2">
        <f t="shared" ca="1" si="0"/>
        <v>9.2287409360580479E-3</v>
      </c>
    </row>
    <row r="58" spans="1:3">
      <c r="A58" s="3">
        <f ca="1">IFERROR(__xludf.UNSUPPORTED("""COMPUTED_VALUE"""),43549.6666666666)</f>
        <v>43549.666666666599</v>
      </c>
      <c r="B58" s="1">
        <f ca="1">IFERROR(__xludf.UNSUPPORTED("""COMPUTED_VALUE"""),46.03)</f>
        <v>46.03</v>
      </c>
      <c r="C58" s="2">
        <f t="shared" ca="1" si="0"/>
        <v>2.1772262138036453E-3</v>
      </c>
    </row>
    <row r="59" spans="1:3">
      <c r="A59" s="3">
        <f ca="1">IFERROR(__xludf.UNSUPPORTED("""COMPUTED_VALUE"""),43550.6666666666)</f>
        <v>43550.666666666599</v>
      </c>
      <c r="B59" s="1">
        <f ca="1">IFERROR(__xludf.UNSUPPORTED("""COMPUTED_VALUE"""),46.64)</f>
        <v>46.64</v>
      </c>
      <c r="C59" s="2">
        <f t="shared" ca="1" si="0"/>
        <v>1.3252226808603072E-2</v>
      </c>
    </row>
    <row r="60" spans="1:3">
      <c r="A60" s="3">
        <f ca="1">IFERROR(__xludf.UNSUPPORTED("""COMPUTED_VALUE"""),43551.6666666666)</f>
        <v>43551.666666666599</v>
      </c>
      <c r="B60" s="1">
        <f ca="1">IFERROR(__xludf.UNSUPPORTED("""COMPUTED_VALUE"""),46.61)</f>
        <v>46.61</v>
      </c>
      <c r="C60" s="2">
        <f t="shared" ca="1" si="0"/>
        <v>-6.4322469982849774E-4</v>
      </c>
    </row>
    <row r="61" spans="1:3">
      <c r="A61" s="3">
        <f ca="1">IFERROR(__xludf.UNSUPPORTED("""COMPUTED_VALUE"""),43552.6666666666)</f>
        <v>43552.666666666599</v>
      </c>
      <c r="B61" s="1">
        <f ca="1">IFERROR(__xludf.UNSUPPORTED("""COMPUTED_VALUE"""),46.58)</f>
        <v>46.58</v>
      </c>
      <c r="C61" s="2">
        <f t="shared" ca="1" si="0"/>
        <v>-6.4363870414076672E-4</v>
      </c>
    </row>
    <row r="62" spans="1:3">
      <c r="A62" s="3">
        <f ca="1">IFERROR(__xludf.UNSUPPORTED("""COMPUTED_VALUE"""),43553.6666666666)</f>
        <v>43553.666666666599</v>
      </c>
      <c r="B62" s="1">
        <f ca="1">IFERROR(__xludf.UNSUPPORTED("""COMPUTED_VALUE"""),46.86)</f>
        <v>46.86</v>
      </c>
      <c r="C62" s="2">
        <f t="shared" ca="1" si="0"/>
        <v>6.0111635895234257E-3</v>
      </c>
    </row>
    <row r="63" spans="1:3">
      <c r="A63" s="3">
        <f ca="1">IFERROR(__xludf.UNSUPPORTED("""COMPUTED_VALUE"""),43556.6666666666)</f>
        <v>43556.666666666599</v>
      </c>
      <c r="B63" s="1">
        <f ca="1">IFERROR(__xludf.UNSUPPORTED("""COMPUTED_VALUE"""),46.72)</f>
        <v>46.72</v>
      </c>
      <c r="C63" s="2">
        <f t="shared" ca="1" si="0"/>
        <v>-2.9876227059325773E-3</v>
      </c>
    </row>
    <row r="64" spans="1:3">
      <c r="A64" s="3">
        <f ca="1">IFERROR(__xludf.UNSUPPORTED("""COMPUTED_VALUE"""),43557.6666666666)</f>
        <v>43557.666666666599</v>
      </c>
      <c r="B64" s="1">
        <f ca="1">IFERROR(__xludf.UNSUPPORTED("""COMPUTED_VALUE"""),46.57)</f>
        <v>46.57</v>
      </c>
      <c r="C64" s="2">
        <f t="shared" ca="1" si="0"/>
        <v>-3.2106164383561338E-3</v>
      </c>
    </row>
    <row r="65" spans="1:3">
      <c r="A65" s="3">
        <f ca="1">IFERROR(__xludf.UNSUPPORTED("""COMPUTED_VALUE"""),43558.6666666666)</f>
        <v>43558.666666666599</v>
      </c>
      <c r="B65" s="1">
        <f ca="1">IFERROR(__xludf.UNSUPPORTED("""COMPUTED_VALUE"""),46.18)</f>
        <v>46.18</v>
      </c>
      <c r="C65" s="2">
        <f t="shared" ca="1" si="0"/>
        <v>-8.3744900150311483E-3</v>
      </c>
    </row>
    <row r="66" spans="1:3">
      <c r="A66" s="3">
        <f ca="1">IFERROR(__xludf.UNSUPPORTED("""COMPUTED_VALUE"""),43559.6666666666)</f>
        <v>43559.666666666599</v>
      </c>
      <c r="B66" s="1">
        <f ca="1">IFERROR(__xludf.UNSUPPORTED("""COMPUTED_VALUE"""),46.48)</f>
        <v>46.48</v>
      </c>
      <c r="C66" s="2">
        <f t="shared" ca="1" si="0"/>
        <v>6.4963187527067381E-3</v>
      </c>
    </row>
    <row r="67" spans="1:3">
      <c r="A67" s="3">
        <f ca="1">IFERROR(__xludf.UNSUPPORTED("""COMPUTED_VALUE"""),43560.6666666666)</f>
        <v>43560.666666666599</v>
      </c>
      <c r="B67" s="1">
        <f ca="1">IFERROR(__xludf.UNSUPPORTED("""COMPUTED_VALUE"""),46.47)</f>
        <v>46.47</v>
      </c>
      <c r="C67" s="2">
        <f t="shared" ca="1" si="0"/>
        <v>-2.1514629948360609E-4</v>
      </c>
    </row>
    <row r="68" spans="1:3">
      <c r="A68" s="3">
        <f ca="1">IFERROR(__xludf.UNSUPPORTED("""COMPUTED_VALUE"""),43563.6666666666)</f>
        <v>43563.666666666599</v>
      </c>
      <c r="B68" s="1">
        <f ca="1">IFERROR(__xludf.UNSUPPORTED("""COMPUTED_VALUE"""),46.55)</f>
        <v>46.55</v>
      </c>
      <c r="C68" s="2">
        <f t="shared" ca="1" si="0"/>
        <v>1.7215407789971657E-3</v>
      </c>
    </row>
    <row r="69" spans="1:3">
      <c r="A69" s="3">
        <f ca="1">IFERROR(__xludf.UNSUPPORTED("""COMPUTED_VALUE"""),43564.6666666666)</f>
        <v>43564.666666666599</v>
      </c>
      <c r="B69" s="1">
        <f ca="1">IFERROR(__xludf.UNSUPPORTED("""COMPUTED_VALUE"""),46.67)</f>
        <v>46.67</v>
      </c>
      <c r="C69" s="2">
        <f t="shared" ca="1" si="0"/>
        <v>2.5778732545650817E-3</v>
      </c>
    </row>
    <row r="70" spans="1:3">
      <c r="A70" s="3">
        <f ca="1">IFERROR(__xludf.UNSUPPORTED("""COMPUTED_VALUE"""),43565.6666666666)</f>
        <v>43565.666666666599</v>
      </c>
      <c r="B70" s="1">
        <f ca="1">IFERROR(__xludf.UNSUPPORTED("""COMPUTED_VALUE"""),46.64)</f>
        <v>46.64</v>
      </c>
      <c r="C70" s="2">
        <f t="shared" ca="1" si="0"/>
        <v>-6.4281122776946938E-4</v>
      </c>
    </row>
    <row r="71" spans="1:3">
      <c r="A71" s="3">
        <f ca="1">IFERROR(__xludf.UNSUPPORTED("""COMPUTED_VALUE"""),43566.6666666666)</f>
        <v>43566.666666666599</v>
      </c>
      <c r="B71" s="1">
        <f ca="1">IFERROR(__xludf.UNSUPPORTED("""COMPUTED_VALUE"""),46.71)</f>
        <v>46.71</v>
      </c>
      <c r="C71" s="2">
        <f t="shared" ca="1" si="0"/>
        <v>1.5008576329331106E-3</v>
      </c>
    </row>
    <row r="72" spans="1:3">
      <c r="A72" s="3">
        <f ca="1">IFERROR(__xludf.UNSUPPORTED("""COMPUTED_VALUE"""),43567.6666666666)</f>
        <v>43567.666666666599</v>
      </c>
      <c r="B72" s="1">
        <f ca="1">IFERROR(__xludf.UNSUPPORTED("""COMPUTED_VALUE"""),46.74)</f>
        <v>46.74</v>
      </c>
      <c r="C72" s="2">
        <f t="shared" ca="1" si="0"/>
        <v>6.4226075786771863E-4</v>
      </c>
    </row>
    <row r="73" spans="1:3">
      <c r="A73" s="3">
        <f ca="1">IFERROR(__xludf.UNSUPPORTED("""COMPUTED_VALUE"""),43570.6666666666)</f>
        <v>43570.666666666599</v>
      </c>
      <c r="B73" s="1">
        <f ca="1">IFERROR(__xludf.UNSUPPORTED("""COMPUTED_VALUE"""),47)</f>
        <v>47</v>
      </c>
      <c r="C73" s="2">
        <f t="shared" ca="1" si="0"/>
        <v>5.5626872058193834E-3</v>
      </c>
    </row>
    <row r="74" spans="1:3">
      <c r="A74" s="3">
        <f ca="1">IFERROR(__xludf.UNSUPPORTED("""COMPUTED_VALUE"""),43571.6666666666)</f>
        <v>43571.666666666599</v>
      </c>
      <c r="B74" s="1">
        <f ca="1">IFERROR(__xludf.UNSUPPORTED("""COMPUTED_VALUE"""),46.95)</f>
        <v>46.95</v>
      </c>
      <c r="C74" s="2">
        <f t="shared" ca="1" si="0"/>
        <v>-1.0638297872339821E-3</v>
      </c>
    </row>
    <row r="75" spans="1:3">
      <c r="A75" s="3">
        <f ca="1">IFERROR(__xludf.UNSUPPORTED("""COMPUTED_VALUE"""),43572.6666666666)</f>
        <v>43572.666666666599</v>
      </c>
      <c r="B75" s="1">
        <f ca="1">IFERROR(__xludf.UNSUPPORTED("""COMPUTED_VALUE"""),47.28)</f>
        <v>47.28</v>
      </c>
      <c r="C75" s="2">
        <f t="shared" ca="1" si="0"/>
        <v>7.0287539936101867E-3</v>
      </c>
    </row>
    <row r="76" spans="1:3">
      <c r="A76" s="3">
        <f ca="1">IFERROR(__xludf.UNSUPPORTED("""COMPUTED_VALUE"""),43573.6666666666)</f>
        <v>43573.666666666599</v>
      </c>
      <c r="B76" s="1">
        <f ca="1">IFERROR(__xludf.UNSUPPORTED("""COMPUTED_VALUE"""),47.48)</f>
        <v>47.48</v>
      </c>
      <c r="C76" s="2">
        <f t="shared" ca="1" si="0"/>
        <v>4.2301184433163226E-3</v>
      </c>
    </row>
    <row r="77" spans="1:3">
      <c r="A77" s="3">
        <f ca="1">IFERROR(__xludf.UNSUPPORTED("""COMPUTED_VALUE"""),43577.6666666666)</f>
        <v>43577.666666666599</v>
      </c>
      <c r="B77" s="1">
        <f ca="1">IFERROR(__xludf.UNSUPPORTED("""COMPUTED_VALUE"""),47.4)</f>
        <v>47.4</v>
      </c>
      <c r="C77" s="2">
        <f t="shared" ca="1" si="0"/>
        <v>-1.6849199663015648E-3</v>
      </c>
    </row>
    <row r="78" spans="1:3">
      <c r="A78" s="3">
        <f ca="1">IFERROR(__xludf.UNSUPPORTED("""COMPUTED_VALUE"""),43578.6666666666)</f>
        <v>43578.666666666599</v>
      </c>
      <c r="B78" s="1">
        <f ca="1">IFERROR(__xludf.UNSUPPORTED("""COMPUTED_VALUE"""),48.21)</f>
        <v>48.21</v>
      </c>
      <c r="C78" s="2">
        <f t="shared" ca="1" si="0"/>
        <v>1.7088607594936758E-2</v>
      </c>
    </row>
    <row r="79" spans="1:3">
      <c r="A79" s="3">
        <f ca="1">IFERROR(__xludf.UNSUPPORTED("""COMPUTED_VALUE"""),43579.6666666666)</f>
        <v>43579.666666666599</v>
      </c>
      <c r="B79" s="1">
        <f ca="1">IFERROR(__xludf.UNSUPPORTED("""COMPUTED_VALUE"""),47.98)</f>
        <v>47.98</v>
      </c>
      <c r="C79" s="2">
        <f t="shared" ca="1" si="0"/>
        <v>-4.7707944409874298E-3</v>
      </c>
    </row>
    <row r="80" spans="1:3">
      <c r="A80" s="3">
        <f ca="1">IFERROR(__xludf.UNSUPPORTED("""COMPUTED_VALUE"""),43580.6666666666)</f>
        <v>43580.666666666599</v>
      </c>
      <c r="B80" s="1">
        <f ca="1">IFERROR(__xludf.UNSUPPORTED("""COMPUTED_VALUE"""),47.84)</f>
        <v>47.84</v>
      </c>
      <c r="C80" s="2">
        <f t="shared" ca="1" si="0"/>
        <v>-2.9178824510211229E-3</v>
      </c>
    </row>
    <row r="81" spans="1:3">
      <c r="A81" s="3">
        <f ca="1">IFERROR(__xludf.UNSUPPORTED("""COMPUTED_VALUE"""),43581.6666666666)</f>
        <v>43581.666666666599</v>
      </c>
      <c r="B81" s="1">
        <f ca="1">IFERROR(__xludf.UNSUPPORTED("""COMPUTED_VALUE"""),48.26)</f>
        <v>48.26</v>
      </c>
      <c r="C81" s="2">
        <f t="shared" ca="1" si="0"/>
        <v>8.7792642140467093E-3</v>
      </c>
    </row>
    <row r="82" spans="1:3">
      <c r="A82" s="3">
        <f ca="1">IFERROR(__xludf.UNSUPPORTED("""COMPUTED_VALUE"""),43584.6666666666)</f>
        <v>43584.666666666599</v>
      </c>
      <c r="B82" s="1">
        <f ca="1">IFERROR(__xludf.UNSUPPORTED("""COMPUTED_VALUE"""),48.42)</f>
        <v>48.42</v>
      </c>
      <c r="C82" s="2">
        <f t="shared" ca="1" si="0"/>
        <v>3.3153750518028118E-3</v>
      </c>
    </row>
    <row r="83" spans="1:3">
      <c r="A83" s="3">
        <f ca="1">IFERROR(__xludf.UNSUPPORTED("""COMPUTED_VALUE"""),43585.6666666666)</f>
        <v>43585.666666666599</v>
      </c>
      <c r="B83" s="1">
        <f ca="1">IFERROR(__xludf.UNSUPPORTED("""COMPUTED_VALUE"""),49.06)</f>
        <v>49.06</v>
      </c>
      <c r="C83" s="2">
        <f t="shared" ca="1" si="0"/>
        <v>1.321767864518795E-2</v>
      </c>
    </row>
    <row r="84" spans="1:3">
      <c r="A84" s="3">
        <f ca="1">IFERROR(__xludf.UNSUPPORTED("""COMPUTED_VALUE"""),43586.6666666666)</f>
        <v>43586.666666666599</v>
      </c>
      <c r="B84" s="1">
        <f ca="1">IFERROR(__xludf.UNSUPPORTED("""COMPUTED_VALUE"""),48.59)</f>
        <v>48.59</v>
      </c>
      <c r="C84" s="2">
        <f t="shared" ca="1" si="0"/>
        <v>-9.5801059926620222E-3</v>
      </c>
    </row>
    <row r="85" spans="1:3">
      <c r="A85" s="3">
        <f ca="1">IFERROR(__xludf.UNSUPPORTED("""COMPUTED_VALUE"""),43587.6666666666)</f>
        <v>43587.666666666599</v>
      </c>
      <c r="B85" s="1">
        <f ca="1">IFERROR(__xludf.UNSUPPORTED("""COMPUTED_VALUE"""),48.39)</f>
        <v>48.39</v>
      </c>
      <c r="C85" s="2">
        <f t="shared" ca="1" si="0"/>
        <v>-4.1160732661041947E-3</v>
      </c>
    </row>
    <row r="86" spans="1:3">
      <c r="A86" s="3">
        <f ca="1">IFERROR(__xludf.UNSUPPORTED("""COMPUTED_VALUE"""),43588.6666666666)</f>
        <v>43588.666666666599</v>
      </c>
      <c r="B86" s="1">
        <f ca="1">IFERROR(__xludf.UNSUPPORTED("""COMPUTED_VALUE"""),48.72)</f>
        <v>48.72</v>
      </c>
      <c r="C86" s="2">
        <f t="shared" ca="1" si="0"/>
        <v>6.8195908245504916E-3</v>
      </c>
    </row>
    <row r="87" spans="1:3">
      <c r="A87" s="3">
        <f ca="1">IFERROR(__xludf.UNSUPPORTED("""COMPUTED_VALUE"""),43591.6666666666)</f>
        <v>43591.666666666599</v>
      </c>
      <c r="B87" s="1">
        <f ca="1">IFERROR(__xludf.UNSUPPORTED("""COMPUTED_VALUE"""),48.47)</f>
        <v>48.47</v>
      </c>
      <c r="C87" s="2">
        <f t="shared" ca="1" si="0"/>
        <v>-5.1313628899835794E-3</v>
      </c>
    </row>
    <row r="88" spans="1:3">
      <c r="A88" s="3">
        <f ca="1">IFERROR(__xludf.UNSUPPORTED("""COMPUTED_VALUE"""),43592.6666666666)</f>
        <v>43592.666666666599</v>
      </c>
      <c r="B88" s="1">
        <f ca="1">IFERROR(__xludf.UNSUPPORTED("""COMPUTED_VALUE"""),48)</f>
        <v>48</v>
      </c>
      <c r="C88" s="2">
        <f t="shared" ca="1" si="0"/>
        <v>-9.6967196203837196E-3</v>
      </c>
    </row>
    <row r="89" spans="1:3">
      <c r="A89" s="3">
        <f ca="1">IFERROR(__xludf.UNSUPPORTED("""COMPUTED_VALUE"""),43593.6666666666)</f>
        <v>43593.666666666599</v>
      </c>
      <c r="B89" s="1">
        <f ca="1">IFERROR(__xludf.UNSUPPORTED("""COMPUTED_VALUE"""),47.85)</f>
        <v>47.85</v>
      </c>
      <c r="C89" s="2">
        <f t="shared" ca="1" si="0"/>
        <v>-3.1249999999999702E-3</v>
      </c>
    </row>
    <row r="90" spans="1:3">
      <c r="A90" s="3">
        <f ca="1">IFERROR(__xludf.UNSUPPORTED("""COMPUTED_VALUE"""),43594.6666666666)</f>
        <v>43594.666666666599</v>
      </c>
      <c r="B90" s="1">
        <f ca="1">IFERROR(__xludf.UNSUPPORTED("""COMPUTED_VALUE"""),47.4)</f>
        <v>47.4</v>
      </c>
      <c r="C90" s="2">
        <f t="shared" ca="1" si="0"/>
        <v>-9.4043887147336018E-3</v>
      </c>
    </row>
    <row r="91" spans="1:3">
      <c r="A91" s="3">
        <f ca="1">IFERROR(__xludf.UNSUPPORTED("""COMPUTED_VALUE"""),43595.6666666666)</f>
        <v>43595.666666666599</v>
      </c>
      <c r="B91" s="1">
        <f ca="1">IFERROR(__xludf.UNSUPPORTED("""COMPUTED_VALUE"""),48.19)</f>
        <v>48.19</v>
      </c>
      <c r="C91" s="2">
        <f t="shared" ca="1" si="0"/>
        <v>1.6666666666666649E-2</v>
      </c>
    </row>
    <row r="92" spans="1:3">
      <c r="A92" s="3">
        <f ca="1">IFERROR(__xludf.UNSUPPORTED("""COMPUTED_VALUE"""),43598.6666666666)</f>
        <v>43598.666666666599</v>
      </c>
      <c r="B92" s="1">
        <f ca="1">IFERROR(__xludf.UNSUPPORTED("""COMPUTED_VALUE"""),48.05)</f>
        <v>48.05</v>
      </c>
      <c r="C92" s="2">
        <f t="shared" ca="1" si="0"/>
        <v>-2.9051670471052205E-3</v>
      </c>
    </row>
    <row r="93" spans="1:3">
      <c r="A93" s="3">
        <f ca="1">IFERROR(__xludf.UNSUPPORTED("""COMPUTED_VALUE"""),43599.6666666666)</f>
        <v>43599.666666666599</v>
      </c>
      <c r="B93" s="1">
        <f ca="1">IFERROR(__xludf.UNSUPPORTED("""COMPUTED_VALUE"""),48.69)</f>
        <v>48.69</v>
      </c>
      <c r="C93" s="2">
        <f t="shared" ca="1" si="0"/>
        <v>1.3319458896982323E-2</v>
      </c>
    </row>
    <row r="94" spans="1:3">
      <c r="A94" s="3">
        <f ca="1">IFERROR(__xludf.UNSUPPORTED("""COMPUTED_VALUE"""),43600.6666666666)</f>
        <v>43600.666666666599</v>
      </c>
      <c r="B94" s="1">
        <f ca="1">IFERROR(__xludf.UNSUPPORTED("""COMPUTED_VALUE"""),49.18)</f>
        <v>49.18</v>
      </c>
      <c r="C94" s="2">
        <f t="shared" ca="1" si="0"/>
        <v>1.006366810433358E-2</v>
      </c>
    </row>
    <row r="95" spans="1:3">
      <c r="A95" s="3">
        <f ca="1">IFERROR(__xludf.UNSUPPORTED("""COMPUTED_VALUE"""),43601.6666666666)</f>
        <v>43601.666666666599</v>
      </c>
      <c r="B95" s="1">
        <f ca="1">IFERROR(__xludf.UNSUPPORTED("""COMPUTED_VALUE"""),49.58)</f>
        <v>49.58</v>
      </c>
      <c r="C95" s="2">
        <f t="shared" ca="1" si="0"/>
        <v>8.1333875559170109E-3</v>
      </c>
    </row>
    <row r="96" spans="1:3">
      <c r="A96" s="3">
        <f ca="1">IFERROR(__xludf.UNSUPPORTED("""COMPUTED_VALUE"""),43602.6666666666)</f>
        <v>43602.666666666599</v>
      </c>
      <c r="B96" s="1">
        <f ca="1">IFERROR(__xludf.UNSUPPORTED("""COMPUTED_VALUE"""),49.2)</f>
        <v>49.2</v>
      </c>
      <c r="C96" s="2">
        <f t="shared" ca="1" si="0"/>
        <v>-7.6643807987090652E-3</v>
      </c>
    </row>
    <row r="97" spans="1:3">
      <c r="A97" s="3">
        <f ca="1">IFERROR(__xludf.UNSUPPORTED("""COMPUTED_VALUE"""),43605.6666666666)</f>
        <v>43605.666666666599</v>
      </c>
      <c r="B97" s="1">
        <f ca="1">IFERROR(__xludf.UNSUPPORTED("""COMPUTED_VALUE"""),48.85)</f>
        <v>48.85</v>
      </c>
      <c r="C97" s="2">
        <f t="shared" ca="1" si="0"/>
        <v>-7.1138211382114104E-3</v>
      </c>
    </row>
    <row r="98" spans="1:3">
      <c r="A98" s="3">
        <f ca="1">IFERROR(__xludf.UNSUPPORTED("""COMPUTED_VALUE"""),43606.6666666666)</f>
        <v>43606.666666666599</v>
      </c>
      <c r="B98" s="1">
        <f ca="1">IFERROR(__xludf.UNSUPPORTED("""COMPUTED_VALUE"""),48.6)</f>
        <v>48.6</v>
      </c>
      <c r="C98" s="2">
        <f t="shared" ca="1" si="0"/>
        <v>-5.1177072671443188E-3</v>
      </c>
    </row>
    <row r="99" spans="1:3">
      <c r="A99" s="3">
        <f ca="1">IFERROR(__xludf.UNSUPPORTED("""COMPUTED_VALUE"""),43607.6666666666)</f>
        <v>43607.666666666599</v>
      </c>
      <c r="B99" s="1">
        <f ca="1">IFERROR(__xludf.UNSUPPORTED("""COMPUTED_VALUE"""),49.65)</f>
        <v>49.65</v>
      </c>
      <c r="C99" s="2">
        <f t="shared" ca="1" si="0"/>
        <v>2.1604938271604878E-2</v>
      </c>
    </row>
    <row r="100" spans="1:3">
      <c r="A100" s="3">
        <f ca="1">IFERROR(__xludf.UNSUPPORTED("""COMPUTED_VALUE"""),43608.6666666666)</f>
        <v>43608.666666666599</v>
      </c>
      <c r="B100" s="1">
        <f ca="1">IFERROR(__xludf.UNSUPPORTED("""COMPUTED_VALUE"""),49.85)</f>
        <v>49.85</v>
      </c>
      <c r="C100" s="2">
        <f t="shared" ca="1" si="0"/>
        <v>4.0281973816717592E-3</v>
      </c>
    </row>
    <row r="101" spans="1:3">
      <c r="A101" s="3">
        <f ca="1">IFERROR(__xludf.UNSUPPORTED("""COMPUTED_VALUE"""),43609.6666666666)</f>
        <v>43609.666666666599</v>
      </c>
      <c r="B101" s="1">
        <f ca="1">IFERROR(__xludf.UNSUPPORTED("""COMPUTED_VALUE"""),49.61)</f>
        <v>49.61</v>
      </c>
      <c r="C101" s="2">
        <f t="shared" ca="1" si="0"/>
        <v>-4.81444332999001E-3</v>
      </c>
    </row>
    <row r="102" spans="1:3">
      <c r="A102" s="3">
        <f ca="1">IFERROR(__xludf.UNSUPPORTED("""COMPUTED_VALUE"""),43613.6666666666)</f>
        <v>43613.666666666599</v>
      </c>
      <c r="B102" s="1">
        <f ca="1">IFERROR(__xludf.UNSUPPORTED("""COMPUTED_VALUE"""),49.1)</f>
        <v>49.1</v>
      </c>
      <c r="C102" s="2">
        <f t="shared" ca="1" si="0"/>
        <v>-1.0280185446482524E-2</v>
      </c>
    </row>
    <row r="103" spans="1:3">
      <c r="A103" s="3">
        <f ca="1">IFERROR(__xludf.UNSUPPORTED("""COMPUTED_VALUE"""),43614.6666666666)</f>
        <v>43614.666666666599</v>
      </c>
      <c r="B103" s="1">
        <f ca="1">IFERROR(__xludf.UNSUPPORTED("""COMPUTED_VALUE"""),48.61)</f>
        <v>48.61</v>
      </c>
      <c r="C103" s="2">
        <f t="shared" ca="1" si="0"/>
        <v>-9.9796334012220364E-3</v>
      </c>
    </row>
    <row r="104" spans="1:3">
      <c r="A104" s="3">
        <f ca="1">IFERROR(__xludf.UNSUPPORTED("""COMPUTED_VALUE"""),43615.6666666666)</f>
        <v>43615.666666666599</v>
      </c>
      <c r="B104" s="1">
        <f ca="1">IFERROR(__xludf.UNSUPPORTED("""COMPUTED_VALUE"""),49.25)</f>
        <v>49.25</v>
      </c>
      <c r="C104" s="2">
        <f t="shared" ca="1" si="0"/>
        <v>1.3166015223205114E-2</v>
      </c>
    </row>
    <row r="105" spans="1:3">
      <c r="A105" s="3">
        <f ca="1">IFERROR(__xludf.UNSUPPORTED("""COMPUTED_VALUE"""),43616.6666666666)</f>
        <v>43616.666666666599</v>
      </c>
      <c r="B105" s="1">
        <f ca="1">IFERROR(__xludf.UNSUPPORTED("""COMPUTED_VALUE"""),49.13)</f>
        <v>49.13</v>
      </c>
      <c r="C105" s="2">
        <f t="shared" ca="1" si="0"/>
        <v>-2.4365482233502018E-3</v>
      </c>
    </row>
    <row r="106" spans="1:3">
      <c r="A106" s="3">
        <f ca="1">IFERROR(__xludf.UNSUPPORTED("""COMPUTED_VALUE"""),43619.6666666666)</f>
        <v>43619.666666666599</v>
      </c>
      <c r="B106" s="1">
        <f ca="1">IFERROR(__xludf.UNSUPPORTED("""COMPUTED_VALUE"""),49.98)</f>
        <v>49.98</v>
      </c>
      <c r="C106" s="2">
        <f t="shared" ca="1" si="0"/>
        <v>1.730103806228362E-2</v>
      </c>
    </row>
    <row r="107" spans="1:3">
      <c r="A107" s="3">
        <f ca="1">IFERROR(__xludf.UNSUPPORTED("""COMPUTED_VALUE"""),43620.6666666666)</f>
        <v>43620.666666666599</v>
      </c>
      <c r="B107" s="1">
        <f ca="1">IFERROR(__xludf.UNSUPPORTED("""COMPUTED_VALUE"""),50)</f>
        <v>50</v>
      </c>
      <c r="C107" s="2">
        <f t="shared" ca="1" si="0"/>
        <v>4.0016006402567283E-4</v>
      </c>
    </row>
    <row r="108" spans="1:3">
      <c r="A108" s="3">
        <f ca="1">IFERROR(__xludf.UNSUPPORTED("""COMPUTED_VALUE"""),43621.6666666666)</f>
        <v>43621.666666666599</v>
      </c>
      <c r="B108" s="1">
        <f ca="1">IFERROR(__xludf.UNSUPPORTED("""COMPUTED_VALUE"""),50.78)</f>
        <v>50.78</v>
      </c>
      <c r="C108" s="2">
        <f t="shared" ca="1" si="0"/>
        <v>1.5600000000000024E-2</v>
      </c>
    </row>
    <row r="109" spans="1:3">
      <c r="A109" s="3">
        <f ca="1">IFERROR(__xludf.UNSUPPORTED("""COMPUTED_VALUE"""),43622.6666666666)</f>
        <v>43622.666666666599</v>
      </c>
      <c r="B109" s="1">
        <f ca="1">IFERROR(__xludf.UNSUPPORTED("""COMPUTED_VALUE"""),51.4)</f>
        <v>51.4</v>
      </c>
      <c r="C109" s="2">
        <f t="shared" ca="1" si="0"/>
        <v>1.2209531311539925E-2</v>
      </c>
    </row>
    <row r="110" spans="1:3">
      <c r="A110" s="3">
        <f ca="1">IFERROR(__xludf.UNSUPPORTED("""COMPUTED_VALUE"""),43623.6666666666)</f>
        <v>43623.666666666599</v>
      </c>
      <c r="B110" s="1">
        <f ca="1">IFERROR(__xludf.UNSUPPORTED("""COMPUTED_VALUE"""),51.49)</f>
        <v>51.49</v>
      </c>
      <c r="C110" s="2">
        <f t="shared" ca="1" si="0"/>
        <v>1.7509727626459808E-3</v>
      </c>
    </row>
    <row r="111" spans="1:3">
      <c r="A111" s="3">
        <f ca="1">IFERROR(__xludf.UNSUPPORTED("""COMPUTED_VALUE"""),43626.6666666666)</f>
        <v>43626.666666666599</v>
      </c>
      <c r="B111" s="1">
        <f ca="1">IFERROR(__xludf.UNSUPPORTED("""COMPUTED_VALUE"""),51.38)</f>
        <v>51.38</v>
      </c>
      <c r="C111" s="2">
        <f t="shared" ca="1" si="0"/>
        <v>-2.1363371528452016E-3</v>
      </c>
    </row>
    <row r="112" spans="1:3">
      <c r="A112" s="3">
        <f ca="1">IFERROR(__xludf.UNSUPPORTED("""COMPUTED_VALUE"""),43627.6666666666)</f>
        <v>43627.666666666599</v>
      </c>
      <c r="B112" s="1">
        <f ca="1">IFERROR(__xludf.UNSUPPORTED("""COMPUTED_VALUE"""),51.33)</f>
        <v>51.33</v>
      </c>
      <c r="C112" s="2">
        <f t="shared" ca="1" si="0"/>
        <v>-9.7314130011685992E-4</v>
      </c>
    </row>
    <row r="113" spans="1:3">
      <c r="A113" s="3">
        <f ca="1">IFERROR(__xludf.UNSUPPORTED("""COMPUTED_VALUE"""),43628.6666666666)</f>
        <v>43628.666666666599</v>
      </c>
      <c r="B113" s="1">
        <f ca="1">IFERROR(__xludf.UNSUPPORTED("""COMPUTED_VALUE"""),51.64)</f>
        <v>51.64</v>
      </c>
      <c r="C113" s="2">
        <f t="shared" ca="1" si="0"/>
        <v>6.0393532047536003E-3</v>
      </c>
    </row>
    <row r="114" spans="1:3">
      <c r="A114" s="3">
        <f ca="1">IFERROR(__xludf.UNSUPPORTED("""COMPUTED_VALUE"""),43629.6666666666)</f>
        <v>43629.666666666599</v>
      </c>
      <c r="B114" s="1">
        <f ca="1">IFERROR(__xludf.UNSUPPORTED("""COMPUTED_VALUE"""),51.13)</f>
        <v>51.13</v>
      </c>
      <c r="C114" s="2">
        <f t="shared" ca="1" si="0"/>
        <v>-9.8760650658403955E-3</v>
      </c>
    </row>
    <row r="115" spans="1:3">
      <c r="A115" s="3">
        <f ca="1">IFERROR(__xludf.UNSUPPORTED("""COMPUTED_VALUE"""),43630.6666666666)</f>
        <v>43630.666666666599</v>
      </c>
      <c r="B115" s="1">
        <f ca="1">IFERROR(__xludf.UNSUPPORTED("""COMPUTED_VALUE"""),51.31)</f>
        <v>51.31</v>
      </c>
      <c r="C115" s="2">
        <f t="shared" ca="1" si="0"/>
        <v>3.5204380989634207E-3</v>
      </c>
    </row>
    <row r="116" spans="1:3">
      <c r="A116" s="3">
        <f ca="1">IFERROR(__xludf.UNSUPPORTED("""COMPUTED_VALUE"""),43633.6666666666)</f>
        <v>43633.666666666599</v>
      </c>
      <c r="B116" s="1">
        <f ca="1">IFERROR(__xludf.UNSUPPORTED("""COMPUTED_VALUE"""),50.87)</f>
        <v>50.87</v>
      </c>
      <c r="C116" s="2">
        <f t="shared" ca="1" si="0"/>
        <v>-8.5753264470864315E-3</v>
      </c>
    </row>
    <row r="117" spans="1:3">
      <c r="A117" s="3">
        <f ca="1">IFERROR(__xludf.UNSUPPORTED("""COMPUTED_VALUE"""),43634.6666666666)</f>
        <v>43634.666666666599</v>
      </c>
      <c r="B117" s="1">
        <f ca="1">IFERROR(__xludf.UNSUPPORTED("""COMPUTED_VALUE"""),50.64)</f>
        <v>50.64</v>
      </c>
      <c r="C117" s="2">
        <f t="shared" ca="1" si="0"/>
        <v>-4.5213288775309002E-3</v>
      </c>
    </row>
    <row r="118" spans="1:3">
      <c r="A118" s="3">
        <f ca="1">IFERROR(__xludf.UNSUPPORTED("""COMPUTED_VALUE"""),43635.6666666666)</f>
        <v>43635.666666666599</v>
      </c>
      <c r="B118" s="1">
        <f ca="1">IFERROR(__xludf.UNSUPPORTED("""COMPUTED_VALUE"""),51.12)</f>
        <v>51.12</v>
      </c>
      <c r="C118" s="2">
        <f t="shared" ca="1" si="0"/>
        <v>9.4786729857819288E-3</v>
      </c>
    </row>
    <row r="119" spans="1:3">
      <c r="A119" s="3">
        <f ca="1">IFERROR(__xludf.UNSUPPORTED("""COMPUTED_VALUE"""),43636.6666666666)</f>
        <v>43636.666666666599</v>
      </c>
      <c r="B119" s="1">
        <f ca="1">IFERROR(__xludf.UNSUPPORTED("""COMPUTED_VALUE"""),51.66)</f>
        <v>51.66</v>
      </c>
      <c r="C119" s="2">
        <f t="shared" ca="1" si="0"/>
        <v>1.0563380281690125E-2</v>
      </c>
    </row>
    <row r="120" spans="1:3">
      <c r="A120" s="3">
        <f ca="1">IFERROR(__xludf.UNSUPPORTED("""COMPUTED_VALUE"""),43637.6666666666)</f>
        <v>43637.666666666599</v>
      </c>
      <c r="B120" s="1">
        <f ca="1">IFERROR(__xludf.UNSUPPORTED("""COMPUTED_VALUE"""),51.55)</f>
        <v>51.55</v>
      </c>
      <c r="C120" s="2">
        <f t="shared" ca="1" si="0"/>
        <v>-2.129307007355777E-3</v>
      </c>
    </row>
    <row r="121" spans="1:3">
      <c r="A121" s="3">
        <f ca="1">IFERROR(__xludf.UNSUPPORTED("""COMPUTED_VALUE"""),43640.6666666666)</f>
        <v>43640.666666666599</v>
      </c>
      <c r="B121" s="1">
        <f ca="1">IFERROR(__xludf.UNSUPPORTED("""COMPUTED_VALUE"""),51.92)</f>
        <v>51.92</v>
      </c>
      <c r="C121" s="2">
        <f t="shared" ca="1" si="0"/>
        <v>7.1774975751698264E-3</v>
      </c>
    </row>
    <row r="122" spans="1:3">
      <c r="A122" s="3">
        <f ca="1">IFERROR(__xludf.UNSUPPORTED("""COMPUTED_VALUE"""),43641.6666666666)</f>
        <v>43641.666666666599</v>
      </c>
      <c r="B122" s="1">
        <f ca="1">IFERROR(__xludf.UNSUPPORTED("""COMPUTED_VALUE"""),51.76)</f>
        <v>51.76</v>
      </c>
      <c r="C122" s="2">
        <f t="shared" ca="1" si="0"/>
        <v>-3.0816640986133224E-3</v>
      </c>
    </row>
    <row r="123" spans="1:3">
      <c r="A123" s="3">
        <f ca="1">IFERROR(__xludf.UNSUPPORTED("""COMPUTED_VALUE"""),43642.6666666666)</f>
        <v>43642.666666666599</v>
      </c>
      <c r="B123" s="1">
        <f ca="1">IFERROR(__xludf.UNSUPPORTED("""COMPUTED_VALUE"""),51.12)</f>
        <v>51.12</v>
      </c>
      <c r="C123" s="2">
        <f t="shared" ca="1" si="0"/>
        <v>-1.2364760432766627E-2</v>
      </c>
    </row>
    <row r="124" spans="1:3">
      <c r="A124" s="3">
        <f ca="1">IFERROR(__xludf.UNSUPPORTED("""COMPUTED_VALUE"""),43643.6666666666)</f>
        <v>43643.666666666599</v>
      </c>
      <c r="B124" s="1">
        <f ca="1">IFERROR(__xludf.UNSUPPORTED("""COMPUTED_VALUE"""),51.08)</f>
        <v>51.08</v>
      </c>
      <c r="C124" s="2">
        <f t="shared" ca="1" si="0"/>
        <v>-7.8247261345851227E-4</v>
      </c>
    </row>
    <row r="125" spans="1:3">
      <c r="A125" s="3">
        <f ca="1">IFERROR(__xludf.UNSUPPORTED("""COMPUTED_VALUE"""),43644.6666666666)</f>
        <v>43644.666666666599</v>
      </c>
      <c r="B125" s="1">
        <f ca="1">IFERROR(__xludf.UNSUPPORTED("""COMPUTED_VALUE"""),50.92)</f>
        <v>50.92</v>
      </c>
      <c r="C125" s="2">
        <f t="shared" ca="1" si="0"/>
        <v>-3.1323414252152817E-3</v>
      </c>
    </row>
    <row r="126" spans="1:3">
      <c r="A126" s="3">
        <f ca="1">IFERROR(__xludf.UNSUPPORTED("""COMPUTED_VALUE"""),43647.6666666666)</f>
        <v>43647.666666666599</v>
      </c>
      <c r="B126" s="1">
        <f ca="1">IFERROR(__xludf.UNSUPPORTED("""COMPUTED_VALUE"""),51.6)</f>
        <v>51.6</v>
      </c>
      <c r="C126" s="2">
        <f t="shared" ca="1" si="0"/>
        <v>1.3354281225451682E-2</v>
      </c>
    </row>
    <row r="127" spans="1:3">
      <c r="A127" s="3">
        <f ca="1">IFERROR(__xludf.UNSUPPORTED("""COMPUTED_VALUE"""),43648.6666666666)</f>
        <v>43648.666666666599</v>
      </c>
      <c r="B127" s="1">
        <f ca="1">IFERROR(__xludf.UNSUPPORTED("""COMPUTED_VALUE"""),51.98)</f>
        <v>51.98</v>
      </c>
      <c r="C127" s="2">
        <f t="shared" ca="1" si="0"/>
        <v>7.3643410852712293E-3</v>
      </c>
    </row>
    <row r="128" spans="1:3">
      <c r="A128" s="3">
        <f ca="1">IFERROR(__xludf.UNSUPPORTED("""COMPUTED_VALUE"""),43649.5416666666)</f>
        <v>43649.541666666599</v>
      </c>
      <c r="B128" s="1">
        <f ca="1">IFERROR(__xludf.UNSUPPORTED("""COMPUTED_VALUE"""),52.1)</f>
        <v>52.1</v>
      </c>
      <c r="C128" s="2">
        <f t="shared" ca="1" si="0"/>
        <v>2.3085802231628426E-3</v>
      </c>
    </row>
    <row r="129" spans="1:3">
      <c r="A129" s="3">
        <f ca="1">IFERROR(__xludf.UNSUPPORTED("""COMPUTED_VALUE"""),43651.6666666666)</f>
        <v>43651.666666666599</v>
      </c>
      <c r="B129" s="1">
        <f ca="1">IFERROR(__xludf.UNSUPPORTED("""COMPUTED_VALUE"""),52.11)</f>
        <v>52.11</v>
      </c>
      <c r="C129" s="2">
        <f t="shared" ca="1" si="0"/>
        <v>1.9193857965447237E-4</v>
      </c>
    </row>
    <row r="130" spans="1:3">
      <c r="A130" s="3">
        <f ca="1">IFERROR(__xludf.UNSUPPORTED("""COMPUTED_VALUE"""),43654.6666666666)</f>
        <v>43654.666666666599</v>
      </c>
      <c r="B130" s="1">
        <f ca="1">IFERROR(__xludf.UNSUPPORTED("""COMPUTED_VALUE"""),52)</f>
        <v>52</v>
      </c>
      <c r="C130" s="2">
        <f t="shared" ca="1" si="0"/>
        <v>-2.1109192093647943E-3</v>
      </c>
    </row>
    <row r="131" spans="1:3">
      <c r="A131" s="3">
        <f ca="1">IFERROR(__xludf.UNSUPPORTED("""COMPUTED_VALUE"""),43655.6666666666)</f>
        <v>43655.666666666599</v>
      </c>
      <c r="B131" s="1">
        <f ca="1">IFERROR(__xludf.UNSUPPORTED("""COMPUTED_VALUE"""),51.59)</f>
        <v>51.59</v>
      </c>
      <c r="C131" s="2">
        <f t="shared" ca="1" si="0"/>
        <v>-7.8846153846153198E-3</v>
      </c>
    </row>
    <row r="132" spans="1:3">
      <c r="A132" s="3">
        <f ca="1">IFERROR(__xludf.UNSUPPORTED("""COMPUTED_VALUE"""),43656.6666666666)</f>
        <v>43656.666666666599</v>
      </c>
      <c r="B132" s="1">
        <f ca="1">IFERROR(__xludf.UNSUPPORTED("""COMPUTED_VALUE"""),51.82)</f>
        <v>51.82</v>
      </c>
      <c r="C132" s="2">
        <f t="shared" ca="1" si="0"/>
        <v>4.4582283388252932E-3</v>
      </c>
    </row>
    <row r="133" spans="1:3">
      <c r="A133" s="3">
        <f ca="1">IFERROR(__xludf.UNSUPPORTED("""COMPUTED_VALUE"""),43657.6666666666)</f>
        <v>43657.666666666599</v>
      </c>
      <c r="B133" s="1">
        <f ca="1">IFERROR(__xludf.UNSUPPORTED("""COMPUTED_VALUE"""),52.04)</f>
        <v>52.04</v>
      </c>
      <c r="C133" s="2">
        <f t="shared" ca="1" si="0"/>
        <v>4.2454650714009818E-3</v>
      </c>
    </row>
    <row r="134" spans="1:3">
      <c r="A134" s="3">
        <f ca="1">IFERROR(__xludf.UNSUPPORTED("""COMPUTED_VALUE"""),43658.6666666666)</f>
        <v>43658.666666666599</v>
      </c>
      <c r="B134" s="1">
        <f ca="1">IFERROR(__xludf.UNSUPPORTED("""COMPUTED_VALUE"""),52.12)</f>
        <v>52.12</v>
      </c>
      <c r="C134" s="2">
        <f t="shared" ca="1" si="0"/>
        <v>1.5372790161413969E-3</v>
      </c>
    </row>
    <row r="135" spans="1:3">
      <c r="A135" s="3">
        <f ca="1">IFERROR(__xludf.UNSUPPORTED("""COMPUTED_VALUE"""),43661.6666666666)</f>
        <v>43661.666666666599</v>
      </c>
      <c r="B135" s="1">
        <f ca="1">IFERROR(__xludf.UNSUPPORTED("""COMPUTED_VALUE"""),52.13)</f>
        <v>52.13</v>
      </c>
      <c r="C135" s="2">
        <f t="shared" ca="1" si="0"/>
        <v>1.9186492709142588E-4</v>
      </c>
    </row>
    <row r="136" spans="1:3">
      <c r="A136" s="3">
        <f ca="1">IFERROR(__xludf.UNSUPPORTED("""COMPUTED_VALUE"""),43662.6666666666)</f>
        <v>43662.666666666599</v>
      </c>
      <c r="B136" s="1">
        <f ca="1">IFERROR(__xludf.UNSUPPORTED("""COMPUTED_VALUE"""),52.14)</f>
        <v>52.14</v>
      </c>
      <c r="C136" s="2">
        <f t="shared" ca="1" si="0"/>
        <v>1.9182812200264741E-4</v>
      </c>
    </row>
    <row r="137" spans="1:3">
      <c r="A137" s="3">
        <f ca="1">IFERROR(__xludf.UNSUPPORTED("""COMPUTED_VALUE"""),43663.6666666666)</f>
        <v>43663.666666666599</v>
      </c>
      <c r="B137" s="1">
        <f ca="1">IFERROR(__xludf.UNSUPPORTED("""COMPUTED_VALUE"""),52.18)</f>
        <v>52.18</v>
      </c>
      <c r="C137" s="2">
        <f t="shared" ca="1" si="0"/>
        <v>7.6716532412733304E-4</v>
      </c>
    </row>
    <row r="138" spans="1:3">
      <c r="A138" s="3">
        <f ca="1">IFERROR(__xludf.UNSUPPORTED("""COMPUTED_VALUE"""),43664.6666666666)</f>
        <v>43664.666666666599</v>
      </c>
      <c r="B138" s="1">
        <f ca="1">IFERROR(__xludf.UNSUPPORTED("""COMPUTED_VALUE"""),52.03)</f>
        <v>52.03</v>
      </c>
      <c r="C138" s="2">
        <f t="shared" ca="1" si="0"/>
        <v>-2.8746646224606857E-3</v>
      </c>
    </row>
    <row r="139" spans="1:3">
      <c r="A139" s="3">
        <f ca="1">IFERROR(__xludf.UNSUPPORTED("""COMPUTED_VALUE"""),43665.6666666666)</f>
        <v>43665.666666666599</v>
      </c>
      <c r="B139" s="1">
        <f ca="1">IFERROR(__xludf.UNSUPPORTED("""COMPUTED_VALUE"""),51.39)</f>
        <v>51.39</v>
      </c>
      <c r="C139" s="2">
        <f t="shared" ca="1" si="0"/>
        <v>-1.2300595810109562E-2</v>
      </c>
    </row>
    <row r="140" spans="1:3">
      <c r="A140" s="3">
        <f ca="1">IFERROR(__xludf.UNSUPPORTED("""COMPUTED_VALUE"""),43668.6666666666)</f>
        <v>43668.666666666599</v>
      </c>
      <c r="B140" s="1">
        <f ca="1">IFERROR(__xludf.UNSUPPORTED("""COMPUTED_VALUE"""),51.22)</f>
        <v>51.22</v>
      </c>
      <c r="C140" s="2">
        <f t="shared" ca="1" si="0"/>
        <v>-3.3080365829928331E-3</v>
      </c>
    </row>
    <row r="141" spans="1:3">
      <c r="A141" s="3">
        <f ca="1">IFERROR(__xludf.UNSUPPORTED("""COMPUTED_VALUE"""),43669.6666666666)</f>
        <v>43669.666666666599</v>
      </c>
      <c r="B141" s="1">
        <f ca="1">IFERROR(__xludf.UNSUPPORTED("""COMPUTED_VALUE"""),54.33)</f>
        <v>54.33</v>
      </c>
      <c r="C141" s="2">
        <f t="shared" ca="1" si="0"/>
        <v>6.0718469347910961E-2</v>
      </c>
    </row>
    <row r="142" spans="1:3">
      <c r="A142" s="3">
        <f ca="1">IFERROR(__xludf.UNSUPPORTED("""COMPUTED_VALUE"""),43670.6666666666)</f>
        <v>43670.666666666599</v>
      </c>
      <c r="B142" s="1">
        <f ca="1">IFERROR(__xludf.UNSUPPORTED("""COMPUTED_VALUE"""),53.78)</f>
        <v>53.78</v>
      </c>
      <c r="C142" s="2">
        <f t="shared" ca="1" si="0"/>
        <v>-1.0123320449107255E-2</v>
      </c>
    </row>
    <row r="143" spans="1:3">
      <c r="A143" s="3">
        <f ca="1">IFERROR(__xludf.UNSUPPORTED("""COMPUTED_VALUE"""),43671.6666666666)</f>
        <v>43671.666666666599</v>
      </c>
      <c r="B143" s="1">
        <f ca="1">IFERROR(__xludf.UNSUPPORTED("""COMPUTED_VALUE"""),53.07)</f>
        <v>53.07</v>
      </c>
      <c r="C143" s="2">
        <f t="shared" ca="1" si="0"/>
        <v>-1.3201933804388263E-2</v>
      </c>
    </row>
    <row r="144" spans="1:3">
      <c r="A144" s="3">
        <f ca="1">IFERROR(__xludf.UNSUPPORTED("""COMPUTED_VALUE"""),43672.6666666666)</f>
        <v>43672.666666666599</v>
      </c>
      <c r="B144" s="1">
        <f ca="1">IFERROR(__xludf.UNSUPPORTED("""COMPUTED_VALUE"""),54.17)</f>
        <v>54.17</v>
      </c>
      <c r="C144" s="2">
        <f t="shared" ca="1" si="0"/>
        <v>2.072734124740911E-2</v>
      </c>
    </row>
    <row r="145" spans="1:3">
      <c r="A145" s="3">
        <f ca="1">IFERROR(__xludf.UNSUPPORTED("""COMPUTED_VALUE"""),43675.6666666666)</f>
        <v>43675.666666666599</v>
      </c>
      <c r="B145" s="1">
        <f ca="1">IFERROR(__xludf.UNSUPPORTED("""COMPUTED_VALUE"""),53.99)</f>
        <v>53.99</v>
      </c>
      <c r="C145" s="2">
        <f t="shared" ca="1" si="0"/>
        <v>-3.3228724386191563E-3</v>
      </c>
    </row>
    <row r="146" spans="1:3">
      <c r="A146" s="3">
        <f ca="1">IFERROR(__xludf.UNSUPPORTED("""COMPUTED_VALUE"""),43676.6666666666)</f>
        <v>43676.666666666599</v>
      </c>
      <c r="B146" s="1">
        <f ca="1">IFERROR(__xludf.UNSUPPORTED("""COMPUTED_VALUE"""),53.72)</f>
        <v>53.72</v>
      </c>
      <c r="C146" s="2">
        <f t="shared" ca="1" si="0"/>
        <v>-5.0009260974255071E-3</v>
      </c>
    </row>
    <row r="147" spans="1:3">
      <c r="A147" s="3">
        <f ca="1">IFERROR(__xludf.UNSUPPORTED("""COMPUTED_VALUE"""),43677.6666666666)</f>
        <v>43677.666666666599</v>
      </c>
      <c r="B147" s="1">
        <f ca="1">IFERROR(__xludf.UNSUPPORTED("""COMPUTED_VALUE"""),52.63)</f>
        <v>52.63</v>
      </c>
      <c r="C147" s="2">
        <f t="shared" ca="1" si="0"/>
        <v>-2.0290394638868139E-2</v>
      </c>
    </row>
    <row r="148" spans="1:3">
      <c r="A148" s="3">
        <f ca="1">IFERROR(__xludf.UNSUPPORTED("""COMPUTED_VALUE"""),43678.6666666666)</f>
        <v>43678.666666666599</v>
      </c>
      <c r="B148" s="1">
        <f ca="1">IFERROR(__xludf.UNSUPPORTED("""COMPUTED_VALUE"""),52.03)</f>
        <v>52.03</v>
      </c>
      <c r="C148" s="2">
        <f t="shared" ca="1" si="0"/>
        <v>-1.1400342010260335E-2</v>
      </c>
    </row>
    <row r="149" spans="1:3">
      <c r="A149" s="3">
        <f ca="1">IFERROR(__xludf.UNSUPPORTED("""COMPUTED_VALUE"""),43679.6666666666)</f>
        <v>43679.666666666599</v>
      </c>
      <c r="B149" s="1">
        <f ca="1">IFERROR(__xludf.UNSUPPORTED("""COMPUTED_VALUE"""),52.33)</f>
        <v>52.33</v>
      </c>
      <c r="C149" s="2">
        <f t="shared" ca="1" si="0"/>
        <v>5.7659042859887983E-3</v>
      </c>
    </row>
    <row r="150" spans="1:3">
      <c r="A150" s="3">
        <f ca="1">IFERROR(__xludf.UNSUPPORTED("""COMPUTED_VALUE"""),43682.6666666666)</f>
        <v>43682.666666666599</v>
      </c>
      <c r="B150" s="1">
        <f ca="1">IFERROR(__xludf.UNSUPPORTED("""COMPUTED_VALUE"""),51.65)</f>
        <v>51.65</v>
      </c>
      <c r="C150" s="2">
        <f t="shared" ca="1" si="0"/>
        <v>-1.2994458245748132E-2</v>
      </c>
    </row>
    <row r="151" spans="1:3">
      <c r="A151" s="3">
        <f ca="1">IFERROR(__xludf.UNSUPPORTED("""COMPUTED_VALUE"""),43683.6666666666)</f>
        <v>43683.666666666599</v>
      </c>
      <c r="B151" s="1">
        <f ca="1">IFERROR(__xludf.UNSUPPORTED("""COMPUTED_VALUE"""),52.27)</f>
        <v>52.27</v>
      </c>
      <c r="C151" s="2">
        <f t="shared" ca="1" si="0"/>
        <v>1.2003872216844232E-2</v>
      </c>
    </row>
    <row r="152" spans="1:3">
      <c r="A152" s="3">
        <f ca="1">IFERROR(__xludf.UNSUPPORTED("""COMPUTED_VALUE"""),43684.6666666666)</f>
        <v>43684.666666666599</v>
      </c>
      <c r="B152" s="1">
        <f ca="1">IFERROR(__xludf.UNSUPPORTED("""COMPUTED_VALUE"""),53.18)</f>
        <v>53.18</v>
      </c>
      <c r="C152" s="2">
        <f t="shared" ca="1" si="0"/>
        <v>1.7409603979337985E-2</v>
      </c>
    </row>
    <row r="153" spans="1:3">
      <c r="A153" s="3">
        <f ca="1">IFERROR(__xludf.UNSUPPORTED("""COMPUTED_VALUE"""),43685.6666666666)</f>
        <v>43685.666666666599</v>
      </c>
      <c r="B153" s="1">
        <f ca="1">IFERROR(__xludf.UNSUPPORTED("""COMPUTED_VALUE"""),53.69)</f>
        <v>53.69</v>
      </c>
      <c r="C153" s="2">
        <f t="shared" ca="1" si="0"/>
        <v>9.5900714554343364E-3</v>
      </c>
    </row>
    <row r="154" spans="1:3">
      <c r="A154" s="3">
        <f ca="1">IFERROR(__xludf.UNSUPPORTED("""COMPUTED_VALUE"""),43686.6666666666)</f>
        <v>43686.666666666599</v>
      </c>
      <c r="B154" s="1">
        <f ca="1">IFERROR(__xludf.UNSUPPORTED("""COMPUTED_VALUE"""),53.42)</f>
        <v>53.42</v>
      </c>
      <c r="C154" s="2">
        <f t="shared" ca="1" si="0"/>
        <v>-5.028869435649023E-3</v>
      </c>
    </row>
    <row r="155" spans="1:3">
      <c r="A155" s="3">
        <f ca="1">IFERROR(__xludf.UNSUPPORTED("""COMPUTED_VALUE"""),43689.6666666666)</f>
        <v>43689.666666666599</v>
      </c>
      <c r="B155" s="1">
        <f ca="1">IFERROR(__xludf.UNSUPPORTED("""COMPUTED_VALUE"""),53.2)</f>
        <v>53.2</v>
      </c>
      <c r="C155" s="2">
        <f t="shared" ca="1" si="0"/>
        <v>-4.1183077499063808E-3</v>
      </c>
    </row>
    <row r="156" spans="1:3">
      <c r="A156" s="3">
        <f ca="1">IFERROR(__xludf.UNSUPPORTED("""COMPUTED_VALUE"""),43690.6666666666)</f>
        <v>43690.666666666599</v>
      </c>
      <c r="B156" s="1">
        <f ca="1">IFERROR(__xludf.UNSUPPORTED("""COMPUTED_VALUE"""),53.5)</f>
        <v>53.5</v>
      </c>
      <c r="C156" s="2">
        <f t="shared" ca="1" si="0"/>
        <v>5.6390977443608482E-3</v>
      </c>
    </row>
    <row r="157" spans="1:3">
      <c r="A157" s="3">
        <f ca="1">IFERROR(__xludf.UNSUPPORTED("""COMPUTED_VALUE"""),43691.6666666666)</f>
        <v>43691.666666666599</v>
      </c>
      <c r="B157" s="1">
        <f ca="1">IFERROR(__xludf.UNSUPPORTED("""COMPUTED_VALUE"""),52.99)</f>
        <v>52.99</v>
      </c>
      <c r="C157" s="2">
        <f t="shared" ca="1" si="0"/>
        <v>-9.5327102803737952E-3</v>
      </c>
    </row>
    <row r="158" spans="1:3">
      <c r="A158" s="3">
        <f ca="1">IFERROR(__xludf.UNSUPPORTED("""COMPUTED_VALUE"""),43692.6666666666)</f>
        <v>43692.666666666599</v>
      </c>
      <c r="B158" s="1">
        <f ca="1">IFERROR(__xludf.UNSUPPORTED("""COMPUTED_VALUE"""),53.87)</f>
        <v>53.87</v>
      </c>
      <c r="C158" s="2">
        <f t="shared" ca="1" si="0"/>
        <v>1.6606906963577948E-2</v>
      </c>
    </row>
    <row r="159" spans="1:3">
      <c r="A159" s="3">
        <f ca="1">IFERROR(__xludf.UNSUPPORTED("""COMPUTED_VALUE"""),43693.6666666666)</f>
        <v>43693.666666666599</v>
      </c>
      <c r="B159" s="1">
        <f ca="1">IFERROR(__xludf.UNSUPPORTED("""COMPUTED_VALUE"""),54.41)</f>
        <v>54.41</v>
      </c>
      <c r="C159" s="2">
        <f t="shared" ca="1" si="0"/>
        <v>1.0024132170038967E-2</v>
      </c>
    </row>
    <row r="160" spans="1:3">
      <c r="A160" s="3">
        <f ca="1">IFERROR(__xludf.UNSUPPORTED("""COMPUTED_VALUE"""),43696.6666666666)</f>
        <v>43696.666666666599</v>
      </c>
      <c r="B160" s="1">
        <f ca="1">IFERROR(__xludf.UNSUPPORTED("""COMPUTED_VALUE"""),54.69)</f>
        <v>54.69</v>
      </c>
      <c r="C160" s="2">
        <f t="shared" ca="1" si="0"/>
        <v>5.1461128469031643E-3</v>
      </c>
    </row>
    <row r="161" spans="1:3">
      <c r="A161" s="3">
        <f ca="1">IFERROR(__xludf.UNSUPPORTED("""COMPUTED_VALUE"""),43697.6666666666)</f>
        <v>43697.666666666599</v>
      </c>
      <c r="B161" s="1">
        <f ca="1">IFERROR(__xludf.UNSUPPORTED("""COMPUTED_VALUE"""),53.88)</f>
        <v>53.88</v>
      </c>
      <c r="C161" s="2">
        <f t="shared" ca="1" si="0"/>
        <v>-1.4810751508502381E-2</v>
      </c>
    </row>
    <row r="162" spans="1:3">
      <c r="A162" s="3">
        <f ca="1">IFERROR(__xludf.UNSUPPORTED("""COMPUTED_VALUE"""),43698.6666666666)</f>
        <v>43698.666666666599</v>
      </c>
      <c r="B162" s="1">
        <f ca="1">IFERROR(__xludf.UNSUPPORTED("""COMPUTED_VALUE"""),54.1)</f>
        <v>54.1</v>
      </c>
      <c r="C162" s="2">
        <f t="shared" ca="1" si="0"/>
        <v>4.0831477357089613E-3</v>
      </c>
    </row>
    <row r="163" spans="1:3">
      <c r="A163" s="3">
        <f ca="1">IFERROR(__xludf.UNSUPPORTED("""COMPUTED_VALUE"""),43699.6666666666)</f>
        <v>43699.666666666599</v>
      </c>
      <c r="B163" s="1">
        <f ca="1">IFERROR(__xludf.UNSUPPORTED("""COMPUTED_VALUE"""),54.49)</f>
        <v>54.49</v>
      </c>
      <c r="C163" s="2">
        <f t="shared" ca="1" si="0"/>
        <v>7.2088724584103616E-3</v>
      </c>
    </row>
    <row r="164" spans="1:3">
      <c r="A164" s="3">
        <f ca="1">IFERROR(__xludf.UNSUPPORTED("""COMPUTED_VALUE"""),43700.6666666666)</f>
        <v>43700.666666666599</v>
      </c>
      <c r="B164" s="1">
        <f ca="1">IFERROR(__xludf.UNSUPPORTED("""COMPUTED_VALUE"""),53.74)</f>
        <v>53.74</v>
      </c>
      <c r="C164" s="2">
        <f t="shared" ca="1" si="0"/>
        <v>-1.376399339328317E-2</v>
      </c>
    </row>
    <row r="165" spans="1:3">
      <c r="A165" s="3">
        <f ca="1">IFERROR(__xludf.UNSUPPORTED("""COMPUTED_VALUE"""),43703.6666666666)</f>
        <v>43703.666666666599</v>
      </c>
      <c r="B165" s="1">
        <f ca="1">IFERROR(__xludf.UNSUPPORTED("""COMPUTED_VALUE"""),54.54)</f>
        <v>54.54</v>
      </c>
      <c r="C165" s="2">
        <f t="shared" ca="1" si="0"/>
        <v>1.4886490509862247E-2</v>
      </c>
    </row>
    <row r="166" spans="1:3">
      <c r="A166" s="3">
        <f ca="1">IFERROR(__xludf.UNSUPPORTED("""COMPUTED_VALUE"""),43704.6666666666)</f>
        <v>43704.666666666599</v>
      </c>
      <c r="B166" s="1">
        <f ca="1">IFERROR(__xludf.UNSUPPORTED("""COMPUTED_VALUE"""),54.72)</f>
        <v>54.72</v>
      </c>
      <c r="C166" s="2">
        <f t="shared" ca="1" si="0"/>
        <v>3.3003300330032952E-3</v>
      </c>
    </row>
    <row r="167" spans="1:3">
      <c r="A167" s="3">
        <f ca="1">IFERROR(__xludf.UNSUPPORTED("""COMPUTED_VALUE"""),43705.6666666666)</f>
        <v>43705.666666666599</v>
      </c>
      <c r="B167" s="1">
        <f ca="1">IFERROR(__xludf.UNSUPPORTED("""COMPUTED_VALUE"""),55.11)</f>
        <v>55.11</v>
      </c>
      <c r="C167" s="2">
        <f t="shared" ca="1" si="0"/>
        <v>7.1271929824561512E-3</v>
      </c>
    </row>
    <row r="168" spans="1:3">
      <c r="A168" s="3">
        <f ca="1">IFERROR(__xludf.UNSUPPORTED("""COMPUTED_VALUE"""),43706.6666666666)</f>
        <v>43706.666666666599</v>
      </c>
      <c r="B168" s="1">
        <f ca="1">IFERROR(__xludf.UNSUPPORTED("""COMPUTED_VALUE"""),55.05)</f>
        <v>55.05</v>
      </c>
      <c r="C168" s="2">
        <f t="shared" ca="1" si="0"/>
        <v>-1.0887316276538246E-3</v>
      </c>
    </row>
    <row r="169" spans="1:3">
      <c r="A169" s="3">
        <f ca="1">IFERROR(__xludf.UNSUPPORTED("""COMPUTED_VALUE"""),43707.6666666666)</f>
        <v>43707.666666666599</v>
      </c>
      <c r="B169" s="1">
        <f ca="1">IFERROR(__xludf.UNSUPPORTED("""COMPUTED_VALUE"""),55.04)</f>
        <v>55.04</v>
      </c>
      <c r="C169" s="2">
        <f t="shared" ca="1" si="0"/>
        <v>-1.816530426884289E-4</v>
      </c>
    </row>
    <row r="170" spans="1:3">
      <c r="A170" s="3">
        <f ca="1">IFERROR(__xludf.UNSUPPORTED("""COMPUTED_VALUE"""),43711.6666666666)</f>
        <v>43711.666666666599</v>
      </c>
      <c r="B170" s="1">
        <f ca="1">IFERROR(__xludf.UNSUPPORTED("""COMPUTED_VALUE"""),55.3)</f>
        <v>55.3</v>
      </c>
      <c r="C170" s="2">
        <f t="shared" ca="1" si="0"/>
        <v>4.7238372093022897E-3</v>
      </c>
    </row>
    <row r="171" spans="1:3">
      <c r="A171" s="3">
        <f ca="1">IFERROR(__xludf.UNSUPPORTED("""COMPUTED_VALUE"""),43712.6666666666)</f>
        <v>43712.666666666599</v>
      </c>
      <c r="B171" s="1">
        <f ca="1">IFERROR(__xludf.UNSUPPORTED("""COMPUTED_VALUE"""),55.77)</f>
        <v>55.77</v>
      </c>
      <c r="C171" s="2">
        <f t="shared" ca="1" si="0"/>
        <v>8.4990958408681008E-3</v>
      </c>
    </row>
    <row r="172" spans="1:3">
      <c r="A172" s="3">
        <f ca="1">IFERROR(__xludf.UNSUPPORTED("""COMPUTED_VALUE"""),43713.6666666666)</f>
        <v>43713.666666666599</v>
      </c>
      <c r="B172" s="1">
        <f ca="1">IFERROR(__xludf.UNSUPPORTED("""COMPUTED_VALUE"""),55.12)</f>
        <v>55.12</v>
      </c>
      <c r="C172" s="2">
        <f t="shared" ca="1" si="0"/>
        <v>-1.1655011655011756E-2</v>
      </c>
    </row>
    <row r="173" spans="1:3">
      <c r="A173" s="3">
        <f ca="1">IFERROR(__xludf.UNSUPPORTED("""COMPUTED_VALUE"""),43714.6666666666)</f>
        <v>43714.666666666599</v>
      </c>
      <c r="B173" s="1">
        <f ca="1">IFERROR(__xludf.UNSUPPORTED("""COMPUTED_VALUE"""),55.23)</f>
        <v>55.23</v>
      </c>
      <c r="C173" s="2">
        <f t="shared" ca="1" si="0"/>
        <v>1.9956458635703818E-3</v>
      </c>
    </row>
    <row r="174" spans="1:3">
      <c r="A174" s="3">
        <f ca="1">IFERROR(__xludf.UNSUPPORTED("""COMPUTED_VALUE"""),43717.6666666666)</f>
        <v>43717.666666666599</v>
      </c>
      <c r="B174" s="1">
        <f ca="1">IFERROR(__xludf.UNSUPPORTED("""COMPUTED_VALUE"""),54.52)</f>
        <v>54.52</v>
      </c>
      <c r="C174" s="2">
        <f t="shared" ca="1" si="0"/>
        <v>-1.2855332246967116E-2</v>
      </c>
    </row>
    <row r="175" spans="1:3">
      <c r="A175" s="3">
        <f ca="1">IFERROR(__xludf.UNSUPPORTED("""COMPUTED_VALUE"""),43718.6666666666)</f>
        <v>43718.666666666599</v>
      </c>
      <c r="B175" s="1">
        <f ca="1">IFERROR(__xludf.UNSUPPORTED("""COMPUTED_VALUE"""),54.4)</f>
        <v>54.4</v>
      </c>
      <c r="C175" s="2">
        <f t="shared" ca="1" si="0"/>
        <v>-2.2010271460015506E-3</v>
      </c>
    </row>
    <row r="176" spans="1:3">
      <c r="A176" s="3">
        <f ca="1">IFERROR(__xludf.UNSUPPORTED("""COMPUTED_VALUE"""),43719.6666666666)</f>
        <v>43719.666666666599</v>
      </c>
      <c r="B176" s="1">
        <f ca="1">IFERROR(__xludf.UNSUPPORTED("""COMPUTED_VALUE"""),54.77)</f>
        <v>54.77</v>
      </c>
      <c r="C176" s="2">
        <f t="shared" ca="1" si="0"/>
        <v>6.8014705882353775E-3</v>
      </c>
    </row>
    <row r="177" spans="1:3">
      <c r="A177" s="3">
        <f ca="1">IFERROR(__xludf.UNSUPPORTED("""COMPUTED_VALUE"""),43720.6666666666)</f>
        <v>43720.666666666599</v>
      </c>
      <c r="B177" s="1">
        <f ca="1">IFERROR(__xludf.UNSUPPORTED("""COMPUTED_VALUE"""),55.11)</f>
        <v>55.11</v>
      </c>
      <c r="C177" s="2">
        <f t="shared" ca="1" si="0"/>
        <v>6.207777980646271E-3</v>
      </c>
    </row>
    <row r="178" spans="1:3">
      <c r="A178" s="3">
        <f ca="1">IFERROR(__xludf.UNSUPPORTED("""COMPUTED_VALUE"""),43721.6666666666)</f>
        <v>43721.666666666599</v>
      </c>
      <c r="B178" s="1">
        <f ca="1">IFERROR(__xludf.UNSUPPORTED("""COMPUTED_VALUE"""),54.26)</f>
        <v>54.26</v>
      </c>
      <c r="C178" s="2">
        <f t="shared" ca="1" si="0"/>
        <v>-1.5423698058428623E-2</v>
      </c>
    </row>
    <row r="179" spans="1:3">
      <c r="A179" s="3">
        <f ca="1">IFERROR(__xludf.UNSUPPORTED("""COMPUTED_VALUE"""),43724.6666666666)</f>
        <v>43724.666666666599</v>
      </c>
      <c r="B179" s="1">
        <f ca="1">IFERROR(__xludf.UNSUPPORTED("""COMPUTED_VALUE"""),53.96)</f>
        <v>53.96</v>
      </c>
      <c r="C179" s="2">
        <f t="shared" ca="1" si="0"/>
        <v>-5.5289347585697965E-3</v>
      </c>
    </row>
    <row r="180" spans="1:3">
      <c r="A180" s="3">
        <f ca="1">IFERROR(__xludf.UNSUPPORTED("""COMPUTED_VALUE"""),43725.6666666666)</f>
        <v>43725.666666666599</v>
      </c>
      <c r="B180" s="1">
        <f ca="1">IFERROR(__xludf.UNSUPPORTED("""COMPUTED_VALUE"""),54.24)</f>
        <v>54.24</v>
      </c>
      <c r="C180" s="2">
        <f t="shared" ca="1" si="0"/>
        <v>5.1890289103039495E-3</v>
      </c>
    </row>
    <row r="181" spans="1:3">
      <c r="A181" s="3">
        <f ca="1">IFERROR(__xludf.UNSUPPORTED("""COMPUTED_VALUE"""),43726.6666666666)</f>
        <v>43726.666666666599</v>
      </c>
      <c r="B181" s="1">
        <f ca="1">IFERROR(__xludf.UNSUPPORTED("""COMPUTED_VALUE"""),54.23)</f>
        <v>54.23</v>
      </c>
      <c r="C181" s="2">
        <f t="shared" ca="1" si="0"/>
        <v>-1.8436578171100878E-4</v>
      </c>
    </row>
    <row r="182" spans="1:3">
      <c r="A182" s="3">
        <f ca="1">IFERROR(__xludf.UNSUPPORTED("""COMPUTED_VALUE"""),43727.6666666666)</f>
        <v>43727.666666666599</v>
      </c>
      <c r="B182" s="1">
        <f ca="1">IFERROR(__xludf.UNSUPPORTED("""COMPUTED_VALUE"""),54.52)</f>
        <v>54.52</v>
      </c>
      <c r="C182" s="2">
        <f t="shared" ca="1" si="0"/>
        <v>5.3475935828878165E-3</v>
      </c>
    </row>
    <row r="183" spans="1:3">
      <c r="A183" s="3">
        <f ca="1">IFERROR(__xludf.UNSUPPORTED("""COMPUTED_VALUE"""),43728.6666666666)</f>
        <v>43728.666666666599</v>
      </c>
      <c r="B183" s="1">
        <f ca="1">IFERROR(__xludf.UNSUPPORTED("""COMPUTED_VALUE"""),53.91)</f>
        <v>53.91</v>
      </c>
      <c r="C183" s="2">
        <f t="shared" ca="1" si="0"/>
        <v>-1.1188554658840912E-2</v>
      </c>
    </row>
    <row r="184" spans="1:3">
      <c r="A184" s="3">
        <f ca="1">IFERROR(__xludf.UNSUPPORTED("""COMPUTED_VALUE"""),43731.6666666666)</f>
        <v>43731.666666666599</v>
      </c>
      <c r="B184" s="1">
        <f ca="1">IFERROR(__xludf.UNSUPPORTED("""COMPUTED_VALUE"""),54.14)</f>
        <v>54.14</v>
      </c>
      <c r="C184" s="2">
        <f t="shared" ca="1" si="0"/>
        <v>4.2663698757188645E-3</v>
      </c>
    </row>
    <row r="185" spans="1:3">
      <c r="A185" s="3">
        <f ca="1">IFERROR(__xludf.UNSUPPORTED("""COMPUTED_VALUE"""),43732.6666666666)</f>
        <v>43732.666666666599</v>
      </c>
      <c r="B185" s="1">
        <f ca="1">IFERROR(__xludf.UNSUPPORTED("""COMPUTED_VALUE"""),54.3)</f>
        <v>54.3</v>
      </c>
      <c r="C185" s="2">
        <f t="shared" ca="1" si="0"/>
        <v>2.9553010712965754E-3</v>
      </c>
    </row>
    <row r="186" spans="1:3">
      <c r="A186" s="3">
        <f ca="1">IFERROR(__xludf.UNSUPPORTED("""COMPUTED_VALUE"""),43733.6666666666)</f>
        <v>43733.666666666599</v>
      </c>
      <c r="B186" s="1">
        <f ca="1">IFERROR(__xludf.UNSUPPORTED("""COMPUTED_VALUE"""),54.17)</f>
        <v>54.17</v>
      </c>
      <c r="C186" s="2">
        <f t="shared" ca="1" si="0"/>
        <v>-2.3941068139962333E-3</v>
      </c>
    </row>
    <row r="187" spans="1:3">
      <c r="A187" s="3">
        <f ca="1">IFERROR(__xludf.UNSUPPORTED("""COMPUTED_VALUE"""),43734.6666666666)</f>
        <v>43734.666666666599</v>
      </c>
      <c r="B187" s="1">
        <f ca="1">IFERROR(__xludf.UNSUPPORTED("""COMPUTED_VALUE"""),54.39)</f>
        <v>54.39</v>
      </c>
      <c r="C187" s="2">
        <f t="shared" ca="1" si="0"/>
        <v>4.0612885360900653E-3</v>
      </c>
    </row>
    <row r="188" spans="1:3">
      <c r="A188" s="3">
        <f ca="1">IFERROR(__xludf.UNSUPPORTED("""COMPUTED_VALUE"""),43735.6666666666)</f>
        <v>43735.666666666599</v>
      </c>
      <c r="B188" s="1">
        <f ca="1">IFERROR(__xludf.UNSUPPORTED("""COMPUTED_VALUE"""),54.31)</f>
        <v>54.31</v>
      </c>
      <c r="C188" s="2">
        <f t="shared" ca="1" si="0"/>
        <v>-1.4708586137157252E-3</v>
      </c>
    </row>
    <row r="189" spans="1:3">
      <c r="A189" s="3">
        <f ca="1">IFERROR(__xludf.UNSUPPORTED("""COMPUTED_VALUE"""),43738.6666666666)</f>
        <v>43738.666666666599</v>
      </c>
      <c r="B189" s="1">
        <f ca="1">IFERROR(__xludf.UNSUPPORTED("""COMPUTED_VALUE"""),54.44)</f>
        <v>54.44</v>
      </c>
      <c r="C189" s="2">
        <f t="shared" ca="1" si="0"/>
        <v>2.393665991530021E-3</v>
      </c>
    </row>
    <row r="190" spans="1:3">
      <c r="A190" s="3">
        <f ca="1">IFERROR(__xludf.UNSUPPORTED("""COMPUTED_VALUE"""),43739.6666666666)</f>
        <v>43739.666666666599</v>
      </c>
      <c r="B190" s="1">
        <f ca="1">IFERROR(__xludf.UNSUPPORTED("""COMPUTED_VALUE"""),54.65)</f>
        <v>54.65</v>
      </c>
      <c r="C190" s="2">
        <f t="shared" ca="1" si="0"/>
        <v>3.8574577516532118E-3</v>
      </c>
    </row>
    <row r="191" spans="1:3">
      <c r="A191" s="3">
        <f ca="1">IFERROR(__xludf.UNSUPPORTED("""COMPUTED_VALUE"""),43740.6666666666)</f>
        <v>43740.666666666599</v>
      </c>
      <c r="B191" s="1">
        <f ca="1">IFERROR(__xludf.UNSUPPORTED("""COMPUTED_VALUE"""),53.08)</f>
        <v>53.08</v>
      </c>
      <c r="C191" s="2">
        <f t="shared" ca="1" si="0"/>
        <v>-2.872827081427265E-2</v>
      </c>
    </row>
    <row r="192" spans="1:3">
      <c r="A192" s="3">
        <f ca="1">IFERROR(__xludf.UNSUPPORTED("""COMPUTED_VALUE"""),43741.6666666666)</f>
        <v>43741.666666666599</v>
      </c>
      <c r="B192" s="1">
        <f ca="1">IFERROR(__xludf.UNSUPPORTED("""COMPUTED_VALUE"""),53.84)</f>
        <v>53.84</v>
      </c>
      <c r="C192" s="2">
        <f t="shared" ca="1" si="0"/>
        <v>1.4318010550113133E-2</v>
      </c>
    </row>
    <row r="193" spans="1:3">
      <c r="A193" s="3">
        <f ca="1">IFERROR(__xludf.UNSUPPORTED("""COMPUTED_VALUE"""),43742.6666666666)</f>
        <v>43742.666666666599</v>
      </c>
      <c r="B193" s="1">
        <f ca="1">IFERROR(__xludf.UNSUPPORTED("""COMPUTED_VALUE"""),54.54)</f>
        <v>54.54</v>
      </c>
      <c r="C193" s="2">
        <f t="shared" ca="1" si="0"/>
        <v>1.3001485884100961E-2</v>
      </c>
    </row>
    <row r="194" spans="1:3">
      <c r="A194" s="3">
        <f ca="1">IFERROR(__xludf.UNSUPPORTED("""COMPUTED_VALUE"""),43745.6666666666)</f>
        <v>43745.666666666599</v>
      </c>
      <c r="B194" s="1">
        <f ca="1">IFERROR(__xludf.UNSUPPORTED("""COMPUTED_VALUE"""),53.87)</f>
        <v>53.87</v>
      </c>
      <c r="C194" s="2">
        <f t="shared" ca="1" si="0"/>
        <v>-1.2284561789512316E-2</v>
      </c>
    </row>
    <row r="195" spans="1:3">
      <c r="A195" s="3">
        <f ca="1">IFERROR(__xludf.UNSUPPORTED("""COMPUTED_VALUE"""),43746.6666666666)</f>
        <v>43746.666666666599</v>
      </c>
      <c r="B195" s="1">
        <f ca="1">IFERROR(__xludf.UNSUPPORTED("""COMPUTED_VALUE"""),53.58)</f>
        <v>53.58</v>
      </c>
      <c r="C195" s="2">
        <f t="shared" ca="1" si="0"/>
        <v>-5.3833302394653637E-3</v>
      </c>
    </row>
    <row r="196" spans="1:3">
      <c r="A196" s="3">
        <f ca="1">IFERROR(__xludf.UNSUPPORTED("""COMPUTED_VALUE"""),43747.6666666666)</f>
        <v>43747.666666666599</v>
      </c>
      <c r="B196" s="1">
        <f ca="1">IFERROR(__xludf.UNSUPPORTED("""COMPUTED_VALUE"""),53.83)</f>
        <v>53.83</v>
      </c>
      <c r="C196" s="2">
        <f t="shared" ca="1" si="0"/>
        <v>4.6659201194475556E-3</v>
      </c>
    </row>
    <row r="197" spans="1:3">
      <c r="A197" s="3">
        <f ca="1">IFERROR(__xludf.UNSUPPORTED("""COMPUTED_VALUE"""),43748.6666666666)</f>
        <v>43748.666666666599</v>
      </c>
      <c r="B197" s="1">
        <f ca="1">IFERROR(__xludf.UNSUPPORTED("""COMPUTED_VALUE"""),53.66)</f>
        <v>53.66</v>
      </c>
      <c r="C197" s="2">
        <f t="shared" ca="1" si="0"/>
        <v>-3.1580902842281572E-3</v>
      </c>
    </row>
    <row r="198" spans="1:3">
      <c r="A198" s="3">
        <f ca="1">IFERROR(__xludf.UNSUPPORTED("""COMPUTED_VALUE"""),43749.6666666666)</f>
        <v>43749.666666666599</v>
      </c>
      <c r="B198" s="1">
        <f ca="1">IFERROR(__xludf.UNSUPPORTED("""COMPUTED_VALUE"""),53.3)</f>
        <v>53.3</v>
      </c>
      <c r="C198" s="2">
        <f t="shared" ca="1" si="0"/>
        <v>-6.7089079388743846E-3</v>
      </c>
    </row>
    <row r="199" spans="1:3">
      <c r="A199" s="3">
        <f ca="1">IFERROR(__xludf.UNSUPPORTED("""COMPUTED_VALUE"""),43752.6666666666)</f>
        <v>43752.666666666599</v>
      </c>
      <c r="B199" s="1">
        <f ca="1">IFERROR(__xludf.UNSUPPORTED("""COMPUTED_VALUE"""),53.3)</f>
        <v>53.3</v>
      </c>
      <c r="C199" s="2">
        <f t="shared" ca="1" si="0"/>
        <v>0</v>
      </c>
    </row>
    <row r="200" spans="1:3">
      <c r="A200" s="3">
        <f ca="1">IFERROR(__xludf.UNSUPPORTED("""COMPUTED_VALUE"""),43753.6666666666)</f>
        <v>43753.666666666599</v>
      </c>
      <c r="B200" s="1">
        <f ca="1">IFERROR(__xludf.UNSUPPORTED("""COMPUTED_VALUE"""),53.51)</f>
        <v>53.51</v>
      </c>
      <c r="C200" s="2">
        <f t="shared" ca="1" si="0"/>
        <v>3.9399624765478584E-3</v>
      </c>
    </row>
    <row r="201" spans="1:3">
      <c r="A201" s="3">
        <f ca="1">IFERROR(__xludf.UNSUPPORTED("""COMPUTED_VALUE"""),43754.6666666666)</f>
        <v>43754.666666666599</v>
      </c>
      <c r="B201" s="1">
        <f ca="1">IFERROR(__xludf.UNSUPPORTED("""COMPUTED_VALUE"""),53.49)</f>
        <v>53.49</v>
      </c>
      <c r="C201" s="2">
        <f t="shared" ca="1" si="0"/>
        <v>-3.7376191366092357E-4</v>
      </c>
    </row>
    <row r="202" spans="1:3">
      <c r="A202" s="3">
        <f ca="1">IFERROR(__xludf.UNSUPPORTED("""COMPUTED_VALUE"""),43755.6666666666)</f>
        <v>43755.666666666599</v>
      </c>
      <c r="B202" s="1">
        <f ca="1">IFERROR(__xludf.UNSUPPORTED("""COMPUTED_VALUE"""),53.79)</f>
        <v>53.79</v>
      </c>
      <c r="C202" s="2">
        <f t="shared" ca="1" si="0"/>
        <v>5.6085249579360093E-3</v>
      </c>
    </row>
    <row r="203" spans="1:3">
      <c r="A203" s="3">
        <f ca="1">IFERROR(__xludf.UNSUPPORTED("""COMPUTED_VALUE"""),43756.6666666666)</f>
        <v>43756.666666666599</v>
      </c>
      <c r="B203" s="1">
        <f ca="1">IFERROR(__xludf.UNSUPPORTED("""COMPUTED_VALUE"""),54.78)</f>
        <v>54.78</v>
      </c>
      <c r="C203" s="2">
        <f t="shared" ca="1" si="0"/>
        <v>1.8404907975460159E-2</v>
      </c>
    </row>
    <row r="204" spans="1:3">
      <c r="A204" s="3">
        <f ca="1">IFERROR(__xludf.UNSUPPORTED("""COMPUTED_VALUE"""),43759.6666666666)</f>
        <v>43759.666666666599</v>
      </c>
      <c r="B204" s="1">
        <f ca="1">IFERROR(__xludf.UNSUPPORTED("""COMPUTED_VALUE"""),54.23)</f>
        <v>54.23</v>
      </c>
      <c r="C204" s="2">
        <f t="shared" ca="1" si="0"/>
        <v>-1.0040160642570359E-2</v>
      </c>
    </row>
    <row r="205" spans="1:3">
      <c r="A205" s="3">
        <f ca="1">IFERROR(__xludf.UNSUPPORTED("""COMPUTED_VALUE"""),43760.6666666666)</f>
        <v>43760.666666666599</v>
      </c>
      <c r="B205" s="1">
        <f ca="1">IFERROR(__xludf.UNSUPPORTED("""COMPUTED_VALUE"""),53.85)</f>
        <v>53.85</v>
      </c>
      <c r="C205" s="2">
        <f t="shared" ca="1" si="0"/>
        <v>-7.0071915913700071E-3</v>
      </c>
    </row>
    <row r="206" spans="1:3">
      <c r="A206" s="3">
        <f ca="1">IFERROR(__xludf.UNSUPPORTED("""COMPUTED_VALUE"""),43761.6666666666)</f>
        <v>43761.666666666599</v>
      </c>
      <c r="B206" s="1">
        <f ca="1">IFERROR(__xludf.UNSUPPORTED("""COMPUTED_VALUE"""),54.64)</f>
        <v>54.64</v>
      </c>
      <c r="C206" s="2">
        <f t="shared" ca="1" si="0"/>
        <v>1.4670380687093762E-2</v>
      </c>
    </row>
    <row r="207" spans="1:3">
      <c r="A207" s="3">
        <f ca="1">IFERROR(__xludf.UNSUPPORTED("""COMPUTED_VALUE"""),43762.6666666666)</f>
        <v>43762.666666666599</v>
      </c>
      <c r="B207" s="1">
        <f ca="1">IFERROR(__xludf.UNSUPPORTED("""COMPUTED_VALUE"""),54.61)</f>
        <v>54.61</v>
      </c>
      <c r="C207" s="2">
        <f t="shared" ca="1" si="0"/>
        <v>-5.4904831625185099E-4</v>
      </c>
    </row>
    <row r="208" spans="1:3">
      <c r="A208" s="3">
        <f ca="1">IFERROR(__xludf.UNSUPPORTED("""COMPUTED_VALUE"""),43763.6666666666)</f>
        <v>43763.666666666599</v>
      </c>
      <c r="B208" s="1">
        <f ca="1">IFERROR(__xludf.UNSUPPORTED("""COMPUTED_VALUE"""),53.75)</f>
        <v>53.75</v>
      </c>
      <c r="C208" s="2">
        <f t="shared" ca="1" si="0"/>
        <v>-1.5748031496062981E-2</v>
      </c>
    </row>
    <row r="209" spans="1:3">
      <c r="A209" s="3">
        <f ca="1">IFERROR(__xludf.UNSUPPORTED("""COMPUTED_VALUE"""),43766.6666666666)</f>
        <v>43766.666666666599</v>
      </c>
      <c r="B209" s="1">
        <f ca="1">IFERROR(__xludf.UNSUPPORTED("""COMPUTED_VALUE"""),53.57)</f>
        <v>53.57</v>
      </c>
      <c r="C209" s="2">
        <f t="shared" ca="1" si="0"/>
        <v>-3.3488372093023202E-3</v>
      </c>
    </row>
    <row r="210" spans="1:3">
      <c r="A210" s="3">
        <f ca="1">IFERROR(__xludf.UNSUPPORTED("""COMPUTED_VALUE"""),43767.6666666666)</f>
        <v>43767.666666666599</v>
      </c>
      <c r="B210" s="1">
        <f ca="1">IFERROR(__xludf.UNSUPPORTED("""COMPUTED_VALUE"""),53.41)</f>
        <v>53.41</v>
      </c>
      <c r="C210" s="2">
        <f t="shared" ca="1" si="0"/>
        <v>-2.9867463132350887E-3</v>
      </c>
    </row>
    <row r="211" spans="1:3">
      <c r="A211" s="3">
        <f ca="1">IFERROR(__xludf.UNSUPPORTED("""COMPUTED_VALUE"""),43768.6666666666)</f>
        <v>43768.666666666599</v>
      </c>
      <c r="B211" s="1">
        <f ca="1">IFERROR(__xludf.UNSUPPORTED("""COMPUTED_VALUE"""),53.94)</f>
        <v>53.94</v>
      </c>
      <c r="C211" s="2">
        <f t="shared" ca="1" si="0"/>
        <v>9.9232353491855683E-3</v>
      </c>
    </row>
    <row r="212" spans="1:3">
      <c r="A212" s="3">
        <f ca="1">IFERROR(__xludf.UNSUPPORTED("""COMPUTED_VALUE"""),43769.6666666666)</f>
        <v>43769.666666666599</v>
      </c>
      <c r="B212" s="1">
        <f ca="1">IFERROR(__xludf.UNSUPPORTED("""COMPUTED_VALUE"""),54.43)</f>
        <v>54.43</v>
      </c>
      <c r="C212" s="2">
        <f t="shared" ca="1" si="0"/>
        <v>9.0841675936225805E-3</v>
      </c>
    </row>
    <row r="213" spans="1:3">
      <c r="A213" s="3">
        <f ca="1">IFERROR(__xludf.UNSUPPORTED("""COMPUTED_VALUE"""),43770.6666666666)</f>
        <v>43770.666666666599</v>
      </c>
      <c r="B213" s="1">
        <f ca="1">IFERROR(__xludf.UNSUPPORTED("""COMPUTED_VALUE"""),53.9)</f>
        <v>53.9</v>
      </c>
      <c r="C213" s="2">
        <f t="shared" ca="1" si="0"/>
        <v>-9.7372772368179514E-3</v>
      </c>
    </row>
    <row r="214" spans="1:3">
      <c r="A214" s="3">
        <f ca="1">IFERROR(__xludf.UNSUPPORTED("""COMPUTED_VALUE"""),43773.6666666666)</f>
        <v>43773.666666666599</v>
      </c>
      <c r="B214" s="1">
        <f ca="1">IFERROR(__xludf.UNSUPPORTED("""COMPUTED_VALUE"""),53.14)</f>
        <v>53.14</v>
      </c>
      <c r="C214" s="2">
        <f t="shared" ca="1" si="0"/>
        <v>-1.4100185528756921E-2</v>
      </c>
    </row>
    <row r="215" spans="1:3">
      <c r="A215" s="3">
        <f ca="1">IFERROR(__xludf.UNSUPPORTED("""COMPUTED_VALUE"""),43774.6666666666)</f>
        <v>43774.666666666599</v>
      </c>
      <c r="B215" s="1">
        <f ca="1">IFERROR(__xludf.UNSUPPORTED("""COMPUTED_VALUE"""),52.42)</f>
        <v>52.42</v>
      </c>
      <c r="C215" s="2">
        <f t="shared" ca="1" si="0"/>
        <v>-1.3549115543846421E-2</v>
      </c>
    </row>
    <row r="216" spans="1:3">
      <c r="A216" s="3">
        <f ca="1">IFERROR(__xludf.UNSUPPORTED("""COMPUTED_VALUE"""),43775.6666666666)</f>
        <v>43775.666666666599</v>
      </c>
      <c r="B216" s="1">
        <f ca="1">IFERROR(__xludf.UNSUPPORTED("""COMPUTED_VALUE"""),52.8)</f>
        <v>52.8</v>
      </c>
      <c r="C216" s="2">
        <f t="shared" ca="1" si="0"/>
        <v>7.2491415490270016E-3</v>
      </c>
    </row>
    <row r="217" spans="1:3">
      <c r="A217" s="3">
        <f ca="1">IFERROR(__xludf.UNSUPPORTED("""COMPUTED_VALUE"""),43776.6666666666)</f>
        <v>43776.666666666599</v>
      </c>
      <c r="B217" s="1">
        <f ca="1">IFERROR(__xludf.UNSUPPORTED("""COMPUTED_VALUE"""),52.29)</f>
        <v>52.29</v>
      </c>
      <c r="C217" s="2">
        <f t="shared" ca="1" si="0"/>
        <v>-9.6590909090908724E-3</v>
      </c>
    </row>
    <row r="218" spans="1:3">
      <c r="A218" s="3">
        <f ca="1">IFERROR(__xludf.UNSUPPORTED("""COMPUTED_VALUE"""),43777.6666666666)</f>
        <v>43777.666666666599</v>
      </c>
      <c r="B218" s="1">
        <f ca="1">IFERROR(__xludf.UNSUPPORTED("""COMPUTED_VALUE"""),52.21)</f>
        <v>52.21</v>
      </c>
      <c r="C218" s="2">
        <f t="shared" ca="1" si="0"/>
        <v>-1.5299292407725817E-3</v>
      </c>
    </row>
    <row r="219" spans="1:3">
      <c r="A219" s="3">
        <f ca="1">IFERROR(__xludf.UNSUPPORTED("""COMPUTED_VALUE"""),43780.6666666666)</f>
        <v>43780.666666666599</v>
      </c>
      <c r="B219" s="1">
        <f ca="1">IFERROR(__xludf.UNSUPPORTED("""COMPUTED_VALUE"""),51.84)</f>
        <v>51.84</v>
      </c>
      <c r="C219" s="2">
        <f t="shared" ca="1" si="0"/>
        <v>-7.0867649875502288E-3</v>
      </c>
    </row>
    <row r="220" spans="1:3">
      <c r="A220" s="3">
        <f ca="1">IFERROR(__xludf.UNSUPPORTED("""COMPUTED_VALUE"""),43781.6666666666)</f>
        <v>43781.666666666599</v>
      </c>
      <c r="B220" s="1">
        <f ca="1">IFERROR(__xludf.UNSUPPORTED("""COMPUTED_VALUE"""),51.71)</f>
        <v>51.71</v>
      </c>
      <c r="C220" s="2">
        <f t="shared" ca="1" si="0"/>
        <v>-2.5077160493827653E-3</v>
      </c>
    </row>
    <row r="221" spans="1:3">
      <c r="A221" s="3">
        <f ca="1">IFERROR(__xludf.UNSUPPORTED("""COMPUTED_VALUE"""),43782.6666666666)</f>
        <v>43782.666666666599</v>
      </c>
      <c r="B221" s="1">
        <f ca="1">IFERROR(__xludf.UNSUPPORTED("""COMPUTED_VALUE"""),52.41)</f>
        <v>52.41</v>
      </c>
      <c r="C221" s="2">
        <f t="shared" ca="1" si="0"/>
        <v>1.3537033455811172E-2</v>
      </c>
    </row>
    <row r="222" spans="1:3">
      <c r="A222" s="3">
        <f ca="1">IFERROR(__xludf.UNSUPPORTED("""COMPUTED_VALUE"""),43783.6666666666)</f>
        <v>43783.666666666599</v>
      </c>
      <c r="B222" s="1">
        <f ca="1">IFERROR(__xludf.UNSUPPORTED("""COMPUTED_VALUE"""),52.63)</f>
        <v>52.63</v>
      </c>
      <c r="C222" s="2">
        <f t="shared" ca="1" si="0"/>
        <v>4.1976721999619536E-3</v>
      </c>
    </row>
    <row r="223" spans="1:3">
      <c r="A223" s="3">
        <f ca="1">IFERROR(__xludf.UNSUPPORTED("""COMPUTED_VALUE"""),43784.6666666666)</f>
        <v>43784.666666666599</v>
      </c>
      <c r="B223" s="1">
        <f ca="1">IFERROR(__xludf.UNSUPPORTED("""COMPUTED_VALUE"""),52.67)</f>
        <v>52.67</v>
      </c>
      <c r="C223" s="2">
        <f t="shared" ca="1" si="0"/>
        <v>7.600228006840043E-4</v>
      </c>
    </row>
    <row r="224" spans="1:3">
      <c r="A224" s="3">
        <f ca="1">IFERROR(__xludf.UNSUPPORTED("""COMPUTED_VALUE"""),43787.6666666666)</f>
        <v>43787.666666666599</v>
      </c>
      <c r="B224" s="1">
        <f ca="1">IFERROR(__xludf.UNSUPPORTED("""COMPUTED_VALUE"""),53.03)</f>
        <v>53.03</v>
      </c>
      <c r="C224" s="2">
        <f t="shared" ca="1" si="0"/>
        <v>6.8350104423770541E-3</v>
      </c>
    </row>
    <row r="225" spans="1:3">
      <c r="A225" s="3">
        <f ca="1">IFERROR(__xludf.UNSUPPORTED("""COMPUTED_VALUE"""),43788.6666666666)</f>
        <v>43788.666666666599</v>
      </c>
      <c r="B225" s="1">
        <f ca="1">IFERROR(__xludf.UNSUPPORTED("""COMPUTED_VALUE"""),53.08)</f>
        <v>53.08</v>
      </c>
      <c r="C225" s="2">
        <f t="shared" ca="1" si="0"/>
        <v>9.428625306429786E-4</v>
      </c>
    </row>
    <row r="226" spans="1:3">
      <c r="A226" s="3">
        <f ca="1">IFERROR(__xludf.UNSUPPORTED("""COMPUTED_VALUE"""),43789.6666666666)</f>
        <v>43789.666666666599</v>
      </c>
      <c r="B226" s="1">
        <f ca="1">IFERROR(__xludf.UNSUPPORTED("""COMPUTED_VALUE"""),53.22)</f>
        <v>53.22</v>
      </c>
      <c r="C226" s="2">
        <f t="shared" ca="1" si="0"/>
        <v>2.6375282592313596E-3</v>
      </c>
    </row>
    <row r="227" spans="1:3">
      <c r="A227" s="3">
        <f ca="1">IFERROR(__xludf.UNSUPPORTED("""COMPUTED_VALUE"""),43790.6666666666)</f>
        <v>43790.666666666599</v>
      </c>
      <c r="B227" s="1">
        <f ca="1">IFERROR(__xludf.UNSUPPORTED("""COMPUTED_VALUE"""),52.96)</f>
        <v>52.96</v>
      </c>
      <c r="C227" s="2">
        <f t="shared" ca="1" si="0"/>
        <v>-4.8853814355505074E-3</v>
      </c>
    </row>
    <row r="228" spans="1:3">
      <c r="A228" s="3">
        <f ca="1">IFERROR(__xludf.UNSUPPORTED("""COMPUTED_VALUE"""),43791.6666666666)</f>
        <v>43791.666666666599</v>
      </c>
      <c r="B228" s="1">
        <f ca="1">IFERROR(__xludf.UNSUPPORTED("""COMPUTED_VALUE"""),53.03)</f>
        <v>53.03</v>
      </c>
      <c r="C228" s="2">
        <f t="shared" ca="1" si="0"/>
        <v>1.3217522658610324E-3</v>
      </c>
    </row>
    <row r="229" spans="1:3">
      <c r="A229" s="3">
        <f ca="1">IFERROR(__xludf.UNSUPPORTED("""COMPUTED_VALUE"""),43794.6666666666)</f>
        <v>43794.666666666599</v>
      </c>
      <c r="B229" s="1">
        <f ca="1">IFERROR(__xludf.UNSUPPORTED("""COMPUTED_VALUE"""),53.22)</f>
        <v>53.22</v>
      </c>
      <c r="C229" s="2">
        <f t="shared" ca="1" si="0"/>
        <v>3.5828776164434795E-3</v>
      </c>
    </row>
    <row r="230" spans="1:3">
      <c r="A230" s="3">
        <f ca="1">IFERROR(__xludf.UNSUPPORTED("""COMPUTED_VALUE"""),43795.6666666666)</f>
        <v>43795.666666666599</v>
      </c>
      <c r="B230" s="1">
        <f ca="1">IFERROR(__xludf.UNSUPPORTED("""COMPUTED_VALUE"""),53.9)</f>
        <v>53.9</v>
      </c>
      <c r="C230" s="2">
        <f t="shared" ca="1" si="0"/>
        <v>1.2777151446824496E-2</v>
      </c>
    </row>
    <row r="231" spans="1:3">
      <c r="A231" s="3">
        <f ca="1">IFERROR(__xludf.UNSUPPORTED("""COMPUTED_VALUE"""),43796.6666666666)</f>
        <v>43796.666666666599</v>
      </c>
      <c r="B231" s="1">
        <f ca="1">IFERROR(__xludf.UNSUPPORTED("""COMPUTED_VALUE"""),53.95)</f>
        <v>53.95</v>
      </c>
      <c r="C231" s="2">
        <f t="shared" ca="1" si="0"/>
        <v>9.2764378478672109E-4</v>
      </c>
    </row>
    <row r="232" spans="1:3">
      <c r="A232" s="3">
        <f ca="1">IFERROR(__xludf.UNSUPPORTED("""COMPUTED_VALUE"""),43798.5416666666)</f>
        <v>43798.541666666599</v>
      </c>
      <c r="B232" s="1">
        <f ca="1">IFERROR(__xludf.UNSUPPORTED("""COMPUTED_VALUE"""),53.4)</f>
        <v>53.4</v>
      </c>
      <c r="C232" s="2">
        <f t="shared" ca="1" si="0"/>
        <v>-1.0194624652456056E-2</v>
      </c>
    </row>
    <row r="233" spans="1:3">
      <c r="A233" s="3">
        <f ca="1">IFERROR(__xludf.UNSUPPORTED("""COMPUTED_VALUE"""),43801.6666666666)</f>
        <v>43801.666666666599</v>
      </c>
      <c r="B233" s="1">
        <f ca="1">IFERROR(__xludf.UNSUPPORTED("""COMPUTED_VALUE"""),53.75)</f>
        <v>53.75</v>
      </c>
      <c r="C233" s="2">
        <f t="shared" ca="1" si="0"/>
        <v>6.5543071161048953E-3</v>
      </c>
    </row>
    <row r="234" spans="1:3">
      <c r="A234" s="3">
        <f ca="1">IFERROR(__xludf.UNSUPPORTED("""COMPUTED_VALUE"""),43802.6666666666)</f>
        <v>43802.666666666599</v>
      </c>
      <c r="B234" s="1">
        <f ca="1">IFERROR(__xludf.UNSUPPORTED("""COMPUTED_VALUE"""),53.8)</f>
        <v>53.8</v>
      </c>
      <c r="C234" s="2">
        <f t="shared" ca="1" si="0"/>
        <v>9.3023255813948203E-4</v>
      </c>
    </row>
    <row r="235" spans="1:3">
      <c r="A235" s="3">
        <f ca="1">IFERROR(__xludf.UNSUPPORTED("""COMPUTED_VALUE"""),43803.6666666666)</f>
        <v>43803.666666666599</v>
      </c>
      <c r="B235" s="1">
        <f ca="1">IFERROR(__xludf.UNSUPPORTED("""COMPUTED_VALUE"""),54.29)</f>
        <v>54.29</v>
      </c>
      <c r="C235" s="2">
        <f t="shared" ca="1" si="0"/>
        <v>9.1078066914498518E-3</v>
      </c>
    </row>
    <row r="236" spans="1:3">
      <c r="A236" s="3">
        <f ca="1">IFERROR(__xludf.UNSUPPORTED("""COMPUTED_VALUE"""),43804.6666666666)</f>
        <v>43804.666666666599</v>
      </c>
      <c r="B236" s="1">
        <f ca="1">IFERROR(__xludf.UNSUPPORTED("""COMPUTED_VALUE"""),54.19)</f>
        <v>54.19</v>
      </c>
      <c r="C236" s="2">
        <f t="shared" ca="1" si="0"/>
        <v>-1.8419598452753992E-3</v>
      </c>
    </row>
    <row r="237" spans="1:3">
      <c r="A237" s="3">
        <f ca="1">IFERROR(__xludf.UNSUPPORTED("""COMPUTED_VALUE"""),43805.6666666666)</f>
        <v>43805.666666666599</v>
      </c>
      <c r="B237" s="1">
        <f ca="1">IFERROR(__xludf.UNSUPPORTED("""COMPUTED_VALUE"""),54.42)</f>
        <v>54.42</v>
      </c>
      <c r="C237" s="2">
        <f t="shared" ca="1" si="0"/>
        <v>4.2443255213139687E-3</v>
      </c>
    </row>
    <row r="238" spans="1:3">
      <c r="A238" s="3">
        <f ca="1">IFERROR(__xludf.UNSUPPORTED("""COMPUTED_VALUE"""),43808.6666666666)</f>
        <v>43808.666666666599</v>
      </c>
      <c r="B238" s="1">
        <f ca="1">IFERROR(__xludf.UNSUPPORTED("""COMPUTED_VALUE"""),54.07)</f>
        <v>54.07</v>
      </c>
      <c r="C238" s="2">
        <f t="shared" ca="1" si="0"/>
        <v>-6.4314590224182544E-3</v>
      </c>
    </row>
    <row r="239" spans="1:3">
      <c r="A239" s="3">
        <f ca="1">IFERROR(__xludf.UNSUPPORTED("""COMPUTED_VALUE"""),43809.6666666666)</f>
        <v>43809.666666666599</v>
      </c>
      <c r="B239" s="1">
        <f ca="1">IFERROR(__xludf.UNSUPPORTED("""COMPUTED_VALUE"""),53.77)</f>
        <v>53.77</v>
      </c>
      <c r="C239" s="2">
        <f t="shared" ca="1" si="0"/>
        <v>-5.5483632328462576E-3</v>
      </c>
    </row>
    <row r="240" spans="1:3">
      <c r="A240" s="3">
        <f ca="1">IFERROR(__xludf.UNSUPPORTED("""COMPUTED_VALUE"""),43810.6666666666)</f>
        <v>43810.666666666599</v>
      </c>
      <c r="B240" s="1">
        <f ca="1">IFERROR(__xludf.UNSUPPORTED("""COMPUTED_VALUE"""),53.95)</f>
        <v>53.95</v>
      </c>
      <c r="C240" s="2">
        <f t="shared" ca="1" si="0"/>
        <v>3.3475915938255478E-3</v>
      </c>
    </row>
    <row r="241" spans="1:3">
      <c r="A241" s="3">
        <f ca="1">IFERROR(__xludf.UNSUPPORTED("""COMPUTED_VALUE"""),43811.6666666666)</f>
        <v>43811.666666666599</v>
      </c>
      <c r="B241" s="1">
        <f ca="1">IFERROR(__xludf.UNSUPPORTED("""COMPUTED_VALUE"""),54.14)</f>
        <v>54.14</v>
      </c>
      <c r="C241" s="2">
        <f t="shared" ca="1" si="0"/>
        <v>3.5217794253938409E-3</v>
      </c>
    </row>
    <row r="242" spans="1:3">
      <c r="A242" s="3">
        <f ca="1">IFERROR(__xludf.UNSUPPORTED("""COMPUTED_VALUE"""),43812.6666666666)</f>
        <v>43812.666666666599</v>
      </c>
      <c r="B242" s="1">
        <f ca="1">IFERROR(__xludf.UNSUPPORTED("""COMPUTED_VALUE"""),54.42)</f>
        <v>54.42</v>
      </c>
      <c r="C242" s="2">
        <f t="shared" ca="1" si="0"/>
        <v>5.1717768747691377E-3</v>
      </c>
    </row>
    <row r="243" spans="1:3">
      <c r="A243" s="3">
        <f ca="1">IFERROR(__xludf.UNSUPPORTED("""COMPUTED_VALUE"""),43815.6666666666)</f>
        <v>43815.666666666599</v>
      </c>
      <c r="B243" s="1">
        <f ca="1">IFERROR(__xludf.UNSUPPORTED("""COMPUTED_VALUE"""),54.42)</f>
        <v>54.42</v>
      </c>
      <c r="C243" s="2">
        <f t="shared" ca="1" si="0"/>
        <v>0</v>
      </c>
    </row>
    <row r="244" spans="1:3">
      <c r="A244" s="3">
        <f ca="1">IFERROR(__xludf.UNSUPPORTED("""COMPUTED_VALUE"""),43816.6666666666)</f>
        <v>43816.666666666599</v>
      </c>
      <c r="B244" s="1">
        <f ca="1">IFERROR(__xludf.UNSUPPORTED("""COMPUTED_VALUE"""),54.42)</f>
        <v>54.42</v>
      </c>
      <c r="C244" s="2">
        <f t="shared" ca="1" si="0"/>
        <v>0</v>
      </c>
    </row>
    <row r="245" spans="1:3">
      <c r="A245" s="3">
        <f ca="1">IFERROR(__xludf.UNSUPPORTED("""COMPUTED_VALUE"""),43817.6666666666)</f>
        <v>43817.666666666599</v>
      </c>
      <c r="B245" s="1">
        <f ca="1">IFERROR(__xludf.UNSUPPORTED("""COMPUTED_VALUE"""),53.91)</f>
        <v>53.91</v>
      </c>
      <c r="C245" s="2">
        <f t="shared" ca="1" si="0"/>
        <v>-9.3715545755237977E-3</v>
      </c>
    </row>
    <row r="246" spans="1:3">
      <c r="A246" s="3">
        <f ca="1">IFERROR(__xludf.UNSUPPORTED("""COMPUTED_VALUE"""),43818.6666666666)</f>
        <v>43818.666666666599</v>
      </c>
      <c r="B246" s="1">
        <f ca="1">IFERROR(__xludf.UNSUPPORTED("""COMPUTED_VALUE"""),54.32)</f>
        <v>54.32</v>
      </c>
      <c r="C246" s="2">
        <f t="shared" ca="1" si="0"/>
        <v>7.6052680393248698E-3</v>
      </c>
    </row>
    <row r="247" spans="1:3">
      <c r="A247" s="3">
        <f ca="1">IFERROR(__xludf.UNSUPPORTED("""COMPUTED_VALUE"""),43819.6666666666)</f>
        <v>43819.666666666599</v>
      </c>
      <c r="B247" s="1">
        <f ca="1">IFERROR(__xludf.UNSUPPORTED("""COMPUTED_VALUE"""),54.97)</f>
        <v>54.97</v>
      </c>
      <c r="C247" s="2">
        <f t="shared" ca="1" si="0"/>
        <v>1.1966126656848279E-2</v>
      </c>
    </row>
    <row r="248" spans="1:3">
      <c r="A248" s="3">
        <f ca="1">IFERROR(__xludf.UNSUPPORTED("""COMPUTED_VALUE"""),43822.6666666666)</f>
        <v>43822.666666666599</v>
      </c>
      <c r="B248" s="1">
        <f ca="1">IFERROR(__xludf.UNSUPPORTED("""COMPUTED_VALUE"""),54.91)</f>
        <v>54.91</v>
      </c>
      <c r="C248" s="2">
        <f t="shared" ca="1" si="0"/>
        <v>-1.0915044569765741E-3</v>
      </c>
    </row>
    <row r="249" spans="1:3">
      <c r="A249" s="3">
        <f ca="1">IFERROR(__xludf.UNSUPPORTED("""COMPUTED_VALUE"""),43823.5416666666)</f>
        <v>43823.541666666599</v>
      </c>
      <c r="B249" s="1">
        <f ca="1">IFERROR(__xludf.UNSUPPORTED("""COMPUTED_VALUE"""),54.71)</f>
        <v>54.71</v>
      </c>
      <c r="C249" s="2">
        <f t="shared" ca="1" si="0"/>
        <v>-3.6423238025859723E-3</v>
      </c>
    </row>
    <row r="250" spans="1:3">
      <c r="A250" s="3">
        <f ca="1">IFERROR(__xludf.UNSUPPORTED("""COMPUTED_VALUE"""),43825.6666666666)</f>
        <v>43825.666666666599</v>
      </c>
      <c r="B250" s="1">
        <f ca="1">IFERROR(__xludf.UNSUPPORTED("""COMPUTED_VALUE"""),55.02)</f>
        <v>55.02</v>
      </c>
      <c r="C250" s="2">
        <f t="shared" ca="1" si="0"/>
        <v>5.6662401754707051E-3</v>
      </c>
    </row>
    <row r="251" spans="1:3">
      <c r="A251" s="3">
        <f ca="1">IFERROR(__xludf.UNSUPPORTED("""COMPUTED_VALUE"""),43826.6666666666)</f>
        <v>43826.666666666599</v>
      </c>
      <c r="B251" s="1">
        <f ca="1">IFERROR(__xludf.UNSUPPORTED("""COMPUTED_VALUE"""),55.35)</f>
        <v>55.35</v>
      </c>
      <c r="C251" s="2">
        <f t="shared" ca="1" si="0"/>
        <v>5.9978189749181803E-3</v>
      </c>
    </row>
    <row r="252" spans="1:3">
      <c r="A252" s="3">
        <f ca="1">IFERROR(__xludf.UNSUPPORTED("""COMPUTED_VALUE"""),43829.6666666666)</f>
        <v>43829.666666666599</v>
      </c>
      <c r="B252" s="1">
        <f ca="1">IFERROR(__xludf.UNSUPPORTED("""COMPUTED_VALUE"""),55.27)</f>
        <v>55.27</v>
      </c>
      <c r="C252" s="2">
        <f t="shared" ca="1" si="0"/>
        <v>-1.4453477868111705E-3</v>
      </c>
    </row>
    <row r="253" spans="1:3">
      <c r="A253" s="3">
        <f ca="1">IFERROR(__xludf.UNSUPPORTED("""COMPUTED_VALUE"""),43830.6666666666)</f>
        <v>43830.666666666599</v>
      </c>
      <c r="B253" s="1">
        <f ca="1">IFERROR(__xludf.UNSUPPORTED("""COMPUTED_VALUE"""),55.35)</f>
        <v>55.35</v>
      </c>
      <c r="C253" s="2">
        <f t="shared" ca="1" si="0"/>
        <v>1.4474398407815865E-3</v>
      </c>
    </row>
    <row r="254" spans="1:3">
      <c r="A254" s="3">
        <f ca="1">IFERROR(__xludf.UNSUPPORTED("""COMPUTED_VALUE"""),43832.6666666666)</f>
        <v>43832.666666666599</v>
      </c>
      <c r="B254" s="1">
        <f ca="1">IFERROR(__xludf.UNSUPPORTED("""COMPUTED_VALUE"""),54.99)</f>
        <v>54.99</v>
      </c>
      <c r="C254" s="2">
        <f t="shared" ca="1" si="0"/>
        <v>-6.5040650406503961E-3</v>
      </c>
    </row>
    <row r="255" spans="1:3">
      <c r="A255" s="3">
        <f ca="1">IFERROR(__xludf.UNSUPPORTED("""COMPUTED_VALUE"""),43833.6666666666)</f>
        <v>43833.666666666599</v>
      </c>
      <c r="B255" s="1">
        <f ca="1">IFERROR(__xludf.UNSUPPORTED("""COMPUTED_VALUE"""),54.69)</f>
        <v>54.69</v>
      </c>
      <c r="C255" s="2">
        <f t="shared" ca="1" si="0"/>
        <v>-5.455537370431065E-3</v>
      </c>
    </row>
    <row r="256" spans="1:3">
      <c r="A256" s="3">
        <f ca="1">IFERROR(__xludf.UNSUPPORTED("""COMPUTED_VALUE"""),43836.6666666666)</f>
        <v>43836.666666666599</v>
      </c>
      <c r="B256" s="1">
        <f ca="1">IFERROR(__xludf.UNSUPPORTED("""COMPUTED_VALUE"""),54.67)</f>
        <v>54.67</v>
      </c>
      <c r="C256" s="2">
        <f t="shared" ca="1" si="0"/>
        <v>-3.6569756811109929E-4</v>
      </c>
    </row>
    <row r="257" spans="1:3">
      <c r="A257" s="3">
        <f ca="1">IFERROR(__xludf.UNSUPPORTED("""COMPUTED_VALUE"""),43837.6666666666)</f>
        <v>43837.666666666599</v>
      </c>
      <c r="B257" s="1">
        <f ca="1">IFERROR(__xludf.UNSUPPORTED("""COMPUTED_VALUE"""),54.25)</f>
        <v>54.25</v>
      </c>
      <c r="C257" s="2">
        <f t="shared" ca="1" si="0"/>
        <v>-7.6824583866837697E-3</v>
      </c>
    </row>
    <row r="258" spans="1:3">
      <c r="A258" s="3">
        <f ca="1">IFERROR(__xludf.UNSUPPORTED("""COMPUTED_VALUE"""),43838.6666666666)</f>
        <v>43838.666666666599</v>
      </c>
      <c r="B258" s="1">
        <f ca="1">IFERROR(__xludf.UNSUPPORTED("""COMPUTED_VALUE"""),54.35)</f>
        <v>54.35</v>
      </c>
      <c r="C258" s="2">
        <f t="shared" ref="C258:C512" ca="1" si="1">(B258-B257)/B257</f>
        <v>1.8433179723502567E-3</v>
      </c>
    </row>
    <row r="259" spans="1:3">
      <c r="A259" s="3">
        <f ca="1">IFERROR(__xludf.UNSUPPORTED("""COMPUTED_VALUE"""),43839.6666666666)</f>
        <v>43839.666666666599</v>
      </c>
      <c r="B259" s="1">
        <f ca="1">IFERROR(__xludf.UNSUPPORTED("""COMPUTED_VALUE"""),55.34)</f>
        <v>55.34</v>
      </c>
      <c r="C259" s="2">
        <f t="shared" ca="1" si="1"/>
        <v>1.8215271389144472E-2</v>
      </c>
    </row>
    <row r="260" spans="1:3">
      <c r="A260" s="3">
        <f ca="1">IFERROR(__xludf.UNSUPPORTED("""COMPUTED_VALUE"""),43840.6666666666)</f>
        <v>43840.666666666599</v>
      </c>
      <c r="B260" s="1">
        <f ca="1">IFERROR(__xludf.UNSUPPORTED("""COMPUTED_VALUE"""),55.53)</f>
        <v>55.53</v>
      </c>
      <c r="C260" s="2">
        <f t="shared" ca="1" si="1"/>
        <v>3.4333212865919355E-3</v>
      </c>
    </row>
    <row r="261" spans="1:3">
      <c r="A261" s="3">
        <f ca="1">IFERROR(__xludf.UNSUPPORTED("""COMPUTED_VALUE"""),43843.6666666666)</f>
        <v>43843.666666666599</v>
      </c>
      <c r="B261" s="1">
        <f ca="1">IFERROR(__xludf.UNSUPPORTED("""COMPUTED_VALUE"""),56.13)</f>
        <v>56.13</v>
      </c>
      <c r="C261" s="2">
        <f t="shared" ca="1" si="1"/>
        <v>1.0804970286331738E-2</v>
      </c>
    </row>
    <row r="262" spans="1:3">
      <c r="A262" s="3">
        <f ca="1">IFERROR(__xludf.UNSUPPORTED("""COMPUTED_VALUE"""),43844.6666666666)</f>
        <v>43844.666666666599</v>
      </c>
      <c r="B262" s="1">
        <f ca="1">IFERROR(__xludf.UNSUPPORTED("""COMPUTED_VALUE"""),56)</f>
        <v>56</v>
      </c>
      <c r="C262" s="2">
        <f t="shared" ca="1" si="1"/>
        <v>-2.3160520220916188E-3</v>
      </c>
    </row>
    <row r="263" spans="1:3">
      <c r="A263" s="3">
        <f ca="1">IFERROR(__xludf.UNSUPPORTED("""COMPUTED_VALUE"""),43845.6666666666)</f>
        <v>43845.666666666599</v>
      </c>
      <c r="B263" s="1">
        <f ca="1">IFERROR(__xludf.UNSUPPORTED("""COMPUTED_VALUE"""),56.7)</f>
        <v>56.7</v>
      </c>
      <c r="C263" s="2">
        <f t="shared" ca="1" si="1"/>
        <v>1.2500000000000051E-2</v>
      </c>
    </row>
    <row r="264" spans="1:3">
      <c r="A264" s="3">
        <f ca="1">IFERROR(__xludf.UNSUPPORTED("""COMPUTED_VALUE"""),43846.6666666666)</f>
        <v>43846.666666666599</v>
      </c>
      <c r="B264" s="1">
        <f ca="1">IFERROR(__xludf.UNSUPPORTED("""COMPUTED_VALUE"""),56.82)</f>
        <v>56.82</v>
      </c>
      <c r="C264" s="2">
        <f t="shared" ca="1" si="1"/>
        <v>2.116402116402071E-3</v>
      </c>
    </row>
    <row r="265" spans="1:3">
      <c r="A265" s="3">
        <f ca="1">IFERROR(__xludf.UNSUPPORTED("""COMPUTED_VALUE"""),43847.6666666666)</f>
        <v>43847.666666666599</v>
      </c>
      <c r="B265" s="1">
        <f ca="1">IFERROR(__xludf.UNSUPPORTED("""COMPUTED_VALUE"""),56.94)</f>
        <v>56.94</v>
      </c>
      <c r="C265" s="2">
        <f t="shared" ca="1" si="1"/>
        <v>2.111932418162574E-3</v>
      </c>
    </row>
    <row r="266" spans="1:3">
      <c r="A266" s="3">
        <f ca="1">IFERROR(__xludf.UNSUPPORTED("""COMPUTED_VALUE"""),43851.6666666666)</f>
        <v>43851.666666666599</v>
      </c>
      <c r="B266" s="1">
        <f ca="1">IFERROR(__xludf.UNSUPPORTED("""COMPUTED_VALUE"""),57.17)</f>
        <v>57.17</v>
      </c>
      <c r="C266" s="2">
        <f t="shared" ca="1" si="1"/>
        <v>4.0393396557780823E-3</v>
      </c>
    </row>
    <row r="267" spans="1:3">
      <c r="A267" s="3">
        <f ca="1">IFERROR(__xludf.UNSUPPORTED("""COMPUTED_VALUE"""),43852.6666666666)</f>
        <v>43852.666666666599</v>
      </c>
      <c r="B267" s="1">
        <f ca="1">IFERROR(__xludf.UNSUPPORTED("""COMPUTED_VALUE"""),57.61)</f>
        <v>57.61</v>
      </c>
      <c r="C267" s="2">
        <f t="shared" ca="1" si="1"/>
        <v>7.696344236487628E-3</v>
      </c>
    </row>
    <row r="268" spans="1:3">
      <c r="A268" s="3">
        <f ca="1">IFERROR(__xludf.UNSUPPORTED("""COMPUTED_VALUE"""),43853.6666666666)</f>
        <v>43853.666666666599</v>
      </c>
      <c r="B268" s="1">
        <f ca="1">IFERROR(__xludf.UNSUPPORTED("""COMPUTED_VALUE"""),57.83)</f>
        <v>57.83</v>
      </c>
      <c r="C268" s="2">
        <f t="shared" ca="1" si="1"/>
        <v>3.8187814615517944E-3</v>
      </c>
    </row>
    <row r="269" spans="1:3">
      <c r="A269" s="3">
        <f ca="1">IFERROR(__xludf.UNSUPPORTED("""COMPUTED_VALUE"""),43854.6666666666)</f>
        <v>43854.666666666599</v>
      </c>
      <c r="B269" s="1">
        <f ca="1">IFERROR(__xludf.UNSUPPORTED("""COMPUTED_VALUE"""),57.68)</f>
        <v>57.68</v>
      </c>
      <c r="C269" s="2">
        <f t="shared" ca="1" si="1"/>
        <v>-2.5938094414663425E-3</v>
      </c>
    </row>
    <row r="270" spans="1:3">
      <c r="A270" s="3">
        <f ca="1">IFERROR(__xludf.UNSUPPORTED("""COMPUTED_VALUE"""),43857.6666666666)</f>
        <v>43857.666666666599</v>
      </c>
      <c r="B270" s="1">
        <f ca="1">IFERROR(__xludf.UNSUPPORTED("""COMPUTED_VALUE"""),57.48)</f>
        <v>57.48</v>
      </c>
      <c r="C270" s="2">
        <f t="shared" ca="1" si="1"/>
        <v>-3.4674063800277885E-3</v>
      </c>
    </row>
    <row r="271" spans="1:3">
      <c r="A271" s="3">
        <f ca="1">IFERROR(__xludf.UNSUPPORTED("""COMPUTED_VALUE"""),43858.6666666666)</f>
        <v>43858.666666666599</v>
      </c>
      <c r="B271" s="1">
        <f ca="1">IFERROR(__xludf.UNSUPPORTED("""COMPUTED_VALUE"""),57.01)</f>
        <v>57.01</v>
      </c>
      <c r="C271" s="2">
        <f t="shared" ca="1" si="1"/>
        <v>-8.1767571329157771E-3</v>
      </c>
    </row>
    <row r="272" spans="1:3">
      <c r="A272" s="3">
        <f ca="1">IFERROR(__xludf.UNSUPPORTED("""COMPUTED_VALUE"""),43859.6666666666)</f>
        <v>43859.666666666599</v>
      </c>
      <c r="B272" s="1">
        <f ca="1">IFERROR(__xludf.UNSUPPORTED("""COMPUTED_VALUE"""),57.01)</f>
        <v>57.01</v>
      </c>
      <c r="C272" s="2">
        <f t="shared" ca="1" si="1"/>
        <v>0</v>
      </c>
    </row>
    <row r="273" spans="1:3">
      <c r="A273" s="3">
        <f ca="1">IFERROR(__xludf.UNSUPPORTED("""COMPUTED_VALUE"""),43860.6666666666)</f>
        <v>43860.666666666599</v>
      </c>
      <c r="B273" s="1">
        <f ca="1">IFERROR(__xludf.UNSUPPORTED("""COMPUTED_VALUE"""),58.86)</f>
        <v>58.86</v>
      </c>
      <c r="C273" s="2">
        <f t="shared" ca="1" si="1"/>
        <v>3.2450447289949155E-2</v>
      </c>
    </row>
    <row r="274" spans="1:3">
      <c r="A274" s="3">
        <f ca="1">IFERROR(__xludf.UNSUPPORTED("""COMPUTED_VALUE"""),43861.6666666666)</f>
        <v>43861.666666666599</v>
      </c>
      <c r="B274" s="1">
        <f ca="1">IFERROR(__xludf.UNSUPPORTED("""COMPUTED_VALUE"""),58.4)</f>
        <v>58.4</v>
      </c>
      <c r="C274" s="2">
        <f t="shared" ca="1" si="1"/>
        <v>-7.815154604145445E-3</v>
      </c>
    </row>
    <row r="275" spans="1:3">
      <c r="A275" s="3">
        <f ca="1">IFERROR(__xludf.UNSUPPORTED("""COMPUTED_VALUE"""),43864.6666666666)</f>
        <v>43864.666666666599</v>
      </c>
      <c r="B275" s="1">
        <f ca="1">IFERROR(__xludf.UNSUPPORTED("""COMPUTED_VALUE"""),58.58)</f>
        <v>58.58</v>
      </c>
      <c r="C275" s="2">
        <f t="shared" ca="1" si="1"/>
        <v>3.082191780821913E-3</v>
      </c>
    </row>
    <row r="276" spans="1:3">
      <c r="A276" s="3">
        <f ca="1">IFERROR(__xludf.UNSUPPORTED("""COMPUTED_VALUE"""),43865.6666666666)</f>
        <v>43865.666666666599</v>
      </c>
      <c r="B276" s="1">
        <f ca="1">IFERROR(__xludf.UNSUPPORTED("""COMPUTED_VALUE"""),58.84)</f>
        <v>58.84</v>
      </c>
      <c r="C276" s="2">
        <f t="shared" ca="1" si="1"/>
        <v>4.4383748719700432E-3</v>
      </c>
    </row>
    <row r="277" spans="1:3">
      <c r="A277" s="3">
        <f ca="1">IFERROR(__xludf.UNSUPPORTED("""COMPUTED_VALUE"""),43866.6666666666)</f>
        <v>43866.666666666599</v>
      </c>
      <c r="B277" s="1">
        <f ca="1">IFERROR(__xludf.UNSUPPORTED("""COMPUTED_VALUE"""),58.85)</f>
        <v>58.85</v>
      </c>
      <c r="C277" s="2">
        <f t="shared" ca="1" si="1"/>
        <v>1.6995241332423539E-4</v>
      </c>
    </row>
    <row r="278" spans="1:3">
      <c r="A278" s="3">
        <f ca="1">IFERROR(__xludf.UNSUPPORTED("""COMPUTED_VALUE"""),43867.6666666666)</f>
        <v>43867.666666666599</v>
      </c>
      <c r="B278" s="1">
        <f ca="1">IFERROR(__xludf.UNSUPPORTED("""COMPUTED_VALUE"""),58.99)</f>
        <v>58.99</v>
      </c>
      <c r="C278" s="2">
        <f t="shared" ca="1" si="1"/>
        <v>2.3789294817332298E-3</v>
      </c>
    </row>
    <row r="279" spans="1:3">
      <c r="A279" s="3">
        <f ca="1">IFERROR(__xludf.UNSUPPORTED("""COMPUTED_VALUE"""),43868.6666666666)</f>
        <v>43868.666666666599</v>
      </c>
      <c r="B279" s="1">
        <f ca="1">IFERROR(__xludf.UNSUPPORTED("""COMPUTED_VALUE"""),59.19)</f>
        <v>59.19</v>
      </c>
      <c r="C279" s="2">
        <f t="shared" ca="1" si="1"/>
        <v>3.390405153415761E-3</v>
      </c>
    </row>
    <row r="280" spans="1:3">
      <c r="A280" s="3">
        <f ca="1">IFERROR(__xludf.UNSUPPORTED("""COMPUTED_VALUE"""),43871.6666666666)</f>
        <v>43871.666666666599</v>
      </c>
      <c r="B280" s="1">
        <f ca="1">IFERROR(__xludf.UNSUPPORTED("""COMPUTED_VALUE"""),59.75)</f>
        <v>59.75</v>
      </c>
      <c r="C280" s="2">
        <f t="shared" ca="1" si="1"/>
        <v>9.4610576110829916E-3</v>
      </c>
    </row>
    <row r="281" spans="1:3">
      <c r="A281" s="3">
        <f ca="1">IFERROR(__xludf.UNSUPPORTED("""COMPUTED_VALUE"""),43872.6666666666)</f>
        <v>43872.666666666599</v>
      </c>
      <c r="B281" s="1">
        <f ca="1">IFERROR(__xludf.UNSUPPORTED("""COMPUTED_VALUE"""),59.59)</f>
        <v>59.59</v>
      </c>
      <c r="C281" s="2">
        <f t="shared" ca="1" si="1"/>
        <v>-2.6778242677823697E-3</v>
      </c>
    </row>
    <row r="282" spans="1:3">
      <c r="A282" s="3">
        <f ca="1">IFERROR(__xludf.UNSUPPORTED("""COMPUTED_VALUE"""),43873.6666666666)</f>
        <v>43873.666666666599</v>
      </c>
      <c r="B282" s="1">
        <f ca="1">IFERROR(__xludf.UNSUPPORTED("""COMPUTED_VALUE"""),59.41)</f>
        <v>59.41</v>
      </c>
      <c r="C282" s="2">
        <f t="shared" ca="1" si="1"/>
        <v>-3.0206410471556775E-3</v>
      </c>
    </row>
    <row r="283" spans="1:3">
      <c r="A283" s="3">
        <f ca="1">IFERROR(__xludf.UNSUPPORTED("""COMPUTED_VALUE"""),43874.6666666666)</f>
        <v>43874.666666666599</v>
      </c>
      <c r="B283" s="1">
        <f ca="1">IFERROR(__xludf.UNSUPPORTED("""COMPUTED_VALUE"""),59.61)</f>
        <v>59.61</v>
      </c>
      <c r="C283" s="2">
        <f t="shared" ca="1" si="1"/>
        <v>3.366436626830548E-3</v>
      </c>
    </row>
    <row r="284" spans="1:3">
      <c r="A284" s="3">
        <f ca="1">IFERROR(__xludf.UNSUPPORTED("""COMPUTED_VALUE"""),43875.6666666666)</f>
        <v>43875.666666666599</v>
      </c>
      <c r="B284" s="1">
        <f ca="1">IFERROR(__xludf.UNSUPPORTED("""COMPUTED_VALUE"""),59.95)</f>
        <v>59.95</v>
      </c>
      <c r="C284" s="2">
        <f t="shared" ca="1" si="1"/>
        <v>5.7037409830565915E-3</v>
      </c>
    </row>
    <row r="285" spans="1:3">
      <c r="A285" s="3">
        <f ca="1">IFERROR(__xludf.UNSUPPORTED("""COMPUTED_VALUE"""),43879.6666666666)</f>
        <v>43879.666666666599</v>
      </c>
      <c r="B285" s="1">
        <f ca="1">IFERROR(__xludf.UNSUPPORTED("""COMPUTED_VALUE"""),59.53)</f>
        <v>59.53</v>
      </c>
      <c r="C285" s="2">
        <f t="shared" ca="1" si="1"/>
        <v>-7.0058381984987768E-3</v>
      </c>
    </row>
    <row r="286" spans="1:3">
      <c r="A286" s="3">
        <f ca="1">IFERROR(__xludf.UNSUPPORTED("""COMPUTED_VALUE"""),43880.6666666666)</f>
        <v>43880.666666666599</v>
      </c>
      <c r="B286" s="1">
        <f ca="1">IFERROR(__xludf.UNSUPPORTED("""COMPUTED_VALUE"""),59.77)</f>
        <v>59.77</v>
      </c>
      <c r="C286" s="2">
        <f t="shared" ca="1" si="1"/>
        <v>4.0315807156056102E-3</v>
      </c>
    </row>
    <row r="287" spans="1:3">
      <c r="A287" s="3">
        <f ca="1">IFERROR(__xludf.UNSUPPORTED("""COMPUTED_VALUE"""),43881.6666666666)</f>
        <v>43881.666666666599</v>
      </c>
      <c r="B287" s="1">
        <f ca="1">IFERROR(__xludf.UNSUPPORTED("""COMPUTED_VALUE"""),59.72)</f>
        <v>59.72</v>
      </c>
      <c r="C287" s="2">
        <f t="shared" ca="1" si="1"/>
        <v>-8.3654007026943717E-4</v>
      </c>
    </row>
    <row r="288" spans="1:3">
      <c r="A288" s="3">
        <f ca="1">IFERROR(__xludf.UNSUPPORTED("""COMPUTED_VALUE"""),43882.6666666666)</f>
        <v>43882.666666666599</v>
      </c>
      <c r="B288" s="1">
        <f ca="1">IFERROR(__xludf.UNSUPPORTED("""COMPUTED_VALUE"""),60.13)</f>
        <v>60.13</v>
      </c>
      <c r="C288" s="2">
        <f t="shared" ca="1" si="1"/>
        <v>6.8653717347622861E-3</v>
      </c>
    </row>
    <row r="289" spans="1:3">
      <c r="A289" s="3">
        <f ca="1">IFERROR(__xludf.UNSUPPORTED("""COMPUTED_VALUE"""),43885.6666666666)</f>
        <v>43885.666666666599</v>
      </c>
      <c r="B289" s="1">
        <f ca="1">IFERROR(__xludf.UNSUPPORTED("""COMPUTED_VALUE"""),58.65)</f>
        <v>58.65</v>
      </c>
      <c r="C289" s="2">
        <f t="shared" ca="1" si="1"/>
        <v>-2.4613337768169031E-2</v>
      </c>
    </row>
    <row r="290" spans="1:3">
      <c r="A290" s="3">
        <f ca="1">IFERROR(__xludf.UNSUPPORTED("""COMPUTED_VALUE"""),43886.6666666666)</f>
        <v>43886.666666666599</v>
      </c>
      <c r="B290" s="1">
        <f ca="1">IFERROR(__xludf.UNSUPPORTED("""COMPUTED_VALUE"""),57.82)</f>
        <v>57.82</v>
      </c>
      <c r="C290" s="2">
        <f t="shared" ca="1" si="1"/>
        <v>-1.4151747655583944E-2</v>
      </c>
    </row>
    <row r="291" spans="1:3">
      <c r="A291" s="3">
        <f ca="1">IFERROR(__xludf.UNSUPPORTED("""COMPUTED_VALUE"""),43887.6666666666)</f>
        <v>43887.666666666599</v>
      </c>
      <c r="B291" s="1">
        <f ca="1">IFERROR(__xludf.UNSUPPORTED("""COMPUTED_VALUE"""),57.6)</f>
        <v>57.6</v>
      </c>
      <c r="C291" s="2">
        <f t="shared" ca="1" si="1"/>
        <v>-3.8049117952265454E-3</v>
      </c>
    </row>
    <row r="292" spans="1:3">
      <c r="A292" s="3">
        <f ca="1">IFERROR(__xludf.UNSUPPORTED("""COMPUTED_VALUE"""),43888.6666666666)</f>
        <v>43888.666666666599</v>
      </c>
      <c r="B292" s="1">
        <f ca="1">IFERROR(__xludf.UNSUPPORTED("""COMPUTED_VALUE"""),54.93)</f>
        <v>54.93</v>
      </c>
      <c r="C292" s="2">
        <f t="shared" ca="1" si="1"/>
        <v>-4.6354166666666696E-2</v>
      </c>
    </row>
    <row r="293" spans="1:3">
      <c r="A293" s="3">
        <f ca="1">IFERROR(__xludf.UNSUPPORTED("""COMPUTED_VALUE"""),43889.6666666666)</f>
        <v>43889.666666666599</v>
      </c>
      <c r="B293" s="1">
        <f ca="1">IFERROR(__xludf.UNSUPPORTED("""COMPUTED_VALUE"""),53.49)</f>
        <v>53.49</v>
      </c>
      <c r="C293" s="2">
        <f t="shared" ca="1" si="1"/>
        <v>-2.6215182960131034E-2</v>
      </c>
    </row>
    <row r="294" spans="1:3">
      <c r="A294" s="3">
        <f ca="1">IFERROR(__xludf.UNSUPPORTED("""COMPUTED_VALUE"""),43892.6666666666)</f>
        <v>43892.666666666599</v>
      </c>
      <c r="B294" s="1">
        <f ca="1">IFERROR(__xludf.UNSUPPORTED("""COMPUTED_VALUE"""),55.92)</f>
        <v>55.92</v>
      </c>
      <c r="C294" s="2">
        <f t="shared" ca="1" si="1"/>
        <v>4.5429052159282099E-2</v>
      </c>
    </row>
    <row r="295" spans="1:3">
      <c r="A295" s="3">
        <f ca="1">IFERROR(__xludf.UNSUPPORTED("""COMPUTED_VALUE"""),43893.6666666666)</f>
        <v>43893.666666666599</v>
      </c>
      <c r="B295" s="1">
        <f ca="1">IFERROR(__xludf.UNSUPPORTED("""COMPUTED_VALUE"""),56.06)</f>
        <v>56.06</v>
      </c>
      <c r="C295" s="2">
        <f t="shared" ca="1" si="1"/>
        <v>2.5035765379113118E-3</v>
      </c>
    </row>
    <row r="296" spans="1:3">
      <c r="A296" s="3">
        <f ca="1">IFERROR(__xludf.UNSUPPORTED("""COMPUTED_VALUE"""),43894.6666666666)</f>
        <v>43894.666666666599</v>
      </c>
      <c r="B296" s="1">
        <f ca="1">IFERROR(__xludf.UNSUPPORTED("""COMPUTED_VALUE"""),58.92)</f>
        <v>58.92</v>
      </c>
      <c r="C296" s="2">
        <f t="shared" ca="1" si="1"/>
        <v>5.1016767748840515E-2</v>
      </c>
    </row>
    <row r="297" spans="1:3">
      <c r="A297" s="3">
        <f ca="1">IFERROR(__xludf.UNSUPPORTED("""COMPUTED_VALUE"""),43895.6666666666)</f>
        <v>43895.666666666599</v>
      </c>
      <c r="B297" s="1">
        <f ca="1">IFERROR(__xludf.UNSUPPORTED("""COMPUTED_VALUE"""),56.74)</f>
        <v>56.74</v>
      </c>
      <c r="C297" s="2">
        <f t="shared" ca="1" si="1"/>
        <v>-3.6999321113374062E-2</v>
      </c>
    </row>
    <row r="298" spans="1:3">
      <c r="A298" s="3">
        <f ca="1">IFERROR(__xludf.UNSUPPORTED("""COMPUTED_VALUE"""),43896.6666666666)</f>
        <v>43896.666666666599</v>
      </c>
      <c r="B298" s="1">
        <f ca="1">IFERROR(__xludf.UNSUPPORTED("""COMPUTED_VALUE"""),55.26)</f>
        <v>55.26</v>
      </c>
      <c r="C298" s="2">
        <f t="shared" ca="1" si="1"/>
        <v>-2.60838914346141E-2</v>
      </c>
    </row>
    <row r="299" spans="1:3">
      <c r="A299" s="3">
        <f ca="1">IFERROR(__xludf.UNSUPPORTED("""COMPUTED_VALUE"""),43899.6666666666)</f>
        <v>43899.666666666599</v>
      </c>
      <c r="B299" s="1">
        <f ca="1">IFERROR(__xludf.UNSUPPORTED("""COMPUTED_VALUE"""),51.86)</f>
        <v>51.86</v>
      </c>
      <c r="C299" s="2">
        <f t="shared" ca="1" si="1"/>
        <v>-6.1527325370973558E-2</v>
      </c>
    </row>
    <row r="300" spans="1:3">
      <c r="A300" s="3">
        <f ca="1">IFERROR(__xludf.UNSUPPORTED("""COMPUTED_VALUE"""),43900.6666666666)</f>
        <v>43900.666666666599</v>
      </c>
      <c r="B300" s="1">
        <f ca="1">IFERROR(__xludf.UNSUPPORTED("""COMPUTED_VALUE"""),53.66)</f>
        <v>53.66</v>
      </c>
      <c r="C300" s="2">
        <f t="shared" ca="1" si="1"/>
        <v>3.4708831469340479E-2</v>
      </c>
    </row>
    <row r="301" spans="1:3">
      <c r="A301" s="3">
        <f ca="1">IFERROR(__xludf.UNSUPPORTED("""COMPUTED_VALUE"""),43901.6666666666)</f>
        <v>43901.666666666599</v>
      </c>
      <c r="B301" s="1">
        <f ca="1">IFERROR(__xludf.UNSUPPORTED("""COMPUTED_VALUE"""),52.21)</f>
        <v>52.21</v>
      </c>
      <c r="C301" s="2">
        <f t="shared" ca="1" si="1"/>
        <v>-2.7021990309355121E-2</v>
      </c>
    </row>
    <row r="302" spans="1:3">
      <c r="A302" s="3">
        <f ca="1">IFERROR(__xludf.UNSUPPORTED("""COMPUTED_VALUE"""),43902.6666666666)</f>
        <v>43902.666666666599</v>
      </c>
      <c r="B302" s="1">
        <f ca="1">IFERROR(__xludf.UNSUPPORTED("""COMPUTED_VALUE"""),47.16)</f>
        <v>47.16</v>
      </c>
      <c r="C302" s="2">
        <f t="shared" ca="1" si="1"/>
        <v>-9.6724765370618734E-2</v>
      </c>
    </row>
    <row r="303" spans="1:3">
      <c r="A303" s="3">
        <f ca="1">IFERROR(__xludf.UNSUPPORTED("""COMPUTED_VALUE"""),43903.6666666666)</f>
        <v>43903.666666666599</v>
      </c>
      <c r="B303" s="1">
        <f ca="1">IFERROR(__xludf.UNSUPPORTED("""COMPUTED_VALUE"""),48.47)</f>
        <v>48.47</v>
      </c>
      <c r="C303" s="2">
        <f t="shared" ca="1" si="1"/>
        <v>2.7777777777777828E-2</v>
      </c>
    </row>
    <row r="304" spans="1:3">
      <c r="A304" s="3">
        <f ca="1">IFERROR(__xludf.UNSUPPORTED("""COMPUTED_VALUE"""),43906.6666666666)</f>
        <v>43906.666666666599</v>
      </c>
      <c r="B304" s="1">
        <f ca="1">IFERROR(__xludf.UNSUPPORTED("""COMPUTED_VALUE"""),45.26)</f>
        <v>45.26</v>
      </c>
      <c r="C304" s="2">
        <f t="shared" ca="1" si="1"/>
        <v>-6.6226531875386851E-2</v>
      </c>
    </row>
    <row r="305" spans="1:3">
      <c r="A305" s="3">
        <f ca="1">IFERROR(__xludf.UNSUPPORTED("""COMPUTED_VALUE"""),43907.6666666666)</f>
        <v>43907.666666666599</v>
      </c>
      <c r="B305" s="1">
        <f ca="1">IFERROR(__xludf.UNSUPPORTED("""COMPUTED_VALUE"""),47.18)</f>
        <v>47.18</v>
      </c>
      <c r="C305" s="2">
        <f t="shared" ca="1" si="1"/>
        <v>4.2421564295183421E-2</v>
      </c>
    </row>
    <row r="306" spans="1:3">
      <c r="A306" s="3">
        <f ca="1">IFERROR(__xludf.UNSUPPORTED("""COMPUTED_VALUE"""),43908.6666666666)</f>
        <v>43908.666666666599</v>
      </c>
      <c r="B306" s="1">
        <f ca="1">IFERROR(__xludf.UNSUPPORTED("""COMPUTED_VALUE"""),44.85)</f>
        <v>44.85</v>
      </c>
      <c r="C306" s="2">
        <f t="shared" ca="1" si="1"/>
        <v>-4.9385332768122049E-2</v>
      </c>
    </row>
    <row r="307" spans="1:3">
      <c r="A307" s="3">
        <f ca="1">IFERROR(__xludf.UNSUPPORTED("""COMPUTED_VALUE"""),43909.6666666666)</f>
        <v>43909.666666666599</v>
      </c>
      <c r="B307" s="1">
        <f ca="1">IFERROR(__xludf.UNSUPPORTED("""COMPUTED_VALUE"""),41.83)</f>
        <v>41.83</v>
      </c>
      <c r="C307" s="2">
        <f t="shared" ca="1" si="1"/>
        <v>-6.7335562987736963E-2</v>
      </c>
    </row>
    <row r="308" spans="1:3">
      <c r="A308" s="3">
        <f ca="1">IFERROR(__xludf.UNSUPPORTED("""COMPUTED_VALUE"""),43910.6666666666)</f>
        <v>43910.666666666599</v>
      </c>
      <c r="B308" s="1">
        <f ca="1">IFERROR(__xludf.UNSUPPORTED("""COMPUTED_VALUE"""),38.3)</f>
        <v>38.299999999999997</v>
      </c>
      <c r="C308" s="2">
        <f t="shared" ca="1" si="1"/>
        <v>-8.4389194358116218E-2</v>
      </c>
    </row>
    <row r="309" spans="1:3">
      <c r="A309" s="3">
        <f ca="1">IFERROR(__xludf.UNSUPPORTED("""COMPUTED_VALUE"""),43913.6666666666)</f>
        <v>43913.666666666599</v>
      </c>
      <c r="B309" s="1">
        <f ca="1">IFERROR(__xludf.UNSUPPORTED("""COMPUTED_VALUE"""),37.56)</f>
        <v>37.56</v>
      </c>
      <c r="C309" s="2">
        <f t="shared" ca="1" si="1"/>
        <v>-1.9321148825065141E-2</v>
      </c>
    </row>
    <row r="310" spans="1:3">
      <c r="A310" s="3">
        <f ca="1">IFERROR(__xludf.UNSUPPORTED("""COMPUTED_VALUE"""),43914.6666666666)</f>
        <v>43914.666666666599</v>
      </c>
      <c r="B310" s="1">
        <f ca="1">IFERROR(__xludf.UNSUPPORTED("""COMPUTED_VALUE"""),39.45)</f>
        <v>39.450000000000003</v>
      </c>
      <c r="C310" s="2">
        <f t="shared" ca="1" si="1"/>
        <v>5.0319488817891389E-2</v>
      </c>
    </row>
    <row r="311" spans="1:3">
      <c r="A311" s="3">
        <f ca="1">IFERROR(__xludf.UNSUPPORTED("""COMPUTED_VALUE"""),43915.6666666666)</f>
        <v>43915.666666666599</v>
      </c>
      <c r="B311" s="1">
        <f ca="1">IFERROR(__xludf.UNSUPPORTED("""COMPUTED_VALUE"""),41.61)</f>
        <v>41.61</v>
      </c>
      <c r="C311" s="2">
        <f t="shared" ca="1" si="1"/>
        <v>5.4752851711026528E-2</v>
      </c>
    </row>
    <row r="312" spans="1:3">
      <c r="A312" s="3">
        <f ca="1">IFERROR(__xludf.UNSUPPORTED("""COMPUTED_VALUE"""),43916.6666666666)</f>
        <v>43916.666666666599</v>
      </c>
      <c r="B312" s="1">
        <f ca="1">IFERROR(__xludf.UNSUPPORTED("""COMPUTED_VALUE"""),44.29)</f>
        <v>44.29</v>
      </c>
      <c r="C312" s="2">
        <f t="shared" ca="1" si="1"/>
        <v>6.4407594328286466E-2</v>
      </c>
    </row>
    <row r="313" spans="1:3">
      <c r="A313" s="3">
        <f ca="1">IFERROR(__xludf.UNSUPPORTED("""COMPUTED_VALUE"""),43917.6666666666)</f>
        <v>43917.666666666599</v>
      </c>
      <c r="B313" s="1">
        <f ca="1">IFERROR(__xludf.UNSUPPORTED("""COMPUTED_VALUE"""),42.81)</f>
        <v>42.81</v>
      </c>
      <c r="C313" s="2">
        <f t="shared" ca="1" si="1"/>
        <v>-3.3416121020546329E-2</v>
      </c>
    </row>
    <row r="314" spans="1:3">
      <c r="A314" s="3">
        <f ca="1">IFERROR(__xludf.UNSUPPORTED("""COMPUTED_VALUE"""),43920.6666666666)</f>
        <v>43920.666666666599</v>
      </c>
      <c r="B314" s="1">
        <f ca="1">IFERROR(__xludf.UNSUPPORTED("""COMPUTED_VALUE"""),45)</f>
        <v>45</v>
      </c>
      <c r="C314" s="2">
        <f t="shared" ca="1" si="1"/>
        <v>5.1156271899088945E-2</v>
      </c>
    </row>
    <row r="315" spans="1:3">
      <c r="A315" s="3">
        <f ca="1">IFERROR(__xludf.UNSUPPORTED("""COMPUTED_VALUE"""),43921.6666666666)</f>
        <v>43921.666666666599</v>
      </c>
      <c r="B315" s="1">
        <f ca="1">IFERROR(__xludf.UNSUPPORTED("""COMPUTED_VALUE"""),44.25)</f>
        <v>44.25</v>
      </c>
      <c r="C315" s="2">
        <f t="shared" ca="1" si="1"/>
        <v>-1.6666666666666666E-2</v>
      </c>
    </row>
    <row r="316" spans="1:3">
      <c r="A316" s="3">
        <f ca="1">IFERROR(__xludf.UNSUPPORTED("""COMPUTED_VALUE"""),43922.6666666666)</f>
        <v>43922.666666666599</v>
      </c>
      <c r="B316" s="1">
        <f ca="1">IFERROR(__xludf.UNSUPPORTED("""COMPUTED_VALUE"""),42.12)</f>
        <v>42.12</v>
      </c>
      <c r="C316" s="2">
        <f t="shared" ca="1" si="1"/>
        <v>-4.8135593220339043E-2</v>
      </c>
    </row>
    <row r="317" spans="1:3">
      <c r="A317" s="3">
        <f ca="1">IFERROR(__xludf.UNSUPPORTED("""COMPUTED_VALUE"""),43923.6666666666)</f>
        <v>43923.666666666599</v>
      </c>
      <c r="B317" s="1">
        <f ca="1">IFERROR(__xludf.UNSUPPORTED("""COMPUTED_VALUE"""),43.95)</f>
        <v>43.95</v>
      </c>
      <c r="C317" s="2">
        <f t="shared" ca="1" si="1"/>
        <v>4.3447293447293575E-2</v>
      </c>
    </row>
    <row r="318" spans="1:3">
      <c r="A318" s="3">
        <f ca="1">IFERROR(__xludf.UNSUPPORTED("""COMPUTED_VALUE"""),43924.6666666666)</f>
        <v>43924.666666666599</v>
      </c>
      <c r="B318" s="1">
        <f ca="1">IFERROR(__xludf.UNSUPPORTED("""COMPUTED_VALUE"""),43.83)</f>
        <v>43.83</v>
      </c>
      <c r="C318" s="2">
        <f t="shared" ca="1" si="1"/>
        <v>-2.7303754266212637E-3</v>
      </c>
    </row>
    <row r="319" spans="1:3">
      <c r="A319" s="3">
        <f ca="1">IFERROR(__xludf.UNSUPPORTED("""COMPUTED_VALUE"""),43927.6666666666)</f>
        <v>43927.666666666599</v>
      </c>
      <c r="B319" s="1">
        <f ca="1">IFERROR(__xludf.UNSUPPORTED("""COMPUTED_VALUE"""),46.67)</f>
        <v>46.67</v>
      </c>
      <c r="C319" s="2">
        <f t="shared" ca="1" si="1"/>
        <v>6.4795801962126476E-2</v>
      </c>
    </row>
    <row r="320" spans="1:3">
      <c r="A320" s="3">
        <f ca="1">IFERROR(__xludf.UNSUPPORTED("""COMPUTED_VALUE"""),43928.6666666666)</f>
        <v>43928.666666666599</v>
      </c>
      <c r="B320" s="1">
        <f ca="1">IFERROR(__xludf.UNSUPPORTED("""COMPUTED_VALUE"""),46.51)</f>
        <v>46.51</v>
      </c>
      <c r="C320" s="2">
        <f t="shared" ca="1" si="1"/>
        <v>-3.4283265481037861E-3</v>
      </c>
    </row>
    <row r="321" spans="1:3">
      <c r="A321" s="3">
        <f ca="1">IFERROR(__xludf.UNSUPPORTED("""COMPUTED_VALUE"""),43929.6666666666)</f>
        <v>43929.666666666599</v>
      </c>
      <c r="B321" s="1">
        <f ca="1">IFERROR(__xludf.UNSUPPORTED("""COMPUTED_VALUE"""),47.82)</f>
        <v>47.82</v>
      </c>
      <c r="C321" s="2">
        <f t="shared" ca="1" si="1"/>
        <v>2.8165985809503382E-2</v>
      </c>
    </row>
    <row r="322" spans="1:3">
      <c r="A322" s="3">
        <f ca="1">IFERROR(__xludf.UNSUPPORTED("""COMPUTED_VALUE"""),43930.6666666666)</f>
        <v>43930.666666666599</v>
      </c>
      <c r="B322" s="1">
        <f ca="1">IFERROR(__xludf.UNSUPPORTED("""COMPUTED_VALUE"""),49)</f>
        <v>49</v>
      </c>
      <c r="C322" s="2">
        <f t="shared" ca="1" si="1"/>
        <v>2.4675867837724796E-2</v>
      </c>
    </row>
    <row r="323" spans="1:3">
      <c r="A323" s="3">
        <f ca="1">IFERROR(__xludf.UNSUPPORTED("""COMPUTED_VALUE"""),43934.6666666666)</f>
        <v>43934.666666666599</v>
      </c>
      <c r="B323" s="1">
        <f ca="1">IFERROR(__xludf.UNSUPPORTED("""COMPUTED_VALUE"""),46.93)</f>
        <v>46.93</v>
      </c>
      <c r="C323" s="2">
        <f t="shared" ca="1" si="1"/>
        <v>-4.224489795918368E-2</v>
      </c>
    </row>
    <row r="324" spans="1:3">
      <c r="A324" s="3">
        <f ca="1">IFERROR(__xludf.UNSUPPORTED("""COMPUTED_VALUE"""),43935.6666666666)</f>
        <v>43935.666666666599</v>
      </c>
      <c r="B324" s="1">
        <f ca="1">IFERROR(__xludf.UNSUPPORTED("""COMPUTED_VALUE"""),48.92)</f>
        <v>48.92</v>
      </c>
      <c r="C324" s="2">
        <f t="shared" ca="1" si="1"/>
        <v>4.2403579799701725E-2</v>
      </c>
    </row>
    <row r="325" spans="1:3">
      <c r="A325" s="3">
        <f ca="1">IFERROR(__xludf.UNSUPPORTED("""COMPUTED_VALUE"""),43936.6666666666)</f>
        <v>43936.666666666599</v>
      </c>
      <c r="B325" s="1">
        <f ca="1">IFERROR(__xludf.UNSUPPORTED("""COMPUTED_VALUE"""),47.61)</f>
        <v>47.61</v>
      </c>
      <c r="C325" s="2">
        <f t="shared" ca="1" si="1"/>
        <v>-2.6778413736713046E-2</v>
      </c>
    </row>
    <row r="326" spans="1:3">
      <c r="A326" s="3">
        <f ca="1">IFERROR(__xludf.UNSUPPORTED("""COMPUTED_VALUE"""),43937.6666666666)</f>
        <v>43937.666666666599</v>
      </c>
      <c r="B326" s="1">
        <f ca="1">IFERROR(__xludf.UNSUPPORTED("""COMPUTED_VALUE"""),47.1)</f>
        <v>47.1</v>
      </c>
      <c r="C326" s="2">
        <f t="shared" ca="1" si="1"/>
        <v>-1.0712035286704433E-2</v>
      </c>
    </row>
    <row r="327" spans="1:3">
      <c r="A327" s="3">
        <f ca="1">IFERROR(__xludf.UNSUPPORTED("""COMPUTED_VALUE"""),43938.6666666666)</f>
        <v>43938.666666666599</v>
      </c>
      <c r="B327" s="1">
        <f ca="1">IFERROR(__xludf.UNSUPPORTED("""COMPUTED_VALUE"""),48.06)</f>
        <v>48.06</v>
      </c>
      <c r="C327" s="2">
        <f t="shared" ca="1" si="1"/>
        <v>2.0382165605095558E-2</v>
      </c>
    </row>
    <row r="328" spans="1:3">
      <c r="A328" s="3">
        <f ca="1">IFERROR(__xludf.UNSUPPORTED("""COMPUTED_VALUE"""),43941.6666666666)</f>
        <v>43941.666666666599</v>
      </c>
      <c r="B328" s="1">
        <f ca="1">IFERROR(__xludf.UNSUPPORTED("""COMPUTED_VALUE"""),46.53)</f>
        <v>46.53</v>
      </c>
      <c r="C328" s="2">
        <f t="shared" ca="1" si="1"/>
        <v>-3.1835205992509386E-2</v>
      </c>
    </row>
    <row r="329" spans="1:3">
      <c r="A329" s="3">
        <f ca="1">IFERROR(__xludf.UNSUPPORTED("""COMPUTED_VALUE"""),43942.6666666666)</f>
        <v>43942.666666666599</v>
      </c>
      <c r="B329" s="1">
        <f ca="1">IFERROR(__xludf.UNSUPPORTED("""COMPUTED_VALUE"""),45.38)</f>
        <v>45.38</v>
      </c>
      <c r="C329" s="2">
        <f t="shared" ca="1" si="1"/>
        <v>-2.4715237481194897E-2</v>
      </c>
    </row>
    <row r="330" spans="1:3">
      <c r="A330" s="3">
        <f ca="1">IFERROR(__xludf.UNSUPPORTED("""COMPUTED_VALUE"""),43943.6666666666)</f>
        <v>43943.666666666599</v>
      </c>
      <c r="B330" s="1">
        <f ca="1">IFERROR(__xludf.UNSUPPORTED("""COMPUTED_VALUE"""),45.68)</f>
        <v>45.68</v>
      </c>
      <c r="C330" s="2">
        <f t="shared" ca="1" si="1"/>
        <v>6.6108417805199899E-3</v>
      </c>
    </row>
    <row r="331" spans="1:3">
      <c r="A331" s="3">
        <f ca="1">IFERROR(__xludf.UNSUPPORTED("""COMPUTED_VALUE"""),43944.6666666666)</f>
        <v>43944.666666666599</v>
      </c>
      <c r="B331" s="1">
        <f ca="1">IFERROR(__xludf.UNSUPPORTED("""COMPUTED_VALUE"""),45.07)</f>
        <v>45.07</v>
      </c>
      <c r="C331" s="2">
        <f t="shared" ca="1" si="1"/>
        <v>-1.3353765323992982E-2</v>
      </c>
    </row>
    <row r="332" spans="1:3">
      <c r="A332" s="3">
        <f ca="1">IFERROR(__xludf.UNSUPPORTED("""COMPUTED_VALUE"""),43945.6666666666)</f>
        <v>43945.666666666599</v>
      </c>
      <c r="B332" s="1">
        <f ca="1">IFERROR(__xludf.UNSUPPORTED("""COMPUTED_VALUE"""),45.43)</f>
        <v>45.43</v>
      </c>
      <c r="C332" s="2">
        <f t="shared" ca="1" si="1"/>
        <v>7.987574883514521E-3</v>
      </c>
    </row>
    <row r="333" spans="1:3">
      <c r="A333" s="3">
        <f ca="1">IFERROR(__xludf.UNSUPPORTED("""COMPUTED_VALUE"""),43948.6666666666)</f>
        <v>43948.666666666599</v>
      </c>
      <c r="B333" s="1">
        <f ca="1">IFERROR(__xludf.UNSUPPORTED("""COMPUTED_VALUE"""),46.78)</f>
        <v>46.78</v>
      </c>
      <c r="C333" s="2">
        <f t="shared" ca="1" si="1"/>
        <v>2.9716046665199239E-2</v>
      </c>
    </row>
    <row r="334" spans="1:3">
      <c r="A334" s="3">
        <f ca="1">IFERROR(__xludf.UNSUPPORTED("""COMPUTED_VALUE"""),43949.6666666666)</f>
        <v>43949.666666666599</v>
      </c>
      <c r="B334" s="1">
        <f ca="1">IFERROR(__xludf.UNSUPPORTED("""COMPUTED_VALUE"""),46.74)</f>
        <v>46.74</v>
      </c>
      <c r="C334" s="2">
        <f t="shared" ca="1" si="1"/>
        <v>-8.5506626763572351E-4</v>
      </c>
    </row>
    <row r="335" spans="1:3">
      <c r="A335" s="3">
        <f ca="1">IFERROR(__xludf.UNSUPPORTED("""COMPUTED_VALUE"""),43950.6666666666)</f>
        <v>43950.666666666599</v>
      </c>
      <c r="B335" s="1">
        <f ca="1">IFERROR(__xludf.UNSUPPORTED("""COMPUTED_VALUE"""),47.12)</f>
        <v>47.12</v>
      </c>
      <c r="C335" s="2">
        <f t="shared" ca="1" si="1"/>
        <v>8.1300813008129101E-3</v>
      </c>
    </row>
    <row r="336" spans="1:3">
      <c r="A336" s="3">
        <f ca="1">IFERROR(__xludf.UNSUPPORTED("""COMPUTED_VALUE"""),43951.6666666666)</f>
        <v>43951.666666666599</v>
      </c>
      <c r="B336" s="1">
        <f ca="1">IFERROR(__xludf.UNSUPPORTED("""COMPUTED_VALUE"""),45.89)</f>
        <v>45.89</v>
      </c>
      <c r="C336" s="2">
        <f t="shared" ca="1" si="1"/>
        <v>-2.6103565365025401E-2</v>
      </c>
    </row>
    <row r="337" spans="1:3">
      <c r="A337" s="3">
        <f ca="1">IFERROR(__xludf.UNSUPPORTED("""COMPUTED_VALUE"""),43952.6666666666)</f>
        <v>43952.666666666599</v>
      </c>
      <c r="B337" s="1">
        <f ca="1">IFERROR(__xludf.UNSUPPORTED("""COMPUTED_VALUE"""),45.6)</f>
        <v>45.6</v>
      </c>
      <c r="C337" s="2">
        <f t="shared" ca="1" si="1"/>
        <v>-6.319459577249927E-3</v>
      </c>
    </row>
    <row r="338" spans="1:3">
      <c r="A338" s="3">
        <f ca="1">IFERROR(__xludf.UNSUPPORTED("""COMPUTED_VALUE"""),43955.6666666666)</f>
        <v>43955.666666666599</v>
      </c>
      <c r="B338" s="1">
        <f ca="1">IFERROR(__xludf.UNSUPPORTED("""COMPUTED_VALUE"""),45.14)</f>
        <v>45.14</v>
      </c>
      <c r="C338" s="2">
        <f t="shared" ca="1" si="1"/>
        <v>-1.0087719298245633E-2</v>
      </c>
    </row>
    <row r="339" spans="1:3">
      <c r="A339" s="3">
        <f ca="1">IFERROR(__xludf.UNSUPPORTED("""COMPUTED_VALUE"""),43956.6666666666)</f>
        <v>43956.666666666599</v>
      </c>
      <c r="B339" s="1">
        <f ca="1">IFERROR(__xludf.UNSUPPORTED("""COMPUTED_VALUE"""),45.4)</f>
        <v>45.4</v>
      </c>
      <c r="C339" s="2">
        <f t="shared" ca="1" si="1"/>
        <v>5.7598582188745683E-3</v>
      </c>
    </row>
    <row r="340" spans="1:3">
      <c r="A340" s="3">
        <f ca="1">IFERROR(__xludf.UNSUPPORTED("""COMPUTED_VALUE"""),43957.6666666666)</f>
        <v>43957.666666666599</v>
      </c>
      <c r="B340" s="1">
        <f ca="1">IFERROR(__xludf.UNSUPPORTED("""COMPUTED_VALUE"""),44.75)</f>
        <v>44.75</v>
      </c>
      <c r="C340" s="2">
        <f t="shared" ca="1" si="1"/>
        <v>-1.4317180616740057E-2</v>
      </c>
    </row>
    <row r="341" spans="1:3">
      <c r="A341" s="3">
        <f ca="1">IFERROR(__xludf.UNSUPPORTED("""COMPUTED_VALUE"""),43958.6666666666)</f>
        <v>43958.666666666599</v>
      </c>
      <c r="B341" s="1">
        <f ca="1">IFERROR(__xludf.UNSUPPORTED("""COMPUTED_VALUE"""),44.6)</f>
        <v>44.6</v>
      </c>
      <c r="C341" s="2">
        <f t="shared" ca="1" si="1"/>
        <v>-3.3519553072625381E-3</v>
      </c>
    </row>
    <row r="342" spans="1:3">
      <c r="A342" s="3">
        <f ca="1">IFERROR(__xludf.UNSUPPORTED("""COMPUTED_VALUE"""),43959.6666666666)</f>
        <v>43959.666666666599</v>
      </c>
      <c r="B342" s="1">
        <f ca="1">IFERROR(__xludf.UNSUPPORTED("""COMPUTED_VALUE"""),46.11)</f>
        <v>46.11</v>
      </c>
      <c r="C342" s="2">
        <f t="shared" ca="1" si="1"/>
        <v>3.385650224215242E-2</v>
      </c>
    </row>
    <row r="343" spans="1:3">
      <c r="A343" s="3">
        <f ca="1">IFERROR(__xludf.UNSUPPORTED("""COMPUTED_VALUE"""),43962.6666666666)</f>
        <v>43962.666666666599</v>
      </c>
      <c r="B343" s="1">
        <f ca="1">IFERROR(__xludf.UNSUPPORTED("""COMPUTED_VALUE"""),45.54)</f>
        <v>45.54</v>
      </c>
      <c r="C343" s="2">
        <f t="shared" ca="1" si="1"/>
        <v>-1.2361743656473656E-2</v>
      </c>
    </row>
    <row r="344" spans="1:3">
      <c r="A344" s="3">
        <f ca="1">IFERROR(__xludf.UNSUPPORTED("""COMPUTED_VALUE"""),43963.6666666666)</f>
        <v>43963.666666666599</v>
      </c>
      <c r="B344" s="1">
        <f ca="1">IFERROR(__xludf.UNSUPPORTED("""COMPUTED_VALUE"""),44.82)</f>
        <v>44.82</v>
      </c>
      <c r="C344" s="2">
        <f t="shared" ca="1" si="1"/>
        <v>-1.5810276679841872E-2</v>
      </c>
    </row>
    <row r="345" spans="1:3">
      <c r="A345" s="3">
        <f ca="1">IFERROR(__xludf.UNSUPPORTED("""COMPUTED_VALUE"""),43964.6666666666)</f>
        <v>43964.666666666599</v>
      </c>
      <c r="B345" s="1">
        <f ca="1">IFERROR(__xludf.UNSUPPORTED("""COMPUTED_VALUE"""),43.94)</f>
        <v>43.94</v>
      </c>
      <c r="C345" s="2">
        <f t="shared" ca="1" si="1"/>
        <v>-1.9634091923248605E-2</v>
      </c>
    </row>
    <row r="346" spans="1:3">
      <c r="A346" s="3">
        <f ca="1">IFERROR(__xludf.UNSUPPORTED("""COMPUTED_VALUE"""),43965.6666666666)</f>
        <v>43965.666666666599</v>
      </c>
      <c r="B346" s="1">
        <f ca="1">IFERROR(__xludf.UNSUPPORTED("""COMPUTED_VALUE"""),43.7)</f>
        <v>43.7</v>
      </c>
      <c r="C346" s="2">
        <f t="shared" ca="1" si="1"/>
        <v>-5.4619936276739849E-3</v>
      </c>
    </row>
    <row r="347" spans="1:3">
      <c r="A347" s="3">
        <f ca="1">IFERROR(__xludf.UNSUPPORTED("""COMPUTED_VALUE"""),43966.6666666666)</f>
        <v>43966.666666666599</v>
      </c>
      <c r="B347" s="1">
        <f ca="1">IFERROR(__xludf.UNSUPPORTED("""COMPUTED_VALUE"""),43.26)</f>
        <v>43.26</v>
      </c>
      <c r="C347" s="2">
        <f t="shared" ca="1" si="1"/>
        <v>-1.0068649885583633E-2</v>
      </c>
    </row>
    <row r="348" spans="1:3">
      <c r="A348" s="3">
        <f ca="1">IFERROR(__xludf.UNSUPPORTED("""COMPUTED_VALUE"""),43969.6666666666)</f>
        <v>43969.666666666599</v>
      </c>
      <c r="B348" s="1">
        <f ca="1">IFERROR(__xludf.UNSUPPORTED("""COMPUTED_VALUE"""),44.97)</f>
        <v>44.97</v>
      </c>
      <c r="C348" s="2">
        <f t="shared" ca="1" si="1"/>
        <v>3.9528432732316252E-2</v>
      </c>
    </row>
    <row r="349" spans="1:3">
      <c r="A349" s="3">
        <f ca="1">IFERROR(__xludf.UNSUPPORTED("""COMPUTED_VALUE"""),43970.6666666666)</f>
        <v>43970.666666666599</v>
      </c>
      <c r="B349" s="1">
        <f ca="1">IFERROR(__xludf.UNSUPPORTED("""COMPUTED_VALUE"""),44.54)</f>
        <v>44.54</v>
      </c>
      <c r="C349" s="2">
        <f t="shared" ca="1" si="1"/>
        <v>-9.5619301756726654E-3</v>
      </c>
    </row>
    <row r="350" spans="1:3">
      <c r="A350" s="3">
        <f ca="1">IFERROR(__xludf.UNSUPPORTED("""COMPUTED_VALUE"""),43971.6666666666)</f>
        <v>43971.666666666599</v>
      </c>
      <c r="B350" s="1">
        <f ca="1">IFERROR(__xludf.UNSUPPORTED("""COMPUTED_VALUE"""),45.89)</f>
        <v>45.89</v>
      </c>
      <c r="C350" s="2">
        <f t="shared" ca="1" si="1"/>
        <v>3.0309833857207036E-2</v>
      </c>
    </row>
    <row r="351" spans="1:3">
      <c r="A351" s="3">
        <f ca="1">IFERROR(__xludf.UNSUPPORTED("""COMPUTED_VALUE"""),43972.6666666666)</f>
        <v>43972.666666666599</v>
      </c>
      <c r="B351" s="1">
        <f ca="1">IFERROR(__xludf.UNSUPPORTED("""COMPUTED_VALUE"""),45.17)</f>
        <v>45.17</v>
      </c>
      <c r="C351" s="2">
        <f t="shared" ca="1" si="1"/>
        <v>-1.5689692743517083E-2</v>
      </c>
    </row>
    <row r="352" spans="1:3">
      <c r="A352" s="3">
        <f ca="1">IFERROR(__xludf.UNSUPPORTED("""COMPUTED_VALUE"""),43973.6666666666)</f>
        <v>43973.666666666599</v>
      </c>
      <c r="B352" s="1">
        <f ca="1">IFERROR(__xludf.UNSUPPORTED("""COMPUTED_VALUE"""),45.03)</f>
        <v>45.03</v>
      </c>
      <c r="C352" s="2">
        <f t="shared" ca="1" si="1"/>
        <v>-3.0994022581359434E-3</v>
      </c>
    </row>
    <row r="353" spans="1:3">
      <c r="A353" s="3">
        <f ca="1">IFERROR(__xludf.UNSUPPORTED("""COMPUTED_VALUE"""),43977.6666666666)</f>
        <v>43977.666666666599</v>
      </c>
      <c r="B353" s="1">
        <f ca="1">IFERROR(__xludf.UNSUPPORTED("""COMPUTED_VALUE"""),46.09)</f>
        <v>46.09</v>
      </c>
      <c r="C353" s="2">
        <f t="shared" ca="1" si="1"/>
        <v>2.3539862314012932E-2</v>
      </c>
    </row>
    <row r="354" spans="1:3">
      <c r="A354" s="3">
        <f ca="1">IFERROR(__xludf.UNSUPPORTED("""COMPUTED_VALUE"""),43978.6666666666)</f>
        <v>43978.666666666599</v>
      </c>
      <c r="B354" s="1">
        <f ca="1">IFERROR(__xludf.UNSUPPORTED("""COMPUTED_VALUE"""),46.73)</f>
        <v>46.73</v>
      </c>
      <c r="C354" s="2">
        <f t="shared" ca="1" si="1"/>
        <v>1.3885875461054315E-2</v>
      </c>
    </row>
    <row r="355" spans="1:3">
      <c r="A355" s="3">
        <f ca="1">IFERROR(__xludf.UNSUPPORTED("""COMPUTED_VALUE"""),43979.6666666666)</f>
        <v>43979.666666666599</v>
      </c>
      <c r="B355" s="1">
        <f ca="1">IFERROR(__xludf.UNSUPPORTED("""COMPUTED_VALUE"""),47.09)</f>
        <v>47.09</v>
      </c>
      <c r="C355" s="2">
        <f t="shared" ca="1" si="1"/>
        <v>7.7038305157287948E-3</v>
      </c>
    </row>
    <row r="356" spans="1:3">
      <c r="A356" s="3">
        <f ca="1">IFERROR(__xludf.UNSUPPORTED("""COMPUTED_VALUE"""),43980.6666666666)</f>
        <v>43980.666666666599</v>
      </c>
      <c r="B356" s="1">
        <f ca="1">IFERROR(__xludf.UNSUPPORTED("""COMPUTED_VALUE"""),46.68)</f>
        <v>46.68</v>
      </c>
      <c r="C356" s="2">
        <f t="shared" ca="1" si="1"/>
        <v>-8.7067317901890779E-3</v>
      </c>
    </row>
    <row r="357" spans="1:3">
      <c r="A357" s="3">
        <f ca="1">IFERROR(__xludf.UNSUPPORTED("""COMPUTED_VALUE"""),43983.6666666666)</f>
        <v>43983.666666666599</v>
      </c>
      <c r="B357" s="1">
        <f ca="1">IFERROR(__xludf.UNSUPPORTED("""COMPUTED_VALUE"""),46.99)</f>
        <v>46.99</v>
      </c>
      <c r="C357" s="2">
        <f t="shared" ca="1" si="1"/>
        <v>6.6409597257926795E-3</v>
      </c>
    </row>
    <row r="358" spans="1:3">
      <c r="A358" s="3">
        <f ca="1">IFERROR(__xludf.UNSUPPORTED("""COMPUTED_VALUE"""),43984.6666666666)</f>
        <v>43984.666666666599</v>
      </c>
      <c r="B358" s="1">
        <f ca="1">IFERROR(__xludf.UNSUPPORTED("""COMPUTED_VALUE"""),46.9)</f>
        <v>46.9</v>
      </c>
      <c r="C358" s="2">
        <f t="shared" ca="1" si="1"/>
        <v>-1.9153011278996257E-3</v>
      </c>
    </row>
    <row r="359" spans="1:3">
      <c r="A359" s="3">
        <f ca="1">IFERROR(__xludf.UNSUPPORTED("""COMPUTED_VALUE"""),43985.6666666666)</f>
        <v>43985.666666666599</v>
      </c>
      <c r="B359" s="1">
        <f ca="1">IFERROR(__xludf.UNSUPPORTED("""COMPUTED_VALUE"""),47.9)</f>
        <v>47.9</v>
      </c>
      <c r="C359" s="2">
        <f t="shared" ca="1" si="1"/>
        <v>2.1321961620469083E-2</v>
      </c>
    </row>
    <row r="360" spans="1:3">
      <c r="A360" s="3">
        <f ca="1">IFERROR(__xludf.UNSUPPORTED("""COMPUTED_VALUE"""),43986.6666666666)</f>
        <v>43986.666666666599</v>
      </c>
      <c r="B360" s="1">
        <f ca="1">IFERROR(__xludf.UNSUPPORTED("""COMPUTED_VALUE"""),47.92)</f>
        <v>47.92</v>
      </c>
      <c r="C360" s="2">
        <f t="shared" ca="1" si="1"/>
        <v>4.1753653444682938E-4</v>
      </c>
    </row>
    <row r="361" spans="1:3">
      <c r="A361" s="3">
        <f ca="1">IFERROR(__xludf.UNSUPPORTED("""COMPUTED_VALUE"""),43987.6666666666)</f>
        <v>43987.666666666599</v>
      </c>
      <c r="B361" s="1">
        <f ca="1">IFERROR(__xludf.UNSUPPORTED("""COMPUTED_VALUE"""),49.09)</f>
        <v>49.09</v>
      </c>
      <c r="C361" s="2">
        <f t="shared" ca="1" si="1"/>
        <v>2.4415692821368983E-2</v>
      </c>
    </row>
    <row r="362" spans="1:3">
      <c r="A362" s="3">
        <f ca="1">IFERROR(__xludf.UNSUPPORTED("""COMPUTED_VALUE"""),43990.6666666666)</f>
        <v>43990.666666666599</v>
      </c>
      <c r="B362" s="1">
        <f ca="1">IFERROR(__xludf.UNSUPPORTED("""COMPUTED_VALUE"""),49.85)</f>
        <v>49.85</v>
      </c>
      <c r="C362" s="2">
        <f t="shared" ca="1" si="1"/>
        <v>1.5481768180892197E-2</v>
      </c>
    </row>
    <row r="363" spans="1:3">
      <c r="A363" s="3">
        <f ca="1">IFERROR(__xludf.UNSUPPORTED("""COMPUTED_VALUE"""),43991.6666666666)</f>
        <v>43991.666666666599</v>
      </c>
      <c r="B363" s="1">
        <f ca="1">IFERROR(__xludf.UNSUPPORTED("""COMPUTED_VALUE"""),49)</f>
        <v>49</v>
      </c>
      <c r="C363" s="2">
        <f t="shared" ca="1" si="1"/>
        <v>-1.705115346038117E-2</v>
      </c>
    </row>
    <row r="364" spans="1:3">
      <c r="A364" s="3">
        <f ca="1">IFERROR(__xludf.UNSUPPORTED("""COMPUTED_VALUE"""),43992.6666666666)</f>
        <v>43992.666666666599</v>
      </c>
      <c r="B364" s="1">
        <f ca="1">IFERROR(__xludf.UNSUPPORTED("""COMPUTED_VALUE"""),48.62)</f>
        <v>48.62</v>
      </c>
      <c r="C364" s="2">
        <f t="shared" ca="1" si="1"/>
        <v>-7.7551020408163788E-3</v>
      </c>
    </row>
    <row r="365" spans="1:3">
      <c r="A365" s="3">
        <f ca="1">IFERROR(__xludf.UNSUPPORTED("""COMPUTED_VALUE"""),43993.6666666666)</f>
        <v>43993.666666666599</v>
      </c>
      <c r="B365" s="1">
        <f ca="1">IFERROR(__xludf.UNSUPPORTED("""COMPUTED_VALUE"""),45.54)</f>
        <v>45.54</v>
      </c>
      <c r="C365" s="2">
        <f t="shared" ca="1" si="1"/>
        <v>-6.3348416289592729E-2</v>
      </c>
    </row>
    <row r="366" spans="1:3">
      <c r="A366" s="3">
        <f ca="1">IFERROR(__xludf.UNSUPPORTED("""COMPUTED_VALUE"""),43994.6666666666)</f>
        <v>43994.666666666599</v>
      </c>
      <c r="B366" s="1">
        <f ca="1">IFERROR(__xludf.UNSUPPORTED("""COMPUTED_VALUE"""),45.6)</f>
        <v>45.6</v>
      </c>
      <c r="C366" s="2">
        <f t="shared" ca="1" si="1"/>
        <v>1.3175230566535414E-3</v>
      </c>
    </row>
    <row r="367" spans="1:3">
      <c r="A367" s="3">
        <f ca="1">IFERROR(__xludf.UNSUPPORTED("""COMPUTED_VALUE"""),43997.6666666666)</f>
        <v>43997.666666666599</v>
      </c>
      <c r="B367" s="1">
        <f ca="1">IFERROR(__xludf.UNSUPPORTED("""COMPUTED_VALUE"""),46.3)</f>
        <v>46.3</v>
      </c>
      <c r="C367" s="2">
        <f t="shared" ca="1" si="1"/>
        <v>1.5350877192982362E-2</v>
      </c>
    </row>
    <row r="368" spans="1:3">
      <c r="A368" s="3">
        <f ca="1">IFERROR(__xludf.UNSUPPORTED("""COMPUTED_VALUE"""),43998.6666666666)</f>
        <v>43998.666666666599</v>
      </c>
      <c r="B368" s="1">
        <f ca="1">IFERROR(__xludf.UNSUPPORTED("""COMPUTED_VALUE"""),46.77)</f>
        <v>46.77</v>
      </c>
      <c r="C368" s="2">
        <f t="shared" ca="1" si="1"/>
        <v>1.0151187904967732E-2</v>
      </c>
    </row>
    <row r="369" spans="1:3">
      <c r="A369" s="3">
        <f ca="1">IFERROR(__xludf.UNSUPPORTED("""COMPUTED_VALUE"""),43999.6666666666)</f>
        <v>43999.666666666599</v>
      </c>
      <c r="B369" s="1">
        <f ca="1">IFERROR(__xludf.UNSUPPORTED("""COMPUTED_VALUE"""),46.58)</f>
        <v>46.58</v>
      </c>
      <c r="C369" s="2">
        <f t="shared" ca="1" si="1"/>
        <v>-4.0624331836648453E-3</v>
      </c>
    </row>
    <row r="370" spans="1:3">
      <c r="A370" s="3">
        <f ca="1">IFERROR(__xludf.UNSUPPORTED("""COMPUTED_VALUE"""),44000.6666666666)</f>
        <v>44000.666666666599</v>
      </c>
      <c r="B370" s="1">
        <f ca="1">IFERROR(__xludf.UNSUPPORTED("""COMPUTED_VALUE"""),46.99)</f>
        <v>46.99</v>
      </c>
      <c r="C370" s="2">
        <f t="shared" ca="1" si="1"/>
        <v>8.8020609703736308E-3</v>
      </c>
    </row>
    <row r="371" spans="1:3">
      <c r="A371" s="3">
        <f ca="1">IFERROR(__xludf.UNSUPPORTED("""COMPUTED_VALUE"""),44001.6666666666)</f>
        <v>44001.666666666599</v>
      </c>
      <c r="B371" s="1">
        <f ca="1">IFERROR(__xludf.UNSUPPORTED("""COMPUTED_VALUE"""),46.02)</f>
        <v>46.02</v>
      </c>
      <c r="C371" s="2">
        <f t="shared" ca="1" si="1"/>
        <v>-2.0642689934028492E-2</v>
      </c>
    </row>
    <row r="372" spans="1:3">
      <c r="A372" s="3">
        <f ca="1">IFERROR(__xludf.UNSUPPORTED("""COMPUTED_VALUE"""),44004.6666666666)</f>
        <v>44004.666666666599</v>
      </c>
      <c r="B372" s="1">
        <f ca="1">IFERROR(__xludf.UNSUPPORTED("""COMPUTED_VALUE"""),45.74)</f>
        <v>45.74</v>
      </c>
      <c r="C372" s="2">
        <f t="shared" ca="1" si="1"/>
        <v>-6.0843111690569562E-3</v>
      </c>
    </row>
    <row r="373" spans="1:3">
      <c r="A373" s="3">
        <f ca="1">IFERROR(__xludf.UNSUPPORTED("""COMPUTED_VALUE"""),44005.6666666666)</f>
        <v>44005.666666666599</v>
      </c>
      <c r="B373" s="1">
        <f ca="1">IFERROR(__xludf.UNSUPPORTED("""COMPUTED_VALUE"""),45.64)</f>
        <v>45.64</v>
      </c>
      <c r="C373" s="2">
        <f t="shared" ca="1" si="1"/>
        <v>-2.1862702229995938E-3</v>
      </c>
    </row>
    <row r="374" spans="1:3">
      <c r="A374" s="3">
        <f ca="1">IFERROR(__xludf.UNSUPPORTED("""COMPUTED_VALUE"""),44006.6666666666)</f>
        <v>44006.666666666599</v>
      </c>
      <c r="B374" s="1">
        <f ca="1">IFERROR(__xludf.UNSUPPORTED("""COMPUTED_VALUE"""),44.65)</f>
        <v>44.65</v>
      </c>
      <c r="C374" s="2">
        <f t="shared" ca="1" si="1"/>
        <v>-2.1691498685363759E-2</v>
      </c>
    </row>
    <row r="375" spans="1:3">
      <c r="A375" s="3">
        <f ca="1">IFERROR(__xludf.UNSUPPORTED("""COMPUTED_VALUE"""),44007.6666666666)</f>
        <v>44007.666666666599</v>
      </c>
      <c r="B375" s="1">
        <f ca="1">IFERROR(__xludf.UNSUPPORTED("""COMPUTED_VALUE"""),44.93)</f>
        <v>44.93</v>
      </c>
      <c r="C375" s="2">
        <f t="shared" ca="1" si="1"/>
        <v>6.2709966405375397E-3</v>
      </c>
    </row>
    <row r="376" spans="1:3">
      <c r="A376" s="3">
        <f ca="1">IFERROR(__xludf.UNSUPPORTED("""COMPUTED_VALUE"""),44008.6666666666)</f>
        <v>44008.666666666599</v>
      </c>
      <c r="B376" s="1">
        <f ca="1">IFERROR(__xludf.UNSUPPORTED("""COMPUTED_VALUE"""),43.57)</f>
        <v>43.57</v>
      </c>
      <c r="C376" s="2">
        <f t="shared" ca="1" si="1"/>
        <v>-3.0269307812152223E-2</v>
      </c>
    </row>
    <row r="377" spans="1:3">
      <c r="A377" s="3">
        <f ca="1">IFERROR(__xludf.UNSUPPORTED("""COMPUTED_VALUE"""),44011.6666666666)</f>
        <v>44011.666666666599</v>
      </c>
      <c r="B377" s="1">
        <f ca="1">IFERROR(__xludf.UNSUPPORTED("""COMPUTED_VALUE"""),44.36)</f>
        <v>44.36</v>
      </c>
      <c r="C377" s="2">
        <f t="shared" ca="1" si="1"/>
        <v>1.8131742024328646E-2</v>
      </c>
    </row>
    <row r="378" spans="1:3">
      <c r="A378" s="3">
        <f ca="1">IFERROR(__xludf.UNSUPPORTED("""COMPUTED_VALUE"""),44012.6666666666)</f>
        <v>44012.666666666599</v>
      </c>
      <c r="B378" s="1">
        <f ca="1">IFERROR(__xludf.UNSUPPORTED("""COMPUTED_VALUE"""),44.68)</f>
        <v>44.68</v>
      </c>
      <c r="C378" s="2">
        <f t="shared" ca="1" si="1"/>
        <v>7.2137060414788163E-3</v>
      </c>
    </row>
    <row r="379" spans="1:3">
      <c r="A379" s="3">
        <f ca="1">IFERROR(__xludf.UNSUPPORTED("""COMPUTED_VALUE"""),44013.6666666666)</f>
        <v>44013.666666666599</v>
      </c>
      <c r="B379" s="1">
        <f ca="1">IFERROR(__xludf.UNSUPPORTED("""COMPUTED_VALUE"""),44.82)</f>
        <v>44.82</v>
      </c>
      <c r="C379" s="2">
        <f t="shared" ca="1" si="1"/>
        <v>3.1333930170098605E-3</v>
      </c>
    </row>
    <row r="380" spans="1:3">
      <c r="A380" s="3">
        <f ca="1">IFERROR(__xludf.UNSUPPORTED("""COMPUTED_VALUE"""),44014.6666666666)</f>
        <v>44014.666666666599</v>
      </c>
      <c r="B380" s="1">
        <f ca="1">IFERROR(__xludf.UNSUPPORTED("""COMPUTED_VALUE"""),44.88)</f>
        <v>44.88</v>
      </c>
      <c r="C380" s="2">
        <f t="shared" ca="1" si="1"/>
        <v>1.3386880856760882E-3</v>
      </c>
    </row>
    <row r="381" spans="1:3">
      <c r="A381" s="3">
        <f ca="1">IFERROR(__xludf.UNSUPPORTED("""COMPUTED_VALUE"""),44018.6666666666)</f>
        <v>44018.666666666599</v>
      </c>
      <c r="B381" s="1">
        <f ca="1">IFERROR(__xludf.UNSUPPORTED("""COMPUTED_VALUE"""),45.23)</f>
        <v>45.23</v>
      </c>
      <c r="C381" s="2">
        <f t="shared" ca="1" si="1"/>
        <v>7.7985739750444363E-3</v>
      </c>
    </row>
    <row r="382" spans="1:3">
      <c r="A382" s="3">
        <f ca="1">IFERROR(__xludf.UNSUPPORTED("""COMPUTED_VALUE"""),44019.6666666666)</f>
        <v>44019.666666666599</v>
      </c>
      <c r="B382" s="1">
        <f ca="1">IFERROR(__xludf.UNSUPPORTED("""COMPUTED_VALUE"""),45.21)</f>
        <v>45.21</v>
      </c>
      <c r="C382" s="2">
        <f t="shared" ca="1" si="1"/>
        <v>-4.4218439089091358E-4</v>
      </c>
    </row>
    <row r="383" spans="1:3">
      <c r="A383" s="3">
        <f ca="1">IFERROR(__xludf.UNSUPPORTED("""COMPUTED_VALUE"""),44020.6666666666)</f>
        <v>44020.666666666599</v>
      </c>
      <c r="B383" s="1">
        <f ca="1">IFERROR(__xludf.UNSUPPORTED("""COMPUTED_VALUE"""),45.07)</f>
        <v>45.07</v>
      </c>
      <c r="C383" s="2">
        <f t="shared" ca="1" si="1"/>
        <v>-3.0966600309666127E-3</v>
      </c>
    </row>
    <row r="384" spans="1:3">
      <c r="A384" s="3">
        <f ca="1">IFERROR(__xludf.UNSUPPORTED("""COMPUTED_VALUE"""),44021.6666666666)</f>
        <v>44021.666666666599</v>
      </c>
      <c r="B384" s="1">
        <f ca="1">IFERROR(__xludf.UNSUPPORTED("""COMPUTED_VALUE"""),43.91)</f>
        <v>43.91</v>
      </c>
      <c r="C384" s="2">
        <f t="shared" ca="1" si="1"/>
        <v>-2.5737741291324688E-2</v>
      </c>
    </row>
    <row r="385" spans="1:3">
      <c r="A385" s="3">
        <f ca="1">IFERROR(__xludf.UNSUPPORTED("""COMPUTED_VALUE"""),44022.6666666666)</f>
        <v>44022.666666666599</v>
      </c>
      <c r="B385" s="1">
        <f ca="1">IFERROR(__xludf.UNSUPPORTED("""COMPUTED_VALUE"""),45.15)</f>
        <v>45.15</v>
      </c>
      <c r="C385" s="2">
        <f t="shared" ca="1" si="1"/>
        <v>2.8239580961056755E-2</v>
      </c>
    </row>
    <row r="386" spans="1:3">
      <c r="A386" s="3">
        <f ca="1">IFERROR(__xludf.UNSUPPORTED("""COMPUTED_VALUE"""),44025.6666666666)</f>
        <v>44025.666666666599</v>
      </c>
      <c r="B386" s="1">
        <f ca="1">IFERROR(__xludf.UNSUPPORTED("""COMPUTED_VALUE"""),45.25)</f>
        <v>45.25</v>
      </c>
      <c r="C386" s="2">
        <f t="shared" ca="1" si="1"/>
        <v>2.2148394241417813E-3</v>
      </c>
    </row>
    <row r="387" spans="1:3">
      <c r="A387" s="3">
        <f ca="1">IFERROR(__xludf.UNSUPPORTED("""COMPUTED_VALUE"""),44026.6666666666)</f>
        <v>44026.666666666599</v>
      </c>
      <c r="B387" s="1">
        <f ca="1">IFERROR(__xludf.UNSUPPORTED("""COMPUTED_VALUE"""),45.87)</f>
        <v>45.87</v>
      </c>
      <c r="C387" s="2">
        <f t="shared" ca="1" si="1"/>
        <v>1.370165745856348E-2</v>
      </c>
    </row>
    <row r="388" spans="1:3">
      <c r="A388" s="3">
        <f ca="1">IFERROR(__xludf.UNSUPPORTED("""COMPUTED_VALUE"""),44027.6666666666)</f>
        <v>44027.666666666599</v>
      </c>
      <c r="B388" s="1">
        <f ca="1">IFERROR(__xludf.UNSUPPORTED("""COMPUTED_VALUE"""),46.4)</f>
        <v>46.4</v>
      </c>
      <c r="C388" s="2">
        <f t="shared" ca="1" si="1"/>
        <v>1.1554392849356904E-2</v>
      </c>
    </row>
    <row r="389" spans="1:3">
      <c r="A389" s="3">
        <f ca="1">IFERROR(__xludf.UNSUPPORTED("""COMPUTED_VALUE"""),44028.6666666666)</f>
        <v>44028.666666666599</v>
      </c>
      <c r="B389" s="1">
        <f ca="1">IFERROR(__xludf.UNSUPPORTED("""COMPUTED_VALUE"""),46.15)</f>
        <v>46.15</v>
      </c>
      <c r="C389" s="2">
        <f t="shared" ca="1" si="1"/>
        <v>-5.387931034482759E-3</v>
      </c>
    </row>
    <row r="390" spans="1:3">
      <c r="A390" s="3">
        <f ca="1">IFERROR(__xludf.UNSUPPORTED("""COMPUTED_VALUE"""),44029.6666666666)</f>
        <v>44029.666666666599</v>
      </c>
      <c r="B390" s="1">
        <f ca="1">IFERROR(__xludf.UNSUPPORTED("""COMPUTED_VALUE"""),46.82)</f>
        <v>46.82</v>
      </c>
      <c r="C390" s="2">
        <f t="shared" ca="1" si="1"/>
        <v>1.4517876489707513E-2</v>
      </c>
    </row>
    <row r="391" spans="1:3">
      <c r="A391" s="3">
        <f ca="1">IFERROR(__xludf.UNSUPPORTED("""COMPUTED_VALUE"""),44032.6666666666)</f>
        <v>44032.666666666599</v>
      </c>
      <c r="B391" s="1">
        <f ca="1">IFERROR(__xludf.UNSUPPORTED("""COMPUTED_VALUE"""),46.12)</f>
        <v>46.12</v>
      </c>
      <c r="C391" s="2">
        <f t="shared" ca="1" si="1"/>
        <v>-1.4950875694147861E-2</v>
      </c>
    </row>
    <row r="392" spans="1:3">
      <c r="A392" s="3">
        <f ca="1">IFERROR(__xludf.UNSUPPORTED("""COMPUTED_VALUE"""),44033.6666666666)</f>
        <v>44033.666666666599</v>
      </c>
      <c r="B392" s="1">
        <f ca="1">IFERROR(__xludf.UNSUPPORTED("""COMPUTED_VALUE"""),47.2)</f>
        <v>47.2</v>
      </c>
      <c r="C392" s="2">
        <f t="shared" ca="1" si="1"/>
        <v>2.3417172593235159E-2</v>
      </c>
    </row>
    <row r="393" spans="1:3">
      <c r="A393" s="3">
        <f ca="1">IFERROR(__xludf.UNSUPPORTED("""COMPUTED_VALUE"""),44034.6666666666)</f>
        <v>44034.666666666599</v>
      </c>
      <c r="B393" s="1">
        <f ca="1">IFERROR(__xludf.UNSUPPORTED("""COMPUTED_VALUE"""),48.48)</f>
        <v>48.48</v>
      </c>
      <c r="C393" s="2">
        <f t="shared" ca="1" si="1"/>
        <v>2.7118644067796481E-2</v>
      </c>
    </row>
    <row r="394" spans="1:3">
      <c r="A394" s="3">
        <f ca="1">IFERROR(__xludf.UNSUPPORTED("""COMPUTED_VALUE"""),44035.6666666666)</f>
        <v>44035.666666666599</v>
      </c>
      <c r="B394" s="1">
        <f ca="1">IFERROR(__xludf.UNSUPPORTED("""COMPUTED_VALUE"""),48.28)</f>
        <v>48.28</v>
      </c>
      <c r="C394" s="2">
        <f t="shared" ca="1" si="1"/>
        <v>-4.1254125412540374E-3</v>
      </c>
    </row>
    <row r="395" spans="1:3">
      <c r="A395" s="3">
        <f ca="1">IFERROR(__xludf.UNSUPPORTED("""COMPUTED_VALUE"""),44036.6666666666)</f>
        <v>44036.666666666599</v>
      </c>
      <c r="B395" s="1">
        <f ca="1">IFERROR(__xludf.UNSUPPORTED("""COMPUTED_VALUE"""),48.49)</f>
        <v>48.49</v>
      </c>
      <c r="C395" s="2">
        <f t="shared" ca="1" si="1"/>
        <v>4.3496271748136046E-3</v>
      </c>
    </row>
    <row r="396" spans="1:3">
      <c r="A396" s="3">
        <f ca="1">IFERROR(__xludf.UNSUPPORTED("""COMPUTED_VALUE"""),44039.6666666666)</f>
        <v>44039.666666666599</v>
      </c>
      <c r="B396" s="1">
        <f ca="1">IFERROR(__xludf.UNSUPPORTED("""COMPUTED_VALUE"""),48.48)</f>
        <v>48.48</v>
      </c>
      <c r="C396" s="2">
        <f t="shared" ca="1" si="1"/>
        <v>-2.0622808826572728E-4</v>
      </c>
    </row>
    <row r="397" spans="1:3">
      <c r="A397" s="3">
        <f ca="1">IFERROR(__xludf.UNSUPPORTED("""COMPUTED_VALUE"""),44040.6666666666)</f>
        <v>44040.666666666599</v>
      </c>
      <c r="B397" s="1">
        <f ca="1">IFERROR(__xludf.UNSUPPORTED("""COMPUTED_VALUE"""),48.18)</f>
        <v>48.18</v>
      </c>
      <c r="C397" s="2">
        <f t="shared" ca="1" si="1"/>
        <v>-6.1881188118811303E-3</v>
      </c>
    </row>
    <row r="398" spans="1:3">
      <c r="A398" s="3">
        <f ca="1">IFERROR(__xludf.UNSUPPORTED("""COMPUTED_VALUE"""),44041.6666666666)</f>
        <v>44041.666666666599</v>
      </c>
      <c r="B398" s="1">
        <f ca="1">IFERROR(__xludf.UNSUPPORTED("""COMPUTED_VALUE"""),48.02)</f>
        <v>48.02</v>
      </c>
      <c r="C398" s="2">
        <f t="shared" ca="1" si="1"/>
        <v>-3.3208800332087296E-3</v>
      </c>
    </row>
    <row r="399" spans="1:3">
      <c r="A399" s="3">
        <f ca="1">IFERROR(__xludf.UNSUPPORTED("""COMPUTED_VALUE"""),44042.6666666666)</f>
        <v>44042.666666666599</v>
      </c>
      <c r="B399" s="1">
        <f ca="1">IFERROR(__xludf.UNSUPPORTED("""COMPUTED_VALUE"""),47.69)</f>
        <v>47.69</v>
      </c>
      <c r="C399" s="2">
        <f t="shared" ca="1" si="1"/>
        <v>-6.8721366097460514E-3</v>
      </c>
    </row>
    <row r="400" spans="1:3">
      <c r="A400" s="3">
        <f ca="1">IFERROR(__xludf.UNSUPPORTED("""COMPUTED_VALUE"""),44043.6666666666)</f>
        <v>44043.666666666599</v>
      </c>
      <c r="B400" s="1">
        <f ca="1">IFERROR(__xludf.UNSUPPORTED("""COMPUTED_VALUE"""),47.24)</f>
        <v>47.24</v>
      </c>
      <c r="C400" s="2">
        <f t="shared" ca="1" si="1"/>
        <v>-9.4359404487313007E-3</v>
      </c>
    </row>
    <row r="401" spans="1:3">
      <c r="A401" s="3">
        <f ca="1">IFERROR(__xludf.UNSUPPORTED("""COMPUTED_VALUE"""),44046.6666666666)</f>
        <v>44046.666666666599</v>
      </c>
      <c r="B401" s="1">
        <f ca="1">IFERROR(__xludf.UNSUPPORTED("""COMPUTED_VALUE"""),46.3)</f>
        <v>46.3</v>
      </c>
      <c r="C401" s="2">
        <f t="shared" ca="1" si="1"/>
        <v>-1.9898391193903572E-2</v>
      </c>
    </row>
    <row r="402" spans="1:3">
      <c r="A402" s="3">
        <f ca="1">IFERROR(__xludf.UNSUPPORTED("""COMPUTED_VALUE"""),44047.6666666666)</f>
        <v>44047.666666666599</v>
      </c>
      <c r="B402" s="1">
        <f ca="1">IFERROR(__xludf.UNSUPPORTED("""COMPUTED_VALUE"""),46.69)</f>
        <v>46.69</v>
      </c>
      <c r="C402" s="2">
        <f t="shared" ca="1" si="1"/>
        <v>8.4233261339093004E-3</v>
      </c>
    </row>
    <row r="403" spans="1:3">
      <c r="A403" s="3">
        <f ca="1">IFERROR(__xludf.UNSUPPORTED("""COMPUTED_VALUE"""),44048.6666666666)</f>
        <v>44048.666666666599</v>
      </c>
      <c r="B403" s="1">
        <f ca="1">IFERROR(__xludf.UNSUPPORTED("""COMPUTED_VALUE"""),47.22)</f>
        <v>47.22</v>
      </c>
      <c r="C403" s="2">
        <f t="shared" ca="1" si="1"/>
        <v>1.1351467123581092E-2</v>
      </c>
    </row>
    <row r="404" spans="1:3">
      <c r="A404" s="3">
        <f ca="1">IFERROR(__xludf.UNSUPPORTED("""COMPUTED_VALUE"""),44049.6666666666)</f>
        <v>44049.666666666599</v>
      </c>
      <c r="B404" s="1">
        <f ca="1">IFERROR(__xludf.UNSUPPORTED("""COMPUTED_VALUE"""),47.48)</f>
        <v>47.48</v>
      </c>
      <c r="C404" s="2">
        <f t="shared" ca="1" si="1"/>
        <v>5.5061414654806861E-3</v>
      </c>
    </row>
    <row r="405" spans="1:3">
      <c r="A405" s="3">
        <f ca="1">IFERROR(__xludf.UNSUPPORTED("""COMPUTED_VALUE"""),44050.6666666666)</f>
        <v>44050.666666666599</v>
      </c>
      <c r="B405" s="1">
        <f ca="1">IFERROR(__xludf.UNSUPPORTED("""COMPUTED_VALUE"""),47.8)</f>
        <v>47.8</v>
      </c>
      <c r="C405" s="2">
        <f t="shared" ca="1" si="1"/>
        <v>6.7396798652064093E-3</v>
      </c>
    </row>
    <row r="406" spans="1:3">
      <c r="A406" s="3">
        <f ca="1">IFERROR(__xludf.UNSUPPORTED("""COMPUTED_VALUE"""),44053.6666666666)</f>
        <v>44053.666666666599</v>
      </c>
      <c r="B406" s="1">
        <f ca="1">IFERROR(__xludf.UNSUPPORTED("""COMPUTED_VALUE"""),47.72)</f>
        <v>47.72</v>
      </c>
      <c r="C406" s="2">
        <f t="shared" ca="1" si="1"/>
        <v>-1.6736401673639811E-3</v>
      </c>
    </row>
    <row r="407" spans="1:3">
      <c r="A407" s="3">
        <f ca="1">IFERROR(__xludf.UNSUPPORTED("""COMPUTED_VALUE"""),44054.6666666666)</f>
        <v>44054.666666666599</v>
      </c>
      <c r="B407" s="1">
        <f ca="1">IFERROR(__xludf.UNSUPPORTED("""COMPUTED_VALUE"""),47.93)</f>
        <v>47.93</v>
      </c>
      <c r="C407" s="2">
        <f t="shared" ca="1" si="1"/>
        <v>4.400670578373865E-3</v>
      </c>
    </row>
    <row r="408" spans="1:3">
      <c r="A408" s="3">
        <f ca="1">IFERROR(__xludf.UNSUPPORTED("""COMPUTED_VALUE"""),44055.6666666666)</f>
        <v>44055.666666666599</v>
      </c>
      <c r="B408" s="1">
        <f ca="1">IFERROR(__xludf.UNSUPPORTED("""COMPUTED_VALUE"""),48.43)</f>
        <v>48.43</v>
      </c>
      <c r="C408" s="2">
        <f t="shared" ca="1" si="1"/>
        <v>1.0431879824744418E-2</v>
      </c>
    </row>
    <row r="409" spans="1:3">
      <c r="A409" s="3">
        <f ca="1">IFERROR(__xludf.UNSUPPORTED("""COMPUTED_VALUE"""),44056.6666666666)</f>
        <v>44056.666666666599</v>
      </c>
      <c r="B409" s="1">
        <f ca="1">IFERROR(__xludf.UNSUPPORTED("""COMPUTED_VALUE"""),48.38)</f>
        <v>48.38</v>
      </c>
      <c r="C409" s="2">
        <f t="shared" ca="1" si="1"/>
        <v>-1.0324179227750806E-3</v>
      </c>
    </row>
    <row r="410" spans="1:3">
      <c r="A410" s="3">
        <f ca="1">IFERROR(__xludf.UNSUPPORTED("""COMPUTED_VALUE"""),44057.6666666666)</f>
        <v>44057.666666666599</v>
      </c>
      <c r="B410" s="1">
        <f ca="1">IFERROR(__xludf.UNSUPPORTED("""COMPUTED_VALUE"""),48.45)</f>
        <v>48.45</v>
      </c>
      <c r="C410" s="2">
        <f t="shared" ca="1" si="1"/>
        <v>1.4468788755684224E-3</v>
      </c>
    </row>
    <row r="411" spans="1:3">
      <c r="A411" s="3">
        <f ca="1">IFERROR(__xludf.UNSUPPORTED("""COMPUTED_VALUE"""),44060.6666666666)</f>
        <v>44060.666666666599</v>
      </c>
      <c r="B411" s="1">
        <f ca="1">IFERROR(__xludf.UNSUPPORTED("""COMPUTED_VALUE"""),48.21)</f>
        <v>48.21</v>
      </c>
      <c r="C411" s="2">
        <f t="shared" ca="1" si="1"/>
        <v>-4.9535603715170689E-3</v>
      </c>
    </row>
    <row r="412" spans="1:3">
      <c r="A412" s="3">
        <f ca="1">IFERROR(__xludf.UNSUPPORTED("""COMPUTED_VALUE"""),44061.6666666666)</f>
        <v>44061.666666666599</v>
      </c>
      <c r="B412" s="1">
        <f ca="1">IFERROR(__xludf.UNSUPPORTED("""COMPUTED_VALUE"""),48.42)</f>
        <v>48.42</v>
      </c>
      <c r="C412" s="2">
        <f t="shared" ca="1" si="1"/>
        <v>4.3559427504667259E-3</v>
      </c>
    </row>
    <row r="413" spans="1:3">
      <c r="A413" s="3">
        <f ca="1">IFERROR(__xludf.UNSUPPORTED("""COMPUTED_VALUE"""),44062.6666666666)</f>
        <v>44062.666666666599</v>
      </c>
      <c r="B413" s="1">
        <f ca="1">IFERROR(__xludf.UNSUPPORTED("""COMPUTED_VALUE"""),47.37)</f>
        <v>47.37</v>
      </c>
      <c r="C413" s="2">
        <f t="shared" ca="1" si="1"/>
        <v>-2.1685254027261548E-2</v>
      </c>
    </row>
    <row r="414" spans="1:3">
      <c r="A414" s="3">
        <f ca="1">IFERROR(__xludf.UNSUPPORTED("""COMPUTED_VALUE"""),44063.6666666666)</f>
        <v>44063.666666666599</v>
      </c>
      <c r="B414" s="1">
        <f ca="1">IFERROR(__xludf.UNSUPPORTED("""COMPUTED_VALUE"""),47.35)</f>
        <v>47.35</v>
      </c>
      <c r="C414" s="2">
        <f t="shared" ca="1" si="1"/>
        <v>-4.2220814861718435E-4</v>
      </c>
    </row>
    <row r="415" spans="1:3">
      <c r="A415" s="3">
        <f ca="1">IFERROR(__xludf.UNSUPPORTED("""COMPUTED_VALUE"""),44064.6666666666)</f>
        <v>44064.666666666599</v>
      </c>
      <c r="B415" s="1">
        <f ca="1">IFERROR(__xludf.UNSUPPORTED("""COMPUTED_VALUE"""),47.28)</f>
        <v>47.28</v>
      </c>
      <c r="C415" s="2">
        <f t="shared" ca="1" si="1"/>
        <v>-1.478352692713839E-3</v>
      </c>
    </row>
    <row r="416" spans="1:3">
      <c r="A416" s="3">
        <f ca="1">IFERROR(__xludf.UNSUPPORTED("""COMPUTED_VALUE"""),44067.6666666666)</f>
        <v>44067.666666666599</v>
      </c>
      <c r="B416" s="1">
        <f ca="1">IFERROR(__xludf.UNSUPPORTED("""COMPUTED_VALUE"""),47.97)</f>
        <v>47.97</v>
      </c>
      <c r="C416" s="2">
        <f t="shared" ca="1" si="1"/>
        <v>1.4593908629441576E-2</v>
      </c>
    </row>
    <row r="417" spans="1:3">
      <c r="A417" s="3">
        <f ca="1">IFERROR(__xludf.UNSUPPORTED("""COMPUTED_VALUE"""),44068.6666666666)</f>
        <v>44068.666666666599</v>
      </c>
      <c r="B417" s="1">
        <f ca="1">IFERROR(__xludf.UNSUPPORTED("""COMPUTED_VALUE"""),47.91)</f>
        <v>47.91</v>
      </c>
      <c r="C417" s="2">
        <f t="shared" ca="1" si="1"/>
        <v>-1.2507817385866641E-3</v>
      </c>
    </row>
    <row r="418" spans="1:3">
      <c r="A418" s="3">
        <f ca="1">IFERROR(__xludf.UNSUPPORTED("""COMPUTED_VALUE"""),44069.6666666666)</f>
        <v>44069.666666666599</v>
      </c>
      <c r="B418" s="1">
        <f ca="1">IFERROR(__xludf.UNSUPPORTED("""COMPUTED_VALUE"""),48.16)</f>
        <v>48.16</v>
      </c>
      <c r="C418" s="2">
        <f t="shared" ca="1" si="1"/>
        <v>5.2181173032769777E-3</v>
      </c>
    </row>
    <row r="419" spans="1:3">
      <c r="A419" s="3">
        <f ca="1">IFERROR(__xludf.UNSUPPORTED("""COMPUTED_VALUE"""),44070.6666666666)</f>
        <v>44070.666666666599</v>
      </c>
      <c r="B419" s="1">
        <f ca="1">IFERROR(__xludf.UNSUPPORTED("""COMPUTED_VALUE"""),48.23)</f>
        <v>48.23</v>
      </c>
      <c r="C419" s="2">
        <f t="shared" ca="1" si="1"/>
        <v>1.4534883720930293E-3</v>
      </c>
    </row>
    <row r="420" spans="1:3">
      <c r="A420" s="3">
        <f ca="1">IFERROR(__xludf.UNSUPPORTED("""COMPUTED_VALUE"""),44071.6666666666)</f>
        <v>44071.666666666599</v>
      </c>
      <c r="B420" s="1">
        <f ca="1">IFERROR(__xludf.UNSUPPORTED("""COMPUTED_VALUE"""),49.83)</f>
        <v>49.83</v>
      </c>
      <c r="C420" s="2">
        <f t="shared" ca="1" si="1"/>
        <v>3.3174372797014337E-2</v>
      </c>
    </row>
    <row r="421" spans="1:3">
      <c r="A421" s="3">
        <f ca="1">IFERROR(__xludf.UNSUPPORTED("""COMPUTED_VALUE"""),44074.6666666666)</f>
        <v>44074.666666666599</v>
      </c>
      <c r="B421" s="1">
        <f ca="1">IFERROR(__xludf.UNSUPPORTED("""COMPUTED_VALUE"""),49.53)</f>
        <v>49.53</v>
      </c>
      <c r="C421" s="2">
        <f t="shared" ca="1" si="1"/>
        <v>-6.0204695966284798E-3</v>
      </c>
    </row>
    <row r="422" spans="1:3">
      <c r="A422" s="3">
        <f ca="1">IFERROR(__xludf.UNSUPPORTED("""COMPUTED_VALUE"""),44075.6666666666)</f>
        <v>44075.666666666599</v>
      </c>
      <c r="B422" s="1">
        <f ca="1">IFERROR(__xludf.UNSUPPORTED("""COMPUTED_VALUE"""),49.12)</f>
        <v>49.12</v>
      </c>
      <c r="C422" s="2">
        <f t="shared" ca="1" si="1"/>
        <v>-8.2778114274178003E-3</v>
      </c>
    </row>
    <row r="423" spans="1:3">
      <c r="A423" s="3">
        <f ca="1">IFERROR(__xludf.UNSUPPORTED("""COMPUTED_VALUE"""),44076.6666666666)</f>
        <v>44076.666666666599</v>
      </c>
      <c r="B423" s="1">
        <f ca="1">IFERROR(__xludf.UNSUPPORTED("""COMPUTED_VALUE"""),51.19)</f>
        <v>51.19</v>
      </c>
      <c r="C423" s="2">
        <f t="shared" ca="1" si="1"/>
        <v>4.2141693811074923E-2</v>
      </c>
    </row>
    <row r="424" spans="1:3">
      <c r="A424" s="3">
        <f ca="1">IFERROR(__xludf.UNSUPPORTED("""COMPUTED_VALUE"""),44077.6666666666)</f>
        <v>44077.666666666599</v>
      </c>
      <c r="B424" s="1">
        <f ca="1">IFERROR(__xludf.UNSUPPORTED("""COMPUTED_VALUE"""),50.48)</f>
        <v>50.48</v>
      </c>
      <c r="C424" s="2">
        <f t="shared" ca="1" si="1"/>
        <v>-1.3869896464153172E-2</v>
      </c>
    </row>
    <row r="425" spans="1:3">
      <c r="A425" s="3">
        <f ca="1">IFERROR(__xludf.UNSUPPORTED("""COMPUTED_VALUE"""),44078.6666666666)</f>
        <v>44078.666666666599</v>
      </c>
      <c r="B425" s="1">
        <f ca="1">IFERROR(__xludf.UNSUPPORTED("""COMPUTED_VALUE"""),51.04)</f>
        <v>51.04</v>
      </c>
      <c r="C425" s="2">
        <f t="shared" ca="1" si="1"/>
        <v>1.1093502377179126E-2</v>
      </c>
    </row>
    <row r="426" spans="1:3">
      <c r="A426" s="3">
        <f ca="1">IFERROR(__xludf.UNSUPPORTED("""COMPUTED_VALUE"""),44082.6666666666)</f>
        <v>44082.666666666599</v>
      </c>
      <c r="B426" s="1">
        <f ca="1">IFERROR(__xludf.UNSUPPORTED("""COMPUTED_VALUE"""),49.81)</f>
        <v>49.81</v>
      </c>
      <c r="C426" s="2">
        <f t="shared" ca="1" si="1"/>
        <v>-2.4098746081504641E-2</v>
      </c>
    </row>
    <row r="427" spans="1:3">
      <c r="A427" s="3">
        <f ca="1">IFERROR(__xludf.UNSUPPORTED("""COMPUTED_VALUE"""),44083.6666666666)</f>
        <v>44083.666666666599</v>
      </c>
      <c r="B427" s="1">
        <f ca="1">IFERROR(__xludf.UNSUPPORTED("""COMPUTED_VALUE"""),50.19)</f>
        <v>50.19</v>
      </c>
      <c r="C427" s="2">
        <f t="shared" ca="1" si="1"/>
        <v>7.6289901626178562E-3</v>
      </c>
    </row>
    <row r="428" spans="1:3">
      <c r="A428" s="3">
        <f ca="1">IFERROR(__xludf.UNSUPPORTED("""COMPUTED_VALUE"""),44084.6666666666)</f>
        <v>44084.666666666599</v>
      </c>
      <c r="B428" s="1">
        <f ca="1">IFERROR(__xludf.UNSUPPORTED("""COMPUTED_VALUE"""),50)</f>
        <v>50</v>
      </c>
      <c r="C428" s="2">
        <f t="shared" ca="1" si="1"/>
        <v>-3.785614664275707E-3</v>
      </c>
    </row>
    <row r="429" spans="1:3">
      <c r="A429" s="3">
        <f ca="1">IFERROR(__xludf.UNSUPPORTED("""COMPUTED_VALUE"""),44085.6666666666)</f>
        <v>44085.666666666599</v>
      </c>
      <c r="B429" s="1">
        <f ca="1">IFERROR(__xludf.UNSUPPORTED("""COMPUTED_VALUE"""),51.06)</f>
        <v>51.06</v>
      </c>
      <c r="C429" s="2">
        <f t="shared" ca="1" si="1"/>
        <v>2.1200000000000045E-2</v>
      </c>
    </row>
    <row r="430" spans="1:3">
      <c r="A430" s="3">
        <f ca="1">IFERROR(__xludf.UNSUPPORTED("""COMPUTED_VALUE"""),44088.6666666666)</f>
        <v>44088.666666666599</v>
      </c>
      <c r="B430" s="1">
        <f ca="1">IFERROR(__xludf.UNSUPPORTED("""COMPUTED_VALUE"""),50.71)</f>
        <v>50.71</v>
      </c>
      <c r="C430" s="2">
        <f t="shared" ca="1" si="1"/>
        <v>-6.8546807677242732E-3</v>
      </c>
    </row>
    <row r="431" spans="1:3">
      <c r="A431" s="3">
        <f ca="1">IFERROR(__xludf.UNSUPPORTED("""COMPUTED_VALUE"""),44089.6666666666)</f>
        <v>44089.666666666599</v>
      </c>
      <c r="B431" s="1">
        <f ca="1">IFERROR(__xludf.UNSUPPORTED("""COMPUTED_VALUE"""),51.05)</f>
        <v>51.05</v>
      </c>
      <c r="C431" s="2">
        <f t="shared" ca="1" si="1"/>
        <v>6.704791954249582E-3</v>
      </c>
    </row>
    <row r="432" spans="1:3">
      <c r="A432" s="3">
        <f ca="1">IFERROR(__xludf.UNSUPPORTED("""COMPUTED_VALUE"""),44090.6666666666)</f>
        <v>44090.666666666599</v>
      </c>
      <c r="B432" s="1">
        <f ca="1">IFERROR(__xludf.UNSUPPORTED("""COMPUTED_VALUE"""),50.79)</f>
        <v>50.79</v>
      </c>
      <c r="C432" s="2">
        <f t="shared" ca="1" si="1"/>
        <v>-5.0930460333006473E-3</v>
      </c>
    </row>
    <row r="433" spans="1:3">
      <c r="A433" s="3">
        <f ca="1">IFERROR(__xludf.UNSUPPORTED("""COMPUTED_VALUE"""),44091.6666666666)</f>
        <v>44091.666666666599</v>
      </c>
      <c r="B433" s="1">
        <f ca="1">IFERROR(__xludf.UNSUPPORTED("""COMPUTED_VALUE"""),50.55)</f>
        <v>50.55</v>
      </c>
      <c r="C433" s="2">
        <f t="shared" ca="1" si="1"/>
        <v>-4.7253396337862174E-3</v>
      </c>
    </row>
    <row r="434" spans="1:3">
      <c r="A434" s="3">
        <f ca="1">IFERROR(__xludf.UNSUPPORTED("""COMPUTED_VALUE"""),44092.6666666666)</f>
        <v>44092.666666666599</v>
      </c>
      <c r="B434" s="1">
        <f ca="1">IFERROR(__xludf.UNSUPPORTED("""COMPUTED_VALUE"""),50.45)</f>
        <v>50.45</v>
      </c>
      <c r="C434" s="2">
        <f t="shared" ca="1" si="1"/>
        <v>-1.9782393669632902E-3</v>
      </c>
    </row>
    <row r="435" spans="1:3">
      <c r="A435" s="3">
        <f ca="1">IFERROR(__xludf.UNSUPPORTED("""COMPUTED_VALUE"""),44095.6666666666)</f>
        <v>44095.666666666599</v>
      </c>
      <c r="B435" s="1">
        <f ca="1">IFERROR(__xludf.UNSUPPORTED("""COMPUTED_VALUE"""),49.09)</f>
        <v>49.09</v>
      </c>
      <c r="C435" s="2">
        <f t="shared" ca="1" si="1"/>
        <v>-2.6957383548067381E-2</v>
      </c>
    </row>
    <row r="436" spans="1:3">
      <c r="A436" s="3">
        <f ca="1">IFERROR(__xludf.UNSUPPORTED("""COMPUTED_VALUE"""),44096.6666666666)</f>
        <v>44096.666666666599</v>
      </c>
      <c r="B436" s="1">
        <f ca="1">IFERROR(__xludf.UNSUPPORTED("""COMPUTED_VALUE"""),49.66)</f>
        <v>49.66</v>
      </c>
      <c r="C436" s="2">
        <f t="shared" ca="1" si="1"/>
        <v>1.1611326135669038E-2</v>
      </c>
    </row>
    <row r="437" spans="1:3">
      <c r="A437" s="3">
        <f ca="1">IFERROR(__xludf.UNSUPPORTED("""COMPUTED_VALUE"""),44097.6666666666)</f>
        <v>44097.666666666599</v>
      </c>
      <c r="B437" s="1">
        <f ca="1">IFERROR(__xludf.UNSUPPORTED("""COMPUTED_VALUE"""),48.21)</f>
        <v>48.21</v>
      </c>
      <c r="C437" s="2">
        <f t="shared" ca="1" si="1"/>
        <v>-2.9198550140958433E-2</v>
      </c>
    </row>
    <row r="438" spans="1:3">
      <c r="A438" s="3">
        <f ca="1">IFERROR(__xludf.UNSUPPORTED("""COMPUTED_VALUE"""),44098.6666666666)</f>
        <v>44098.666666666599</v>
      </c>
      <c r="B438" s="1">
        <f ca="1">IFERROR(__xludf.UNSUPPORTED("""COMPUTED_VALUE"""),48.7)</f>
        <v>48.7</v>
      </c>
      <c r="C438" s="2">
        <f t="shared" ca="1" si="1"/>
        <v>1.0163866417755693E-2</v>
      </c>
    </row>
    <row r="439" spans="1:3">
      <c r="A439" s="3">
        <f ca="1">IFERROR(__xludf.UNSUPPORTED("""COMPUTED_VALUE"""),44099.6666666666)</f>
        <v>44099.666666666599</v>
      </c>
      <c r="B439" s="1">
        <f ca="1">IFERROR(__xludf.UNSUPPORTED("""COMPUTED_VALUE"""),48.72)</f>
        <v>48.72</v>
      </c>
      <c r="C439" s="2">
        <f t="shared" ca="1" si="1"/>
        <v>4.1067761806973344E-4</v>
      </c>
    </row>
    <row r="440" spans="1:3">
      <c r="A440" s="3">
        <f ca="1">IFERROR(__xludf.UNSUPPORTED("""COMPUTED_VALUE"""),44102.6666666666)</f>
        <v>44102.666666666599</v>
      </c>
      <c r="B440" s="1">
        <f ca="1">IFERROR(__xludf.UNSUPPORTED("""COMPUTED_VALUE"""),49.28)</f>
        <v>49.28</v>
      </c>
      <c r="C440" s="2">
        <f t="shared" ca="1" si="1"/>
        <v>1.1494252873563265E-2</v>
      </c>
    </row>
    <row r="441" spans="1:3">
      <c r="A441" s="3">
        <f ca="1">IFERROR(__xludf.UNSUPPORTED("""COMPUTED_VALUE"""),44103.6666666666)</f>
        <v>44103.666666666599</v>
      </c>
      <c r="B441" s="1">
        <f ca="1">IFERROR(__xludf.UNSUPPORTED("""COMPUTED_VALUE"""),48.92)</f>
        <v>48.92</v>
      </c>
      <c r="C441" s="2">
        <f t="shared" ca="1" si="1"/>
        <v>-7.3051948051947938E-3</v>
      </c>
    </row>
    <row r="442" spans="1:3">
      <c r="A442" s="3">
        <f ca="1">IFERROR(__xludf.UNSUPPORTED("""COMPUTED_VALUE"""),44104.6666666666)</f>
        <v>44104.666666666599</v>
      </c>
      <c r="B442" s="1">
        <f ca="1">IFERROR(__xludf.UNSUPPORTED("""COMPUTED_VALUE"""),49.37)</f>
        <v>49.37</v>
      </c>
      <c r="C442" s="2">
        <f t="shared" ca="1" si="1"/>
        <v>9.1986917416188828E-3</v>
      </c>
    </row>
    <row r="443" spans="1:3">
      <c r="A443" s="3">
        <f ca="1">IFERROR(__xludf.UNSUPPORTED("""COMPUTED_VALUE"""),44105.6666666666)</f>
        <v>44105.666666666599</v>
      </c>
      <c r="B443" s="1">
        <f ca="1">IFERROR(__xludf.UNSUPPORTED("""COMPUTED_VALUE"""),49.18)</f>
        <v>49.18</v>
      </c>
      <c r="C443" s="2">
        <f t="shared" ca="1" si="1"/>
        <v>-3.8484909864289598E-3</v>
      </c>
    </row>
    <row r="444" spans="1:3">
      <c r="A444" s="3">
        <f ca="1">IFERROR(__xludf.UNSUPPORTED("""COMPUTED_VALUE"""),44106.6666666666)</f>
        <v>44106.666666666599</v>
      </c>
      <c r="B444" s="1">
        <f ca="1">IFERROR(__xludf.UNSUPPORTED("""COMPUTED_VALUE"""),49.36)</f>
        <v>49.36</v>
      </c>
      <c r="C444" s="2">
        <f t="shared" ca="1" si="1"/>
        <v>3.6600244001626621E-3</v>
      </c>
    </row>
    <row r="445" spans="1:3">
      <c r="A445" s="3">
        <f ca="1">IFERROR(__xludf.UNSUPPORTED("""COMPUTED_VALUE"""),44109.6666666666)</f>
        <v>44109.666666666599</v>
      </c>
      <c r="B445" s="1">
        <f ca="1">IFERROR(__xludf.UNSUPPORTED("""COMPUTED_VALUE"""),49.38)</f>
        <v>49.38</v>
      </c>
      <c r="C445" s="2">
        <f t="shared" ca="1" si="1"/>
        <v>4.0518638573750257E-4</v>
      </c>
    </row>
    <row r="446" spans="1:3">
      <c r="A446" s="3">
        <f ca="1">IFERROR(__xludf.UNSUPPORTED("""COMPUTED_VALUE"""),44110.6666666666)</f>
        <v>44110.666666666599</v>
      </c>
      <c r="B446" s="1">
        <f ca="1">IFERROR(__xludf.UNSUPPORTED("""COMPUTED_VALUE"""),48.94)</f>
        <v>48.94</v>
      </c>
      <c r="C446" s="2">
        <f t="shared" ca="1" si="1"/>
        <v>-8.9104900769543301E-3</v>
      </c>
    </row>
    <row r="447" spans="1:3">
      <c r="A447" s="3">
        <f ca="1">IFERROR(__xludf.UNSUPPORTED("""COMPUTED_VALUE"""),44111.6666666666)</f>
        <v>44111.666666666599</v>
      </c>
      <c r="B447" s="1">
        <f ca="1">IFERROR(__xludf.UNSUPPORTED("""COMPUTED_VALUE"""),49.56)</f>
        <v>49.56</v>
      </c>
      <c r="C447" s="2">
        <f t="shared" ca="1" si="1"/>
        <v>1.2668573763792492E-2</v>
      </c>
    </row>
    <row r="448" spans="1:3">
      <c r="A448" s="3">
        <f ca="1">IFERROR(__xludf.UNSUPPORTED("""COMPUTED_VALUE"""),44112.6666666666)</f>
        <v>44112.666666666599</v>
      </c>
      <c r="B448" s="1">
        <f ca="1">IFERROR(__xludf.UNSUPPORTED("""COMPUTED_VALUE"""),50.46)</f>
        <v>50.46</v>
      </c>
      <c r="C448" s="2">
        <f t="shared" ca="1" si="1"/>
        <v>1.8159806295399487E-2</v>
      </c>
    </row>
    <row r="449" spans="1:3">
      <c r="A449" s="3">
        <f ca="1">IFERROR(__xludf.UNSUPPORTED("""COMPUTED_VALUE"""),44113.6666666666)</f>
        <v>44113.666666666599</v>
      </c>
      <c r="B449" s="1">
        <f ca="1">IFERROR(__xludf.UNSUPPORTED("""COMPUTED_VALUE"""),50.81)</f>
        <v>50.81</v>
      </c>
      <c r="C449" s="2">
        <f t="shared" ca="1" si="1"/>
        <v>6.9361870788743844E-3</v>
      </c>
    </row>
    <row r="450" spans="1:3">
      <c r="A450" s="3">
        <f ca="1">IFERROR(__xludf.UNSUPPORTED("""COMPUTED_VALUE"""),44116.6666666666)</f>
        <v>44116.666666666599</v>
      </c>
      <c r="B450" s="1">
        <f ca="1">IFERROR(__xludf.UNSUPPORTED("""COMPUTED_VALUE"""),51.09)</f>
        <v>51.09</v>
      </c>
      <c r="C450" s="2">
        <f t="shared" ca="1" si="1"/>
        <v>5.510726234993134E-3</v>
      </c>
    </row>
    <row r="451" spans="1:3">
      <c r="A451" s="3">
        <f ca="1">IFERROR(__xludf.UNSUPPORTED("""COMPUTED_VALUE"""),44117.6666666666)</f>
        <v>44117.666666666599</v>
      </c>
      <c r="B451" s="1">
        <f ca="1">IFERROR(__xludf.UNSUPPORTED("""COMPUTED_VALUE"""),50.22)</f>
        <v>50.22</v>
      </c>
      <c r="C451" s="2">
        <f t="shared" ca="1" si="1"/>
        <v>-1.7028772753963681E-2</v>
      </c>
    </row>
    <row r="452" spans="1:3">
      <c r="A452" s="3">
        <f ca="1">IFERROR(__xludf.UNSUPPORTED("""COMPUTED_VALUE"""),44118.6666666666)</f>
        <v>44118.666666666599</v>
      </c>
      <c r="B452" s="1">
        <f ca="1">IFERROR(__xludf.UNSUPPORTED("""COMPUTED_VALUE"""),50.12)</f>
        <v>50.12</v>
      </c>
      <c r="C452" s="2">
        <f t="shared" ca="1" si="1"/>
        <v>-1.9912385503783638E-3</v>
      </c>
    </row>
    <row r="453" spans="1:3">
      <c r="A453" s="3">
        <f ca="1">IFERROR(__xludf.UNSUPPORTED("""COMPUTED_VALUE"""),44119.6666666666)</f>
        <v>44119.666666666599</v>
      </c>
      <c r="B453" s="1">
        <f ca="1">IFERROR(__xludf.UNSUPPORTED("""COMPUTED_VALUE"""),49.99)</f>
        <v>49.99</v>
      </c>
      <c r="C453" s="2">
        <f t="shared" ca="1" si="1"/>
        <v>-2.5937749401435646E-3</v>
      </c>
    </row>
    <row r="454" spans="1:3">
      <c r="A454" s="3">
        <f ca="1">IFERROR(__xludf.UNSUPPORTED("""COMPUTED_VALUE"""),44120.6666666666)</f>
        <v>44120.666666666599</v>
      </c>
      <c r="B454" s="1">
        <f ca="1">IFERROR(__xludf.UNSUPPORTED("""COMPUTED_VALUE"""),50.03)</f>
        <v>50.03</v>
      </c>
      <c r="C454" s="2">
        <f t="shared" ca="1" si="1"/>
        <v>8.0016003200638415E-4</v>
      </c>
    </row>
    <row r="455" spans="1:3">
      <c r="A455" s="3">
        <f ca="1">IFERROR(__xludf.UNSUPPORTED("""COMPUTED_VALUE"""),44123.6666666666)</f>
        <v>44123.666666666599</v>
      </c>
      <c r="B455" s="1">
        <f ca="1">IFERROR(__xludf.UNSUPPORTED("""COMPUTED_VALUE"""),49.62)</f>
        <v>49.62</v>
      </c>
      <c r="C455" s="2">
        <f t="shared" ca="1" si="1"/>
        <v>-8.1950829502299358E-3</v>
      </c>
    </row>
    <row r="456" spans="1:3">
      <c r="A456" s="3">
        <f ca="1">IFERROR(__xludf.UNSUPPORTED("""COMPUTED_VALUE"""),44124.6666666666)</f>
        <v>44124.666666666599</v>
      </c>
      <c r="B456" s="1">
        <f ca="1">IFERROR(__xludf.UNSUPPORTED("""COMPUTED_VALUE"""),50.25)</f>
        <v>50.25</v>
      </c>
      <c r="C456" s="2">
        <f t="shared" ca="1" si="1"/>
        <v>1.2696493349455917E-2</v>
      </c>
    </row>
    <row r="457" spans="1:3">
      <c r="A457" s="3">
        <f ca="1">IFERROR(__xludf.UNSUPPORTED("""COMPUTED_VALUE"""),44125.6666666666)</f>
        <v>44125.666666666599</v>
      </c>
      <c r="B457" s="1">
        <f ca="1">IFERROR(__xludf.UNSUPPORTED("""COMPUTED_VALUE"""),49.99)</f>
        <v>49.99</v>
      </c>
      <c r="C457" s="2">
        <f t="shared" ca="1" si="1"/>
        <v>-5.1741293532337916E-3</v>
      </c>
    </row>
    <row r="458" spans="1:3">
      <c r="A458" s="3">
        <f ca="1">IFERROR(__xludf.UNSUPPORTED("""COMPUTED_VALUE"""),44126.6666666666)</f>
        <v>44126.666666666599</v>
      </c>
      <c r="B458" s="1">
        <f ca="1">IFERROR(__xludf.UNSUPPORTED("""COMPUTED_VALUE"""),50.68)</f>
        <v>50.68</v>
      </c>
      <c r="C458" s="2">
        <f t="shared" ca="1" si="1"/>
        <v>1.3802760552110376E-2</v>
      </c>
    </row>
    <row r="459" spans="1:3">
      <c r="A459" s="3">
        <f ca="1">IFERROR(__xludf.UNSUPPORTED("""COMPUTED_VALUE"""),44127.6666666666)</f>
        <v>44127.666666666599</v>
      </c>
      <c r="B459" s="1">
        <f ca="1">IFERROR(__xludf.UNSUPPORTED("""COMPUTED_VALUE"""),50.52)</f>
        <v>50.52</v>
      </c>
      <c r="C459" s="2">
        <f t="shared" ca="1" si="1"/>
        <v>-3.1570639305445263E-3</v>
      </c>
    </row>
    <row r="460" spans="1:3">
      <c r="A460" s="3">
        <f ca="1">IFERROR(__xludf.UNSUPPORTED("""COMPUTED_VALUE"""),44130.6666666666)</f>
        <v>44130.666666666599</v>
      </c>
      <c r="B460" s="1">
        <f ca="1">IFERROR(__xludf.UNSUPPORTED("""COMPUTED_VALUE"""),49.8)</f>
        <v>49.8</v>
      </c>
      <c r="C460" s="2">
        <f t="shared" ca="1" si="1"/>
        <v>-1.4251781472684202E-2</v>
      </c>
    </row>
    <row r="461" spans="1:3">
      <c r="A461" s="3">
        <f ca="1">IFERROR(__xludf.UNSUPPORTED("""COMPUTED_VALUE"""),44131.6666666666)</f>
        <v>44131.666666666599</v>
      </c>
      <c r="B461" s="1">
        <f ca="1">IFERROR(__xludf.UNSUPPORTED("""COMPUTED_VALUE"""),49.9)</f>
        <v>49.9</v>
      </c>
      <c r="C461" s="2">
        <f t="shared" ca="1" si="1"/>
        <v>2.0080321285140847E-3</v>
      </c>
    </row>
    <row r="462" spans="1:3">
      <c r="A462" s="3">
        <f ca="1">IFERROR(__xludf.UNSUPPORTED("""COMPUTED_VALUE"""),44132.6666666666)</f>
        <v>44132.666666666599</v>
      </c>
      <c r="B462" s="1">
        <f ca="1">IFERROR(__xludf.UNSUPPORTED("""COMPUTED_VALUE"""),47.96)</f>
        <v>47.96</v>
      </c>
      <c r="C462" s="2">
        <f t="shared" ca="1" si="1"/>
        <v>-3.8877755511022002E-2</v>
      </c>
    </row>
    <row r="463" spans="1:3">
      <c r="A463" s="3">
        <f ca="1">IFERROR(__xludf.UNSUPPORTED("""COMPUTED_VALUE"""),44133.6666666666)</f>
        <v>44133.666666666599</v>
      </c>
      <c r="B463" s="1">
        <f ca="1">IFERROR(__xludf.UNSUPPORTED("""COMPUTED_VALUE"""),48.02)</f>
        <v>48.02</v>
      </c>
      <c r="C463" s="2">
        <f t="shared" ca="1" si="1"/>
        <v>1.2510425354462526E-3</v>
      </c>
    </row>
    <row r="464" spans="1:3">
      <c r="A464" s="3">
        <f ca="1">IFERROR(__xludf.UNSUPPORTED("""COMPUTED_VALUE"""),44134.6666666666)</f>
        <v>44134.666666666599</v>
      </c>
      <c r="B464" s="1">
        <f ca="1">IFERROR(__xludf.UNSUPPORTED("""COMPUTED_VALUE"""),48.06)</f>
        <v>48.06</v>
      </c>
      <c r="C464" s="2">
        <f t="shared" ca="1" si="1"/>
        <v>8.3298625572676265E-4</v>
      </c>
    </row>
    <row r="465" spans="1:3">
      <c r="A465" s="3">
        <f ca="1">IFERROR(__xludf.UNSUPPORTED("""COMPUTED_VALUE"""),44137.6666666666)</f>
        <v>44137.666666666599</v>
      </c>
      <c r="B465" s="1">
        <f ca="1">IFERROR(__xludf.UNSUPPORTED("""COMPUTED_VALUE"""),48.62)</f>
        <v>48.62</v>
      </c>
      <c r="C465" s="2">
        <f t="shared" ca="1" si="1"/>
        <v>1.1652101539741888E-2</v>
      </c>
    </row>
    <row r="466" spans="1:3">
      <c r="A466" s="3">
        <f ca="1">IFERROR(__xludf.UNSUPPORTED("""COMPUTED_VALUE"""),44138.6666666666)</f>
        <v>44138.666666666599</v>
      </c>
      <c r="B466" s="1">
        <f ca="1">IFERROR(__xludf.UNSUPPORTED("""COMPUTED_VALUE"""),49.35)</f>
        <v>49.35</v>
      </c>
      <c r="C466" s="2">
        <f t="shared" ca="1" si="1"/>
        <v>1.5014397367338627E-2</v>
      </c>
    </row>
    <row r="467" spans="1:3">
      <c r="A467" s="3">
        <f ca="1">IFERROR(__xludf.UNSUPPORTED("""COMPUTED_VALUE"""),44139.6666666666)</f>
        <v>44139.666666666599</v>
      </c>
      <c r="B467" s="1">
        <f ca="1">IFERROR(__xludf.UNSUPPORTED("""COMPUTED_VALUE"""),49.17)</f>
        <v>49.17</v>
      </c>
      <c r="C467" s="2">
        <f t="shared" ca="1" si="1"/>
        <v>-3.6474164133738544E-3</v>
      </c>
    </row>
    <row r="468" spans="1:3">
      <c r="A468" s="3">
        <f ca="1">IFERROR(__xludf.UNSUPPORTED("""COMPUTED_VALUE"""),44140.6666666666)</f>
        <v>44140.666666666599</v>
      </c>
      <c r="B468" s="1">
        <f ca="1">IFERROR(__xludf.UNSUPPORTED("""COMPUTED_VALUE"""),49.44)</f>
        <v>49.44</v>
      </c>
      <c r="C468" s="2">
        <f t="shared" ca="1" si="1"/>
        <v>5.4911531421597722E-3</v>
      </c>
    </row>
    <row r="469" spans="1:3">
      <c r="A469" s="3">
        <f ca="1">IFERROR(__xludf.UNSUPPORTED("""COMPUTED_VALUE"""),44141.6666666666)</f>
        <v>44141.666666666599</v>
      </c>
      <c r="B469" s="1">
        <f ca="1">IFERROR(__xludf.UNSUPPORTED("""COMPUTED_VALUE"""),49.45)</f>
        <v>49.45</v>
      </c>
      <c r="C469" s="2">
        <f t="shared" ca="1" si="1"/>
        <v>2.0226537216838829E-4</v>
      </c>
    </row>
    <row r="470" spans="1:3">
      <c r="A470" s="3">
        <f ca="1">IFERROR(__xludf.UNSUPPORTED("""COMPUTED_VALUE"""),44144.6666666666)</f>
        <v>44144.666666666599</v>
      </c>
      <c r="B470" s="1">
        <f ca="1">IFERROR(__xludf.UNSUPPORTED("""COMPUTED_VALUE"""),52.57)</f>
        <v>52.57</v>
      </c>
      <c r="C470" s="2">
        <f t="shared" ca="1" si="1"/>
        <v>6.3094034378159705E-2</v>
      </c>
    </row>
    <row r="471" spans="1:3">
      <c r="A471" s="3">
        <f ca="1">IFERROR(__xludf.UNSUPPORTED("""COMPUTED_VALUE"""),44145.6666666666)</f>
        <v>44145.666666666599</v>
      </c>
      <c r="B471" s="1">
        <f ca="1">IFERROR(__xludf.UNSUPPORTED("""COMPUTED_VALUE"""),53.98)</f>
        <v>53.98</v>
      </c>
      <c r="C471" s="2">
        <f t="shared" ca="1" si="1"/>
        <v>2.6821381015788407E-2</v>
      </c>
    </row>
    <row r="472" spans="1:3">
      <c r="A472" s="3">
        <f ca="1">IFERROR(__xludf.UNSUPPORTED("""COMPUTED_VALUE"""),44146.6666666666)</f>
        <v>44146.666666666599</v>
      </c>
      <c r="B472" s="1">
        <f ca="1">IFERROR(__xludf.UNSUPPORTED("""COMPUTED_VALUE"""),53.58)</f>
        <v>53.58</v>
      </c>
      <c r="C472" s="2">
        <f t="shared" ca="1" si="1"/>
        <v>-7.4101519081140902E-3</v>
      </c>
    </row>
    <row r="473" spans="1:3">
      <c r="A473" s="3">
        <f ca="1">IFERROR(__xludf.UNSUPPORTED("""COMPUTED_VALUE"""),44147.6666666666)</f>
        <v>44147.666666666599</v>
      </c>
      <c r="B473" s="1">
        <f ca="1">IFERROR(__xludf.UNSUPPORTED("""COMPUTED_VALUE"""),53.01)</f>
        <v>53.01</v>
      </c>
      <c r="C473" s="2">
        <f t="shared" ca="1" si="1"/>
        <v>-1.063829787234043E-2</v>
      </c>
    </row>
    <row r="474" spans="1:3">
      <c r="A474" s="3">
        <f ca="1">IFERROR(__xludf.UNSUPPORTED("""COMPUTED_VALUE"""),44148.6666666666)</f>
        <v>44148.666666666599</v>
      </c>
      <c r="B474" s="1">
        <f ca="1">IFERROR(__xludf.UNSUPPORTED("""COMPUTED_VALUE"""),53.45)</f>
        <v>53.45</v>
      </c>
      <c r="C474" s="2">
        <f t="shared" ca="1" si="1"/>
        <v>8.3003206942087321E-3</v>
      </c>
    </row>
    <row r="475" spans="1:3">
      <c r="A475" s="3">
        <f ca="1">IFERROR(__xludf.UNSUPPORTED("""COMPUTED_VALUE"""),44151.6666666666)</f>
        <v>44151.666666666599</v>
      </c>
      <c r="B475" s="1">
        <f ca="1">IFERROR(__xludf.UNSUPPORTED("""COMPUTED_VALUE"""),53.85)</f>
        <v>53.85</v>
      </c>
      <c r="C475" s="2">
        <f t="shared" ca="1" si="1"/>
        <v>7.4836295603367365E-3</v>
      </c>
    </row>
    <row r="476" spans="1:3">
      <c r="A476" s="3">
        <f ca="1">IFERROR(__xludf.UNSUPPORTED("""COMPUTED_VALUE"""),44152.6666666666)</f>
        <v>44152.666666666599</v>
      </c>
      <c r="B476" s="1">
        <f ca="1">IFERROR(__xludf.UNSUPPORTED("""COMPUTED_VALUE"""),53.68)</f>
        <v>53.68</v>
      </c>
      <c r="C476" s="2">
        <f t="shared" ca="1" si="1"/>
        <v>-3.1569173630455285E-3</v>
      </c>
    </row>
    <row r="477" spans="1:3">
      <c r="A477" s="3">
        <f ca="1">IFERROR(__xludf.UNSUPPORTED("""COMPUTED_VALUE"""),44153.6666666666)</f>
        <v>44153.666666666599</v>
      </c>
      <c r="B477" s="1">
        <f ca="1">IFERROR(__xludf.UNSUPPORTED("""COMPUTED_VALUE"""),52.61)</f>
        <v>52.61</v>
      </c>
      <c r="C477" s="2">
        <f t="shared" ca="1" si="1"/>
        <v>-1.993293591654248E-2</v>
      </c>
    </row>
    <row r="478" spans="1:3">
      <c r="A478" s="3">
        <f ca="1">IFERROR(__xludf.UNSUPPORTED("""COMPUTED_VALUE"""),44154.6666666666)</f>
        <v>44154.666666666599</v>
      </c>
      <c r="B478" s="1">
        <f ca="1">IFERROR(__xludf.UNSUPPORTED("""COMPUTED_VALUE"""),53.13)</f>
        <v>53.13</v>
      </c>
      <c r="C478" s="2">
        <f t="shared" ca="1" si="1"/>
        <v>9.8840524615092778E-3</v>
      </c>
    </row>
    <row r="479" spans="1:3">
      <c r="A479" s="3">
        <f ca="1">IFERROR(__xludf.UNSUPPORTED("""COMPUTED_VALUE"""),44155.6666666666)</f>
        <v>44155.666666666599</v>
      </c>
      <c r="B479" s="1">
        <f ca="1">IFERROR(__xludf.UNSUPPORTED("""COMPUTED_VALUE"""),52.67)</f>
        <v>52.67</v>
      </c>
      <c r="C479" s="2">
        <f t="shared" ca="1" si="1"/>
        <v>-8.6580086580086736E-3</v>
      </c>
    </row>
    <row r="480" spans="1:3">
      <c r="A480" s="3">
        <f ca="1">IFERROR(__xludf.UNSUPPORTED("""COMPUTED_VALUE"""),44158.6666666666)</f>
        <v>44158.666666666599</v>
      </c>
      <c r="B480" s="1">
        <f ca="1">IFERROR(__xludf.UNSUPPORTED("""COMPUTED_VALUE"""),52.68)</f>
        <v>52.68</v>
      </c>
      <c r="C480" s="2">
        <f t="shared" ca="1" si="1"/>
        <v>1.8986140117710292E-4</v>
      </c>
    </row>
    <row r="481" spans="1:3">
      <c r="A481" s="3">
        <f ca="1">IFERROR(__xludf.UNSUPPORTED("""COMPUTED_VALUE"""),44159.6666666666)</f>
        <v>44159.666666666599</v>
      </c>
      <c r="B481" s="1">
        <f ca="1">IFERROR(__xludf.UNSUPPORTED("""COMPUTED_VALUE"""),53.22)</f>
        <v>53.22</v>
      </c>
      <c r="C481" s="2">
        <f t="shared" ca="1" si="1"/>
        <v>1.0250569476081989E-2</v>
      </c>
    </row>
    <row r="482" spans="1:3">
      <c r="A482" s="3">
        <f ca="1">IFERROR(__xludf.UNSUPPORTED("""COMPUTED_VALUE"""),44160.6666666666)</f>
        <v>44160.666666666599</v>
      </c>
      <c r="B482" s="1">
        <f ca="1">IFERROR(__xludf.UNSUPPORTED("""COMPUTED_VALUE"""),52.93)</f>
        <v>52.93</v>
      </c>
      <c r="C482" s="2">
        <f t="shared" ca="1" si="1"/>
        <v>-5.4490792934986688E-3</v>
      </c>
    </row>
    <row r="483" spans="1:3">
      <c r="A483" s="3">
        <f ca="1">IFERROR(__xludf.UNSUPPORTED("""COMPUTED_VALUE"""),44162.5416666666)</f>
        <v>44162.541666666599</v>
      </c>
      <c r="B483" s="1">
        <f ca="1">IFERROR(__xludf.UNSUPPORTED("""COMPUTED_VALUE"""),52.7)</f>
        <v>52.7</v>
      </c>
      <c r="C483" s="2">
        <f t="shared" ca="1" si="1"/>
        <v>-4.3453617986018676E-3</v>
      </c>
    </row>
    <row r="484" spans="1:3">
      <c r="A484" s="3">
        <f ca="1">IFERROR(__xludf.UNSUPPORTED("""COMPUTED_VALUE"""),44165.6666666666)</f>
        <v>44165.666666666599</v>
      </c>
      <c r="B484" s="1">
        <f ca="1">IFERROR(__xludf.UNSUPPORTED("""COMPUTED_VALUE"""),51.6)</f>
        <v>51.6</v>
      </c>
      <c r="C484" s="2">
        <f t="shared" ca="1" si="1"/>
        <v>-2.087286527514234E-2</v>
      </c>
    </row>
    <row r="485" spans="1:3">
      <c r="A485" s="3">
        <f ca="1">IFERROR(__xludf.UNSUPPORTED("""COMPUTED_VALUE"""),44166.6666666666)</f>
        <v>44166.666666666599</v>
      </c>
      <c r="B485" s="1">
        <f ca="1">IFERROR(__xludf.UNSUPPORTED("""COMPUTED_VALUE"""),52.04)</f>
        <v>52.04</v>
      </c>
      <c r="C485" s="2">
        <f t="shared" ca="1" si="1"/>
        <v>8.5271317829456929E-3</v>
      </c>
    </row>
    <row r="486" spans="1:3">
      <c r="A486" s="3">
        <f ca="1">IFERROR(__xludf.UNSUPPORTED("""COMPUTED_VALUE"""),44167.6666666666)</f>
        <v>44167.666666666599</v>
      </c>
      <c r="B486" s="1">
        <f ca="1">IFERROR(__xludf.UNSUPPORTED("""COMPUTED_VALUE"""),52.11)</f>
        <v>52.11</v>
      </c>
      <c r="C486" s="2">
        <f t="shared" ca="1" si="1"/>
        <v>1.3451191391237564E-3</v>
      </c>
    </row>
    <row r="487" spans="1:3">
      <c r="A487" s="3">
        <f ca="1">IFERROR(__xludf.UNSUPPORTED("""COMPUTED_VALUE"""),44168.6666666666)</f>
        <v>44168.666666666599</v>
      </c>
      <c r="B487" s="1">
        <f ca="1">IFERROR(__xludf.UNSUPPORTED("""COMPUTED_VALUE"""),52.78)</f>
        <v>52.78</v>
      </c>
      <c r="C487" s="2">
        <f t="shared" ca="1" si="1"/>
        <v>1.2857417002494756E-2</v>
      </c>
    </row>
    <row r="488" spans="1:3">
      <c r="A488" s="3">
        <f ca="1">IFERROR(__xludf.UNSUPPORTED("""COMPUTED_VALUE"""),44169.6666666666)</f>
        <v>44169.666666666599</v>
      </c>
      <c r="B488" s="1">
        <f ca="1">IFERROR(__xludf.UNSUPPORTED("""COMPUTED_VALUE"""),53.85)</f>
        <v>53.85</v>
      </c>
      <c r="C488" s="2">
        <f t="shared" ca="1" si="1"/>
        <v>2.0272830617658208E-2</v>
      </c>
    </row>
    <row r="489" spans="1:3">
      <c r="A489" s="3">
        <f ca="1">IFERROR(__xludf.UNSUPPORTED("""COMPUTED_VALUE"""),44172.6666666666)</f>
        <v>44172.666666666599</v>
      </c>
      <c r="B489" s="1">
        <f ca="1">IFERROR(__xludf.UNSUPPORTED("""COMPUTED_VALUE"""),52.99)</f>
        <v>52.99</v>
      </c>
      <c r="C489" s="2">
        <f t="shared" ca="1" si="1"/>
        <v>-1.5970287836583091E-2</v>
      </c>
    </row>
    <row r="490" spans="1:3">
      <c r="A490" s="3">
        <f ca="1">IFERROR(__xludf.UNSUPPORTED("""COMPUTED_VALUE"""),44173.6666666666)</f>
        <v>44173.666666666599</v>
      </c>
      <c r="B490" s="1">
        <f ca="1">IFERROR(__xludf.UNSUPPORTED("""COMPUTED_VALUE"""),53.18)</f>
        <v>53.18</v>
      </c>
      <c r="C490" s="2">
        <f t="shared" ca="1" si="1"/>
        <v>3.5855821853179415E-3</v>
      </c>
    </row>
    <row r="491" spans="1:3">
      <c r="A491" s="3">
        <f ca="1">IFERROR(__xludf.UNSUPPORTED("""COMPUTED_VALUE"""),44174.6666666666)</f>
        <v>44174.666666666599</v>
      </c>
      <c r="B491" s="1">
        <f ca="1">IFERROR(__xludf.UNSUPPORTED("""COMPUTED_VALUE"""),53.33)</f>
        <v>53.33</v>
      </c>
      <c r="C491" s="2">
        <f t="shared" ca="1" si="1"/>
        <v>2.8206092515983185E-3</v>
      </c>
    </row>
    <row r="492" spans="1:3">
      <c r="A492" s="3">
        <f ca="1">IFERROR(__xludf.UNSUPPORTED("""COMPUTED_VALUE"""),44175.6666666666)</f>
        <v>44175.666666666599</v>
      </c>
      <c r="B492" s="1">
        <f ca="1">IFERROR(__xludf.UNSUPPORTED("""COMPUTED_VALUE"""),53.05)</f>
        <v>53.05</v>
      </c>
      <c r="C492" s="2">
        <f t="shared" ca="1" si="1"/>
        <v>-5.2503281455091155E-3</v>
      </c>
    </row>
    <row r="493" spans="1:3">
      <c r="A493" s="3">
        <f ca="1">IFERROR(__xludf.UNSUPPORTED("""COMPUTED_VALUE"""),44176.6666666666)</f>
        <v>44176.666666666599</v>
      </c>
      <c r="B493" s="1">
        <f ca="1">IFERROR(__xludf.UNSUPPORTED("""COMPUTED_VALUE"""),53.35)</f>
        <v>53.35</v>
      </c>
      <c r="C493" s="2">
        <f t="shared" ca="1" si="1"/>
        <v>5.6550424128181771E-3</v>
      </c>
    </row>
    <row r="494" spans="1:3">
      <c r="A494" s="3">
        <f ca="1">IFERROR(__xludf.UNSUPPORTED("""COMPUTED_VALUE"""),44179.6666666666)</f>
        <v>44179.666666666599</v>
      </c>
      <c r="B494" s="1">
        <f ca="1">IFERROR(__xludf.UNSUPPORTED("""COMPUTED_VALUE"""),53.27)</f>
        <v>53.27</v>
      </c>
      <c r="C494" s="2">
        <f t="shared" ca="1" si="1"/>
        <v>-1.4995313964385809E-3</v>
      </c>
    </row>
    <row r="495" spans="1:3">
      <c r="A495" s="3">
        <f ca="1">IFERROR(__xludf.UNSUPPORTED("""COMPUTED_VALUE"""),44180.6666666666)</f>
        <v>44180.666666666599</v>
      </c>
      <c r="B495" s="1">
        <f ca="1">IFERROR(__xludf.UNSUPPORTED("""COMPUTED_VALUE"""),53.84)</f>
        <v>53.84</v>
      </c>
      <c r="C495" s="2">
        <f t="shared" ca="1" si="1"/>
        <v>1.0700206495213071E-2</v>
      </c>
    </row>
    <row r="496" spans="1:3">
      <c r="A496" s="3">
        <f ca="1">IFERROR(__xludf.UNSUPPORTED("""COMPUTED_VALUE"""),44181.6666666666)</f>
        <v>44181.666666666599</v>
      </c>
      <c r="B496" s="1">
        <f ca="1">IFERROR(__xludf.UNSUPPORTED("""COMPUTED_VALUE"""),53.06)</f>
        <v>53.06</v>
      </c>
      <c r="C496" s="2">
        <f t="shared" ca="1" si="1"/>
        <v>-1.4487369985141179E-2</v>
      </c>
    </row>
    <row r="497" spans="1:3">
      <c r="A497" s="3">
        <f ca="1">IFERROR(__xludf.UNSUPPORTED("""COMPUTED_VALUE"""),44182.6666666666)</f>
        <v>44182.666666666599</v>
      </c>
      <c r="B497" s="1">
        <f ca="1">IFERROR(__xludf.UNSUPPORTED("""COMPUTED_VALUE"""),53.27)</f>
        <v>53.27</v>
      </c>
      <c r="C497" s="2">
        <f t="shared" ca="1" si="1"/>
        <v>3.9577836411609658E-3</v>
      </c>
    </row>
    <row r="498" spans="1:3">
      <c r="A498" s="3">
        <f ca="1">IFERROR(__xludf.UNSUPPORTED("""COMPUTED_VALUE"""),44183.6666666666)</f>
        <v>44183.666666666599</v>
      </c>
      <c r="B498" s="1">
        <f ca="1">IFERROR(__xludf.UNSUPPORTED("""COMPUTED_VALUE"""),53.74)</f>
        <v>53.74</v>
      </c>
      <c r="C498" s="2">
        <f t="shared" ca="1" si="1"/>
        <v>8.8229772855265409E-3</v>
      </c>
    </row>
    <row r="499" spans="1:3">
      <c r="A499" s="3">
        <f ca="1">IFERROR(__xludf.UNSUPPORTED("""COMPUTED_VALUE"""),44186.6666666666)</f>
        <v>44186.666666666599</v>
      </c>
      <c r="B499" s="1">
        <f ca="1">IFERROR(__xludf.UNSUPPORTED("""COMPUTED_VALUE"""),52.81)</f>
        <v>52.81</v>
      </c>
      <c r="C499" s="2">
        <f t="shared" ca="1" si="1"/>
        <v>-1.7305545217714918E-2</v>
      </c>
    </row>
    <row r="500" spans="1:3">
      <c r="A500" s="3">
        <f ca="1">IFERROR(__xludf.UNSUPPORTED("""COMPUTED_VALUE"""),44187.6666666666)</f>
        <v>44187.666666666599</v>
      </c>
      <c r="B500" s="1">
        <f ca="1">IFERROR(__xludf.UNSUPPORTED("""COMPUTED_VALUE"""),52.76)</f>
        <v>52.76</v>
      </c>
      <c r="C500" s="2">
        <f t="shared" ca="1" si="1"/>
        <v>-9.4679038060981372E-4</v>
      </c>
    </row>
    <row r="501" spans="1:3">
      <c r="A501" s="3">
        <f ca="1">IFERROR(__xludf.UNSUPPORTED("""COMPUTED_VALUE"""),44188.6666666666)</f>
        <v>44188.666666666599</v>
      </c>
      <c r="B501" s="1">
        <f ca="1">IFERROR(__xludf.UNSUPPORTED("""COMPUTED_VALUE"""),53.08)</f>
        <v>53.08</v>
      </c>
      <c r="C501" s="2">
        <f t="shared" ca="1" si="1"/>
        <v>6.0652009097801425E-3</v>
      </c>
    </row>
    <row r="502" spans="1:3">
      <c r="A502" s="3">
        <f ca="1">IFERROR(__xludf.UNSUPPORTED("""COMPUTED_VALUE"""),44189.5416666666)</f>
        <v>44189.541666666599</v>
      </c>
      <c r="B502" s="1">
        <f ca="1">IFERROR(__xludf.UNSUPPORTED("""COMPUTED_VALUE"""),53.44)</f>
        <v>53.44</v>
      </c>
      <c r="C502" s="2">
        <f t="shared" ca="1" si="1"/>
        <v>6.7822155237377436E-3</v>
      </c>
    </row>
    <row r="503" spans="1:3">
      <c r="A503" s="3">
        <f ca="1">IFERROR(__xludf.UNSUPPORTED("""COMPUTED_VALUE"""),44193.6666666666)</f>
        <v>44193.666666666599</v>
      </c>
      <c r="B503" s="1">
        <f ca="1">IFERROR(__xludf.UNSUPPORTED("""COMPUTED_VALUE"""),54.16)</f>
        <v>54.16</v>
      </c>
      <c r="C503" s="2">
        <f t="shared" ca="1" si="1"/>
        <v>1.3473053892215548E-2</v>
      </c>
    </row>
    <row r="504" spans="1:3">
      <c r="A504" s="3">
        <f ca="1">IFERROR(__xludf.UNSUPPORTED("""COMPUTED_VALUE"""),44194.6666666666)</f>
        <v>44194.666666666599</v>
      </c>
      <c r="B504" s="1">
        <f ca="1">IFERROR(__xludf.UNSUPPORTED("""COMPUTED_VALUE"""),54.13)</f>
        <v>54.13</v>
      </c>
      <c r="C504" s="2">
        <f t="shared" ca="1" si="1"/>
        <v>-5.5391432791717201E-4</v>
      </c>
    </row>
    <row r="505" spans="1:3">
      <c r="A505" s="3">
        <f ca="1">IFERROR(__xludf.UNSUPPORTED("""COMPUTED_VALUE"""),44195.6666666666)</f>
        <v>44195.666666666599</v>
      </c>
      <c r="B505" s="1">
        <f ca="1">IFERROR(__xludf.UNSUPPORTED("""COMPUTED_VALUE"""),54.44)</f>
        <v>54.44</v>
      </c>
      <c r="C505" s="2">
        <f t="shared" ca="1" si="1"/>
        <v>5.7269536301495505E-3</v>
      </c>
    </row>
    <row r="506" spans="1:3">
      <c r="A506" s="3">
        <f ca="1">IFERROR(__xludf.UNSUPPORTED("""COMPUTED_VALUE"""),44196.6666666666)</f>
        <v>44196.666666666599</v>
      </c>
      <c r="B506" s="1">
        <f ca="1">IFERROR(__xludf.UNSUPPORTED("""COMPUTED_VALUE"""),54.84)</f>
        <v>54.84</v>
      </c>
      <c r="C506" s="2">
        <f t="shared" ca="1" si="1"/>
        <v>7.3475385745776214E-3</v>
      </c>
    </row>
    <row r="507" spans="1:3">
      <c r="A507" s="3">
        <f ca="1">IFERROR(__xludf.UNSUPPORTED("""COMPUTED_VALUE"""),44200.6666666666)</f>
        <v>44200.666666666599</v>
      </c>
      <c r="B507" s="1">
        <f ca="1">IFERROR(__xludf.UNSUPPORTED("""COMPUTED_VALUE"""),52.76)</f>
        <v>52.76</v>
      </c>
      <c r="C507" s="2">
        <f t="shared" ca="1" si="1"/>
        <v>-3.7928519328957064E-2</v>
      </c>
    </row>
    <row r="508" spans="1:3">
      <c r="A508" s="3">
        <f ca="1">IFERROR(__xludf.UNSUPPORTED("""COMPUTED_VALUE"""),44201.6666666666)</f>
        <v>44201.666666666599</v>
      </c>
      <c r="B508" s="1">
        <f ca="1">IFERROR(__xludf.UNSUPPORTED("""COMPUTED_VALUE"""),52.18)</f>
        <v>52.18</v>
      </c>
      <c r="C508" s="2">
        <f t="shared" ca="1" si="1"/>
        <v>-1.0993176648976465E-2</v>
      </c>
    </row>
    <row r="509" spans="1:3">
      <c r="A509" s="3">
        <f ca="1">IFERROR(__xludf.UNSUPPORTED("""COMPUTED_VALUE"""),44202.6666666666)</f>
        <v>44202.666666666599</v>
      </c>
      <c r="B509" s="1">
        <f ca="1">IFERROR(__xludf.UNSUPPORTED("""COMPUTED_VALUE"""),50.52)</f>
        <v>50.52</v>
      </c>
      <c r="C509" s="2">
        <f t="shared" ca="1" si="1"/>
        <v>-3.1812955155231824E-2</v>
      </c>
    </row>
    <row r="510" spans="1:3">
      <c r="A510" s="3">
        <f ca="1">IFERROR(__xludf.UNSUPPORTED("""COMPUTED_VALUE"""),44203.6666666666)</f>
        <v>44203.666666666599</v>
      </c>
      <c r="B510" s="1">
        <f ca="1">IFERROR(__xludf.UNSUPPORTED("""COMPUTED_VALUE"""),49.96)</f>
        <v>49.96</v>
      </c>
      <c r="C510" s="2">
        <f t="shared" ca="1" si="1"/>
        <v>-1.1084718923198778E-2</v>
      </c>
    </row>
    <row r="511" spans="1:3">
      <c r="A511" s="3">
        <f ca="1">IFERROR(__xludf.UNSUPPORTED("""COMPUTED_VALUE"""),44204.6666666666)</f>
        <v>44204.666666666599</v>
      </c>
      <c r="B511" s="1">
        <f ca="1">IFERROR(__xludf.UNSUPPORTED("""COMPUTED_VALUE"""),51.08)</f>
        <v>51.08</v>
      </c>
      <c r="C511" s="2">
        <f t="shared" ca="1" si="1"/>
        <v>2.2417934347477932E-2</v>
      </c>
    </row>
    <row r="512" spans="1:3">
      <c r="A512" s="3">
        <f ca="1">IFERROR(__xludf.UNSUPPORTED("""COMPUTED_VALUE"""),44207.6666666666)</f>
        <v>44207.666666666599</v>
      </c>
      <c r="B512" s="1">
        <f ca="1">IFERROR(__xludf.UNSUPPORTED("""COMPUTED_VALUE"""),50.2)</f>
        <v>50.2</v>
      </c>
      <c r="C512" s="2">
        <f t="shared" ca="1" si="1"/>
        <v>-1.7227877838684329E-2</v>
      </c>
    </row>
    <row r="513" spans="1:3">
      <c r="A513" s="3">
        <f ca="1">IFERROR(__xludf.UNSUPPORTED("""COMPUTED_VALUE"""),44208.6666666666)</f>
        <v>44208.666666666599</v>
      </c>
      <c r="B513" s="1">
        <f ca="1">IFERROR(__xludf.UNSUPPORTED("""COMPUTED_VALUE"""),50.11)</f>
        <v>50.11</v>
      </c>
      <c r="C513" s="2">
        <f t="shared" ref="C513:C767" ca="1" si="2">(B513-B512)/B512</f>
        <v>-1.792828685259032E-3</v>
      </c>
    </row>
    <row r="514" spans="1:3">
      <c r="A514" s="3">
        <f ca="1">IFERROR(__xludf.UNSUPPORTED("""COMPUTED_VALUE"""),44209.6666666666)</f>
        <v>44209.666666666599</v>
      </c>
      <c r="B514" s="1">
        <f ca="1">IFERROR(__xludf.UNSUPPORTED("""COMPUTED_VALUE"""),50.16)</f>
        <v>50.16</v>
      </c>
      <c r="C514" s="2">
        <f t="shared" ca="1" si="2"/>
        <v>9.9780482937531748E-4</v>
      </c>
    </row>
    <row r="515" spans="1:3">
      <c r="A515" s="3">
        <f ca="1">IFERROR(__xludf.UNSUPPORTED("""COMPUTED_VALUE"""),44210.6666666666)</f>
        <v>44210.666666666599</v>
      </c>
      <c r="B515" s="1">
        <f ca="1">IFERROR(__xludf.UNSUPPORTED("""COMPUTED_VALUE"""),49.23)</f>
        <v>49.23</v>
      </c>
      <c r="C515" s="2">
        <f t="shared" ca="1" si="2"/>
        <v>-1.8540669856459326E-2</v>
      </c>
    </row>
    <row r="516" spans="1:3">
      <c r="A516" s="3">
        <f ca="1">IFERROR(__xludf.UNSUPPORTED("""COMPUTED_VALUE"""),44211.6666666666)</f>
        <v>44211.666666666599</v>
      </c>
      <c r="B516" s="1">
        <f ca="1">IFERROR(__xludf.UNSUPPORTED("""COMPUTED_VALUE"""),48.7)</f>
        <v>48.7</v>
      </c>
      <c r="C516" s="2">
        <f t="shared" ca="1" si="2"/>
        <v>-1.0765793215518873E-2</v>
      </c>
    </row>
    <row r="517" spans="1:3">
      <c r="A517" s="3">
        <f ca="1">IFERROR(__xludf.UNSUPPORTED("""COMPUTED_VALUE"""),44215.6666666666)</f>
        <v>44215.666666666599</v>
      </c>
      <c r="B517" s="1">
        <f ca="1">IFERROR(__xludf.UNSUPPORTED("""COMPUTED_VALUE"""),48.51)</f>
        <v>48.51</v>
      </c>
      <c r="C517" s="2">
        <f t="shared" ca="1" si="2"/>
        <v>-3.9014373716633436E-3</v>
      </c>
    </row>
    <row r="518" spans="1:3">
      <c r="A518" s="3">
        <f ca="1">IFERROR(__xludf.UNSUPPORTED("""COMPUTED_VALUE"""),44216.6666666666)</f>
        <v>44216.666666666599</v>
      </c>
      <c r="B518" s="1">
        <f ca="1">IFERROR(__xludf.UNSUPPORTED("""COMPUTED_VALUE"""),48.68)</f>
        <v>48.68</v>
      </c>
      <c r="C518" s="2">
        <f t="shared" ca="1" si="2"/>
        <v>3.5044320758606828E-3</v>
      </c>
    </row>
    <row r="519" spans="1:3">
      <c r="A519" s="3">
        <f ca="1">IFERROR(__xludf.UNSUPPORTED("""COMPUTED_VALUE"""),44217.6666666666)</f>
        <v>44217.666666666599</v>
      </c>
      <c r="B519" s="1">
        <f ca="1">IFERROR(__xludf.UNSUPPORTED("""COMPUTED_VALUE"""),48.95)</f>
        <v>48.95</v>
      </c>
      <c r="C519" s="2">
        <f t="shared" ca="1" si="2"/>
        <v>5.5464256368118964E-3</v>
      </c>
    </row>
    <row r="520" spans="1:3">
      <c r="A520" s="3">
        <f ca="1">IFERROR(__xludf.UNSUPPORTED("""COMPUTED_VALUE"""),44218.6666666666)</f>
        <v>44218.666666666599</v>
      </c>
      <c r="B520" s="1">
        <f ca="1">IFERROR(__xludf.UNSUPPORTED("""COMPUTED_VALUE"""),48.49)</f>
        <v>48.49</v>
      </c>
      <c r="C520" s="2">
        <f t="shared" ca="1" si="2"/>
        <v>-9.3973442288049196E-3</v>
      </c>
    </row>
    <row r="521" spans="1:3">
      <c r="A521" s="3">
        <f ca="1">IFERROR(__xludf.UNSUPPORTED("""COMPUTED_VALUE"""),44221.6666666666)</f>
        <v>44221.666666666599</v>
      </c>
      <c r="B521" s="1">
        <f ca="1">IFERROR(__xludf.UNSUPPORTED("""COMPUTED_VALUE"""),48.78)</f>
        <v>48.78</v>
      </c>
      <c r="C521" s="2">
        <f t="shared" ca="1" si="2"/>
        <v>5.9806145597030135E-3</v>
      </c>
    </row>
    <row r="522" spans="1:3">
      <c r="A522" s="3">
        <f ca="1">IFERROR(__xludf.UNSUPPORTED("""COMPUTED_VALUE"""),44222.6666666666)</f>
        <v>44222.666666666599</v>
      </c>
      <c r="B522" s="1">
        <f ca="1">IFERROR(__xludf.UNSUPPORTED("""COMPUTED_VALUE"""),49.29)</f>
        <v>49.29</v>
      </c>
      <c r="C522" s="2">
        <f t="shared" ca="1" si="2"/>
        <v>1.0455104551045469E-2</v>
      </c>
    </row>
    <row r="523" spans="1:3">
      <c r="A523" s="3">
        <f ca="1">IFERROR(__xludf.UNSUPPORTED("""COMPUTED_VALUE"""),44223.6666666666)</f>
        <v>44223.666666666599</v>
      </c>
      <c r="B523" s="1">
        <f ca="1">IFERROR(__xludf.UNSUPPORTED("""COMPUTED_VALUE"""),48.53)</f>
        <v>48.53</v>
      </c>
      <c r="C523" s="2">
        <f t="shared" ca="1" si="2"/>
        <v>-1.5418949076891824E-2</v>
      </c>
    </row>
    <row r="524" spans="1:3">
      <c r="A524" s="3">
        <f ca="1">IFERROR(__xludf.UNSUPPORTED("""COMPUTED_VALUE"""),44224.6666666666)</f>
        <v>44224.666666666599</v>
      </c>
      <c r="B524" s="1">
        <f ca="1">IFERROR(__xludf.UNSUPPORTED("""COMPUTED_VALUE"""),49.15)</f>
        <v>49.15</v>
      </c>
      <c r="C524" s="2">
        <f t="shared" ca="1" si="2"/>
        <v>1.2775602719966977E-2</v>
      </c>
    </row>
    <row r="525" spans="1:3">
      <c r="A525" s="3">
        <f ca="1">IFERROR(__xludf.UNSUPPORTED("""COMPUTED_VALUE"""),44225.6666666666)</f>
        <v>44225.666666666599</v>
      </c>
      <c r="B525" s="1">
        <f ca="1">IFERROR(__xludf.UNSUPPORTED("""COMPUTED_VALUE"""),48.15)</f>
        <v>48.15</v>
      </c>
      <c r="C525" s="2">
        <f t="shared" ca="1" si="2"/>
        <v>-2.0345879959308241E-2</v>
      </c>
    </row>
    <row r="526" spans="1:3">
      <c r="A526" s="3">
        <f ca="1">IFERROR(__xludf.UNSUPPORTED("""COMPUTED_VALUE"""),44228.6666666666)</f>
        <v>44228.666666666599</v>
      </c>
      <c r="B526" s="1">
        <f ca="1">IFERROR(__xludf.UNSUPPORTED("""COMPUTED_VALUE"""),48.48)</f>
        <v>48.48</v>
      </c>
      <c r="C526" s="2">
        <f t="shared" ca="1" si="2"/>
        <v>6.8535825545170985E-3</v>
      </c>
    </row>
    <row r="527" spans="1:3">
      <c r="A527" s="3">
        <f ca="1">IFERROR(__xludf.UNSUPPORTED("""COMPUTED_VALUE"""),44229.6666666666)</f>
        <v>44229.666666666599</v>
      </c>
      <c r="B527" s="1">
        <f ca="1">IFERROR(__xludf.UNSUPPORTED("""COMPUTED_VALUE"""),48.96)</f>
        <v>48.96</v>
      </c>
      <c r="C527" s="2">
        <f t="shared" ca="1" si="2"/>
        <v>9.9009900990099844E-3</v>
      </c>
    </row>
    <row r="528" spans="1:3">
      <c r="A528" s="3">
        <f ca="1">IFERROR(__xludf.UNSUPPORTED("""COMPUTED_VALUE"""),44230.6666666666)</f>
        <v>44230.666666666599</v>
      </c>
      <c r="B528" s="1">
        <f ca="1">IFERROR(__xludf.UNSUPPORTED("""COMPUTED_VALUE"""),48.77)</f>
        <v>48.77</v>
      </c>
      <c r="C528" s="2">
        <f t="shared" ca="1" si="2"/>
        <v>-3.8807189542483197E-3</v>
      </c>
    </row>
    <row r="529" spans="1:3">
      <c r="A529" s="3">
        <f ca="1">IFERROR(__xludf.UNSUPPORTED("""COMPUTED_VALUE"""),44231.6666666666)</f>
        <v>44231.666666666599</v>
      </c>
      <c r="B529" s="1">
        <f ca="1">IFERROR(__xludf.UNSUPPORTED("""COMPUTED_VALUE"""),49.01)</f>
        <v>49.01</v>
      </c>
      <c r="C529" s="2">
        <f t="shared" ca="1" si="2"/>
        <v>4.9210580274758019E-3</v>
      </c>
    </row>
    <row r="530" spans="1:3">
      <c r="A530" s="3">
        <f ca="1">IFERROR(__xludf.UNSUPPORTED("""COMPUTED_VALUE"""),44232.6666666666)</f>
        <v>44232.666666666599</v>
      </c>
      <c r="B530" s="1">
        <f ca="1">IFERROR(__xludf.UNSUPPORTED("""COMPUTED_VALUE"""),49.65)</f>
        <v>49.65</v>
      </c>
      <c r="C530" s="2">
        <f t="shared" ca="1" si="2"/>
        <v>1.3058559477657633E-2</v>
      </c>
    </row>
    <row r="531" spans="1:3">
      <c r="A531" s="3">
        <f ca="1">IFERROR(__xludf.UNSUPPORTED("""COMPUTED_VALUE"""),44235.6666666666)</f>
        <v>44235.666666666599</v>
      </c>
      <c r="B531" s="1">
        <f ca="1">IFERROR(__xludf.UNSUPPORTED("""COMPUTED_VALUE"""),49.92)</f>
        <v>49.92</v>
      </c>
      <c r="C531" s="2">
        <f t="shared" ca="1" si="2"/>
        <v>5.4380664652568609E-3</v>
      </c>
    </row>
    <row r="532" spans="1:3">
      <c r="A532" s="3">
        <f ca="1">IFERROR(__xludf.UNSUPPORTED("""COMPUTED_VALUE"""),44236.6666666666)</f>
        <v>44236.666666666599</v>
      </c>
      <c r="B532" s="1">
        <f ca="1">IFERROR(__xludf.UNSUPPORTED("""COMPUTED_VALUE"""),49.7)</f>
        <v>49.7</v>
      </c>
      <c r="C532" s="2">
        <f t="shared" ca="1" si="2"/>
        <v>-4.4070512820512595E-3</v>
      </c>
    </row>
    <row r="533" spans="1:3">
      <c r="A533" s="3">
        <f ca="1">IFERROR(__xludf.UNSUPPORTED("""COMPUTED_VALUE"""),44237.6666666666)</f>
        <v>44237.666666666599</v>
      </c>
      <c r="B533" s="1">
        <f ca="1">IFERROR(__xludf.UNSUPPORTED("""COMPUTED_VALUE"""),49.6)</f>
        <v>49.6</v>
      </c>
      <c r="C533" s="2">
        <f t="shared" ca="1" si="2"/>
        <v>-2.0120724346076742E-3</v>
      </c>
    </row>
    <row r="534" spans="1:3">
      <c r="A534" s="3">
        <f ca="1">IFERROR(__xludf.UNSUPPORTED("""COMPUTED_VALUE"""),44238.6666666666)</f>
        <v>44238.666666666599</v>
      </c>
      <c r="B534" s="1">
        <f ca="1">IFERROR(__xludf.UNSUPPORTED("""COMPUTED_VALUE"""),50.3)</f>
        <v>50.3</v>
      </c>
      <c r="C534" s="2">
        <f t="shared" ca="1" si="2"/>
        <v>1.4112903225806364E-2</v>
      </c>
    </row>
    <row r="535" spans="1:3">
      <c r="A535" s="3">
        <f ca="1">IFERROR(__xludf.UNSUPPORTED("""COMPUTED_VALUE"""),44239.6666666666)</f>
        <v>44239.666666666599</v>
      </c>
      <c r="B535" s="1">
        <f ca="1">IFERROR(__xludf.UNSUPPORTED("""COMPUTED_VALUE"""),50.69)</f>
        <v>50.69</v>
      </c>
      <c r="C535" s="2">
        <f t="shared" ca="1" si="2"/>
        <v>7.7534791252485205E-3</v>
      </c>
    </row>
    <row r="536" spans="1:3">
      <c r="A536" s="3">
        <f ca="1">IFERROR(__xludf.UNSUPPORTED("""COMPUTED_VALUE"""),44243.6666666666)</f>
        <v>44243.666666666599</v>
      </c>
      <c r="B536" s="1">
        <f ca="1">IFERROR(__xludf.UNSUPPORTED("""COMPUTED_VALUE"""),50.27)</f>
        <v>50.27</v>
      </c>
      <c r="C536" s="2">
        <f t="shared" ca="1" si="2"/>
        <v>-8.2856579206943108E-3</v>
      </c>
    </row>
    <row r="537" spans="1:3">
      <c r="A537" s="3">
        <f ca="1">IFERROR(__xludf.UNSUPPORTED("""COMPUTED_VALUE"""),44244.6666666666)</f>
        <v>44244.666666666599</v>
      </c>
      <c r="B537" s="1">
        <f ca="1">IFERROR(__xludf.UNSUPPORTED("""COMPUTED_VALUE"""),50.13)</f>
        <v>50.13</v>
      </c>
      <c r="C537" s="2">
        <f t="shared" ca="1" si="2"/>
        <v>-2.7849612094688792E-3</v>
      </c>
    </row>
    <row r="538" spans="1:3">
      <c r="A538" s="3">
        <f ca="1">IFERROR(__xludf.UNSUPPORTED("""COMPUTED_VALUE"""),44245.6666666666)</f>
        <v>44245.666666666599</v>
      </c>
      <c r="B538" s="1">
        <f ca="1">IFERROR(__xludf.UNSUPPORTED("""COMPUTED_VALUE"""),50.77)</f>
        <v>50.77</v>
      </c>
      <c r="C538" s="2">
        <f t="shared" ca="1" si="2"/>
        <v>1.2766806303610623E-2</v>
      </c>
    </row>
    <row r="539" spans="1:3">
      <c r="A539" s="3">
        <f ca="1">IFERROR(__xludf.UNSUPPORTED("""COMPUTED_VALUE"""),44246.6666666666)</f>
        <v>44246.666666666599</v>
      </c>
      <c r="B539" s="1">
        <f ca="1">IFERROR(__xludf.UNSUPPORTED("""COMPUTED_VALUE"""),50.11)</f>
        <v>50.11</v>
      </c>
      <c r="C539" s="2">
        <f t="shared" ca="1" si="2"/>
        <v>-1.2999803033287446E-2</v>
      </c>
    </row>
    <row r="540" spans="1:3">
      <c r="A540" s="3">
        <f ca="1">IFERROR(__xludf.UNSUPPORTED("""COMPUTED_VALUE"""),44249.6666666666)</f>
        <v>44249.666666666599</v>
      </c>
      <c r="B540" s="1">
        <f ca="1">IFERROR(__xludf.UNSUPPORTED("""COMPUTED_VALUE"""),50.63)</f>
        <v>50.63</v>
      </c>
      <c r="C540" s="2">
        <f t="shared" ca="1" si="2"/>
        <v>1.0377170225503954E-2</v>
      </c>
    </row>
    <row r="541" spans="1:3">
      <c r="A541" s="3">
        <f ca="1">IFERROR(__xludf.UNSUPPORTED("""COMPUTED_VALUE"""),44250.6666666666)</f>
        <v>44250.666666666599</v>
      </c>
      <c r="B541" s="1">
        <f ca="1">IFERROR(__xludf.UNSUPPORTED("""COMPUTED_VALUE"""),50.54)</f>
        <v>50.54</v>
      </c>
      <c r="C541" s="2">
        <f t="shared" ca="1" si="2"/>
        <v>-1.7776022121272646E-3</v>
      </c>
    </row>
    <row r="542" spans="1:3">
      <c r="A542" s="3">
        <f ca="1">IFERROR(__xludf.UNSUPPORTED("""COMPUTED_VALUE"""),44251.6666666666)</f>
        <v>44251.666666666599</v>
      </c>
      <c r="B542" s="1">
        <f ca="1">IFERROR(__xludf.UNSUPPORTED("""COMPUTED_VALUE"""),50.71)</f>
        <v>50.71</v>
      </c>
      <c r="C542" s="2">
        <f t="shared" ca="1" si="2"/>
        <v>3.3636723387416244E-3</v>
      </c>
    </row>
    <row r="543" spans="1:3">
      <c r="A543" s="3">
        <f ca="1">IFERROR(__xludf.UNSUPPORTED("""COMPUTED_VALUE"""),44252.6666666666)</f>
        <v>44252.666666666599</v>
      </c>
      <c r="B543" s="1">
        <f ca="1">IFERROR(__xludf.UNSUPPORTED("""COMPUTED_VALUE"""),50.17)</f>
        <v>50.17</v>
      </c>
      <c r="C543" s="2">
        <f t="shared" ca="1" si="2"/>
        <v>-1.0648787221455317E-2</v>
      </c>
    </row>
    <row r="544" spans="1:3">
      <c r="A544" s="3">
        <f ca="1">IFERROR(__xludf.UNSUPPORTED("""COMPUTED_VALUE"""),44253.6666666666)</f>
        <v>44253.666666666599</v>
      </c>
      <c r="B544" s="1">
        <f ca="1">IFERROR(__xludf.UNSUPPORTED("""COMPUTED_VALUE"""),48.99)</f>
        <v>48.99</v>
      </c>
      <c r="C544" s="2">
        <f t="shared" ca="1" si="2"/>
        <v>-2.3520031891568659E-2</v>
      </c>
    </row>
    <row r="545" spans="1:3">
      <c r="A545" s="3">
        <f ca="1">IFERROR(__xludf.UNSUPPORTED("""COMPUTED_VALUE"""),44256.6666666666)</f>
        <v>44256.666666666599</v>
      </c>
      <c r="B545" s="1">
        <f ca="1">IFERROR(__xludf.UNSUPPORTED("""COMPUTED_VALUE"""),49.9)</f>
        <v>49.9</v>
      </c>
      <c r="C545" s="2">
        <f t="shared" ca="1" si="2"/>
        <v>1.8575219432537184E-2</v>
      </c>
    </row>
    <row r="546" spans="1:3">
      <c r="A546" s="3">
        <f ca="1">IFERROR(__xludf.UNSUPPORTED("""COMPUTED_VALUE"""),44257.6666666666)</f>
        <v>44257.666666666599</v>
      </c>
      <c r="B546" s="1">
        <f ca="1">IFERROR(__xludf.UNSUPPORTED("""COMPUTED_VALUE"""),50.1)</f>
        <v>50.1</v>
      </c>
      <c r="C546" s="2">
        <f t="shared" ca="1" si="2"/>
        <v>4.0080160320641852E-3</v>
      </c>
    </row>
    <row r="547" spans="1:3">
      <c r="A547" s="3">
        <f ca="1">IFERROR(__xludf.UNSUPPORTED("""COMPUTED_VALUE"""),44258.6666666666)</f>
        <v>44258.666666666599</v>
      </c>
      <c r="B547" s="1">
        <f ca="1">IFERROR(__xludf.UNSUPPORTED("""COMPUTED_VALUE"""),49.98)</f>
        <v>49.98</v>
      </c>
      <c r="C547" s="2">
        <f t="shared" ca="1" si="2"/>
        <v>-2.395209580838414E-3</v>
      </c>
    </row>
    <row r="548" spans="1:3">
      <c r="A548" s="3">
        <f ca="1">IFERROR(__xludf.UNSUPPORTED("""COMPUTED_VALUE"""),44259.6666666666)</f>
        <v>44259.666666666599</v>
      </c>
      <c r="B548" s="1">
        <f ca="1">IFERROR(__xludf.UNSUPPORTED("""COMPUTED_VALUE"""),49.94)</f>
        <v>49.94</v>
      </c>
      <c r="C548" s="2">
        <f t="shared" ca="1" si="2"/>
        <v>-8.0032012805120352E-4</v>
      </c>
    </row>
    <row r="549" spans="1:3">
      <c r="A549" s="3">
        <f ca="1">IFERROR(__xludf.UNSUPPORTED("""COMPUTED_VALUE"""),44260.6666666666)</f>
        <v>44260.666666666599</v>
      </c>
      <c r="B549" s="1">
        <f ca="1">IFERROR(__xludf.UNSUPPORTED("""COMPUTED_VALUE"""),50.79)</f>
        <v>50.79</v>
      </c>
      <c r="C549" s="2">
        <f t="shared" ca="1" si="2"/>
        <v>1.7020424509411321E-2</v>
      </c>
    </row>
    <row r="550" spans="1:3">
      <c r="A550" s="3">
        <f ca="1">IFERROR(__xludf.UNSUPPORTED("""COMPUTED_VALUE"""),44263.6666666666)</f>
        <v>44263.666666666599</v>
      </c>
      <c r="B550" s="1">
        <f ca="1">IFERROR(__xludf.UNSUPPORTED("""COMPUTED_VALUE"""),51.64)</f>
        <v>51.64</v>
      </c>
      <c r="C550" s="2">
        <f t="shared" ca="1" si="2"/>
        <v>1.6735577869659408E-2</v>
      </c>
    </row>
    <row r="551" spans="1:3">
      <c r="A551" s="3">
        <f ca="1">IFERROR(__xludf.UNSUPPORTED("""COMPUTED_VALUE"""),44264.6666666666)</f>
        <v>44264.666666666599</v>
      </c>
      <c r="B551" s="1">
        <f ca="1">IFERROR(__xludf.UNSUPPORTED("""COMPUTED_VALUE"""),50.86)</f>
        <v>50.86</v>
      </c>
      <c r="C551" s="2">
        <f t="shared" ca="1" si="2"/>
        <v>-1.5104570100697157E-2</v>
      </c>
    </row>
    <row r="552" spans="1:3">
      <c r="A552" s="3">
        <f ca="1">IFERROR(__xludf.UNSUPPORTED("""COMPUTED_VALUE"""),44265.6666666666)</f>
        <v>44265.666666666599</v>
      </c>
      <c r="B552" s="1">
        <f ca="1">IFERROR(__xludf.UNSUPPORTED("""COMPUTED_VALUE"""),51.44)</f>
        <v>51.44</v>
      </c>
      <c r="C552" s="2">
        <f t="shared" ca="1" si="2"/>
        <v>1.1403853716083334E-2</v>
      </c>
    </row>
    <row r="553" spans="1:3">
      <c r="A553" s="3">
        <f ca="1">IFERROR(__xludf.UNSUPPORTED("""COMPUTED_VALUE"""),44266.6666666666)</f>
        <v>44266.666666666599</v>
      </c>
      <c r="B553" s="1">
        <f ca="1">IFERROR(__xludf.UNSUPPORTED("""COMPUTED_VALUE"""),50.88)</f>
        <v>50.88</v>
      </c>
      <c r="C553" s="2">
        <f t="shared" ca="1" si="2"/>
        <v>-1.0886469673405817E-2</v>
      </c>
    </row>
    <row r="554" spans="1:3">
      <c r="A554" s="3">
        <f ca="1">IFERROR(__xludf.UNSUPPORTED("""COMPUTED_VALUE"""),44267.6666666666)</f>
        <v>44267.666666666599</v>
      </c>
      <c r="B554" s="1">
        <f ca="1">IFERROR(__xludf.UNSUPPORTED("""COMPUTED_VALUE"""),50.36)</f>
        <v>50.36</v>
      </c>
      <c r="C554" s="2">
        <f t="shared" ca="1" si="2"/>
        <v>-1.0220125786163582E-2</v>
      </c>
    </row>
    <row r="555" spans="1:3">
      <c r="A555" s="3">
        <f ca="1">IFERROR(__xludf.UNSUPPORTED("""COMPUTED_VALUE"""),44270.6666666666)</f>
        <v>44270.666666666599</v>
      </c>
      <c r="B555" s="1">
        <f ca="1">IFERROR(__xludf.UNSUPPORTED("""COMPUTED_VALUE"""),51.03)</f>
        <v>51.03</v>
      </c>
      <c r="C555" s="2">
        <f t="shared" ca="1" si="2"/>
        <v>1.3304209690230375E-2</v>
      </c>
    </row>
    <row r="556" spans="1:3">
      <c r="A556" s="3">
        <f ca="1">IFERROR(__xludf.UNSUPPORTED("""COMPUTED_VALUE"""),44271.6666666666)</f>
        <v>44271.666666666599</v>
      </c>
      <c r="B556" s="1">
        <f ca="1">IFERROR(__xludf.UNSUPPORTED("""COMPUTED_VALUE"""),51.22)</f>
        <v>51.22</v>
      </c>
      <c r="C556" s="2">
        <f t="shared" ca="1" si="2"/>
        <v>3.7233000195962714E-3</v>
      </c>
    </row>
    <row r="557" spans="1:3">
      <c r="A557" s="3">
        <f ca="1">IFERROR(__xludf.UNSUPPORTED("""COMPUTED_VALUE"""),44272.6666666666)</f>
        <v>44272.666666666599</v>
      </c>
      <c r="B557" s="1">
        <f ca="1">IFERROR(__xludf.UNSUPPORTED("""COMPUTED_VALUE"""),51.24)</f>
        <v>51.24</v>
      </c>
      <c r="C557" s="2">
        <f t="shared" ca="1" si="2"/>
        <v>3.9047247169080685E-4</v>
      </c>
    </row>
    <row r="558" spans="1:3">
      <c r="A558" s="3">
        <f ca="1">IFERROR(__xludf.UNSUPPORTED("""COMPUTED_VALUE"""),44273.6666666666)</f>
        <v>44273.666666666599</v>
      </c>
      <c r="B558" s="1">
        <f ca="1">IFERROR(__xludf.UNSUPPORTED("""COMPUTED_VALUE"""),50.57)</f>
        <v>50.57</v>
      </c>
      <c r="C558" s="2">
        <f t="shared" ca="1" si="2"/>
        <v>-1.3075722092115568E-2</v>
      </c>
    </row>
    <row r="559" spans="1:3">
      <c r="A559" s="3">
        <f ca="1">IFERROR(__xludf.UNSUPPORTED("""COMPUTED_VALUE"""),44274.6666666666)</f>
        <v>44274.666666666599</v>
      </c>
      <c r="B559" s="1">
        <f ca="1">IFERROR(__xludf.UNSUPPORTED("""COMPUTED_VALUE"""),50.81)</f>
        <v>50.81</v>
      </c>
      <c r="C559" s="2">
        <f t="shared" ca="1" si="2"/>
        <v>4.7458967767451451E-3</v>
      </c>
    </row>
    <row r="560" spans="1:3">
      <c r="A560" s="3">
        <f ca="1">IFERROR(__xludf.UNSUPPORTED("""COMPUTED_VALUE"""),44277.6666666666)</f>
        <v>44277.666666666599</v>
      </c>
      <c r="B560" s="1">
        <f ca="1">IFERROR(__xludf.UNSUPPORTED("""COMPUTED_VALUE"""),51)</f>
        <v>51</v>
      </c>
      <c r="C560" s="2">
        <f t="shared" ca="1" si="2"/>
        <v>3.739421373745281E-3</v>
      </c>
    </row>
    <row r="561" spans="1:3">
      <c r="A561" s="3">
        <f ca="1">IFERROR(__xludf.UNSUPPORTED("""COMPUTED_VALUE"""),44278.6666666666)</f>
        <v>44278.666666666599</v>
      </c>
      <c r="B561" s="1">
        <f ca="1">IFERROR(__xludf.UNSUPPORTED("""COMPUTED_VALUE"""),51.39)</f>
        <v>51.39</v>
      </c>
      <c r="C561" s="2">
        <f t="shared" ca="1" si="2"/>
        <v>7.6470588235294226E-3</v>
      </c>
    </row>
    <row r="562" spans="1:3">
      <c r="A562" s="3">
        <f ca="1">IFERROR(__xludf.UNSUPPORTED("""COMPUTED_VALUE"""),44279.6666666666)</f>
        <v>44279.666666666599</v>
      </c>
      <c r="B562" s="1">
        <f ca="1">IFERROR(__xludf.UNSUPPORTED("""COMPUTED_VALUE"""),51.52)</f>
        <v>51.52</v>
      </c>
      <c r="C562" s="2">
        <f t="shared" ca="1" si="2"/>
        <v>2.5296750340533677E-3</v>
      </c>
    </row>
    <row r="563" spans="1:3">
      <c r="A563" s="3">
        <f ca="1">IFERROR(__xludf.UNSUPPORTED("""COMPUTED_VALUE"""),44280.6666666666)</f>
        <v>44280.666666666599</v>
      </c>
      <c r="B563" s="1">
        <f ca="1">IFERROR(__xludf.UNSUPPORTED("""COMPUTED_VALUE"""),52.02)</f>
        <v>52.02</v>
      </c>
      <c r="C563" s="2">
        <f t="shared" ca="1" si="2"/>
        <v>9.7049689440993781E-3</v>
      </c>
    </row>
    <row r="564" spans="1:3">
      <c r="A564" s="3">
        <f ca="1">IFERROR(__xludf.UNSUPPORTED("""COMPUTED_VALUE"""),44281.6666666666)</f>
        <v>44281.666666666599</v>
      </c>
      <c r="B564" s="1">
        <f ca="1">IFERROR(__xludf.UNSUPPORTED("""COMPUTED_VALUE"""),53.04)</f>
        <v>53.04</v>
      </c>
      <c r="C564" s="2">
        <f t="shared" ca="1" si="2"/>
        <v>1.9607843137254825E-2</v>
      </c>
    </row>
    <row r="565" spans="1:3">
      <c r="A565" s="3">
        <f ca="1">IFERROR(__xludf.UNSUPPORTED("""COMPUTED_VALUE"""),44284.6666666666)</f>
        <v>44284.666666666599</v>
      </c>
      <c r="B565" s="1">
        <f ca="1">IFERROR(__xludf.UNSUPPORTED("""COMPUTED_VALUE"""),53.85)</f>
        <v>53.85</v>
      </c>
      <c r="C565" s="2">
        <f t="shared" ca="1" si="2"/>
        <v>1.5271493212669726E-2</v>
      </c>
    </row>
    <row r="566" spans="1:3">
      <c r="A566" s="3">
        <f ca="1">IFERROR(__xludf.UNSUPPORTED("""COMPUTED_VALUE"""),44285.6666666666)</f>
        <v>44285.666666666599</v>
      </c>
      <c r="B566" s="1">
        <f ca="1">IFERROR(__xludf.UNSUPPORTED("""COMPUTED_VALUE"""),53.15)</f>
        <v>53.15</v>
      </c>
      <c r="C566" s="2">
        <f t="shared" ca="1" si="2"/>
        <v>-1.2999071494893275E-2</v>
      </c>
    </row>
    <row r="567" spans="1:3">
      <c r="A567" s="3">
        <f ca="1">IFERROR(__xludf.UNSUPPORTED("""COMPUTED_VALUE"""),44286.6666666666)</f>
        <v>44286.666666666599</v>
      </c>
      <c r="B567" s="1">
        <f ca="1">IFERROR(__xludf.UNSUPPORTED("""COMPUTED_VALUE"""),52.71)</f>
        <v>52.71</v>
      </c>
      <c r="C567" s="2">
        <f t="shared" ca="1" si="2"/>
        <v>-8.2784571966133154E-3</v>
      </c>
    </row>
    <row r="568" spans="1:3">
      <c r="A568" s="3">
        <f ca="1">IFERROR(__xludf.UNSUPPORTED("""COMPUTED_VALUE"""),44287.6666666666)</f>
        <v>44287.666666666599</v>
      </c>
      <c r="B568" s="1">
        <f ca="1">IFERROR(__xludf.UNSUPPORTED("""COMPUTED_VALUE"""),52.51)</f>
        <v>52.51</v>
      </c>
      <c r="C568" s="2">
        <f t="shared" ca="1" si="2"/>
        <v>-3.7943464238285496E-3</v>
      </c>
    </row>
    <row r="569" spans="1:3">
      <c r="A569" s="3">
        <f ca="1">IFERROR(__xludf.UNSUPPORTED("""COMPUTED_VALUE"""),44291.6666666666)</f>
        <v>44291.666666666599</v>
      </c>
      <c r="B569" s="1">
        <f ca="1">IFERROR(__xludf.UNSUPPORTED("""COMPUTED_VALUE"""),52.81)</f>
        <v>52.81</v>
      </c>
      <c r="C569" s="2">
        <f t="shared" ca="1" si="2"/>
        <v>5.7131974861931879E-3</v>
      </c>
    </row>
    <row r="570" spans="1:3">
      <c r="A570" s="3">
        <f ca="1">IFERROR(__xludf.UNSUPPORTED("""COMPUTED_VALUE"""),44292.6666666666)</f>
        <v>44292.666666666599</v>
      </c>
      <c r="B570" s="1">
        <f ca="1">IFERROR(__xludf.UNSUPPORTED("""COMPUTED_VALUE"""),53.19)</f>
        <v>53.19</v>
      </c>
      <c r="C570" s="2">
        <f t="shared" ca="1" si="2"/>
        <v>7.1956068926338846E-3</v>
      </c>
    </row>
    <row r="571" spans="1:3">
      <c r="A571" s="3">
        <f ca="1">IFERROR(__xludf.UNSUPPORTED("""COMPUTED_VALUE"""),44293.6666666666)</f>
        <v>44293.666666666599</v>
      </c>
      <c r="B571" s="1">
        <f ca="1">IFERROR(__xludf.UNSUPPORTED("""COMPUTED_VALUE"""),53.28)</f>
        <v>53.28</v>
      </c>
      <c r="C571" s="2">
        <f t="shared" ca="1" si="2"/>
        <v>1.6920473773266293E-3</v>
      </c>
    </row>
    <row r="572" spans="1:3">
      <c r="A572" s="3">
        <f ca="1">IFERROR(__xludf.UNSUPPORTED("""COMPUTED_VALUE"""),44294.6666666666)</f>
        <v>44294.666666666599</v>
      </c>
      <c r="B572" s="1">
        <f ca="1">IFERROR(__xludf.UNSUPPORTED("""COMPUTED_VALUE"""),53.12)</f>
        <v>53.12</v>
      </c>
      <c r="C572" s="2">
        <f t="shared" ca="1" si="2"/>
        <v>-3.0030030030030724E-3</v>
      </c>
    </row>
    <row r="573" spans="1:3">
      <c r="A573" s="3">
        <f ca="1">IFERROR(__xludf.UNSUPPORTED("""COMPUTED_VALUE"""),44295.6666666666)</f>
        <v>44295.666666666599</v>
      </c>
      <c r="B573" s="1">
        <f ca="1">IFERROR(__xludf.UNSUPPORTED("""COMPUTED_VALUE"""),53.18)</f>
        <v>53.18</v>
      </c>
      <c r="C573" s="2">
        <f t="shared" ca="1" si="2"/>
        <v>1.1295180722891995E-3</v>
      </c>
    </row>
    <row r="574" spans="1:3">
      <c r="A574" s="3">
        <f ca="1">IFERROR(__xludf.UNSUPPORTED("""COMPUTED_VALUE"""),44298.6666666666)</f>
        <v>44298.666666666599</v>
      </c>
      <c r="B574" s="1">
        <f ca="1">IFERROR(__xludf.UNSUPPORTED("""COMPUTED_VALUE"""),53.35)</f>
        <v>53.35</v>
      </c>
      <c r="C574" s="2">
        <f t="shared" ca="1" si="2"/>
        <v>3.1966904851448235E-3</v>
      </c>
    </row>
    <row r="575" spans="1:3">
      <c r="A575" s="3">
        <f ca="1">IFERROR(__xludf.UNSUPPORTED("""COMPUTED_VALUE"""),44299.6666666666)</f>
        <v>44299.666666666599</v>
      </c>
      <c r="B575" s="1">
        <f ca="1">IFERROR(__xludf.UNSUPPORTED("""COMPUTED_VALUE"""),53.09)</f>
        <v>53.09</v>
      </c>
      <c r="C575" s="2">
        <f t="shared" ca="1" si="2"/>
        <v>-4.8734770384254548E-3</v>
      </c>
    </row>
    <row r="576" spans="1:3">
      <c r="A576" s="3">
        <f ca="1">IFERROR(__xludf.UNSUPPORTED("""COMPUTED_VALUE"""),44300.6666666666)</f>
        <v>44300.666666666599</v>
      </c>
      <c r="B576" s="1">
        <f ca="1">IFERROR(__xludf.UNSUPPORTED("""COMPUTED_VALUE"""),53.08)</f>
        <v>53.08</v>
      </c>
      <c r="C576" s="2">
        <f t="shared" ca="1" si="2"/>
        <v>-1.8835938971567366E-4</v>
      </c>
    </row>
    <row r="577" spans="1:3">
      <c r="A577" s="3">
        <f ca="1">IFERROR(__xludf.UNSUPPORTED("""COMPUTED_VALUE"""),44301.6666666666)</f>
        <v>44301.666666666599</v>
      </c>
      <c r="B577" s="1">
        <f ca="1">IFERROR(__xludf.UNSUPPORTED("""COMPUTED_VALUE"""),53.33)</f>
        <v>53.33</v>
      </c>
      <c r="C577" s="2">
        <f t="shared" ca="1" si="2"/>
        <v>4.709871891484552E-3</v>
      </c>
    </row>
    <row r="578" spans="1:3">
      <c r="A578" s="3">
        <f ca="1">IFERROR(__xludf.UNSUPPORTED("""COMPUTED_VALUE"""),44302.6666666666)</f>
        <v>44302.666666666599</v>
      </c>
      <c r="B578" s="1">
        <f ca="1">IFERROR(__xludf.UNSUPPORTED("""COMPUTED_VALUE"""),53.68)</f>
        <v>53.68</v>
      </c>
      <c r="C578" s="2">
        <f t="shared" ca="1" si="2"/>
        <v>6.5629101818863948E-3</v>
      </c>
    </row>
    <row r="579" spans="1:3">
      <c r="A579" s="3">
        <f ca="1">IFERROR(__xludf.UNSUPPORTED("""COMPUTED_VALUE"""),44305.6666666666)</f>
        <v>44305.666666666599</v>
      </c>
      <c r="B579" s="1">
        <f ca="1">IFERROR(__xludf.UNSUPPORTED("""COMPUTED_VALUE"""),54)</f>
        <v>54</v>
      </c>
      <c r="C579" s="2">
        <f t="shared" ca="1" si="2"/>
        <v>5.9612518628912124E-3</v>
      </c>
    </row>
    <row r="580" spans="1:3">
      <c r="A580" s="3">
        <f ca="1">IFERROR(__xludf.UNSUPPORTED("""COMPUTED_VALUE"""),44306.6666666666)</f>
        <v>44306.666666666599</v>
      </c>
      <c r="B580" s="1">
        <f ca="1">IFERROR(__xludf.UNSUPPORTED("""COMPUTED_VALUE"""),54.17)</f>
        <v>54.17</v>
      </c>
      <c r="C580" s="2">
        <f t="shared" ca="1" si="2"/>
        <v>3.1481481481481798E-3</v>
      </c>
    </row>
    <row r="581" spans="1:3">
      <c r="A581" s="3">
        <f ca="1">IFERROR(__xludf.UNSUPPORTED("""COMPUTED_VALUE"""),44307.6666666666)</f>
        <v>44307.666666666599</v>
      </c>
      <c r="B581" s="1">
        <f ca="1">IFERROR(__xludf.UNSUPPORTED("""COMPUTED_VALUE"""),54.61)</f>
        <v>54.61</v>
      </c>
      <c r="C581" s="2">
        <f t="shared" ca="1" si="2"/>
        <v>8.1225770721801305E-3</v>
      </c>
    </row>
    <row r="582" spans="1:3">
      <c r="A582" s="3">
        <f ca="1">IFERROR(__xludf.UNSUPPORTED("""COMPUTED_VALUE"""),44308.6666666666)</f>
        <v>44308.666666666599</v>
      </c>
      <c r="B582" s="1">
        <f ca="1">IFERROR(__xludf.UNSUPPORTED("""COMPUTED_VALUE"""),54.44)</f>
        <v>54.44</v>
      </c>
      <c r="C582" s="2">
        <f t="shared" ca="1" si="2"/>
        <v>-3.112982970152018E-3</v>
      </c>
    </row>
    <row r="583" spans="1:3">
      <c r="A583" s="3">
        <f ca="1">IFERROR(__xludf.UNSUPPORTED("""COMPUTED_VALUE"""),44309.6666666666)</f>
        <v>44309.666666666599</v>
      </c>
      <c r="B583" s="1">
        <f ca="1">IFERROR(__xludf.UNSUPPORTED("""COMPUTED_VALUE"""),54.47)</f>
        <v>54.47</v>
      </c>
      <c r="C583" s="2">
        <f t="shared" ca="1" si="2"/>
        <v>5.5106539309333468E-4</v>
      </c>
    </row>
    <row r="584" spans="1:3">
      <c r="A584" s="3">
        <f ca="1">IFERROR(__xludf.UNSUPPORTED("""COMPUTED_VALUE"""),44312.6666666666)</f>
        <v>44312.666666666599</v>
      </c>
      <c r="B584" s="1">
        <f ca="1">IFERROR(__xludf.UNSUPPORTED("""COMPUTED_VALUE"""),53.66)</f>
        <v>53.66</v>
      </c>
      <c r="C584" s="2">
        <f t="shared" ca="1" si="2"/>
        <v>-1.4870570956489852E-2</v>
      </c>
    </row>
    <row r="585" spans="1:3">
      <c r="A585" s="3">
        <f ca="1">IFERROR(__xludf.UNSUPPORTED("""COMPUTED_VALUE"""),44313.6666666666)</f>
        <v>44313.666666666599</v>
      </c>
      <c r="B585" s="1">
        <f ca="1">IFERROR(__xludf.UNSUPPORTED("""COMPUTED_VALUE"""),53.58)</f>
        <v>53.58</v>
      </c>
      <c r="C585" s="2">
        <f t="shared" ca="1" si="2"/>
        <v>-1.4908684308609448E-3</v>
      </c>
    </row>
    <row r="586" spans="1:3">
      <c r="A586" s="3">
        <f ca="1">IFERROR(__xludf.UNSUPPORTED("""COMPUTED_VALUE"""),44314.6666666666)</f>
        <v>44314.666666666599</v>
      </c>
      <c r="B586" s="1">
        <f ca="1">IFERROR(__xludf.UNSUPPORTED("""COMPUTED_VALUE"""),53.59)</f>
        <v>53.59</v>
      </c>
      <c r="C586" s="2">
        <f t="shared" ca="1" si="2"/>
        <v>1.8663680477799769E-4</v>
      </c>
    </row>
    <row r="587" spans="1:3">
      <c r="A587" s="3">
        <f ca="1">IFERROR(__xludf.UNSUPPORTED("""COMPUTED_VALUE"""),44315.6666666666)</f>
        <v>44315.666666666599</v>
      </c>
      <c r="B587" s="1">
        <f ca="1">IFERROR(__xludf.UNSUPPORTED("""COMPUTED_VALUE"""),54.26)</f>
        <v>54.26</v>
      </c>
      <c r="C587" s="2">
        <f t="shared" ca="1" si="2"/>
        <v>1.2502332524724661E-2</v>
      </c>
    </row>
    <row r="588" spans="1:3">
      <c r="A588" s="3">
        <f ca="1">IFERROR(__xludf.UNSUPPORTED("""COMPUTED_VALUE"""),44316.6666666666)</f>
        <v>44316.666666666599</v>
      </c>
      <c r="B588" s="1">
        <f ca="1">IFERROR(__xludf.UNSUPPORTED("""COMPUTED_VALUE"""),53.98)</f>
        <v>53.98</v>
      </c>
      <c r="C588" s="2">
        <f t="shared" ca="1" si="2"/>
        <v>-5.1603391079985466E-3</v>
      </c>
    </row>
    <row r="589" spans="1:3">
      <c r="A589" s="3">
        <f ca="1">IFERROR(__xludf.UNSUPPORTED("""COMPUTED_VALUE"""),44319.6666666666)</f>
        <v>44319.666666666599</v>
      </c>
      <c r="B589" s="1">
        <f ca="1">IFERROR(__xludf.UNSUPPORTED("""COMPUTED_VALUE"""),54.48)</f>
        <v>54.48</v>
      </c>
      <c r="C589" s="2">
        <f t="shared" ca="1" si="2"/>
        <v>9.262689885142646E-3</v>
      </c>
    </row>
    <row r="590" spans="1:3">
      <c r="A590" s="3">
        <f ca="1">IFERROR(__xludf.UNSUPPORTED("""COMPUTED_VALUE"""),44320.6666666666)</f>
        <v>44320.666666666599</v>
      </c>
      <c r="B590" s="1">
        <f ca="1">IFERROR(__xludf.UNSUPPORTED("""COMPUTED_VALUE"""),54.14)</f>
        <v>54.14</v>
      </c>
      <c r="C590" s="2">
        <f t="shared" ca="1" si="2"/>
        <v>-6.2408223201174066E-3</v>
      </c>
    </row>
    <row r="591" spans="1:3">
      <c r="A591" s="3">
        <f ca="1">IFERROR(__xludf.UNSUPPORTED("""COMPUTED_VALUE"""),44321.6666666666)</f>
        <v>44321.666666666599</v>
      </c>
      <c r="B591" s="1">
        <f ca="1">IFERROR(__xludf.UNSUPPORTED("""COMPUTED_VALUE"""),54)</f>
        <v>54</v>
      </c>
      <c r="C591" s="2">
        <f t="shared" ca="1" si="2"/>
        <v>-2.5858884373845688E-3</v>
      </c>
    </row>
    <row r="592" spans="1:3">
      <c r="A592" s="3">
        <f ca="1">IFERROR(__xludf.UNSUPPORTED("""COMPUTED_VALUE"""),44322.6666666666)</f>
        <v>44322.666666666599</v>
      </c>
      <c r="B592" s="1">
        <f ca="1">IFERROR(__xludf.UNSUPPORTED("""COMPUTED_VALUE"""),54.54)</f>
        <v>54.54</v>
      </c>
      <c r="C592" s="2">
        <f t="shared" ca="1" si="2"/>
        <v>9.9999999999999846E-3</v>
      </c>
    </row>
    <row r="593" spans="1:3">
      <c r="A593" s="3">
        <f ca="1">IFERROR(__xludf.UNSUPPORTED("""COMPUTED_VALUE"""),44323.6666666666)</f>
        <v>44323.666666666599</v>
      </c>
      <c r="B593" s="1">
        <f ca="1">IFERROR(__xludf.UNSUPPORTED("""COMPUTED_VALUE"""),54.51)</f>
        <v>54.51</v>
      </c>
      <c r="C593" s="2">
        <f t="shared" ca="1" si="2"/>
        <v>-5.5005500550057095E-4</v>
      </c>
    </row>
    <row r="594" spans="1:3">
      <c r="A594" s="3">
        <f ca="1">IFERROR(__xludf.UNSUPPORTED("""COMPUTED_VALUE"""),44326.6666666666)</f>
        <v>44326.666666666599</v>
      </c>
      <c r="B594" s="1">
        <f ca="1">IFERROR(__xludf.UNSUPPORTED("""COMPUTED_VALUE"""),54.91)</f>
        <v>54.91</v>
      </c>
      <c r="C594" s="2">
        <f t="shared" ca="1" si="2"/>
        <v>7.3381031003485345E-3</v>
      </c>
    </row>
    <row r="595" spans="1:3">
      <c r="A595" s="3">
        <f ca="1">IFERROR(__xludf.UNSUPPORTED("""COMPUTED_VALUE"""),44327.6666666666)</f>
        <v>44327.666666666599</v>
      </c>
      <c r="B595" s="1">
        <f ca="1">IFERROR(__xludf.UNSUPPORTED("""COMPUTED_VALUE"""),54.32)</f>
        <v>54.32</v>
      </c>
      <c r="C595" s="2">
        <f t="shared" ca="1" si="2"/>
        <v>-1.0744855217628781E-2</v>
      </c>
    </row>
    <row r="596" spans="1:3">
      <c r="A596" s="3">
        <f ca="1">IFERROR(__xludf.UNSUPPORTED("""COMPUTED_VALUE"""),44328.6666666666)</f>
        <v>44328.666666666599</v>
      </c>
      <c r="B596" s="1">
        <f ca="1">IFERROR(__xludf.UNSUPPORTED("""COMPUTED_VALUE"""),54.04)</f>
        <v>54.04</v>
      </c>
      <c r="C596" s="2">
        <f t="shared" ca="1" si="2"/>
        <v>-5.1546391752577527E-3</v>
      </c>
    </row>
    <row r="597" spans="1:3">
      <c r="A597" s="3">
        <f ca="1">IFERROR(__xludf.UNSUPPORTED("""COMPUTED_VALUE"""),44329.6666666666)</f>
        <v>44329.666666666599</v>
      </c>
      <c r="B597" s="1">
        <f ca="1">IFERROR(__xludf.UNSUPPORTED("""COMPUTED_VALUE"""),54.51)</f>
        <v>54.51</v>
      </c>
      <c r="C597" s="2">
        <f t="shared" ca="1" si="2"/>
        <v>8.6972612879348422E-3</v>
      </c>
    </row>
    <row r="598" spans="1:3">
      <c r="A598" s="3">
        <f ca="1">IFERROR(__xludf.UNSUPPORTED("""COMPUTED_VALUE"""),44330.6666666666)</f>
        <v>44330.666666666599</v>
      </c>
      <c r="B598" s="1">
        <f ca="1">IFERROR(__xludf.UNSUPPORTED("""COMPUTED_VALUE"""),54.73)</f>
        <v>54.73</v>
      </c>
      <c r="C598" s="2">
        <f t="shared" ca="1" si="2"/>
        <v>4.0359567051916874E-3</v>
      </c>
    </row>
    <row r="599" spans="1:3">
      <c r="A599" s="3">
        <f ca="1">IFERROR(__xludf.UNSUPPORTED("""COMPUTED_VALUE"""),44333.6666666666)</f>
        <v>44333.666666666599</v>
      </c>
      <c r="B599" s="1">
        <f ca="1">IFERROR(__xludf.UNSUPPORTED("""COMPUTED_VALUE"""),54.64)</f>
        <v>54.64</v>
      </c>
      <c r="C599" s="2">
        <f t="shared" ca="1" si="2"/>
        <v>-1.6444363237711733E-3</v>
      </c>
    </row>
    <row r="600" spans="1:3">
      <c r="A600" s="3">
        <f ca="1">IFERROR(__xludf.UNSUPPORTED("""COMPUTED_VALUE"""),44334.6666666666)</f>
        <v>44334.666666666599</v>
      </c>
      <c r="B600" s="1">
        <f ca="1">IFERROR(__xludf.UNSUPPORTED("""COMPUTED_VALUE"""),54.34)</f>
        <v>54.34</v>
      </c>
      <c r="C600" s="2">
        <f t="shared" ca="1" si="2"/>
        <v>-5.4904831625182497E-3</v>
      </c>
    </row>
    <row r="601" spans="1:3">
      <c r="A601" s="3">
        <f ca="1">IFERROR(__xludf.UNSUPPORTED("""COMPUTED_VALUE"""),44335.6666666666)</f>
        <v>44335.666666666599</v>
      </c>
      <c r="B601" s="1">
        <f ca="1">IFERROR(__xludf.UNSUPPORTED("""COMPUTED_VALUE"""),54.17)</f>
        <v>54.17</v>
      </c>
      <c r="C601" s="2">
        <f t="shared" ca="1" si="2"/>
        <v>-3.1284504968715808E-3</v>
      </c>
    </row>
    <row r="602" spans="1:3">
      <c r="A602" s="3">
        <f ca="1">IFERROR(__xludf.UNSUPPORTED("""COMPUTED_VALUE"""),44336.6666666666)</f>
        <v>44336.666666666599</v>
      </c>
      <c r="B602" s="1">
        <f ca="1">IFERROR(__xludf.UNSUPPORTED("""COMPUTED_VALUE"""),54.65)</f>
        <v>54.65</v>
      </c>
      <c r="C602" s="2">
        <f t="shared" ca="1" si="2"/>
        <v>8.8609931696510408E-3</v>
      </c>
    </row>
    <row r="603" spans="1:3">
      <c r="A603" s="3">
        <f ca="1">IFERROR(__xludf.UNSUPPORTED("""COMPUTED_VALUE"""),44337.6666666666)</f>
        <v>44337.666666666599</v>
      </c>
      <c r="B603" s="1">
        <f ca="1">IFERROR(__xludf.UNSUPPORTED("""COMPUTED_VALUE"""),54.62)</f>
        <v>54.62</v>
      </c>
      <c r="C603" s="2">
        <f t="shared" ca="1" si="2"/>
        <v>-5.4894784995427519E-4</v>
      </c>
    </row>
    <row r="604" spans="1:3">
      <c r="A604" s="3">
        <f ca="1">IFERROR(__xludf.UNSUPPORTED("""COMPUTED_VALUE"""),44340.6666666666)</f>
        <v>44340.666666666599</v>
      </c>
      <c r="B604" s="1">
        <f ca="1">IFERROR(__xludf.UNSUPPORTED("""COMPUTED_VALUE"""),54.8)</f>
        <v>54.8</v>
      </c>
      <c r="C604" s="2">
        <f t="shared" ca="1" si="2"/>
        <v>3.2954961552544805E-3</v>
      </c>
    </row>
    <row r="605" spans="1:3">
      <c r="A605" s="3">
        <f ca="1">IFERROR(__xludf.UNSUPPORTED("""COMPUTED_VALUE"""),44341.6666666666)</f>
        <v>44341.666666666599</v>
      </c>
      <c r="B605" s="1">
        <f ca="1">IFERROR(__xludf.UNSUPPORTED("""COMPUTED_VALUE"""),54.79)</f>
        <v>54.79</v>
      </c>
      <c r="C605" s="2">
        <f t="shared" ca="1" si="2"/>
        <v>-1.8248175182478121E-4</v>
      </c>
    </row>
    <row r="606" spans="1:3">
      <c r="A606" s="3">
        <f ca="1">IFERROR(__xludf.UNSUPPORTED("""COMPUTED_VALUE"""),44342.6666666666)</f>
        <v>44342.666666666599</v>
      </c>
      <c r="B606" s="1">
        <f ca="1">IFERROR(__xludf.UNSUPPORTED("""COMPUTED_VALUE"""),55.03)</f>
        <v>55.03</v>
      </c>
      <c r="C606" s="2">
        <f t="shared" ca="1" si="2"/>
        <v>4.3803613798138706E-3</v>
      </c>
    </row>
    <row r="607" spans="1:3">
      <c r="A607" s="3">
        <f ca="1">IFERROR(__xludf.UNSUPPORTED("""COMPUTED_VALUE"""),44343.6666666666)</f>
        <v>44343.666666666599</v>
      </c>
      <c r="B607" s="1">
        <f ca="1">IFERROR(__xludf.UNSUPPORTED("""COMPUTED_VALUE"""),55.49)</f>
        <v>55.49</v>
      </c>
      <c r="C607" s="2">
        <f t="shared" ca="1" si="2"/>
        <v>8.359076867163381E-3</v>
      </c>
    </row>
    <row r="608" spans="1:3">
      <c r="A608" s="3">
        <f ca="1">IFERROR(__xludf.UNSUPPORTED("""COMPUTED_VALUE"""),44344.6666666666)</f>
        <v>44344.666666666599</v>
      </c>
      <c r="B608" s="1">
        <f ca="1">IFERROR(__xludf.UNSUPPORTED("""COMPUTED_VALUE"""),55.29)</f>
        <v>55.29</v>
      </c>
      <c r="C608" s="2">
        <f t="shared" ca="1" si="2"/>
        <v>-3.604253018561954E-3</v>
      </c>
    </row>
    <row r="609" spans="1:3">
      <c r="A609" s="3">
        <f ca="1">IFERROR(__xludf.UNSUPPORTED("""COMPUTED_VALUE"""),44348.6666666666)</f>
        <v>44348.666666666599</v>
      </c>
      <c r="B609" s="1">
        <f ca="1">IFERROR(__xludf.UNSUPPORTED("""COMPUTED_VALUE"""),55.28)</f>
        <v>55.28</v>
      </c>
      <c r="C609" s="2">
        <f t="shared" ca="1" si="2"/>
        <v>-1.8086453246514758E-4</v>
      </c>
    </row>
    <row r="610" spans="1:3">
      <c r="A610" s="3">
        <f ca="1">IFERROR(__xludf.UNSUPPORTED("""COMPUTED_VALUE"""),44349.6666666666)</f>
        <v>44349.666666666599</v>
      </c>
      <c r="B610" s="1">
        <f ca="1">IFERROR(__xludf.UNSUPPORTED("""COMPUTED_VALUE"""),55.5)</f>
        <v>55.5</v>
      </c>
      <c r="C610" s="2">
        <f t="shared" ca="1" si="2"/>
        <v>3.9797395079594587E-3</v>
      </c>
    </row>
    <row r="611" spans="1:3">
      <c r="A611" s="3">
        <f ca="1">IFERROR(__xludf.UNSUPPORTED("""COMPUTED_VALUE"""),44350.6666666666)</f>
        <v>44350.666666666599</v>
      </c>
      <c r="B611" s="1">
        <f ca="1">IFERROR(__xludf.UNSUPPORTED("""COMPUTED_VALUE"""),55.64)</f>
        <v>55.64</v>
      </c>
      <c r="C611" s="2">
        <f t="shared" ca="1" si="2"/>
        <v>2.5225225225225328E-3</v>
      </c>
    </row>
    <row r="612" spans="1:3">
      <c r="A612" s="3">
        <f ca="1">IFERROR(__xludf.UNSUPPORTED("""COMPUTED_VALUE"""),44351.6666666666)</f>
        <v>44351.666666666599</v>
      </c>
      <c r="B612" s="1">
        <f ca="1">IFERROR(__xludf.UNSUPPORTED("""COMPUTED_VALUE"""),56.24)</f>
        <v>56.24</v>
      </c>
      <c r="C612" s="2">
        <f t="shared" ca="1" si="2"/>
        <v>1.0783608914450061E-2</v>
      </c>
    </row>
    <row r="613" spans="1:3">
      <c r="A613" s="3">
        <f ca="1">IFERROR(__xludf.UNSUPPORTED("""COMPUTED_VALUE"""),44354.6666666666)</f>
        <v>44354.666666666599</v>
      </c>
      <c r="B613" s="1">
        <f ca="1">IFERROR(__xludf.UNSUPPORTED("""COMPUTED_VALUE"""),56.04)</f>
        <v>56.04</v>
      </c>
      <c r="C613" s="2">
        <f t="shared" ca="1" si="2"/>
        <v>-3.5561877667141329E-3</v>
      </c>
    </row>
    <row r="614" spans="1:3">
      <c r="A614" s="3">
        <f ca="1">IFERROR(__xludf.UNSUPPORTED("""COMPUTED_VALUE"""),44355.6666666666)</f>
        <v>44355.666666666599</v>
      </c>
      <c r="B614" s="1">
        <f ca="1">IFERROR(__xludf.UNSUPPORTED("""COMPUTED_VALUE"""),55.65)</f>
        <v>55.65</v>
      </c>
      <c r="C614" s="2">
        <f t="shared" ca="1" si="2"/>
        <v>-6.9593147751606096E-3</v>
      </c>
    </row>
    <row r="615" spans="1:3">
      <c r="A615" s="3">
        <f ca="1">IFERROR(__xludf.UNSUPPORTED("""COMPUTED_VALUE"""),44356.6666666666)</f>
        <v>44356.666666666599</v>
      </c>
      <c r="B615" s="1">
        <f ca="1">IFERROR(__xludf.UNSUPPORTED("""COMPUTED_VALUE"""),55.48)</f>
        <v>55.48</v>
      </c>
      <c r="C615" s="2">
        <f t="shared" ca="1" si="2"/>
        <v>-3.0548068283917647E-3</v>
      </c>
    </row>
    <row r="616" spans="1:3">
      <c r="A616" s="3">
        <f ca="1">IFERROR(__xludf.UNSUPPORTED("""COMPUTED_VALUE"""),44357.6666666666)</f>
        <v>44357.666666666599</v>
      </c>
      <c r="B616" s="1">
        <f ca="1">IFERROR(__xludf.UNSUPPORTED("""COMPUTED_VALUE"""),55.91)</f>
        <v>55.91</v>
      </c>
      <c r="C616" s="2">
        <f t="shared" ca="1" si="2"/>
        <v>7.7505407354001394E-3</v>
      </c>
    </row>
    <row r="617" spans="1:3">
      <c r="A617" s="3">
        <f ca="1">IFERROR(__xludf.UNSUPPORTED("""COMPUTED_VALUE"""),44358.6666666666)</f>
        <v>44358.666666666599</v>
      </c>
      <c r="B617" s="1">
        <f ca="1">IFERROR(__xludf.UNSUPPORTED("""COMPUTED_VALUE"""),56.16)</f>
        <v>56.16</v>
      </c>
      <c r="C617" s="2">
        <f t="shared" ca="1" si="2"/>
        <v>4.4714720085852269E-3</v>
      </c>
    </row>
    <row r="618" spans="1:3">
      <c r="A618" s="3">
        <f ca="1">IFERROR(__xludf.UNSUPPORTED("""COMPUTED_VALUE"""),44361.6666666666)</f>
        <v>44361.666666666599</v>
      </c>
      <c r="B618" s="1">
        <f ca="1">IFERROR(__xludf.UNSUPPORTED("""COMPUTED_VALUE"""),55.55)</f>
        <v>55.55</v>
      </c>
      <c r="C618" s="2">
        <f t="shared" ca="1" si="2"/>
        <v>-1.0861823361823352E-2</v>
      </c>
    </row>
    <row r="619" spans="1:3">
      <c r="A619" s="3">
        <f ca="1">IFERROR(__xludf.UNSUPPORTED("""COMPUTED_VALUE"""),44362.6666666666)</f>
        <v>44362.666666666599</v>
      </c>
      <c r="B619" s="1">
        <f ca="1">IFERROR(__xludf.UNSUPPORTED("""COMPUTED_VALUE"""),55.41)</f>
        <v>55.41</v>
      </c>
      <c r="C619" s="2">
        <f t="shared" ca="1" si="2"/>
        <v>-2.5202520252025308E-3</v>
      </c>
    </row>
    <row r="620" spans="1:3">
      <c r="A620" s="3">
        <f ca="1">IFERROR(__xludf.UNSUPPORTED("""COMPUTED_VALUE"""),44363.6666666666)</f>
        <v>44363.666666666599</v>
      </c>
      <c r="B620" s="1">
        <f ca="1">IFERROR(__xludf.UNSUPPORTED("""COMPUTED_VALUE"""),54.67)</f>
        <v>54.67</v>
      </c>
      <c r="C620" s="2">
        <f t="shared" ca="1" si="2"/>
        <v>-1.3354990073993772E-2</v>
      </c>
    </row>
    <row r="621" spans="1:3">
      <c r="A621" s="3">
        <f ca="1">IFERROR(__xludf.UNSUPPORTED("""COMPUTED_VALUE"""),44364.6666666666)</f>
        <v>44364.666666666599</v>
      </c>
      <c r="B621" s="1">
        <f ca="1">IFERROR(__xludf.UNSUPPORTED("""COMPUTED_VALUE"""),54.95)</f>
        <v>54.95</v>
      </c>
      <c r="C621" s="2">
        <f t="shared" ca="1" si="2"/>
        <v>5.1216389244558465E-3</v>
      </c>
    </row>
    <row r="622" spans="1:3">
      <c r="A622" s="3">
        <f ca="1">IFERROR(__xludf.UNSUPPORTED("""COMPUTED_VALUE"""),44365.6666666666)</f>
        <v>44365.666666666599</v>
      </c>
      <c r="B622" s="1">
        <f ca="1">IFERROR(__xludf.UNSUPPORTED("""COMPUTED_VALUE"""),53.77)</f>
        <v>53.77</v>
      </c>
      <c r="C622" s="2">
        <f t="shared" ca="1" si="2"/>
        <v>-2.1474067333939938E-2</v>
      </c>
    </row>
    <row r="623" spans="1:3">
      <c r="A623" s="3">
        <f ca="1">IFERROR(__xludf.UNSUPPORTED("""COMPUTED_VALUE"""),44368.6666666666)</f>
        <v>44368.666666666599</v>
      </c>
      <c r="B623" s="1">
        <f ca="1">IFERROR(__xludf.UNSUPPORTED("""COMPUTED_VALUE"""),54.36)</f>
        <v>54.36</v>
      </c>
      <c r="C623" s="2">
        <f t="shared" ca="1" si="2"/>
        <v>1.0972661335317022E-2</v>
      </c>
    </row>
    <row r="624" spans="1:3">
      <c r="A624" s="3">
        <f ca="1">IFERROR(__xludf.UNSUPPORTED("""COMPUTED_VALUE"""),44369.6666666666)</f>
        <v>44369.666666666599</v>
      </c>
      <c r="B624" s="1">
        <f ca="1">IFERROR(__xludf.UNSUPPORTED("""COMPUTED_VALUE"""),54.56)</f>
        <v>54.56</v>
      </c>
      <c r="C624" s="2">
        <f t="shared" ca="1" si="2"/>
        <v>3.6791758646063807E-3</v>
      </c>
    </row>
    <row r="625" spans="1:3">
      <c r="A625" s="3">
        <f ca="1">IFERROR(__xludf.UNSUPPORTED("""COMPUTED_VALUE"""),44370.6666666666)</f>
        <v>44370.666666666599</v>
      </c>
      <c r="B625" s="1">
        <f ca="1">IFERROR(__xludf.UNSUPPORTED("""COMPUTED_VALUE"""),54.12)</f>
        <v>54.12</v>
      </c>
      <c r="C625" s="2">
        <f t="shared" ca="1" si="2"/>
        <v>-8.0645161290323463E-3</v>
      </c>
    </row>
    <row r="626" spans="1:3">
      <c r="A626" s="3">
        <f ca="1">IFERROR(__xludf.UNSUPPORTED("""COMPUTED_VALUE"""),44371.6666666666)</f>
        <v>44371.666666666599</v>
      </c>
      <c r="B626" s="1">
        <f ca="1">IFERROR(__xludf.UNSUPPORTED("""COMPUTED_VALUE"""),54.39)</f>
        <v>54.39</v>
      </c>
      <c r="C626" s="2">
        <f t="shared" ca="1" si="2"/>
        <v>4.9889135254989492E-3</v>
      </c>
    </row>
    <row r="627" spans="1:3">
      <c r="A627" s="3">
        <f ca="1">IFERROR(__xludf.UNSUPPORTED("""COMPUTED_VALUE"""),44372.6666666666)</f>
        <v>44372.666666666599</v>
      </c>
      <c r="B627" s="1">
        <f ca="1">IFERROR(__xludf.UNSUPPORTED("""COMPUTED_VALUE"""),54.32)</f>
        <v>54.32</v>
      </c>
      <c r="C627" s="2">
        <f t="shared" ca="1" si="2"/>
        <v>-1.2870012870012922E-3</v>
      </c>
    </row>
    <row r="628" spans="1:3">
      <c r="A628" s="3">
        <f ca="1">IFERROR(__xludf.UNSUPPORTED("""COMPUTED_VALUE"""),44375.6666666666)</f>
        <v>44375.666666666599</v>
      </c>
      <c r="B628" s="1">
        <f ca="1">IFERROR(__xludf.UNSUPPORTED("""COMPUTED_VALUE"""),54.26)</f>
        <v>54.26</v>
      </c>
      <c r="C628" s="2">
        <f t="shared" ca="1" si="2"/>
        <v>-1.1045655375552701E-3</v>
      </c>
    </row>
    <row r="629" spans="1:3">
      <c r="A629" s="3">
        <f ca="1">IFERROR(__xludf.UNSUPPORTED("""COMPUTED_VALUE"""),44376.6666666666)</f>
        <v>44376.666666666599</v>
      </c>
      <c r="B629" s="1">
        <f ca="1">IFERROR(__xludf.UNSUPPORTED("""COMPUTED_VALUE"""),53.86)</f>
        <v>53.86</v>
      </c>
      <c r="C629" s="2">
        <f t="shared" ca="1" si="2"/>
        <v>-7.3719130114264396E-3</v>
      </c>
    </row>
    <row r="630" spans="1:3">
      <c r="A630" s="3">
        <f ca="1">IFERROR(__xludf.UNSUPPORTED("""COMPUTED_VALUE"""),44377.6666666666)</f>
        <v>44377.666666666599</v>
      </c>
      <c r="B630" s="1">
        <f ca="1">IFERROR(__xludf.UNSUPPORTED("""COMPUTED_VALUE"""),54.11)</f>
        <v>54.11</v>
      </c>
      <c r="C630" s="2">
        <f t="shared" ca="1" si="2"/>
        <v>4.6416635722242852E-3</v>
      </c>
    </row>
    <row r="631" spans="1:3">
      <c r="A631" s="3">
        <f ca="1">IFERROR(__xludf.UNSUPPORTED("""COMPUTED_VALUE"""),44378.6666666666)</f>
        <v>44378.666666666599</v>
      </c>
      <c r="B631" s="1">
        <f ca="1">IFERROR(__xludf.UNSUPPORTED("""COMPUTED_VALUE"""),53.96)</f>
        <v>53.96</v>
      </c>
      <c r="C631" s="2">
        <f t="shared" ca="1" si="2"/>
        <v>-2.7721308445758379E-3</v>
      </c>
    </row>
    <row r="632" spans="1:3">
      <c r="A632" s="3">
        <f ca="1">IFERROR(__xludf.UNSUPPORTED("""COMPUTED_VALUE"""),44379.6666666666)</f>
        <v>44379.666666666599</v>
      </c>
      <c r="B632" s="1">
        <f ca="1">IFERROR(__xludf.UNSUPPORTED("""COMPUTED_VALUE"""),54.18)</f>
        <v>54.18</v>
      </c>
      <c r="C632" s="2">
        <f t="shared" ca="1" si="2"/>
        <v>4.0770941438102084E-3</v>
      </c>
    </row>
    <row r="633" spans="1:3">
      <c r="A633" s="3">
        <f ca="1">IFERROR(__xludf.UNSUPPORTED("""COMPUTED_VALUE"""),44383.6666666666)</f>
        <v>44383.666666666599</v>
      </c>
      <c r="B633" s="1">
        <f ca="1">IFERROR(__xludf.UNSUPPORTED("""COMPUTED_VALUE"""),53.88)</f>
        <v>53.88</v>
      </c>
      <c r="C633" s="2">
        <f t="shared" ca="1" si="2"/>
        <v>-5.5370985603543218E-3</v>
      </c>
    </row>
    <row r="634" spans="1:3">
      <c r="A634" s="3">
        <f ca="1">IFERROR(__xludf.UNSUPPORTED("""COMPUTED_VALUE"""),44384.6666666666)</f>
        <v>44384.666666666599</v>
      </c>
      <c r="B634" s="1">
        <f ca="1">IFERROR(__xludf.UNSUPPORTED("""COMPUTED_VALUE"""),54.32)</f>
        <v>54.32</v>
      </c>
      <c r="C634" s="2">
        <f t="shared" ca="1" si="2"/>
        <v>8.1662954714179226E-3</v>
      </c>
    </row>
    <row r="635" spans="1:3">
      <c r="A635" s="3">
        <f ca="1">IFERROR(__xludf.UNSUPPORTED("""COMPUTED_VALUE"""),44385.6666666666)</f>
        <v>44385.666666666599</v>
      </c>
      <c r="B635" s="1">
        <f ca="1">IFERROR(__xludf.UNSUPPORTED("""COMPUTED_VALUE"""),54.13)</f>
        <v>54.13</v>
      </c>
      <c r="C635" s="2">
        <f t="shared" ca="1" si="2"/>
        <v>-3.4977908689248476E-3</v>
      </c>
    </row>
    <row r="636" spans="1:3">
      <c r="A636" s="3">
        <f ca="1">IFERROR(__xludf.UNSUPPORTED("""COMPUTED_VALUE"""),44386.6666666666)</f>
        <v>44386.666666666599</v>
      </c>
      <c r="B636" s="1">
        <f ca="1">IFERROR(__xludf.UNSUPPORTED("""COMPUTED_VALUE"""),54.46)</f>
        <v>54.46</v>
      </c>
      <c r="C636" s="2">
        <f t="shared" ca="1" si="2"/>
        <v>6.0964345095141006E-3</v>
      </c>
    </row>
    <row r="637" spans="1:3">
      <c r="A637" s="3">
        <f ca="1">IFERROR(__xludf.UNSUPPORTED("""COMPUTED_VALUE"""),44389.6666666666)</f>
        <v>44389.666666666599</v>
      </c>
      <c r="B637" s="1">
        <f ca="1">IFERROR(__xludf.UNSUPPORTED("""COMPUTED_VALUE"""),54.48)</f>
        <v>54.48</v>
      </c>
      <c r="C637" s="2">
        <f t="shared" ca="1" si="2"/>
        <v>3.6724201248615533E-4</v>
      </c>
    </row>
    <row r="638" spans="1:3">
      <c r="A638" s="3">
        <f ca="1">IFERROR(__xludf.UNSUPPORTED("""COMPUTED_VALUE"""),44390.6666666666)</f>
        <v>44390.666666666599</v>
      </c>
      <c r="B638" s="1">
        <f ca="1">IFERROR(__xludf.UNSUPPORTED("""COMPUTED_VALUE"""),55.02)</f>
        <v>55.02</v>
      </c>
      <c r="C638" s="2">
        <f t="shared" ca="1" si="2"/>
        <v>9.9118942731278685E-3</v>
      </c>
    </row>
    <row r="639" spans="1:3">
      <c r="A639" s="3">
        <f ca="1">IFERROR(__xludf.UNSUPPORTED("""COMPUTED_VALUE"""),44391.6666666666)</f>
        <v>44391.666666666599</v>
      </c>
      <c r="B639" s="1">
        <f ca="1">IFERROR(__xludf.UNSUPPORTED("""COMPUTED_VALUE"""),56.26)</f>
        <v>56.26</v>
      </c>
      <c r="C639" s="2">
        <f t="shared" ca="1" si="2"/>
        <v>2.2537259178480457E-2</v>
      </c>
    </row>
    <row r="640" spans="1:3">
      <c r="A640" s="3">
        <f ca="1">IFERROR(__xludf.UNSUPPORTED("""COMPUTED_VALUE"""),44392.6666666666)</f>
        <v>44392.666666666599</v>
      </c>
      <c r="B640" s="1">
        <f ca="1">IFERROR(__xludf.UNSUPPORTED("""COMPUTED_VALUE"""),56.44)</f>
        <v>56.44</v>
      </c>
      <c r="C640" s="2">
        <f t="shared" ca="1" si="2"/>
        <v>3.1994312122289323E-3</v>
      </c>
    </row>
    <row r="641" spans="1:3">
      <c r="A641" s="3">
        <f ca="1">IFERROR(__xludf.UNSUPPORTED("""COMPUTED_VALUE"""),44393.6666666666)</f>
        <v>44393.666666666599</v>
      </c>
      <c r="B641" s="1">
        <f ca="1">IFERROR(__xludf.UNSUPPORTED("""COMPUTED_VALUE"""),56.4)</f>
        <v>56.4</v>
      </c>
      <c r="C641" s="2">
        <f t="shared" ca="1" si="2"/>
        <v>-7.0871722182847539E-4</v>
      </c>
    </row>
    <row r="642" spans="1:3">
      <c r="A642" s="3">
        <f ca="1">IFERROR(__xludf.UNSUPPORTED("""COMPUTED_VALUE"""),44396.6666666666)</f>
        <v>44396.666666666599</v>
      </c>
      <c r="B642" s="1">
        <f ca="1">IFERROR(__xludf.UNSUPPORTED("""COMPUTED_VALUE"""),55.73)</f>
        <v>55.73</v>
      </c>
      <c r="C642" s="2">
        <f t="shared" ca="1" si="2"/>
        <v>-1.1879432624113506E-2</v>
      </c>
    </row>
    <row r="643" spans="1:3">
      <c r="A643" s="3">
        <f ca="1">IFERROR(__xludf.UNSUPPORTED("""COMPUTED_VALUE"""),44397.6666666666)</f>
        <v>44397.666666666599</v>
      </c>
      <c r="B643" s="1">
        <f ca="1">IFERROR(__xludf.UNSUPPORTED("""COMPUTED_VALUE"""),55.83)</f>
        <v>55.83</v>
      </c>
      <c r="C643" s="2">
        <f t="shared" ca="1" si="2"/>
        <v>1.7943656917279998E-3</v>
      </c>
    </row>
    <row r="644" spans="1:3">
      <c r="A644" s="3">
        <f ca="1">IFERROR(__xludf.UNSUPPORTED("""COMPUTED_VALUE"""),44398.6666666666)</f>
        <v>44398.666666666599</v>
      </c>
      <c r="B644" s="1">
        <f ca="1">IFERROR(__xludf.UNSUPPORTED("""COMPUTED_VALUE"""),56.55)</f>
        <v>56.55</v>
      </c>
      <c r="C644" s="2">
        <f t="shared" ca="1" si="2"/>
        <v>1.2896292315959141E-2</v>
      </c>
    </row>
    <row r="645" spans="1:3">
      <c r="A645" s="3">
        <f ca="1">IFERROR(__xludf.UNSUPPORTED("""COMPUTED_VALUE"""),44399.6666666666)</f>
        <v>44399.666666666599</v>
      </c>
      <c r="B645" s="1">
        <f ca="1">IFERROR(__xludf.UNSUPPORTED("""COMPUTED_VALUE"""),56.47)</f>
        <v>56.47</v>
      </c>
      <c r="C645" s="2">
        <f t="shared" ca="1" si="2"/>
        <v>-1.4146772767462121E-3</v>
      </c>
    </row>
    <row r="646" spans="1:3">
      <c r="A646" s="3">
        <f ca="1">IFERROR(__xludf.UNSUPPORTED("""COMPUTED_VALUE"""),44400.6666666666)</f>
        <v>44400.666666666599</v>
      </c>
      <c r="B646" s="1">
        <f ca="1">IFERROR(__xludf.UNSUPPORTED("""COMPUTED_VALUE"""),57.01)</f>
        <v>57.01</v>
      </c>
      <c r="C646" s="2">
        <f t="shared" ca="1" si="2"/>
        <v>9.5625996104125935E-3</v>
      </c>
    </row>
    <row r="647" spans="1:3">
      <c r="A647" s="3">
        <f ca="1">IFERROR(__xludf.UNSUPPORTED("""COMPUTED_VALUE"""),44403.6666666666)</f>
        <v>44403.666666666599</v>
      </c>
      <c r="B647" s="1">
        <f ca="1">IFERROR(__xludf.UNSUPPORTED("""COMPUTED_VALUE"""),57.06)</f>
        <v>57.06</v>
      </c>
      <c r="C647" s="2">
        <f t="shared" ca="1" si="2"/>
        <v>8.7703911594464595E-4</v>
      </c>
    </row>
    <row r="648" spans="1:3">
      <c r="A648" s="3">
        <f ca="1">IFERROR(__xludf.UNSUPPORTED("""COMPUTED_VALUE"""),44404.6666666666)</f>
        <v>44404.666666666599</v>
      </c>
      <c r="B648" s="1">
        <f ca="1">IFERROR(__xludf.UNSUPPORTED("""COMPUTED_VALUE"""),57.26)</f>
        <v>57.26</v>
      </c>
      <c r="C648" s="2">
        <f t="shared" ca="1" si="2"/>
        <v>3.5050823694356067E-3</v>
      </c>
    </row>
    <row r="649" spans="1:3">
      <c r="A649" s="3">
        <f ca="1">IFERROR(__xludf.UNSUPPORTED("""COMPUTED_VALUE"""),44405.6666666666)</f>
        <v>44405.666666666599</v>
      </c>
      <c r="B649" s="1">
        <f ca="1">IFERROR(__xludf.UNSUPPORTED("""COMPUTED_VALUE"""),56.74)</f>
        <v>56.74</v>
      </c>
      <c r="C649" s="2">
        <f t="shared" ca="1" si="2"/>
        <v>-9.0813831645126797E-3</v>
      </c>
    </row>
    <row r="650" spans="1:3">
      <c r="A650" s="3">
        <f ca="1">IFERROR(__xludf.UNSUPPORTED("""COMPUTED_VALUE"""),44406.6666666666)</f>
        <v>44406.666666666599</v>
      </c>
      <c r="B650" s="1">
        <f ca="1">IFERROR(__xludf.UNSUPPORTED("""COMPUTED_VALUE"""),57.05)</f>
        <v>57.05</v>
      </c>
      <c r="C650" s="2">
        <f t="shared" ca="1" si="2"/>
        <v>5.463517800493394E-3</v>
      </c>
    </row>
    <row r="651" spans="1:3">
      <c r="A651" s="3">
        <f ca="1">IFERROR(__xludf.UNSUPPORTED("""COMPUTED_VALUE"""),44407.6666666666)</f>
        <v>44407.666666666599</v>
      </c>
      <c r="B651" s="1">
        <f ca="1">IFERROR(__xludf.UNSUPPORTED("""COMPUTED_VALUE"""),57.03)</f>
        <v>57.03</v>
      </c>
      <c r="C651" s="2">
        <f t="shared" ca="1" si="2"/>
        <v>-3.5056967572298024E-4</v>
      </c>
    </row>
    <row r="652" spans="1:3">
      <c r="A652" s="3">
        <f ca="1">IFERROR(__xludf.UNSUPPORTED("""COMPUTED_VALUE"""),44410.6666666666)</f>
        <v>44410.666666666599</v>
      </c>
      <c r="B652" s="1">
        <f ca="1">IFERROR(__xludf.UNSUPPORTED("""COMPUTED_VALUE"""),56.88)</f>
        <v>56.88</v>
      </c>
      <c r="C652" s="2">
        <f t="shared" ca="1" si="2"/>
        <v>-2.630194634402921E-3</v>
      </c>
    </row>
    <row r="653" spans="1:3">
      <c r="A653" s="3">
        <f ca="1">IFERROR(__xludf.UNSUPPORTED("""COMPUTED_VALUE"""),44411.6666666666)</f>
        <v>44411.666666666599</v>
      </c>
      <c r="B653" s="1">
        <f ca="1">IFERROR(__xludf.UNSUPPORTED("""COMPUTED_VALUE"""),56.92)</f>
        <v>56.92</v>
      </c>
      <c r="C653" s="2">
        <f t="shared" ca="1" si="2"/>
        <v>7.0323488045005527E-4</v>
      </c>
    </row>
    <row r="654" spans="1:3">
      <c r="A654" s="3">
        <f ca="1">IFERROR(__xludf.UNSUPPORTED("""COMPUTED_VALUE"""),44412.6666666666)</f>
        <v>44412.666666666599</v>
      </c>
      <c r="B654" s="1">
        <f ca="1">IFERROR(__xludf.UNSUPPORTED("""COMPUTED_VALUE"""),56.1)</f>
        <v>56.1</v>
      </c>
      <c r="C654" s="2">
        <f t="shared" ca="1" si="2"/>
        <v>-1.4406184118060441E-2</v>
      </c>
    </row>
    <row r="655" spans="1:3">
      <c r="A655" s="3">
        <f ca="1">IFERROR(__xludf.UNSUPPORTED("""COMPUTED_VALUE"""),44413.6666666666)</f>
        <v>44413.666666666599</v>
      </c>
      <c r="B655" s="1">
        <f ca="1">IFERROR(__xludf.UNSUPPORTED("""COMPUTED_VALUE"""),56.5)</f>
        <v>56.5</v>
      </c>
      <c r="C655" s="2">
        <f t="shared" ca="1" si="2"/>
        <v>7.1301247771835751E-3</v>
      </c>
    </row>
    <row r="656" spans="1:3">
      <c r="A656" s="3">
        <f ca="1">IFERROR(__xludf.UNSUPPORTED("""COMPUTED_VALUE"""),44414.6666666666)</f>
        <v>44414.666666666599</v>
      </c>
      <c r="B656" s="1">
        <f ca="1">IFERROR(__xludf.UNSUPPORTED("""COMPUTED_VALUE"""),56.64)</f>
        <v>56.64</v>
      </c>
      <c r="C656" s="2">
        <f t="shared" ca="1" si="2"/>
        <v>2.4778761061947001E-3</v>
      </c>
    </row>
    <row r="657" spans="1:3">
      <c r="A657" s="3">
        <f ca="1">IFERROR(__xludf.UNSUPPORTED("""COMPUTED_VALUE"""),44417.6666666666)</f>
        <v>44417.666666666599</v>
      </c>
      <c r="B657" s="1">
        <f ca="1">IFERROR(__xludf.UNSUPPORTED("""COMPUTED_VALUE"""),56.65)</f>
        <v>56.65</v>
      </c>
      <c r="C657" s="2">
        <f t="shared" ca="1" si="2"/>
        <v>1.7655367231634905E-4</v>
      </c>
    </row>
    <row r="658" spans="1:3">
      <c r="A658" s="3">
        <f ca="1">IFERROR(__xludf.UNSUPPORTED("""COMPUTED_VALUE"""),44418.6666666666)</f>
        <v>44418.666666666599</v>
      </c>
      <c r="B658" s="1">
        <f ca="1">IFERROR(__xludf.UNSUPPORTED("""COMPUTED_VALUE"""),56.8)</f>
        <v>56.8</v>
      </c>
      <c r="C658" s="2">
        <f t="shared" ca="1" si="2"/>
        <v>2.647837599293885E-3</v>
      </c>
    </row>
    <row r="659" spans="1:3">
      <c r="A659" s="3">
        <f ca="1">IFERROR(__xludf.UNSUPPORTED("""COMPUTED_VALUE"""),44419.6666666666)</f>
        <v>44419.666666666599</v>
      </c>
      <c r="B659" s="1">
        <f ca="1">IFERROR(__xludf.UNSUPPORTED("""COMPUTED_VALUE"""),56.73)</f>
        <v>56.73</v>
      </c>
      <c r="C659" s="2">
        <f t="shared" ca="1" si="2"/>
        <v>-1.2323943661971882E-3</v>
      </c>
    </row>
    <row r="660" spans="1:3">
      <c r="A660" s="3">
        <f ca="1">IFERROR(__xludf.UNSUPPORTED("""COMPUTED_VALUE"""),44420.6666666666)</f>
        <v>44420.666666666599</v>
      </c>
      <c r="B660" s="1">
        <f ca="1">IFERROR(__xludf.UNSUPPORTED("""COMPUTED_VALUE"""),56.84)</f>
        <v>56.84</v>
      </c>
      <c r="C660" s="2">
        <f t="shared" ca="1" si="2"/>
        <v>1.9390093424996747E-3</v>
      </c>
    </row>
    <row r="661" spans="1:3">
      <c r="A661" s="3">
        <f ca="1">IFERROR(__xludf.UNSUPPORTED("""COMPUTED_VALUE"""),44421.6666666666)</f>
        <v>44421.666666666599</v>
      </c>
      <c r="B661" s="1">
        <f ca="1">IFERROR(__xludf.UNSUPPORTED("""COMPUTED_VALUE"""),57.23)</f>
        <v>57.23</v>
      </c>
      <c r="C661" s="2">
        <f t="shared" ca="1" si="2"/>
        <v>6.861365235749357E-3</v>
      </c>
    </row>
    <row r="662" spans="1:3">
      <c r="A662" s="3">
        <f ca="1">IFERROR(__xludf.UNSUPPORTED("""COMPUTED_VALUE"""),44424.6666666666)</f>
        <v>44424.666666666599</v>
      </c>
      <c r="B662" s="1">
        <f ca="1">IFERROR(__xludf.UNSUPPORTED("""COMPUTED_VALUE"""),57.48)</f>
        <v>57.48</v>
      </c>
      <c r="C662" s="2">
        <f t="shared" ca="1" si="2"/>
        <v>4.3683382841167226E-3</v>
      </c>
    </row>
    <row r="663" spans="1:3">
      <c r="A663" s="3">
        <f ca="1">IFERROR(__xludf.UNSUPPORTED("""COMPUTED_VALUE"""),44425.6666666666)</f>
        <v>44425.666666666599</v>
      </c>
      <c r="B663" s="1">
        <f ca="1">IFERROR(__xludf.UNSUPPORTED("""COMPUTED_VALUE"""),57.28)</f>
        <v>57.28</v>
      </c>
      <c r="C663" s="2">
        <f t="shared" ca="1" si="2"/>
        <v>-3.4794711203896267E-3</v>
      </c>
    </row>
    <row r="664" spans="1:3">
      <c r="A664" s="3">
        <f ca="1">IFERROR(__xludf.UNSUPPORTED("""COMPUTED_VALUE"""),44426.6666666666)</f>
        <v>44426.666666666599</v>
      </c>
      <c r="B664" s="1">
        <f ca="1">IFERROR(__xludf.UNSUPPORTED("""COMPUTED_VALUE"""),56.5)</f>
        <v>56.5</v>
      </c>
      <c r="C664" s="2">
        <f t="shared" ca="1" si="2"/>
        <v>-1.361731843575421E-2</v>
      </c>
    </row>
    <row r="665" spans="1:3">
      <c r="A665" s="3">
        <f ca="1">IFERROR(__xludf.UNSUPPORTED("""COMPUTED_VALUE"""),44427.6666666666)</f>
        <v>44427.666666666599</v>
      </c>
      <c r="B665" s="1">
        <f ca="1">IFERROR(__xludf.UNSUPPORTED("""COMPUTED_VALUE"""),56.86)</f>
        <v>56.86</v>
      </c>
      <c r="C665" s="2">
        <f t="shared" ca="1" si="2"/>
        <v>6.3716814159291936E-3</v>
      </c>
    </row>
    <row r="666" spans="1:3">
      <c r="A666" s="3">
        <f ca="1">IFERROR(__xludf.UNSUPPORTED("""COMPUTED_VALUE"""),44428.6666666666)</f>
        <v>44428.666666666599</v>
      </c>
      <c r="B666" s="1">
        <f ca="1">IFERROR(__xludf.UNSUPPORTED("""COMPUTED_VALUE"""),56.64)</f>
        <v>56.64</v>
      </c>
      <c r="C666" s="2">
        <f t="shared" ca="1" si="2"/>
        <v>-3.8691523039043065E-3</v>
      </c>
    </row>
    <row r="667" spans="1:3">
      <c r="A667" s="3">
        <f ca="1">IFERROR(__xludf.UNSUPPORTED("""COMPUTED_VALUE"""),44431.6666666666)</f>
        <v>44431.666666666599</v>
      </c>
      <c r="B667" s="1">
        <f ca="1">IFERROR(__xludf.UNSUPPORTED("""COMPUTED_VALUE"""),56.44)</f>
        <v>56.44</v>
      </c>
      <c r="C667" s="2">
        <f t="shared" ca="1" si="2"/>
        <v>-3.5310734463277339E-3</v>
      </c>
    </row>
    <row r="668" spans="1:3">
      <c r="A668" s="3">
        <f ca="1">IFERROR(__xludf.UNSUPPORTED("""COMPUTED_VALUE"""),44432.6666666666)</f>
        <v>44432.666666666599</v>
      </c>
      <c r="B668" s="1">
        <f ca="1">IFERROR(__xludf.UNSUPPORTED("""COMPUTED_VALUE"""),56.01)</f>
        <v>56.01</v>
      </c>
      <c r="C668" s="2">
        <f t="shared" ca="1" si="2"/>
        <v>-7.6187101346562678E-3</v>
      </c>
    </row>
    <row r="669" spans="1:3">
      <c r="A669" s="3">
        <f ca="1">IFERROR(__xludf.UNSUPPORTED("""COMPUTED_VALUE"""),44433.6666666666)</f>
        <v>44433.666666666599</v>
      </c>
      <c r="B669" s="1">
        <f ca="1">IFERROR(__xludf.UNSUPPORTED("""COMPUTED_VALUE"""),56.07)</f>
        <v>56.07</v>
      </c>
      <c r="C669" s="2">
        <f t="shared" ca="1" si="2"/>
        <v>1.0712372790573517E-3</v>
      </c>
    </row>
    <row r="670" spans="1:3">
      <c r="A670" s="3">
        <f ca="1">IFERROR(__xludf.UNSUPPORTED("""COMPUTED_VALUE"""),44434.6666666666)</f>
        <v>44434.666666666599</v>
      </c>
      <c r="B670" s="1">
        <f ca="1">IFERROR(__xludf.UNSUPPORTED("""COMPUTED_VALUE"""),55.54)</f>
        <v>55.54</v>
      </c>
      <c r="C670" s="2">
        <f t="shared" ca="1" si="2"/>
        <v>-9.4524701266274509E-3</v>
      </c>
    </row>
    <row r="671" spans="1:3">
      <c r="A671" s="3">
        <f ca="1">IFERROR(__xludf.UNSUPPORTED("""COMPUTED_VALUE"""),44435.6666666666)</f>
        <v>44435.666666666599</v>
      </c>
      <c r="B671" s="1">
        <f ca="1">IFERROR(__xludf.UNSUPPORTED("""COMPUTED_VALUE"""),55.65)</f>
        <v>55.65</v>
      </c>
      <c r="C671" s="2">
        <f t="shared" ca="1" si="2"/>
        <v>1.9805545552754669E-3</v>
      </c>
    </row>
    <row r="672" spans="1:3">
      <c r="A672" s="3">
        <f ca="1">IFERROR(__xludf.UNSUPPORTED("""COMPUTED_VALUE"""),44438.6666666666)</f>
        <v>44438.666666666599</v>
      </c>
      <c r="B672" s="1">
        <f ca="1">IFERROR(__xludf.UNSUPPORTED("""COMPUTED_VALUE"""),56.18)</f>
        <v>56.18</v>
      </c>
      <c r="C672" s="2">
        <f t="shared" ca="1" si="2"/>
        <v>9.5238095238095438E-3</v>
      </c>
    </row>
    <row r="673" spans="1:3">
      <c r="A673" s="3">
        <f ca="1">IFERROR(__xludf.UNSUPPORTED("""COMPUTED_VALUE"""),44439.6666666666)</f>
        <v>44439.666666666599</v>
      </c>
      <c r="B673" s="1">
        <f ca="1">IFERROR(__xludf.UNSUPPORTED("""COMPUTED_VALUE"""),56.31)</f>
        <v>56.31</v>
      </c>
      <c r="C673" s="2">
        <f t="shared" ca="1" si="2"/>
        <v>2.3139907440370695E-3</v>
      </c>
    </row>
    <row r="674" spans="1:3">
      <c r="A674" s="3">
        <f ca="1">IFERROR(__xludf.UNSUPPORTED("""COMPUTED_VALUE"""),44440.6666666666)</f>
        <v>44440.666666666599</v>
      </c>
      <c r="B674" s="1">
        <f ca="1">IFERROR(__xludf.UNSUPPORTED("""COMPUTED_VALUE"""),56.69)</f>
        <v>56.69</v>
      </c>
      <c r="C674" s="2">
        <f t="shared" ca="1" si="2"/>
        <v>6.7483573077605297E-3</v>
      </c>
    </row>
    <row r="675" spans="1:3">
      <c r="A675" s="3">
        <f ca="1">IFERROR(__xludf.UNSUPPORTED("""COMPUTED_VALUE"""),44441.6666666666)</f>
        <v>44441.666666666599</v>
      </c>
      <c r="B675" s="1">
        <f ca="1">IFERROR(__xludf.UNSUPPORTED("""COMPUTED_VALUE"""),56.77)</f>
        <v>56.77</v>
      </c>
      <c r="C675" s="2">
        <f t="shared" ca="1" si="2"/>
        <v>1.4111836302699841E-3</v>
      </c>
    </row>
    <row r="676" spans="1:3">
      <c r="A676" s="3">
        <f ca="1">IFERROR(__xludf.UNSUPPORTED("""COMPUTED_VALUE"""),44442.6666666666)</f>
        <v>44442.666666666599</v>
      </c>
      <c r="B676" s="1">
        <f ca="1">IFERROR(__xludf.UNSUPPORTED("""COMPUTED_VALUE"""),56.73)</f>
        <v>56.73</v>
      </c>
      <c r="C676" s="2">
        <f t="shared" ca="1" si="2"/>
        <v>-7.0459749867898976E-4</v>
      </c>
    </row>
    <row r="677" spans="1:3">
      <c r="A677" s="3">
        <f ca="1">IFERROR(__xludf.UNSUPPORTED("""COMPUTED_VALUE"""),44446.6666666666)</f>
        <v>44446.666666666599</v>
      </c>
      <c r="B677" s="1">
        <f ca="1">IFERROR(__xludf.UNSUPPORTED("""COMPUTED_VALUE"""),55.67)</f>
        <v>55.67</v>
      </c>
      <c r="C677" s="2">
        <f t="shared" ca="1" si="2"/>
        <v>-1.8684999118632032E-2</v>
      </c>
    </row>
    <row r="678" spans="1:3">
      <c r="A678" s="3">
        <f ca="1">IFERROR(__xludf.UNSUPPORTED("""COMPUTED_VALUE"""),44447.6666666666)</f>
        <v>44447.666666666599</v>
      </c>
      <c r="B678" s="1">
        <f ca="1">IFERROR(__xludf.UNSUPPORTED("""COMPUTED_VALUE"""),56.42)</f>
        <v>56.42</v>
      </c>
      <c r="C678" s="2">
        <f t="shared" ca="1" si="2"/>
        <v>1.3472247170828094E-2</v>
      </c>
    </row>
    <row r="679" spans="1:3">
      <c r="A679" s="3">
        <f ca="1">IFERROR(__xludf.UNSUPPORTED("""COMPUTED_VALUE"""),44448.6666666666)</f>
        <v>44448.666666666599</v>
      </c>
      <c r="B679" s="1">
        <f ca="1">IFERROR(__xludf.UNSUPPORTED("""COMPUTED_VALUE"""),55.86)</f>
        <v>55.86</v>
      </c>
      <c r="C679" s="2">
        <f t="shared" ca="1" si="2"/>
        <v>-9.9255583126551267E-3</v>
      </c>
    </row>
    <row r="680" spans="1:3">
      <c r="A680" s="3">
        <f ca="1">IFERROR(__xludf.UNSUPPORTED("""COMPUTED_VALUE"""),44449.6666666666)</f>
        <v>44449.666666666599</v>
      </c>
      <c r="B680" s="1">
        <f ca="1">IFERROR(__xludf.UNSUPPORTED("""COMPUTED_VALUE"""),55.61)</f>
        <v>55.61</v>
      </c>
      <c r="C680" s="2">
        <f t="shared" ca="1" si="2"/>
        <v>-4.47547440028643E-3</v>
      </c>
    </row>
    <row r="681" spans="1:3">
      <c r="A681" s="3">
        <f ca="1">IFERROR(__xludf.UNSUPPORTED("""COMPUTED_VALUE"""),44452.6666666666)</f>
        <v>44452.666666666599</v>
      </c>
      <c r="B681" s="1">
        <f ca="1">IFERROR(__xludf.UNSUPPORTED("""COMPUTED_VALUE"""),56.07)</f>
        <v>56.07</v>
      </c>
      <c r="C681" s="2">
        <f t="shared" ca="1" si="2"/>
        <v>8.2718935443265758E-3</v>
      </c>
    </row>
    <row r="682" spans="1:3">
      <c r="A682" s="3">
        <f ca="1">IFERROR(__xludf.UNSUPPORTED("""COMPUTED_VALUE"""),44453.6666666666)</f>
        <v>44453.666666666599</v>
      </c>
      <c r="B682" s="1">
        <f ca="1">IFERROR(__xludf.UNSUPPORTED("""COMPUTED_VALUE"""),55.69)</f>
        <v>55.69</v>
      </c>
      <c r="C682" s="2">
        <f t="shared" ca="1" si="2"/>
        <v>-6.7772427322989577E-3</v>
      </c>
    </row>
    <row r="683" spans="1:3">
      <c r="A683" s="3">
        <f ca="1">IFERROR(__xludf.UNSUPPORTED("""COMPUTED_VALUE"""),44454.6666666666)</f>
        <v>44454.666666666599</v>
      </c>
      <c r="B683" s="1">
        <f ca="1">IFERROR(__xludf.UNSUPPORTED("""COMPUTED_VALUE"""),55.88)</f>
        <v>55.88</v>
      </c>
      <c r="C683" s="2">
        <f t="shared" ca="1" si="2"/>
        <v>3.411743580535192E-3</v>
      </c>
    </row>
    <row r="684" spans="1:3">
      <c r="A684" s="3">
        <f ca="1">IFERROR(__xludf.UNSUPPORTED("""COMPUTED_VALUE"""),44455.6666666666)</f>
        <v>44455.666666666599</v>
      </c>
      <c r="B684" s="1">
        <f ca="1">IFERROR(__xludf.UNSUPPORTED("""COMPUTED_VALUE"""),55.35)</f>
        <v>55.35</v>
      </c>
      <c r="C684" s="2">
        <f t="shared" ca="1" si="2"/>
        <v>-9.4846098783106861E-3</v>
      </c>
    </row>
    <row r="685" spans="1:3">
      <c r="A685" s="3">
        <f ca="1">IFERROR(__xludf.UNSUPPORTED("""COMPUTED_VALUE"""),44456.6666666666)</f>
        <v>44456.666666666599</v>
      </c>
      <c r="B685" s="1">
        <f ca="1">IFERROR(__xludf.UNSUPPORTED("""COMPUTED_VALUE"""),54.44)</f>
        <v>54.44</v>
      </c>
      <c r="C685" s="2">
        <f t="shared" ca="1" si="2"/>
        <v>-1.6440831074977482E-2</v>
      </c>
    </row>
    <row r="686" spans="1:3">
      <c r="A686" s="3">
        <f ca="1">IFERROR(__xludf.UNSUPPORTED("""COMPUTED_VALUE"""),44459.6666666666)</f>
        <v>44459.666666666599</v>
      </c>
      <c r="B686" s="1">
        <f ca="1">IFERROR(__xludf.UNSUPPORTED("""COMPUTED_VALUE"""),54.06)</f>
        <v>54.06</v>
      </c>
      <c r="C686" s="2">
        <f t="shared" ca="1" si="2"/>
        <v>-6.9801616458485573E-3</v>
      </c>
    </row>
    <row r="687" spans="1:3">
      <c r="A687" s="3">
        <f ca="1">IFERROR(__xludf.UNSUPPORTED("""COMPUTED_VALUE"""),44460.6666666666)</f>
        <v>44460.666666666599</v>
      </c>
      <c r="B687" s="1">
        <f ca="1">IFERROR(__xludf.UNSUPPORTED("""COMPUTED_VALUE"""),54.05)</f>
        <v>54.05</v>
      </c>
      <c r="C687" s="2">
        <f t="shared" ca="1" si="2"/>
        <v>-1.8497965223834842E-4</v>
      </c>
    </row>
    <row r="688" spans="1:3">
      <c r="A688" s="3">
        <f ca="1">IFERROR(__xludf.UNSUPPORTED("""COMPUTED_VALUE"""),44461.6666666666)</f>
        <v>44461.666666666599</v>
      </c>
      <c r="B688" s="1">
        <f ca="1">IFERROR(__xludf.UNSUPPORTED("""COMPUTED_VALUE"""),54.13)</f>
        <v>54.13</v>
      </c>
      <c r="C688" s="2">
        <f t="shared" ca="1" si="2"/>
        <v>1.4801110083257243E-3</v>
      </c>
    </row>
    <row r="689" spans="1:3">
      <c r="A689" s="3">
        <f ca="1">IFERROR(__xludf.UNSUPPORTED("""COMPUTED_VALUE"""),44462.6666666666)</f>
        <v>44462.666666666599</v>
      </c>
      <c r="B689" s="1">
        <f ca="1">IFERROR(__xludf.UNSUPPORTED("""COMPUTED_VALUE"""),54.04)</f>
        <v>54.04</v>
      </c>
      <c r="C689" s="2">
        <f t="shared" ca="1" si="2"/>
        <v>-1.6626639571402809E-3</v>
      </c>
    </row>
    <row r="690" spans="1:3">
      <c r="A690" s="3">
        <f ca="1">IFERROR(__xludf.UNSUPPORTED("""COMPUTED_VALUE"""),44463.6666666666)</f>
        <v>44463.666666666599</v>
      </c>
      <c r="B690" s="1">
        <f ca="1">IFERROR(__xludf.UNSUPPORTED("""COMPUTED_VALUE"""),53.89)</f>
        <v>53.89</v>
      </c>
      <c r="C690" s="2">
        <f t="shared" ca="1" si="2"/>
        <v>-2.7757216876387598E-3</v>
      </c>
    </row>
    <row r="691" spans="1:3">
      <c r="A691" s="3">
        <f ca="1">IFERROR(__xludf.UNSUPPORTED("""COMPUTED_VALUE"""),44466.6666666666)</f>
        <v>44466.666666666599</v>
      </c>
      <c r="B691" s="1">
        <f ca="1">IFERROR(__xludf.UNSUPPORTED("""COMPUTED_VALUE"""),53.61)</f>
        <v>53.61</v>
      </c>
      <c r="C691" s="2">
        <f t="shared" ca="1" si="2"/>
        <v>-5.1957691593987965E-3</v>
      </c>
    </row>
    <row r="692" spans="1:3">
      <c r="A692" s="3">
        <f ca="1">IFERROR(__xludf.UNSUPPORTED("""COMPUTED_VALUE"""),44467.6666666666)</f>
        <v>44467.666666666599</v>
      </c>
      <c r="B692" s="1">
        <f ca="1">IFERROR(__xludf.UNSUPPORTED("""COMPUTED_VALUE"""),52.64)</f>
        <v>52.64</v>
      </c>
      <c r="C692" s="2">
        <f t="shared" ca="1" si="2"/>
        <v>-1.8093639246409231E-2</v>
      </c>
    </row>
    <row r="693" spans="1:3">
      <c r="A693" s="3">
        <f ca="1">IFERROR(__xludf.UNSUPPORTED("""COMPUTED_VALUE"""),44468.6666666666)</f>
        <v>44468.666666666599</v>
      </c>
      <c r="B693" s="1">
        <f ca="1">IFERROR(__xludf.UNSUPPORTED("""COMPUTED_VALUE"""),52.96)</f>
        <v>52.96</v>
      </c>
      <c r="C693" s="2">
        <f t="shared" ca="1" si="2"/>
        <v>6.0790273556231055E-3</v>
      </c>
    </row>
    <row r="694" spans="1:3">
      <c r="A694" s="3">
        <f ca="1">IFERROR(__xludf.UNSUPPORTED("""COMPUTED_VALUE"""),44469.6666666666)</f>
        <v>44469.666666666599</v>
      </c>
      <c r="B694" s="1">
        <f ca="1">IFERROR(__xludf.UNSUPPORTED("""COMPUTED_VALUE"""),52.47)</f>
        <v>52.47</v>
      </c>
      <c r="C694" s="2">
        <f t="shared" ca="1" si="2"/>
        <v>-9.2522658610272278E-3</v>
      </c>
    </row>
    <row r="695" spans="1:3">
      <c r="A695" s="3">
        <f ca="1">IFERROR(__xludf.UNSUPPORTED("""COMPUTED_VALUE"""),44470.6666666666)</f>
        <v>44470.666666666599</v>
      </c>
      <c r="B695" s="1">
        <f ca="1">IFERROR(__xludf.UNSUPPORTED("""COMPUTED_VALUE"""),53.02)</f>
        <v>53.02</v>
      </c>
      <c r="C695" s="2">
        <f t="shared" ca="1" si="2"/>
        <v>1.048218029350113E-2</v>
      </c>
    </row>
    <row r="696" spans="1:3">
      <c r="A696" s="3">
        <f ca="1">IFERROR(__xludf.UNSUPPORTED("""COMPUTED_VALUE"""),44473.6666666666)</f>
        <v>44473.666666666599</v>
      </c>
      <c r="B696" s="1">
        <f ca="1">IFERROR(__xludf.UNSUPPORTED("""COMPUTED_VALUE"""),52.99)</f>
        <v>52.99</v>
      </c>
      <c r="C696" s="2">
        <f t="shared" ca="1" si="2"/>
        <v>-5.6582421727652081E-4</v>
      </c>
    </row>
    <row r="697" spans="1:3">
      <c r="A697" s="3">
        <f ca="1">IFERROR(__xludf.UNSUPPORTED("""COMPUTED_VALUE"""),44474.6666666666)</f>
        <v>44474.666666666599</v>
      </c>
      <c r="B697" s="1">
        <f ca="1">IFERROR(__xludf.UNSUPPORTED("""COMPUTED_VALUE"""),53.08)</f>
        <v>53.08</v>
      </c>
      <c r="C697" s="2">
        <f t="shared" ca="1" si="2"/>
        <v>1.6984336667295017E-3</v>
      </c>
    </row>
    <row r="698" spans="1:3">
      <c r="A698" s="3">
        <f ca="1">IFERROR(__xludf.UNSUPPORTED("""COMPUTED_VALUE"""),44475.6666666666)</f>
        <v>44475.666666666599</v>
      </c>
      <c r="B698" s="1">
        <f ca="1">IFERROR(__xludf.UNSUPPORTED("""COMPUTED_VALUE"""),53.71)</f>
        <v>53.71</v>
      </c>
      <c r="C698" s="2">
        <f t="shared" ca="1" si="2"/>
        <v>1.1868877166541119E-2</v>
      </c>
    </row>
    <row r="699" spans="1:3">
      <c r="A699" s="3">
        <f ca="1">IFERROR(__xludf.UNSUPPORTED("""COMPUTED_VALUE"""),44476.6666666666)</f>
        <v>44476.666666666599</v>
      </c>
      <c r="B699" s="1">
        <f ca="1">IFERROR(__xludf.UNSUPPORTED("""COMPUTED_VALUE"""),53.88)</f>
        <v>53.88</v>
      </c>
      <c r="C699" s="2">
        <f t="shared" ca="1" si="2"/>
        <v>3.1651461552783785E-3</v>
      </c>
    </row>
    <row r="700" spans="1:3">
      <c r="A700" s="3">
        <f ca="1">IFERROR(__xludf.UNSUPPORTED("""COMPUTED_VALUE"""),44477.6666666666)</f>
        <v>44477.666666666599</v>
      </c>
      <c r="B700" s="1">
        <f ca="1">IFERROR(__xludf.UNSUPPORTED("""COMPUTED_VALUE"""),54.12)</f>
        <v>54.12</v>
      </c>
      <c r="C700" s="2">
        <f t="shared" ca="1" si="2"/>
        <v>4.4543429844097048E-3</v>
      </c>
    </row>
    <row r="701" spans="1:3">
      <c r="A701" s="3">
        <f ca="1">IFERROR(__xludf.UNSUPPORTED("""COMPUTED_VALUE"""),44480.6666666666)</f>
        <v>44480.666666666599</v>
      </c>
      <c r="B701" s="1">
        <f ca="1">IFERROR(__xludf.UNSUPPORTED("""COMPUTED_VALUE"""),54.23)</f>
        <v>54.23</v>
      </c>
      <c r="C701" s="2">
        <f t="shared" ca="1" si="2"/>
        <v>2.0325203252032418E-3</v>
      </c>
    </row>
    <row r="702" spans="1:3">
      <c r="A702" s="3">
        <f ca="1">IFERROR(__xludf.UNSUPPORTED("""COMPUTED_VALUE"""),44481.6666666666)</f>
        <v>44481.666666666599</v>
      </c>
      <c r="B702" s="1">
        <f ca="1">IFERROR(__xludf.UNSUPPORTED("""COMPUTED_VALUE"""),54.23)</f>
        <v>54.23</v>
      </c>
      <c r="C702" s="2">
        <f t="shared" ca="1" si="2"/>
        <v>0</v>
      </c>
    </row>
    <row r="703" spans="1:3">
      <c r="A703" s="3">
        <f ca="1">IFERROR(__xludf.UNSUPPORTED("""COMPUTED_VALUE"""),44482.6666666666)</f>
        <v>44482.666666666599</v>
      </c>
      <c r="B703" s="1">
        <f ca="1">IFERROR(__xludf.UNSUPPORTED("""COMPUTED_VALUE"""),54.24)</f>
        <v>54.24</v>
      </c>
      <c r="C703" s="2">
        <f t="shared" ca="1" si="2"/>
        <v>1.8439977872035989E-4</v>
      </c>
    </row>
    <row r="704" spans="1:3">
      <c r="A704" s="3">
        <f ca="1">IFERROR(__xludf.UNSUPPORTED("""COMPUTED_VALUE"""),44483.6666666666)</f>
        <v>44483.666666666599</v>
      </c>
      <c r="B704" s="1">
        <f ca="1">IFERROR(__xludf.UNSUPPORTED("""COMPUTED_VALUE"""),54.61)</f>
        <v>54.61</v>
      </c>
      <c r="C704" s="2">
        <f t="shared" ca="1" si="2"/>
        <v>6.821533923303787E-3</v>
      </c>
    </row>
    <row r="705" spans="1:3">
      <c r="A705" s="3">
        <f ca="1">IFERROR(__xludf.UNSUPPORTED("""COMPUTED_VALUE"""),44484.6666666666)</f>
        <v>44484.666666666599</v>
      </c>
      <c r="B705" s="1">
        <f ca="1">IFERROR(__xludf.UNSUPPORTED("""COMPUTED_VALUE"""),54.48)</f>
        <v>54.48</v>
      </c>
      <c r="C705" s="2">
        <f t="shared" ca="1" si="2"/>
        <v>-2.3805163889398014E-3</v>
      </c>
    </row>
    <row r="706" spans="1:3">
      <c r="A706" s="3">
        <f ca="1">IFERROR(__xludf.UNSUPPORTED("""COMPUTED_VALUE"""),44487.6666666666)</f>
        <v>44487.666666666599</v>
      </c>
      <c r="B706" s="1">
        <f ca="1">IFERROR(__xludf.UNSUPPORTED("""COMPUTED_VALUE"""),53.94)</f>
        <v>53.94</v>
      </c>
      <c r="C706" s="2">
        <f t="shared" ca="1" si="2"/>
        <v>-9.9118942731277384E-3</v>
      </c>
    </row>
    <row r="707" spans="1:3">
      <c r="A707" s="3">
        <f ca="1">IFERROR(__xludf.UNSUPPORTED("""COMPUTED_VALUE"""),44488.6666666666)</f>
        <v>44488.666666666599</v>
      </c>
      <c r="B707" s="1">
        <f ca="1">IFERROR(__xludf.UNSUPPORTED("""COMPUTED_VALUE"""),54.15)</f>
        <v>54.15</v>
      </c>
      <c r="C707" s="2">
        <f t="shared" ca="1" si="2"/>
        <v>3.893214682981106E-3</v>
      </c>
    </row>
    <row r="708" spans="1:3">
      <c r="A708" s="3">
        <f ca="1">IFERROR(__xludf.UNSUPPORTED("""COMPUTED_VALUE"""),44489.6666666666)</f>
        <v>44489.666666666599</v>
      </c>
      <c r="B708" s="1">
        <f ca="1">IFERROR(__xludf.UNSUPPORTED("""COMPUTED_VALUE"""),54.63)</f>
        <v>54.63</v>
      </c>
      <c r="C708" s="2">
        <f t="shared" ca="1" si="2"/>
        <v>8.8642659279779129E-3</v>
      </c>
    </row>
    <row r="709" spans="1:3">
      <c r="A709" s="3">
        <f ca="1">IFERROR(__xludf.UNSUPPORTED("""COMPUTED_VALUE"""),44490.6666666666)</f>
        <v>44490.666666666599</v>
      </c>
      <c r="B709" s="1">
        <f ca="1">IFERROR(__xludf.UNSUPPORTED("""COMPUTED_VALUE"""),54.35)</f>
        <v>54.35</v>
      </c>
      <c r="C709" s="2">
        <f t="shared" ca="1" si="2"/>
        <v>-5.1253889804137127E-3</v>
      </c>
    </row>
    <row r="710" spans="1:3">
      <c r="A710" s="3">
        <f ca="1">IFERROR(__xludf.UNSUPPORTED("""COMPUTED_VALUE"""),44491.6666666666)</f>
        <v>44491.666666666599</v>
      </c>
      <c r="B710" s="1">
        <f ca="1">IFERROR(__xludf.UNSUPPORTED("""COMPUTED_VALUE"""),54.45)</f>
        <v>54.45</v>
      </c>
      <c r="C710" s="2">
        <f t="shared" ca="1" si="2"/>
        <v>1.8399264029439082E-3</v>
      </c>
    </row>
    <row r="711" spans="1:3">
      <c r="A711" s="3">
        <f ca="1">IFERROR(__xludf.UNSUPPORTED("""COMPUTED_VALUE"""),44494.6666666666)</f>
        <v>44494.666666666599</v>
      </c>
      <c r="B711" s="1">
        <f ca="1">IFERROR(__xludf.UNSUPPORTED("""COMPUTED_VALUE"""),54.23)</f>
        <v>54.23</v>
      </c>
      <c r="C711" s="2">
        <f t="shared" ca="1" si="2"/>
        <v>-4.0404040404041497E-3</v>
      </c>
    </row>
    <row r="712" spans="1:3">
      <c r="A712" s="3">
        <f ca="1">IFERROR(__xludf.UNSUPPORTED("""COMPUTED_VALUE"""),44495.6666666666)</f>
        <v>44495.666666666599</v>
      </c>
      <c r="B712" s="1">
        <f ca="1">IFERROR(__xludf.UNSUPPORTED("""COMPUTED_VALUE"""),54.47)</f>
        <v>54.47</v>
      </c>
      <c r="C712" s="2">
        <f t="shared" ca="1" si="2"/>
        <v>4.4255946892864098E-3</v>
      </c>
    </row>
    <row r="713" spans="1:3">
      <c r="A713" s="3">
        <f ca="1">IFERROR(__xludf.UNSUPPORTED("""COMPUTED_VALUE"""),44496.6666666666)</f>
        <v>44496.666666666599</v>
      </c>
      <c r="B713" s="1">
        <f ca="1">IFERROR(__xludf.UNSUPPORTED("""COMPUTED_VALUE"""),55.52)</f>
        <v>55.52</v>
      </c>
      <c r="C713" s="2">
        <f t="shared" ca="1" si="2"/>
        <v>1.9276666054709093E-2</v>
      </c>
    </row>
    <row r="714" spans="1:3">
      <c r="A714" s="3">
        <f ca="1">IFERROR(__xludf.UNSUPPORTED("""COMPUTED_VALUE"""),44497.6666666666)</f>
        <v>44497.666666666599</v>
      </c>
      <c r="B714" s="1">
        <f ca="1">IFERROR(__xludf.UNSUPPORTED("""COMPUTED_VALUE"""),56.04)</f>
        <v>56.04</v>
      </c>
      <c r="C714" s="2">
        <f t="shared" ca="1" si="2"/>
        <v>9.3659942363111676E-3</v>
      </c>
    </row>
    <row r="715" spans="1:3">
      <c r="A715" s="3">
        <f ca="1">IFERROR(__xludf.UNSUPPORTED("""COMPUTED_VALUE"""),44498.6666666666)</f>
        <v>44498.666666666599</v>
      </c>
      <c r="B715" s="1">
        <f ca="1">IFERROR(__xludf.UNSUPPORTED("""COMPUTED_VALUE"""),56.37)</f>
        <v>56.37</v>
      </c>
      <c r="C715" s="2">
        <f t="shared" ca="1" si="2"/>
        <v>5.8886509635974003E-3</v>
      </c>
    </row>
    <row r="716" spans="1:3">
      <c r="A716" s="3">
        <f ca="1">IFERROR(__xludf.UNSUPPORTED("""COMPUTED_VALUE"""),44501.6666666666)</f>
        <v>44501.666666666599</v>
      </c>
      <c r="B716" s="1">
        <f ca="1">IFERROR(__xludf.UNSUPPORTED("""COMPUTED_VALUE"""),56.17)</f>
        <v>56.17</v>
      </c>
      <c r="C716" s="2">
        <f t="shared" ca="1" si="2"/>
        <v>-3.5479865176511576E-3</v>
      </c>
    </row>
    <row r="717" spans="1:3">
      <c r="A717" s="3">
        <f ca="1">IFERROR(__xludf.UNSUPPORTED("""COMPUTED_VALUE"""),44502.6666666666)</f>
        <v>44502.666666666599</v>
      </c>
      <c r="B717" s="1">
        <f ca="1">IFERROR(__xludf.UNSUPPORTED("""COMPUTED_VALUE"""),56.1)</f>
        <v>56.1</v>
      </c>
      <c r="C717" s="2">
        <f t="shared" ca="1" si="2"/>
        <v>-1.2462168417304662E-3</v>
      </c>
    </row>
    <row r="718" spans="1:3">
      <c r="A718" s="3">
        <f ca="1">IFERROR(__xludf.UNSUPPORTED("""COMPUTED_VALUE"""),44503.6666666666)</f>
        <v>44503.666666666599</v>
      </c>
      <c r="B718" s="1">
        <f ca="1">IFERROR(__xludf.UNSUPPORTED("""COMPUTED_VALUE"""),56.29)</f>
        <v>56.29</v>
      </c>
      <c r="C718" s="2">
        <f t="shared" ca="1" si="2"/>
        <v>3.3868092691621697E-3</v>
      </c>
    </row>
    <row r="719" spans="1:3">
      <c r="A719" s="3">
        <f ca="1">IFERROR(__xludf.UNSUPPORTED("""COMPUTED_VALUE"""),44504.6666666666)</f>
        <v>44504.666666666599</v>
      </c>
      <c r="B719" s="1">
        <f ca="1">IFERROR(__xludf.UNSUPPORTED("""COMPUTED_VALUE"""),56.6)</f>
        <v>56.6</v>
      </c>
      <c r="C719" s="2">
        <f t="shared" ca="1" si="2"/>
        <v>5.5071948836383422E-3</v>
      </c>
    </row>
    <row r="720" spans="1:3">
      <c r="A720" s="3">
        <f ca="1">IFERROR(__xludf.UNSUPPORTED("""COMPUTED_VALUE"""),44505.6666666666)</f>
        <v>44505.666666666599</v>
      </c>
      <c r="B720" s="1">
        <f ca="1">IFERROR(__xludf.UNSUPPORTED("""COMPUTED_VALUE"""),56.84)</f>
        <v>56.84</v>
      </c>
      <c r="C720" s="2">
        <f t="shared" ca="1" si="2"/>
        <v>4.2402826855124027E-3</v>
      </c>
    </row>
    <row r="721" spans="1:3">
      <c r="A721" s="3">
        <f ca="1">IFERROR(__xludf.UNSUPPORTED("""COMPUTED_VALUE"""),44508.6666666666)</f>
        <v>44508.666666666599</v>
      </c>
      <c r="B721" s="1">
        <f ca="1">IFERROR(__xludf.UNSUPPORTED("""COMPUTED_VALUE"""),56.33)</f>
        <v>56.33</v>
      </c>
      <c r="C721" s="2">
        <f t="shared" ca="1" si="2"/>
        <v>-8.9725545390570913E-3</v>
      </c>
    </row>
    <row r="722" spans="1:3">
      <c r="A722" s="3">
        <f ca="1">IFERROR(__xludf.UNSUPPORTED("""COMPUTED_VALUE"""),44509.6666666666)</f>
        <v>44509.666666666599</v>
      </c>
      <c r="B722" s="1">
        <f ca="1">IFERROR(__xludf.UNSUPPORTED("""COMPUTED_VALUE"""),56.49)</f>
        <v>56.49</v>
      </c>
      <c r="C722" s="2">
        <f t="shared" ca="1" si="2"/>
        <v>2.8404047576780348E-3</v>
      </c>
    </row>
    <row r="723" spans="1:3">
      <c r="A723" s="3">
        <f ca="1">IFERROR(__xludf.UNSUPPORTED("""COMPUTED_VALUE"""),44510.6666666666)</f>
        <v>44510.666666666599</v>
      </c>
      <c r="B723" s="1">
        <f ca="1">IFERROR(__xludf.UNSUPPORTED("""COMPUTED_VALUE"""),56.72)</f>
        <v>56.72</v>
      </c>
      <c r="C723" s="2">
        <f t="shared" ca="1" si="2"/>
        <v>4.0715170826694435E-3</v>
      </c>
    </row>
    <row r="724" spans="1:3">
      <c r="A724" s="3">
        <f ca="1">IFERROR(__xludf.UNSUPPORTED("""COMPUTED_VALUE"""),44511.6666666666)</f>
        <v>44511.666666666599</v>
      </c>
      <c r="B724" s="1">
        <f ca="1">IFERROR(__xludf.UNSUPPORTED("""COMPUTED_VALUE"""),56.74)</f>
        <v>56.74</v>
      </c>
      <c r="C724" s="2">
        <f t="shared" ca="1" si="2"/>
        <v>3.5260930888580971E-4</v>
      </c>
    </row>
    <row r="725" spans="1:3">
      <c r="A725" s="3">
        <f ca="1">IFERROR(__xludf.UNSUPPORTED("""COMPUTED_VALUE"""),44512.6666666666)</f>
        <v>44512.666666666599</v>
      </c>
      <c r="B725" s="1">
        <f ca="1">IFERROR(__xludf.UNSUPPORTED("""COMPUTED_VALUE"""),56.61)</f>
        <v>56.61</v>
      </c>
      <c r="C725" s="2">
        <f t="shared" ca="1" si="2"/>
        <v>-2.2911526260134393E-3</v>
      </c>
    </row>
    <row r="726" spans="1:3">
      <c r="A726" s="3">
        <f ca="1">IFERROR(__xludf.UNSUPPORTED("""COMPUTED_VALUE"""),44515.6666666666)</f>
        <v>44515.666666666599</v>
      </c>
      <c r="B726" s="1">
        <f ca="1">IFERROR(__xludf.UNSUPPORTED("""COMPUTED_VALUE"""),56.62)</f>
        <v>56.62</v>
      </c>
      <c r="C726" s="2">
        <f t="shared" ca="1" si="2"/>
        <v>1.7664723547072974E-4</v>
      </c>
    </row>
    <row r="727" spans="1:3">
      <c r="A727" s="3">
        <f ca="1">IFERROR(__xludf.UNSUPPORTED("""COMPUTED_VALUE"""),44516.6666666666)</f>
        <v>44516.666666666599</v>
      </c>
      <c r="B727" s="1">
        <f ca="1">IFERROR(__xludf.UNSUPPORTED("""COMPUTED_VALUE"""),56.22)</f>
        <v>56.22</v>
      </c>
      <c r="C727" s="2">
        <f t="shared" ca="1" si="2"/>
        <v>-7.0646414694454009E-3</v>
      </c>
    </row>
    <row r="728" spans="1:3">
      <c r="A728" s="3">
        <f ca="1">IFERROR(__xludf.UNSUPPORTED("""COMPUTED_VALUE"""),44517.6666666666)</f>
        <v>44517.666666666599</v>
      </c>
      <c r="B728" s="1">
        <f ca="1">IFERROR(__xludf.UNSUPPORTED("""COMPUTED_VALUE"""),55.91)</f>
        <v>55.91</v>
      </c>
      <c r="C728" s="2">
        <f t="shared" ca="1" si="2"/>
        <v>-5.514051938811851E-3</v>
      </c>
    </row>
    <row r="729" spans="1:3">
      <c r="A729" s="3">
        <f ca="1">IFERROR(__xludf.UNSUPPORTED("""COMPUTED_VALUE"""),44518.6666666666)</f>
        <v>44518.666666666599</v>
      </c>
      <c r="B729" s="1">
        <f ca="1">IFERROR(__xludf.UNSUPPORTED("""COMPUTED_VALUE"""),55.41)</f>
        <v>55.41</v>
      </c>
      <c r="C729" s="2">
        <f t="shared" ca="1" si="2"/>
        <v>-8.9429440171704538E-3</v>
      </c>
    </row>
    <row r="730" spans="1:3">
      <c r="A730" s="3">
        <f ca="1">IFERROR(__xludf.UNSUPPORTED("""COMPUTED_VALUE"""),44519.6666666666)</f>
        <v>44519.666666666599</v>
      </c>
      <c r="B730" s="1">
        <f ca="1">IFERROR(__xludf.UNSUPPORTED("""COMPUTED_VALUE"""),55.13)</f>
        <v>55.13</v>
      </c>
      <c r="C730" s="2">
        <f t="shared" ca="1" si="2"/>
        <v>-5.0532394874570306E-3</v>
      </c>
    </row>
    <row r="731" spans="1:3">
      <c r="A731" s="3">
        <f ca="1">IFERROR(__xludf.UNSUPPORTED("""COMPUTED_VALUE"""),44522.6666666666)</f>
        <v>44522.666666666599</v>
      </c>
      <c r="B731" s="1">
        <f ca="1">IFERROR(__xludf.UNSUPPORTED("""COMPUTED_VALUE"""),55.47)</f>
        <v>55.47</v>
      </c>
      <c r="C731" s="2">
        <f t="shared" ca="1" si="2"/>
        <v>6.1672410665698585E-3</v>
      </c>
    </row>
    <row r="732" spans="1:3">
      <c r="A732" s="3">
        <f ca="1">IFERROR(__xludf.UNSUPPORTED("""COMPUTED_VALUE"""),44523.6666666666)</f>
        <v>44523.666666666599</v>
      </c>
      <c r="B732" s="1">
        <f ca="1">IFERROR(__xludf.UNSUPPORTED("""COMPUTED_VALUE"""),55.88)</f>
        <v>55.88</v>
      </c>
      <c r="C732" s="2">
        <f t="shared" ca="1" si="2"/>
        <v>7.3913827294033478E-3</v>
      </c>
    </row>
    <row r="733" spans="1:3">
      <c r="A733" s="3">
        <f ca="1">IFERROR(__xludf.UNSUPPORTED("""COMPUTED_VALUE"""),44524.6666666666)</f>
        <v>44524.666666666599</v>
      </c>
      <c r="B733" s="1">
        <f ca="1">IFERROR(__xludf.UNSUPPORTED("""COMPUTED_VALUE"""),55.43)</f>
        <v>55.43</v>
      </c>
      <c r="C733" s="2">
        <f t="shared" ca="1" si="2"/>
        <v>-8.0529706513958986E-3</v>
      </c>
    </row>
    <row r="734" spans="1:3">
      <c r="A734" s="3">
        <f ca="1">IFERROR(__xludf.UNSUPPORTED("""COMPUTED_VALUE"""),44526.5416666666)</f>
        <v>44526.541666666599</v>
      </c>
      <c r="B734" s="1">
        <f ca="1">IFERROR(__xludf.UNSUPPORTED("""COMPUTED_VALUE"""),53.73)</f>
        <v>53.73</v>
      </c>
      <c r="C734" s="2">
        <f t="shared" ca="1" si="2"/>
        <v>-3.0669312646581324E-2</v>
      </c>
    </row>
    <row r="735" spans="1:3">
      <c r="A735" s="3">
        <f ca="1">IFERROR(__xludf.UNSUPPORTED("""COMPUTED_VALUE"""),44529.6666666666)</f>
        <v>44529.666666666599</v>
      </c>
      <c r="B735" s="1">
        <f ca="1">IFERROR(__xludf.UNSUPPORTED("""COMPUTED_VALUE"""),54.58)</f>
        <v>54.58</v>
      </c>
      <c r="C735" s="2">
        <f t="shared" ca="1" si="2"/>
        <v>1.5819839940442983E-2</v>
      </c>
    </row>
    <row r="736" spans="1:3">
      <c r="A736" s="3">
        <f ca="1">IFERROR(__xludf.UNSUPPORTED("""COMPUTED_VALUE"""),44530.6666666666)</f>
        <v>44530.666666666599</v>
      </c>
      <c r="B736" s="1">
        <f ca="1">IFERROR(__xludf.UNSUPPORTED("""COMPUTED_VALUE"""),52.45)</f>
        <v>52.45</v>
      </c>
      <c r="C736" s="2">
        <f t="shared" ca="1" si="2"/>
        <v>-3.9025283986808275E-2</v>
      </c>
    </row>
    <row r="737" spans="1:3">
      <c r="A737" s="3">
        <f ca="1">IFERROR(__xludf.UNSUPPORTED("""COMPUTED_VALUE"""),44531.6666666666)</f>
        <v>44531.666666666599</v>
      </c>
      <c r="B737" s="1">
        <f ca="1">IFERROR(__xludf.UNSUPPORTED("""COMPUTED_VALUE"""),52.3)</f>
        <v>52.3</v>
      </c>
      <c r="C737" s="2">
        <f t="shared" ca="1" si="2"/>
        <v>-2.8598665395615955E-3</v>
      </c>
    </row>
    <row r="738" spans="1:3">
      <c r="A738" s="3">
        <f ca="1">IFERROR(__xludf.UNSUPPORTED("""COMPUTED_VALUE"""),44532.6666666666)</f>
        <v>44532.666666666599</v>
      </c>
      <c r="B738" s="1">
        <f ca="1">IFERROR(__xludf.UNSUPPORTED("""COMPUTED_VALUE"""),53.07)</f>
        <v>53.07</v>
      </c>
      <c r="C738" s="2">
        <f t="shared" ca="1" si="2"/>
        <v>1.4722753346080367E-2</v>
      </c>
    </row>
    <row r="739" spans="1:3">
      <c r="A739" s="3">
        <f ca="1">IFERROR(__xludf.UNSUPPORTED("""COMPUTED_VALUE"""),44533.6666666666)</f>
        <v>44533.666666666599</v>
      </c>
      <c r="B739" s="1">
        <f ca="1">IFERROR(__xludf.UNSUPPORTED("""COMPUTED_VALUE"""),53.54)</f>
        <v>53.54</v>
      </c>
      <c r="C739" s="2">
        <f t="shared" ca="1" si="2"/>
        <v>8.8562276238929507E-3</v>
      </c>
    </row>
    <row r="740" spans="1:3">
      <c r="A740" s="3">
        <f ca="1">IFERROR(__xludf.UNSUPPORTED("""COMPUTED_VALUE"""),44536.6666666666)</f>
        <v>44536.666666666599</v>
      </c>
      <c r="B740" s="1">
        <f ca="1">IFERROR(__xludf.UNSUPPORTED("""COMPUTED_VALUE"""),54.91)</f>
        <v>54.91</v>
      </c>
      <c r="C740" s="2">
        <f t="shared" ca="1" si="2"/>
        <v>2.5588345162495283E-2</v>
      </c>
    </row>
    <row r="741" spans="1:3">
      <c r="A741" s="3">
        <f ca="1">IFERROR(__xludf.UNSUPPORTED("""COMPUTED_VALUE"""),44537.6666666666)</f>
        <v>44537.666666666599</v>
      </c>
      <c r="B741" s="1">
        <f ca="1">IFERROR(__xludf.UNSUPPORTED("""COMPUTED_VALUE"""),55.21)</f>
        <v>55.21</v>
      </c>
      <c r="C741" s="2">
        <f t="shared" ca="1" si="2"/>
        <v>5.4634857038791526E-3</v>
      </c>
    </row>
    <row r="742" spans="1:3">
      <c r="A742" s="3">
        <f ca="1">IFERROR(__xludf.UNSUPPORTED("""COMPUTED_VALUE"""),44538.6666666666)</f>
        <v>44538.666666666599</v>
      </c>
      <c r="B742" s="1">
        <f ca="1">IFERROR(__xludf.UNSUPPORTED("""COMPUTED_VALUE"""),55)</f>
        <v>55</v>
      </c>
      <c r="C742" s="2">
        <f t="shared" ca="1" si="2"/>
        <v>-3.803658757471488E-3</v>
      </c>
    </row>
    <row r="743" spans="1:3">
      <c r="A743" s="3">
        <f ca="1">IFERROR(__xludf.UNSUPPORTED("""COMPUTED_VALUE"""),44539.6666666666)</f>
        <v>44539.666666666599</v>
      </c>
      <c r="B743" s="1">
        <f ca="1">IFERROR(__xludf.UNSUPPORTED("""COMPUTED_VALUE"""),54.86)</f>
        <v>54.86</v>
      </c>
      <c r="C743" s="2">
        <f t="shared" ca="1" si="2"/>
        <v>-2.5454545454545556E-3</v>
      </c>
    </row>
    <row r="744" spans="1:3">
      <c r="A744" s="3">
        <f ca="1">IFERROR(__xludf.UNSUPPORTED("""COMPUTED_VALUE"""),44540.6666666666)</f>
        <v>44540.666666666599</v>
      </c>
      <c r="B744" s="1">
        <f ca="1">IFERROR(__xludf.UNSUPPORTED("""COMPUTED_VALUE"""),56.28)</f>
        <v>56.28</v>
      </c>
      <c r="C744" s="2">
        <f t="shared" ca="1" si="2"/>
        <v>2.5884068538097004E-2</v>
      </c>
    </row>
    <row r="745" spans="1:3">
      <c r="A745" s="3">
        <f ca="1">IFERROR(__xludf.UNSUPPORTED("""COMPUTED_VALUE"""),44543.6666666666)</f>
        <v>44543.666666666599</v>
      </c>
      <c r="B745" s="1">
        <f ca="1">IFERROR(__xludf.UNSUPPORTED("""COMPUTED_VALUE"""),57.76)</f>
        <v>57.76</v>
      </c>
      <c r="C745" s="2">
        <f t="shared" ca="1" si="2"/>
        <v>2.6297085998578478E-2</v>
      </c>
    </row>
    <row r="746" spans="1:3">
      <c r="A746" s="3">
        <f ca="1">IFERROR(__xludf.UNSUPPORTED("""COMPUTED_VALUE"""),44544.6666666666)</f>
        <v>44544.666666666599</v>
      </c>
      <c r="B746" s="1">
        <f ca="1">IFERROR(__xludf.UNSUPPORTED("""COMPUTED_VALUE"""),57.8)</f>
        <v>57.8</v>
      </c>
      <c r="C746" s="2">
        <f t="shared" ca="1" si="2"/>
        <v>6.9252077562325395E-4</v>
      </c>
    </row>
    <row r="747" spans="1:3">
      <c r="A747" s="3">
        <f ca="1">IFERROR(__xludf.UNSUPPORTED("""COMPUTED_VALUE"""),44545.6666666666)</f>
        <v>44545.666666666599</v>
      </c>
      <c r="B747" s="1">
        <f ca="1">IFERROR(__xludf.UNSUPPORTED("""COMPUTED_VALUE"""),58.06)</f>
        <v>58.06</v>
      </c>
      <c r="C747" s="2">
        <f t="shared" ca="1" si="2"/>
        <v>4.4982698961938605E-3</v>
      </c>
    </row>
    <row r="748" spans="1:3">
      <c r="A748" s="3">
        <f ca="1">IFERROR(__xludf.UNSUPPORTED("""COMPUTED_VALUE"""),44546.6666666666)</f>
        <v>44546.666666666599</v>
      </c>
      <c r="B748" s="1">
        <f ca="1">IFERROR(__xludf.UNSUPPORTED("""COMPUTED_VALUE"""),58.65)</f>
        <v>58.65</v>
      </c>
      <c r="C748" s="2">
        <f t="shared" ca="1" si="2"/>
        <v>1.0161901481226254E-2</v>
      </c>
    </row>
    <row r="749" spans="1:3">
      <c r="A749" s="3">
        <f ca="1">IFERROR(__xludf.UNSUPPORTED("""COMPUTED_VALUE"""),44547.6666666666)</f>
        <v>44547.666666666599</v>
      </c>
      <c r="B749" s="1">
        <f ca="1">IFERROR(__xludf.UNSUPPORTED("""COMPUTED_VALUE"""),57.73)</f>
        <v>57.73</v>
      </c>
      <c r="C749" s="2">
        <f t="shared" ca="1" si="2"/>
        <v>-1.5686274509803953E-2</v>
      </c>
    </row>
    <row r="750" spans="1:3">
      <c r="A750" s="3">
        <f ca="1">IFERROR(__xludf.UNSUPPORTED("""COMPUTED_VALUE"""),44550.6666666666)</f>
        <v>44550.666666666599</v>
      </c>
      <c r="B750" s="1">
        <f ca="1">IFERROR(__xludf.UNSUPPORTED("""COMPUTED_VALUE"""),57.54)</f>
        <v>57.54</v>
      </c>
      <c r="C750" s="2">
        <f t="shared" ca="1" si="2"/>
        <v>-3.291183093712069E-3</v>
      </c>
    </row>
    <row r="751" spans="1:3">
      <c r="A751" s="3">
        <f ca="1">IFERROR(__xludf.UNSUPPORTED("""COMPUTED_VALUE"""),44551.6666666666)</f>
        <v>44551.666666666599</v>
      </c>
      <c r="B751" s="1">
        <f ca="1">IFERROR(__xludf.UNSUPPORTED("""COMPUTED_VALUE"""),57.77)</f>
        <v>57.77</v>
      </c>
      <c r="C751" s="2">
        <f t="shared" ca="1" si="2"/>
        <v>3.9972193256865478E-3</v>
      </c>
    </row>
    <row r="752" spans="1:3">
      <c r="A752" s="3">
        <f ca="1">IFERROR(__xludf.UNSUPPORTED("""COMPUTED_VALUE"""),44552.6666666666)</f>
        <v>44552.666666666599</v>
      </c>
      <c r="B752" s="1">
        <f ca="1">IFERROR(__xludf.UNSUPPORTED("""COMPUTED_VALUE"""),58.18)</f>
        <v>58.18</v>
      </c>
      <c r="C752" s="2">
        <f t="shared" ca="1" si="2"/>
        <v>7.0971092262419348E-3</v>
      </c>
    </row>
    <row r="753" spans="1:3">
      <c r="A753" s="3">
        <f ca="1">IFERROR(__xludf.UNSUPPORTED("""COMPUTED_VALUE"""),44553.6666666666)</f>
        <v>44553.666666666599</v>
      </c>
      <c r="B753" s="1">
        <f ca="1">IFERROR(__xludf.UNSUPPORTED("""COMPUTED_VALUE"""),58.22)</f>
        <v>58.22</v>
      </c>
      <c r="C753" s="2">
        <f t="shared" ca="1" si="2"/>
        <v>6.875214850463931E-4</v>
      </c>
    </row>
    <row r="754" spans="1:3">
      <c r="A754" s="3">
        <f ca="1">IFERROR(__xludf.UNSUPPORTED("""COMPUTED_VALUE"""),44557.6666666666)</f>
        <v>44557.666666666599</v>
      </c>
      <c r="B754" s="1">
        <f ca="1">IFERROR(__xludf.UNSUPPORTED("""COMPUTED_VALUE"""),58.65)</f>
        <v>58.65</v>
      </c>
      <c r="C754" s="2">
        <f t="shared" ca="1" si="2"/>
        <v>7.3857780831329389E-3</v>
      </c>
    </row>
    <row r="755" spans="1:3">
      <c r="A755" s="3">
        <f ca="1">IFERROR(__xludf.UNSUPPORTED("""COMPUTED_VALUE"""),44558.6666666666)</f>
        <v>44558.666666666599</v>
      </c>
      <c r="B755" s="1">
        <f ca="1">IFERROR(__xludf.UNSUPPORTED("""COMPUTED_VALUE"""),58.88)</f>
        <v>58.88</v>
      </c>
      <c r="C755" s="2">
        <f t="shared" ca="1" si="2"/>
        <v>3.921568627451048E-3</v>
      </c>
    </row>
    <row r="756" spans="1:3">
      <c r="A756" s="3">
        <f ca="1">IFERROR(__xludf.UNSUPPORTED("""COMPUTED_VALUE"""),44559.6666666666)</f>
        <v>44559.666666666599</v>
      </c>
      <c r="B756" s="1">
        <f ca="1">IFERROR(__xludf.UNSUPPORTED("""COMPUTED_VALUE"""),58.95)</f>
        <v>58.95</v>
      </c>
      <c r="C756" s="2">
        <f t="shared" ca="1" si="2"/>
        <v>1.1888586956521788E-3</v>
      </c>
    </row>
    <row r="757" spans="1:3">
      <c r="A757" s="3">
        <f ca="1">IFERROR(__xludf.UNSUPPORTED("""COMPUTED_VALUE"""),44560.6666666666)</f>
        <v>44560.666666666599</v>
      </c>
      <c r="B757" s="1">
        <f ca="1">IFERROR(__xludf.UNSUPPORTED("""COMPUTED_VALUE"""),58.78)</f>
        <v>58.78</v>
      </c>
      <c r="C757" s="2">
        <f t="shared" ca="1" si="2"/>
        <v>-2.8837998303647447E-3</v>
      </c>
    </row>
    <row r="758" spans="1:3">
      <c r="A758" s="3">
        <f ca="1">IFERROR(__xludf.UNSUPPORTED("""COMPUTED_VALUE"""),44561.6666666666)</f>
        <v>44561.666666666599</v>
      </c>
      <c r="B758" s="1">
        <f ca="1">IFERROR(__xludf.UNSUPPORTED("""COMPUTED_VALUE"""),59.21)</f>
        <v>59.21</v>
      </c>
      <c r="C758" s="2">
        <f t="shared" ca="1" si="2"/>
        <v>7.3154134059203761E-3</v>
      </c>
    </row>
    <row r="759" spans="1:3">
      <c r="A759" s="3">
        <f ca="1">IFERROR(__xludf.UNSUPPORTED("""COMPUTED_VALUE"""),44564.6666666666)</f>
        <v>44564.666666666599</v>
      </c>
      <c r="B759" s="1">
        <f ca="1">IFERROR(__xludf.UNSUPPORTED("""COMPUTED_VALUE"""),59.3)</f>
        <v>59.3</v>
      </c>
      <c r="C759" s="2">
        <f t="shared" ca="1" si="2"/>
        <v>1.5200135112311485E-3</v>
      </c>
    </row>
    <row r="760" spans="1:3">
      <c r="A760" s="3">
        <f ca="1">IFERROR(__xludf.UNSUPPORTED("""COMPUTED_VALUE"""),44565.6666666666)</f>
        <v>44565.666666666599</v>
      </c>
      <c r="B760" s="1">
        <f ca="1">IFERROR(__xludf.UNSUPPORTED("""COMPUTED_VALUE"""),60.29)</f>
        <v>60.29</v>
      </c>
      <c r="C760" s="2">
        <f t="shared" ca="1" si="2"/>
        <v>1.6694772344013526E-2</v>
      </c>
    </row>
    <row r="761" spans="1:3">
      <c r="A761" s="3">
        <f ca="1">IFERROR(__xludf.UNSUPPORTED("""COMPUTED_VALUE"""),44566.6666666666)</f>
        <v>44566.666666666599</v>
      </c>
      <c r="B761" s="1">
        <f ca="1">IFERROR(__xludf.UNSUPPORTED("""COMPUTED_VALUE"""),60.79)</f>
        <v>60.79</v>
      </c>
      <c r="C761" s="2">
        <f t="shared" ca="1" si="2"/>
        <v>8.2932492950738099E-3</v>
      </c>
    </row>
    <row r="762" spans="1:3">
      <c r="A762" s="3">
        <f ca="1">IFERROR(__xludf.UNSUPPORTED("""COMPUTED_VALUE"""),44567.6666666666)</f>
        <v>44567.666666666599</v>
      </c>
      <c r="B762" s="1">
        <f ca="1">IFERROR(__xludf.UNSUPPORTED("""COMPUTED_VALUE"""),60.47)</f>
        <v>60.47</v>
      </c>
      <c r="C762" s="2">
        <f t="shared" ca="1" si="2"/>
        <v>-5.2640236881066008E-3</v>
      </c>
    </row>
    <row r="763" spans="1:3">
      <c r="A763" s="3">
        <f ca="1">IFERROR(__xludf.UNSUPPORTED("""COMPUTED_VALUE"""),44568.6666666666)</f>
        <v>44568.666666666599</v>
      </c>
      <c r="B763" s="1">
        <f ca="1">IFERROR(__xludf.UNSUPPORTED("""COMPUTED_VALUE"""),60.33)</f>
        <v>60.33</v>
      </c>
      <c r="C763" s="2">
        <f t="shared" ca="1" si="2"/>
        <v>-2.3151976186538874E-3</v>
      </c>
    </row>
    <row r="764" spans="1:3">
      <c r="A764" s="3">
        <f ca="1">IFERROR(__xludf.UNSUPPORTED("""COMPUTED_VALUE"""),44571.6666666666)</f>
        <v>44571.666666666599</v>
      </c>
      <c r="B764" s="1">
        <f ca="1">IFERROR(__xludf.UNSUPPORTED("""COMPUTED_VALUE"""),60.43)</f>
        <v>60.43</v>
      </c>
      <c r="C764" s="2">
        <f t="shared" ca="1" si="2"/>
        <v>1.6575501408917855E-3</v>
      </c>
    </row>
    <row r="765" spans="1:3">
      <c r="A765" s="3">
        <f ca="1">IFERROR(__xludf.UNSUPPORTED("""COMPUTED_VALUE"""),44572.6666666666)</f>
        <v>44572.666666666599</v>
      </c>
      <c r="B765" s="1">
        <f ca="1">IFERROR(__xludf.UNSUPPORTED("""COMPUTED_VALUE"""),60.45)</f>
        <v>60.45</v>
      </c>
      <c r="C765" s="2">
        <f t="shared" ca="1" si="2"/>
        <v>3.3096144299194321E-4</v>
      </c>
    </row>
    <row r="766" spans="1:3">
      <c r="A766" s="3">
        <f ca="1">IFERROR(__xludf.UNSUPPORTED("""COMPUTED_VALUE"""),44573.6666666666)</f>
        <v>44573.666666666599</v>
      </c>
      <c r="B766" s="1">
        <f ca="1">IFERROR(__xludf.UNSUPPORTED("""COMPUTED_VALUE"""),60.54)</f>
        <v>60.54</v>
      </c>
      <c r="C766" s="2">
        <f t="shared" ca="1" si="2"/>
        <v>1.4888337468982019E-3</v>
      </c>
    </row>
    <row r="767" spans="1:3">
      <c r="A767" s="3">
        <f ca="1">IFERROR(__xludf.UNSUPPORTED("""COMPUTED_VALUE"""),44574.6666666666)</f>
        <v>44574.666666666599</v>
      </c>
      <c r="B767" s="1">
        <f ca="1">IFERROR(__xludf.UNSUPPORTED("""COMPUTED_VALUE"""),60.9)</f>
        <v>60.9</v>
      </c>
      <c r="C767" s="2">
        <f t="shared" ca="1" si="2"/>
        <v>5.9464816650148565E-3</v>
      </c>
    </row>
    <row r="768" spans="1:3">
      <c r="A768" s="3">
        <f ca="1">IFERROR(__xludf.UNSUPPORTED("""COMPUTED_VALUE"""),44575.6666666666)</f>
        <v>44575.666666666599</v>
      </c>
      <c r="B768" s="1">
        <f ca="1">IFERROR(__xludf.UNSUPPORTED("""COMPUTED_VALUE"""),61.39)</f>
        <v>61.39</v>
      </c>
      <c r="C768" s="2">
        <f t="shared" ref="C768:C1022" ca="1" si="3">(B768-B767)/B767</f>
        <v>8.0459770114942857E-3</v>
      </c>
    </row>
    <row r="769" spans="1:3">
      <c r="A769" s="3">
        <f ca="1">IFERROR(__xludf.UNSUPPORTED("""COMPUTED_VALUE"""),44579.6666666666)</f>
        <v>44579.666666666599</v>
      </c>
      <c r="B769" s="1">
        <f ca="1">IFERROR(__xludf.UNSUPPORTED("""COMPUTED_VALUE"""),60.9)</f>
        <v>60.9</v>
      </c>
      <c r="C769" s="2">
        <f t="shared" ca="1" si="3"/>
        <v>-7.9817559863170212E-3</v>
      </c>
    </row>
    <row r="770" spans="1:3">
      <c r="A770" s="3">
        <f ca="1">IFERROR(__xludf.UNSUPPORTED("""COMPUTED_VALUE"""),44580.6666666666)</f>
        <v>44580.666666666599</v>
      </c>
      <c r="B770" s="1">
        <f ca="1">IFERROR(__xludf.UNSUPPORTED("""COMPUTED_VALUE"""),61)</f>
        <v>61</v>
      </c>
      <c r="C770" s="2">
        <f t="shared" ca="1" si="3"/>
        <v>1.6420361247947688E-3</v>
      </c>
    </row>
    <row r="771" spans="1:3">
      <c r="A771" s="3">
        <f ca="1">IFERROR(__xludf.UNSUPPORTED("""COMPUTED_VALUE"""),44581.6666666666)</f>
        <v>44581.666666666599</v>
      </c>
      <c r="B771" s="1">
        <f ca="1">IFERROR(__xludf.UNSUPPORTED("""COMPUTED_VALUE"""),60.75)</f>
        <v>60.75</v>
      </c>
      <c r="C771" s="2">
        <f t="shared" ca="1" si="3"/>
        <v>-4.0983606557377051E-3</v>
      </c>
    </row>
    <row r="772" spans="1:3">
      <c r="A772" s="3">
        <f ca="1">IFERROR(__xludf.UNSUPPORTED("""COMPUTED_VALUE"""),44582.6666666666)</f>
        <v>44582.666666666599</v>
      </c>
      <c r="B772" s="1">
        <f ca="1">IFERROR(__xludf.UNSUPPORTED("""COMPUTED_VALUE"""),60.45)</f>
        <v>60.45</v>
      </c>
      <c r="C772" s="2">
        <f t="shared" ca="1" si="3"/>
        <v>-4.9382716049382247E-3</v>
      </c>
    </row>
    <row r="773" spans="1:3">
      <c r="A773" s="3">
        <f ca="1">IFERROR(__xludf.UNSUPPORTED("""COMPUTED_VALUE"""),44585.6666666666)</f>
        <v>44585.666666666599</v>
      </c>
      <c r="B773" s="1">
        <f ca="1">IFERROR(__xludf.UNSUPPORTED("""COMPUTED_VALUE"""),59.96)</f>
        <v>59.96</v>
      </c>
      <c r="C773" s="2">
        <f t="shared" ca="1" si="3"/>
        <v>-8.1058726220016863E-3</v>
      </c>
    </row>
    <row r="774" spans="1:3">
      <c r="A774" s="3">
        <f ca="1">IFERROR(__xludf.UNSUPPORTED("""COMPUTED_VALUE"""),44586.6666666666)</f>
        <v>44586.666666666599</v>
      </c>
      <c r="B774" s="1">
        <f ca="1">IFERROR(__xludf.UNSUPPORTED("""COMPUTED_VALUE"""),59.82)</f>
        <v>59.82</v>
      </c>
      <c r="C774" s="2">
        <f t="shared" ca="1" si="3"/>
        <v>-2.3348899266177545E-3</v>
      </c>
    </row>
    <row r="775" spans="1:3">
      <c r="A775" s="3">
        <f ca="1">IFERROR(__xludf.UNSUPPORTED("""COMPUTED_VALUE"""),44587.6666666666)</f>
        <v>44587.666666666599</v>
      </c>
      <c r="B775" s="1">
        <f ca="1">IFERROR(__xludf.UNSUPPORTED("""COMPUTED_VALUE"""),59.6)</f>
        <v>59.6</v>
      </c>
      <c r="C775" s="2">
        <f t="shared" ca="1" si="3"/>
        <v>-3.6776997659645413E-3</v>
      </c>
    </row>
    <row r="776" spans="1:3">
      <c r="A776" s="3">
        <f ca="1">IFERROR(__xludf.UNSUPPORTED("""COMPUTED_VALUE"""),44588.6666666666)</f>
        <v>44588.666666666599</v>
      </c>
      <c r="B776" s="1">
        <f ca="1">IFERROR(__xludf.UNSUPPORTED("""COMPUTED_VALUE"""),59.65)</f>
        <v>59.65</v>
      </c>
      <c r="C776" s="2">
        <f t="shared" ca="1" si="3"/>
        <v>8.3892617449659657E-4</v>
      </c>
    </row>
    <row r="777" spans="1:3">
      <c r="A777" s="3">
        <f ca="1">IFERROR(__xludf.UNSUPPORTED("""COMPUTED_VALUE"""),44589.6666666666)</f>
        <v>44589.666666666599</v>
      </c>
      <c r="B777" s="1">
        <f ca="1">IFERROR(__xludf.UNSUPPORTED("""COMPUTED_VALUE"""),60.84)</f>
        <v>60.84</v>
      </c>
      <c r="C777" s="2">
        <f t="shared" ca="1" si="3"/>
        <v>1.9949706621961522E-2</v>
      </c>
    </row>
    <row r="778" spans="1:3">
      <c r="A778" s="3">
        <f ca="1">IFERROR(__xludf.UNSUPPORTED("""COMPUTED_VALUE"""),44592.6666666666)</f>
        <v>44592.666666666599</v>
      </c>
      <c r="B778" s="1">
        <f ca="1">IFERROR(__xludf.UNSUPPORTED("""COMPUTED_VALUE"""),61.01)</f>
        <v>61.01</v>
      </c>
      <c r="C778" s="2">
        <f t="shared" ca="1" si="3"/>
        <v>2.794214332675782E-3</v>
      </c>
    </row>
    <row r="779" spans="1:3">
      <c r="A779" s="3">
        <f ca="1">IFERROR(__xludf.UNSUPPORTED("""COMPUTED_VALUE"""),44593.6666666666)</f>
        <v>44593.666666666599</v>
      </c>
      <c r="B779" s="1">
        <f ca="1">IFERROR(__xludf.UNSUPPORTED("""COMPUTED_VALUE"""),60.56)</f>
        <v>60.56</v>
      </c>
      <c r="C779" s="2">
        <f t="shared" ca="1" si="3"/>
        <v>-7.3758400262251391E-3</v>
      </c>
    </row>
    <row r="780" spans="1:3">
      <c r="A780" s="3">
        <f ca="1">IFERROR(__xludf.UNSUPPORTED("""COMPUTED_VALUE"""),44594.6666666666)</f>
        <v>44594.666666666599</v>
      </c>
      <c r="B780" s="1">
        <f ca="1">IFERROR(__xludf.UNSUPPORTED("""COMPUTED_VALUE"""),61.18)</f>
        <v>61.18</v>
      </c>
      <c r="C780" s="2">
        <f t="shared" ca="1" si="3"/>
        <v>1.0237780713342097E-2</v>
      </c>
    </row>
    <row r="781" spans="1:3">
      <c r="A781" s="3">
        <f ca="1">IFERROR(__xludf.UNSUPPORTED("""COMPUTED_VALUE"""),44595.6666666666)</f>
        <v>44595.666666666599</v>
      </c>
      <c r="B781" s="1">
        <f ca="1">IFERROR(__xludf.UNSUPPORTED("""COMPUTED_VALUE"""),61.61)</f>
        <v>61.61</v>
      </c>
      <c r="C781" s="2">
        <f t="shared" ca="1" si="3"/>
        <v>7.0284406668845983E-3</v>
      </c>
    </row>
    <row r="782" spans="1:3">
      <c r="A782" s="3">
        <f ca="1">IFERROR(__xludf.UNSUPPORTED("""COMPUTED_VALUE"""),44596.6666666666)</f>
        <v>44596.666666666599</v>
      </c>
      <c r="B782" s="1">
        <f ca="1">IFERROR(__xludf.UNSUPPORTED("""COMPUTED_VALUE"""),60.96)</f>
        <v>60.96</v>
      </c>
      <c r="C782" s="2">
        <f t="shared" ca="1" si="3"/>
        <v>-1.055023535140397E-2</v>
      </c>
    </row>
    <row r="783" spans="1:3">
      <c r="A783" s="3">
        <f ca="1">IFERROR(__xludf.UNSUPPORTED("""COMPUTED_VALUE"""),44599.6666666666)</f>
        <v>44599.666666666599</v>
      </c>
      <c r="B783" s="1">
        <f ca="1">IFERROR(__xludf.UNSUPPORTED("""COMPUTED_VALUE"""),61.6)</f>
        <v>61.6</v>
      </c>
      <c r="C783" s="2">
        <f t="shared" ca="1" si="3"/>
        <v>1.0498687664042003E-2</v>
      </c>
    </row>
    <row r="784" spans="1:3">
      <c r="A784" s="3">
        <f ca="1">IFERROR(__xludf.UNSUPPORTED("""COMPUTED_VALUE"""),44600.6666666666)</f>
        <v>44600.666666666599</v>
      </c>
      <c r="B784" s="1">
        <f ca="1">IFERROR(__xludf.UNSUPPORTED("""COMPUTED_VALUE"""),62)</f>
        <v>62</v>
      </c>
      <c r="C784" s="2">
        <f t="shared" ca="1" si="3"/>
        <v>6.4935064935064705E-3</v>
      </c>
    </row>
    <row r="785" spans="1:3">
      <c r="A785" s="3">
        <f ca="1">IFERROR(__xludf.UNSUPPORTED("""COMPUTED_VALUE"""),44601.6666666666)</f>
        <v>44601.666666666599</v>
      </c>
      <c r="B785" s="1">
        <f ca="1">IFERROR(__xludf.UNSUPPORTED("""COMPUTED_VALUE"""),61.04)</f>
        <v>61.04</v>
      </c>
      <c r="C785" s="2">
        <f t="shared" ca="1" si="3"/>
        <v>-1.5483870967741949E-2</v>
      </c>
    </row>
    <row r="786" spans="1:3">
      <c r="A786" s="3">
        <f ca="1">IFERROR(__xludf.UNSUPPORTED("""COMPUTED_VALUE"""),44602.6666666666)</f>
        <v>44602.666666666599</v>
      </c>
      <c r="B786" s="1">
        <f ca="1">IFERROR(__xludf.UNSUPPORTED("""COMPUTED_VALUE"""),61.38)</f>
        <v>61.38</v>
      </c>
      <c r="C786" s="2">
        <f t="shared" ca="1" si="3"/>
        <v>5.5701179554391127E-3</v>
      </c>
    </row>
    <row r="787" spans="1:3">
      <c r="A787" s="3">
        <f ca="1">IFERROR(__xludf.UNSUPPORTED("""COMPUTED_VALUE"""),44603.6666666666)</f>
        <v>44603.666666666599</v>
      </c>
      <c r="B787" s="1">
        <f ca="1">IFERROR(__xludf.UNSUPPORTED("""COMPUTED_VALUE"""),60.29)</f>
        <v>60.29</v>
      </c>
      <c r="C787" s="2">
        <f t="shared" ca="1" si="3"/>
        <v>-1.7758227435646846E-2</v>
      </c>
    </row>
    <row r="788" spans="1:3">
      <c r="A788" s="3">
        <f ca="1">IFERROR(__xludf.UNSUPPORTED("""COMPUTED_VALUE"""),44606.6666666666)</f>
        <v>44606.666666666599</v>
      </c>
      <c r="B788" s="1">
        <f ca="1">IFERROR(__xludf.UNSUPPORTED("""COMPUTED_VALUE"""),60.68)</f>
        <v>60.68</v>
      </c>
      <c r="C788" s="2">
        <f t="shared" ca="1" si="3"/>
        <v>6.4687344501575816E-3</v>
      </c>
    </row>
    <row r="789" spans="1:3">
      <c r="A789" s="3">
        <f ca="1">IFERROR(__xludf.UNSUPPORTED("""COMPUTED_VALUE"""),44607.6666666666)</f>
        <v>44607.666666666599</v>
      </c>
      <c r="B789" s="1">
        <f ca="1">IFERROR(__xludf.UNSUPPORTED("""COMPUTED_VALUE"""),60.91)</f>
        <v>60.91</v>
      </c>
      <c r="C789" s="2">
        <f t="shared" ca="1" si="3"/>
        <v>3.7903757415952023E-3</v>
      </c>
    </row>
    <row r="790" spans="1:3">
      <c r="A790" s="3">
        <f ca="1">IFERROR(__xludf.UNSUPPORTED("""COMPUTED_VALUE"""),44608.6666666666)</f>
        <v>44608.666666666599</v>
      </c>
      <c r="B790" s="1">
        <f ca="1">IFERROR(__xludf.UNSUPPORTED("""COMPUTED_VALUE"""),60.9)</f>
        <v>60.9</v>
      </c>
      <c r="C790" s="2">
        <f t="shared" ca="1" si="3"/>
        <v>-1.6417665407975719E-4</v>
      </c>
    </row>
    <row r="791" spans="1:3">
      <c r="A791" s="3">
        <f ca="1">IFERROR(__xludf.UNSUPPORTED("""COMPUTED_VALUE"""),44609.6666666666)</f>
        <v>44609.666666666599</v>
      </c>
      <c r="B791" s="1">
        <f ca="1">IFERROR(__xludf.UNSUPPORTED("""COMPUTED_VALUE"""),62.12)</f>
        <v>62.12</v>
      </c>
      <c r="C791" s="2">
        <f t="shared" ca="1" si="3"/>
        <v>2.0032840722495875E-2</v>
      </c>
    </row>
    <row r="792" spans="1:3">
      <c r="A792" s="3">
        <f ca="1">IFERROR(__xludf.UNSUPPORTED("""COMPUTED_VALUE"""),44610.6666666666)</f>
        <v>44610.666666666599</v>
      </c>
      <c r="B792" s="1">
        <f ca="1">IFERROR(__xludf.UNSUPPORTED("""COMPUTED_VALUE"""),62.54)</f>
        <v>62.54</v>
      </c>
      <c r="C792" s="2">
        <f t="shared" ca="1" si="3"/>
        <v>6.7611075338055654E-3</v>
      </c>
    </row>
    <row r="793" spans="1:3">
      <c r="A793" s="3">
        <f ca="1">IFERROR(__xludf.UNSUPPORTED("""COMPUTED_VALUE"""),44614.6666666666)</f>
        <v>44614.666666666599</v>
      </c>
      <c r="B793" s="1">
        <f ca="1">IFERROR(__xludf.UNSUPPORTED("""COMPUTED_VALUE"""),62.28)</f>
        <v>62.28</v>
      </c>
      <c r="C793" s="2">
        <f t="shared" ca="1" si="3"/>
        <v>-4.1573393028461469E-3</v>
      </c>
    </row>
    <row r="794" spans="1:3">
      <c r="A794" s="3">
        <f ca="1">IFERROR(__xludf.UNSUPPORTED("""COMPUTED_VALUE"""),44615.6666666666)</f>
        <v>44615.666666666599</v>
      </c>
      <c r="B794" s="1">
        <f ca="1">IFERROR(__xludf.UNSUPPORTED("""COMPUTED_VALUE"""),61.59)</f>
        <v>61.59</v>
      </c>
      <c r="C794" s="2">
        <f t="shared" ca="1" si="3"/>
        <v>-1.107899807321769E-2</v>
      </c>
    </row>
    <row r="795" spans="1:3">
      <c r="A795" s="3">
        <f ca="1">IFERROR(__xludf.UNSUPPORTED("""COMPUTED_VALUE"""),44616.6666666666)</f>
        <v>44616.666666666599</v>
      </c>
      <c r="B795" s="1">
        <f ca="1">IFERROR(__xludf.UNSUPPORTED("""COMPUTED_VALUE"""),60.51)</f>
        <v>60.51</v>
      </c>
      <c r="C795" s="2">
        <f t="shared" ca="1" si="3"/>
        <v>-1.7535314174379046E-2</v>
      </c>
    </row>
    <row r="796" spans="1:3">
      <c r="A796" s="3">
        <f ca="1">IFERROR(__xludf.UNSUPPORTED("""COMPUTED_VALUE"""),44617.6666666666)</f>
        <v>44617.666666666599</v>
      </c>
      <c r="B796" s="1">
        <f ca="1">IFERROR(__xludf.UNSUPPORTED("""COMPUTED_VALUE"""),62.85)</f>
        <v>62.85</v>
      </c>
      <c r="C796" s="2">
        <f t="shared" ca="1" si="3"/>
        <v>3.8671294000991632E-2</v>
      </c>
    </row>
    <row r="797" spans="1:3">
      <c r="A797" s="3">
        <f ca="1">IFERROR(__xludf.UNSUPPORTED("""COMPUTED_VALUE"""),44620.6666666666)</f>
        <v>44620.666666666599</v>
      </c>
      <c r="B797" s="1">
        <f ca="1">IFERROR(__xludf.UNSUPPORTED("""COMPUTED_VALUE"""),62.24)</f>
        <v>62.24</v>
      </c>
      <c r="C797" s="2">
        <f t="shared" ca="1" si="3"/>
        <v>-9.7056483691328466E-3</v>
      </c>
    </row>
    <row r="798" spans="1:3">
      <c r="A798" s="3">
        <f ca="1">IFERROR(__xludf.UNSUPPORTED("""COMPUTED_VALUE"""),44621.6666666666)</f>
        <v>44621.666666666599</v>
      </c>
      <c r="B798" s="1">
        <f ca="1">IFERROR(__xludf.UNSUPPORTED("""COMPUTED_VALUE"""),61.97)</f>
        <v>61.97</v>
      </c>
      <c r="C798" s="2">
        <f t="shared" ca="1" si="3"/>
        <v>-4.3380462724936231E-3</v>
      </c>
    </row>
    <row r="799" spans="1:3">
      <c r="A799" s="3">
        <f ca="1">IFERROR(__xludf.UNSUPPORTED("""COMPUTED_VALUE"""),44622.6666666666)</f>
        <v>44622.666666666599</v>
      </c>
      <c r="B799" s="1">
        <f ca="1">IFERROR(__xludf.UNSUPPORTED("""COMPUTED_VALUE"""),62.43)</f>
        <v>62.43</v>
      </c>
      <c r="C799" s="2">
        <f t="shared" ca="1" si="3"/>
        <v>7.422946587058268E-3</v>
      </c>
    </row>
    <row r="800" spans="1:3">
      <c r="A800" s="3">
        <f ca="1">IFERROR(__xludf.UNSUPPORTED("""COMPUTED_VALUE"""),44623.6666666666)</f>
        <v>44623.666666666599</v>
      </c>
      <c r="B800" s="1">
        <f ca="1">IFERROR(__xludf.UNSUPPORTED("""COMPUTED_VALUE"""),62.47)</f>
        <v>62.47</v>
      </c>
      <c r="C800" s="2">
        <f t="shared" ca="1" si="3"/>
        <v>6.4071760371614843E-4</v>
      </c>
    </row>
    <row r="801" spans="1:3">
      <c r="A801" s="3">
        <f ca="1">IFERROR(__xludf.UNSUPPORTED("""COMPUTED_VALUE"""),44624.6666666666)</f>
        <v>44624.666666666599</v>
      </c>
      <c r="B801" s="1">
        <f ca="1">IFERROR(__xludf.UNSUPPORTED("""COMPUTED_VALUE"""),62.57)</f>
        <v>62.57</v>
      </c>
      <c r="C801" s="2">
        <f t="shared" ca="1" si="3"/>
        <v>1.600768368817055E-3</v>
      </c>
    </row>
    <row r="802" spans="1:3">
      <c r="A802" s="3">
        <f ca="1">IFERROR(__xludf.UNSUPPORTED("""COMPUTED_VALUE"""),44627.6666666666)</f>
        <v>44627.666666666599</v>
      </c>
      <c r="B802" s="1">
        <f ca="1">IFERROR(__xludf.UNSUPPORTED("""COMPUTED_VALUE"""),61.08)</f>
        <v>61.08</v>
      </c>
      <c r="C802" s="2">
        <f t="shared" ca="1" si="3"/>
        <v>-2.3813329071440018E-2</v>
      </c>
    </row>
    <row r="803" spans="1:3">
      <c r="A803" s="3">
        <f ca="1">IFERROR(__xludf.UNSUPPORTED("""COMPUTED_VALUE"""),44628.6666666666)</f>
        <v>44628.666666666599</v>
      </c>
      <c r="B803" s="1">
        <f ca="1">IFERROR(__xludf.UNSUPPORTED("""COMPUTED_VALUE"""),58.66)</f>
        <v>58.66</v>
      </c>
      <c r="C803" s="2">
        <f t="shared" ca="1" si="3"/>
        <v>-3.9620170268500357E-2</v>
      </c>
    </row>
    <row r="804" spans="1:3">
      <c r="A804" s="3">
        <f ca="1">IFERROR(__xludf.UNSUPPORTED("""COMPUTED_VALUE"""),44629.6666666666)</f>
        <v>44629.666666666599</v>
      </c>
      <c r="B804" s="1">
        <f ca="1">IFERROR(__xludf.UNSUPPORTED("""COMPUTED_VALUE"""),58.96)</f>
        <v>58.96</v>
      </c>
      <c r="C804" s="2">
        <f t="shared" ca="1" si="3"/>
        <v>5.1142175247187909E-3</v>
      </c>
    </row>
    <row r="805" spans="1:3">
      <c r="A805" s="3">
        <f ca="1">IFERROR(__xludf.UNSUPPORTED("""COMPUTED_VALUE"""),44630.6666666666)</f>
        <v>44630.666666666599</v>
      </c>
      <c r="B805" s="1">
        <f ca="1">IFERROR(__xludf.UNSUPPORTED("""COMPUTED_VALUE"""),57.88)</f>
        <v>57.88</v>
      </c>
      <c r="C805" s="2">
        <f t="shared" ca="1" si="3"/>
        <v>-1.831750339213023E-2</v>
      </c>
    </row>
    <row r="806" spans="1:3">
      <c r="A806" s="3">
        <f ca="1">IFERROR(__xludf.UNSUPPORTED("""COMPUTED_VALUE"""),44631.6666666666)</f>
        <v>44631.666666666599</v>
      </c>
      <c r="B806" s="1">
        <f ca="1">IFERROR(__xludf.UNSUPPORTED("""COMPUTED_VALUE"""),57.92)</f>
        <v>57.92</v>
      </c>
      <c r="C806" s="2">
        <f t="shared" ca="1" si="3"/>
        <v>6.9108500345541025E-4</v>
      </c>
    </row>
    <row r="807" spans="1:3">
      <c r="A807" s="3">
        <f ca="1">IFERROR(__xludf.UNSUPPORTED("""COMPUTED_VALUE"""),44634.6666666666)</f>
        <v>44634.666666666599</v>
      </c>
      <c r="B807" s="1">
        <f ca="1">IFERROR(__xludf.UNSUPPORTED("""COMPUTED_VALUE"""),58.54)</f>
        <v>58.54</v>
      </c>
      <c r="C807" s="2">
        <f t="shared" ca="1" si="3"/>
        <v>1.0704419889502718E-2</v>
      </c>
    </row>
    <row r="808" spans="1:3">
      <c r="A808" s="3">
        <f ca="1">IFERROR(__xludf.UNSUPPORTED("""COMPUTED_VALUE"""),44635.6666666666)</f>
        <v>44635.666666666599</v>
      </c>
      <c r="B808" s="1">
        <f ca="1">IFERROR(__xludf.UNSUPPORTED("""COMPUTED_VALUE"""),59.62)</f>
        <v>59.62</v>
      </c>
      <c r="C808" s="2">
        <f t="shared" ca="1" si="3"/>
        <v>1.844892381277756E-2</v>
      </c>
    </row>
    <row r="809" spans="1:3">
      <c r="A809" s="3">
        <f ca="1">IFERROR(__xludf.UNSUPPORTED("""COMPUTED_VALUE"""),44636.6666666666)</f>
        <v>44636.666666666599</v>
      </c>
      <c r="B809" s="1">
        <f ca="1">IFERROR(__xludf.UNSUPPORTED("""COMPUTED_VALUE"""),59.46)</f>
        <v>59.46</v>
      </c>
      <c r="C809" s="2">
        <f t="shared" ca="1" si="3"/>
        <v>-2.6836632002683091E-3</v>
      </c>
    </row>
    <row r="810" spans="1:3">
      <c r="A810" s="3">
        <f ca="1">IFERROR(__xludf.UNSUPPORTED("""COMPUTED_VALUE"""),44637.6666666666)</f>
        <v>44637.666666666599</v>
      </c>
      <c r="B810" s="1">
        <f ca="1">IFERROR(__xludf.UNSUPPORTED("""COMPUTED_VALUE"""),60.09)</f>
        <v>60.09</v>
      </c>
      <c r="C810" s="2">
        <f t="shared" ca="1" si="3"/>
        <v>1.0595358224016188E-2</v>
      </c>
    </row>
    <row r="811" spans="1:3">
      <c r="A811" s="3">
        <f ca="1">IFERROR(__xludf.UNSUPPORTED("""COMPUTED_VALUE"""),44638.6666666666)</f>
        <v>44638.666666666599</v>
      </c>
      <c r="B811" s="1">
        <f ca="1">IFERROR(__xludf.UNSUPPORTED("""COMPUTED_VALUE"""),60.1)</f>
        <v>60.1</v>
      </c>
      <c r="C811" s="2">
        <f t="shared" ca="1" si="3"/>
        <v>1.6641704110497603E-4</v>
      </c>
    </row>
    <row r="812" spans="1:3">
      <c r="A812" s="3">
        <f ca="1">IFERROR(__xludf.UNSUPPORTED("""COMPUTED_VALUE"""),44641.6666666666)</f>
        <v>44641.666666666599</v>
      </c>
      <c r="B812" s="1">
        <f ca="1">IFERROR(__xludf.UNSUPPORTED("""COMPUTED_VALUE"""),60.58)</f>
        <v>60.58</v>
      </c>
      <c r="C812" s="2">
        <f t="shared" ca="1" si="3"/>
        <v>7.9866888519134257E-3</v>
      </c>
    </row>
    <row r="813" spans="1:3">
      <c r="A813" s="3">
        <f ca="1">IFERROR(__xludf.UNSUPPORTED("""COMPUTED_VALUE"""),44642.6666666666)</f>
        <v>44642.666666666599</v>
      </c>
      <c r="B813" s="1">
        <f ca="1">IFERROR(__xludf.UNSUPPORTED("""COMPUTED_VALUE"""),60.8)</f>
        <v>60.8</v>
      </c>
      <c r="C813" s="2">
        <f t="shared" ca="1" si="3"/>
        <v>3.6315615714757159E-3</v>
      </c>
    </row>
    <row r="814" spans="1:3">
      <c r="A814" s="3">
        <f ca="1">IFERROR(__xludf.UNSUPPORTED("""COMPUTED_VALUE"""),44643.6666666666)</f>
        <v>44643.666666666599</v>
      </c>
      <c r="B814" s="1">
        <f ca="1">IFERROR(__xludf.UNSUPPORTED("""COMPUTED_VALUE"""),60.4)</f>
        <v>60.4</v>
      </c>
      <c r="C814" s="2">
        <f t="shared" ca="1" si="3"/>
        <v>-6.5789473684210297E-3</v>
      </c>
    </row>
    <row r="815" spans="1:3">
      <c r="A815" s="3">
        <f ca="1">IFERROR(__xludf.UNSUPPORTED("""COMPUTED_VALUE"""),44644.6666666666)</f>
        <v>44644.666666666599</v>
      </c>
      <c r="B815" s="1">
        <f ca="1">IFERROR(__xludf.UNSUPPORTED("""COMPUTED_VALUE"""),60.98)</f>
        <v>60.98</v>
      </c>
      <c r="C815" s="2">
        <f t="shared" ca="1" si="3"/>
        <v>9.6026490066224886E-3</v>
      </c>
    </row>
    <row r="816" spans="1:3">
      <c r="A816" s="3">
        <f ca="1">IFERROR(__xludf.UNSUPPORTED("""COMPUTED_VALUE"""),44645.6666666666)</f>
        <v>44645.666666666599</v>
      </c>
      <c r="B816" s="1">
        <f ca="1">IFERROR(__xludf.UNSUPPORTED("""COMPUTED_VALUE"""),61.53)</f>
        <v>61.53</v>
      </c>
      <c r="C816" s="2">
        <f t="shared" ca="1" si="3"/>
        <v>9.0193506067563836E-3</v>
      </c>
    </row>
    <row r="817" spans="1:3">
      <c r="A817" s="3">
        <f ca="1">IFERROR(__xludf.UNSUPPORTED("""COMPUTED_VALUE"""),44648.6666666666)</f>
        <v>44648.666666666599</v>
      </c>
      <c r="B817" s="1">
        <f ca="1">IFERROR(__xludf.UNSUPPORTED("""COMPUTED_VALUE"""),61.92)</f>
        <v>61.92</v>
      </c>
      <c r="C817" s="2">
        <f t="shared" ca="1" si="3"/>
        <v>6.3383715260848456E-3</v>
      </c>
    </row>
    <row r="818" spans="1:3">
      <c r="A818" s="3">
        <f ca="1">IFERROR(__xludf.UNSUPPORTED("""COMPUTED_VALUE"""),44649.6666666666)</f>
        <v>44649.666666666599</v>
      </c>
      <c r="B818" s="1">
        <f ca="1">IFERROR(__xludf.UNSUPPORTED("""COMPUTED_VALUE"""),62.16)</f>
        <v>62.16</v>
      </c>
      <c r="C818" s="2">
        <f t="shared" ca="1" si="3"/>
        <v>3.8759689922479791E-3</v>
      </c>
    </row>
    <row r="819" spans="1:3">
      <c r="A819" s="3">
        <f ca="1">IFERROR(__xludf.UNSUPPORTED("""COMPUTED_VALUE"""),44650.6666666666)</f>
        <v>44650.666666666599</v>
      </c>
      <c r="B819" s="1">
        <f ca="1">IFERROR(__xludf.UNSUPPORTED("""COMPUTED_VALUE"""),62.21)</f>
        <v>62.21</v>
      </c>
      <c r="C819" s="2">
        <f t="shared" ca="1" si="3"/>
        <v>8.0437580437587295E-4</v>
      </c>
    </row>
    <row r="820" spans="1:3">
      <c r="A820" s="3">
        <f ca="1">IFERROR(__xludf.UNSUPPORTED("""COMPUTED_VALUE"""),44651.6666666666)</f>
        <v>44651.666666666599</v>
      </c>
      <c r="B820" s="1">
        <f ca="1">IFERROR(__xludf.UNSUPPORTED("""COMPUTED_VALUE"""),62)</f>
        <v>62</v>
      </c>
      <c r="C820" s="2">
        <f t="shared" ca="1" si="3"/>
        <v>-3.3756630766757891E-3</v>
      </c>
    </row>
    <row r="821" spans="1:3">
      <c r="A821" s="3">
        <f ca="1">IFERROR(__xludf.UNSUPPORTED("""COMPUTED_VALUE"""),44652.6666666666)</f>
        <v>44652.666666666599</v>
      </c>
      <c r="B821" s="1">
        <f ca="1">IFERROR(__xludf.UNSUPPORTED("""COMPUTED_VALUE"""),62.87)</f>
        <v>62.87</v>
      </c>
      <c r="C821" s="2">
        <f t="shared" ca="1" si="3"/>
        <v>1.4032258064516087E-2</v>
      </c>
    </row>
    <row r="822" spans="1:3">
      <c r="A822" s="3">
        <f ca="1">IFERROR(__xludf.UNSUPPORTED("""COMPUTED_VALUE"""),44655.6666666666)</f>
        <v>44655.666666666599</v>
      </c>
      <c r="B822" s="1">
        <f ca="1">IFERROR(__xludf.UNSUPPORTED("""COMPUTED_VALUE"""),62.54)</f>
        <v>62.54</v>
      </c>
      <c r="C822" s="2">
        <f t="shared" ca="1" si="3"/>
        <v>-5.2489263559726152E-3</v>
      </c>
    </row>
    <row r="823" spans="1:3">
      <c r="A823" s="3">
        <f ca="1">IFERROR(__xludf.UNSUPPORTED("""COMPUTED_VALUE"""),44656.6666666666)</f>
        <v>44656.666666666599</v>
      </c>
      <c r="B823" s="1">
        <f ca="1">IFERROR(__xludf.UNSUPPORTED("""COMPUTED_VALUE"""),62.47)</f>
        <v>62.47</v>
      </c>
      <c r="C823" s="2">
        <f t="shared" ca="1" si="3"/>
        <v>-1.119283658458591E-3</v>
      </c>
    </row>
    <row r="824" spans="1:3">
      <c r="A824" s="3">
        <f ca="1">IFERROR(__xludf.UNSUPPORTED("""COMPUTED_VALUE"""),44657.6666666666)</f>
        <v>44657.666666666599</v>
      </c>
      <c r="B824" s="1">
        <f ca="1">IFERROR(__xludf.UNSUPPORTED("""COMPUTED_VALUE"""),63.1)</f>
        <v>63.1</v>
      </c>
      <c r="C824" s="2">
        <f t="shared" ca="1" si="3"/>
        <v>1.0084840723547343E-2</v>
      </c>
    </row>
    <row r="825" spans="1:3">
      <c r="A825" s="3">
        <f ca="1">IFERROR(__xludf.UNSUPPORTED("""COMPUTED_VALUE"""),44658.6666666666)</f>
        <v>44658.666666666599</v>
      </c>
      <c r="B825" s="1">
        <f ca="1">IFERROR(__xludf.UNSUPPORTED("""COMPUTED_VALUE"""),63.44)</f>
        <v>63.44</v>
      </c>
      <c r="C825" s="2">
        <f t="shared" ca="1" si="3"/>
        <v>5.3882725832012091E-3</v>
      </c>
    </row>
    <row r="826" spans="1:3">
      <c r="A826" s="3">
        <f ca="1">IFERROR(__xludf.UNSUPPORTED("""COMPUTED_VALUE"""),44659.6666666666)</f>
        <v>44659.666666666599</v>
      </c>
      <c r="B826" s="1">
        <f ca="1">IFERROR(__xludf.UNSUPPORTED("""COMPUTED_VALUE"""),63.83)</f>
        <v>63.83</v>
      </c>
      <c r="C826" s="2">
        <f t="shared" ca="1" si="3"/>
        <v>6.1475409836065668E-3</v>
      </c>
    </row>
    <row r="827" spans="1:3">
      <c r="A827" s="3">
        <f ca="1">IFERROR(__xludf.UNSUPPORTED("""COMPUTED_VALUE"""),44662.6666666666)</f>
        <v>44662.666666666599</v>
      </c>
      <c r="B827" s="1">
        <f ca="1">IFERROR(__xludf.UNSUPPORTED("""COMPUTED_VALUE"""),63.81)</f>
        <v>63.81</v>
      </c>
      <c r="C827" s="2">
        <f t="shared" ca="1" si="3"/>
        <v>-3.1333228889230801E-4</v>
      </c>
    </row>
    <row r="828" spans="1:3">
      <c r="A828" s="3">
        <f ca="1">IFERROR(__xludf.UNSUPPORTED("""COMPUTED_VALUE"""),44663.6666666666)</f>
        <v>44663.666666666599</v>
      </c>
      <c r="B828" s="1">
        <f ca="1">IFERROR(__xludf.UNSUPPORTED("""COMPUTED_VALUE"""),64.56)</f>
        <v>64.56</v>
      </c>
      <c r="C828" s="2">
        <f t="shared" ca="1" si="3"/>
        <v>1.1753643629525152E-2</v>
      </c>
    </row>
    <row r="829" spans="1:3">
      <c r="A829" s="3">
        <f ca="1">IFERROR(__xludf.UNSUPPORTED("""COMPUTED_VALUE"""),44664.6666666666)</f>
        <v>44664.666666666599</v>
      </c>
      <c r="B829" s="1">
        <f ca="1">IFERROR(__xludf.UNSUPPORTED("""COMPUTED_VALUE"""),64.73)</f>
        <v>64.73</v>
      </c>
      <c r="C829" s="2">
        <f t="shared" ca="1" si="3"/>
        <v>2.6332094175960611E-3</v>
      </c>
    </row>
    <row r="830" spans="1:3">
      <c r="A830" s="3">
        <f ca="1">IFERROR(__xludf.UNSUPPORTED("""COMPUTED_VALUE"""),44665.6666666666)</f>
        <v>44665.666666666599</v>
      </c>
      <c r="B830" s="1">
        <f ca="1">IFERROR(__xludf.UNSUPPORTED("""COMPUTED_VALUE"""),65.02)</f>
        <v>65.02</v>
      </c>
      <c r="C830" s="2">
        <f t="shared" ca="1" si="3"/>
        <v>4.4801483083576708E-3</v>
      </c>
    </row>
    <row r="831" spans="1:3">
      <c r="A831" s="3">
        <f ca="1">IFERROR(__xludf.UNSUPPORTED("""COMPUTED_VALUE"""),44669.6666666666)</f>
        <v>44669.666666666599</v>
      </c>
      <c r="B831" s="1">
        <f ca="1">IFERROR(__xludf.UNSUPPORTED("""COMPUTED_VALUE"""),64.44)</f>
        <v>64.44</v>
      </c>
      <c r="C831" s="2">
        <f t="shared" ca="1" si="3"/>
        <v>-8.9203322054752128E-3</v>
      </c>
    </row>
    <row r="832" spans="1:3">
      <c r="A832" s="3">
        <f ca="1">IFERROR(__xludf.UNSUPPORTED("""COMPUTED_VALUE"""),44670.6666666666)</f>
        <v>44670.666666666599</v>
      </c>
      <c r="B832" s="1">
        <f ca="1">IFERROR(__xludf.UNSUPPORTED("""COMPUTED_VALUE"""),65.07)</f>
        <v>65.069999999999993</v>
      </c>
      <c r="C832" s="2">
        <f t="shared" ca="1" si="3"/>
        <v>9.776536312849091E-3</v>
      </c>
    </row>
    <row r="833" spans="1:3">
      <c r="A833" s="3">
        <f ca="1">IFERROR(__xludf.UNSUPPORTED("""COMPUTED_VALUE"""),44671.6666666666)</f>
        <v>44671.666666666599</v>
      </c>
      <c r="B833" s="1">
        <f ca="1">IFERROR(__xludf.UNSUPPORTED("""COMPUTED_VALUE"""),65.96)</f>
        <v>65.959999999999994</v>
      </c>
      <c r="C833" s="2">
        <f t="shared" ca="1" si="3"/>
        <v>1.3677577992930701E-2</v>
      </c>
    </row>
    <row r="834" spans="1:3">
      <c r="A834" s="3">
        <f ca="1">IFERROR(__xludf.UNSUPPORTED("""COMPUTED_VALUE"""),44672.6666666666)</f>
        <v>44672.666666666599</v>
      </c>
      <c r="B834" s="1">
        <f ca="1">IFERROR(__xludf.UNSUPPORTED("""COMPUTED_VALUE"""),66.21)</f>
        <v>66.209999999999994</v>
      </c>
      <c r="C834" s="2">
        <f t="shared" ca="1" si="3"/>
        <v>3.7901758641600974E-3</v>
      </c>
    </row>
    <row r="835" spans="1:3">
      <c r="A835" s="3">
        <f ca="1">IFERROR(__xludf.UNSUPPORTED("""COMPUTED_VALUE"""),44673.6666666666)</f>
        <v>44673.666666666599</v>
      </c>
      <c r="B835" s="1">
        <f ca="1">IFERROR(__xludf.UNSUPPORTED("""COMPUTED_VALUE"""),65.25)</f>
        <v>65.25</v>
      </c>
      <c r="C835" s="2">
        <f t="shared" ca="1" si="3"/>
        <v>-1.4499320344358765E-2</v>
      </c>
    </row>
    <row r="836" spans="1:3">
      <c r="A836" s="3">
        <f ca="1">IFERROR(__xludf.UNSUPPORTED("""COMPUTED_VALUE"""),44676.6666666666)</f>
        <v>44676.666666666599</v>
      </c>
      <c r="B836" s="1">
        <f ca="1">IFERROR(__xludf.UNSUPPORTED("""COMPUTED_VALUE"""),65.94)</f>
        <v>65.94</v>
      </c>
      <c r="C836" s="2">
        <f t="shared" ca="1" si="3"/>
        <v>1.0574712643678126E-2</v>
      </c>
    </row>
    <row r="837" spans="1:3">
      <c r="A837" s="3">
        <f ca="1">IFERROR(__xludf.UNSUPPORTED("""COMPUTED_VALUE"""),44677.6666666666)</f>
        <v>44677.666666666599</v>
      </c>
      <c r="B837" s="1">
        <f ca="1">IFERROR(__xludf.UNSUPPORTED("""COMPUTED_VALUE"""),65.05)</f>
        <v>65.05</v>
      </c>
      <c r="C837" s="2">
        <f t="shared" ca="1" si="3"/>
        <v>-1.3497118592660003E-2</v>
      </c>
    </row>
    <row r="838" spans="1:3">
      <c r="A838" s="3">
        <f ca="1">IFERROR(__xludf.UNSUPPORTED("""COMPUTED_VALUE"""),44678.6666666666)</f>
        <v>44678.666666666599</v>
      </c>
      <c r="B838" s="1">
        <f ca="1">IFERROR(__xludf.UNSUPPORTED("""COMPUTED_VALUE"""),65.56)</f>
        <v>65.56</v>
      </c>
      <c r="C838" s="2">
        <f t="shared" ca="1" si="3"/>
        <v>7.8401229823213698E-3</v>
      </c>
    </row>
    <row r="839" spans="1:3">
      <c r="A839" s="3">
        <f ca="1">IFERROR(__xludf.UNSUPPORTED("""COMPUTED_VALUE"""),44679.6666666666)</f>
        <v>44679.666666666599</v>
      </c>
      <c r="B839" s="1">
        <f ca="1">IFERROR(__xludf.UNSUPPORTED("""COMPUTED_VALUE"""),66.19)</f>
        <v>66.19</v>
      </c>
      <c r="C839" s="2">
        <f t="shared" ca="1" si="3"/>
        <v>9.6095179987796733E-3</v>
      </c>
    </row>
    <row r="840" spans="1:3">
      <c r="A840" s="3">
        <f ca="1">IFERROR(__xludf.UNSUPPORTED("""COMPUTED_VALUE"""),44680.6666666666)</f>
        <v>44680.666666666599</v>
      </c>
      <c r="B840" s="1">
        <f ca="1">IFERROR(__xludf.UNSUPPORTED("""COMPUTED_VALUE"""),64.61)</f>
        <v>64.61</v>
      </c>
      <c r="C840" s="2">
        <f t="shared" ca="1" si="3"/>
        <v>-2.3870675328599461E-2</v>
      </c>
    </row>
    <row r="841" spans="1:3">
      <c r="A841" s="3">
        <f ca="1">IFERROR(__xludf.UNSUPPORTED("""COMPUTED_VALUE"""),44683.6666666666)</f>
        <v>44683.666666666599</v>
      </c>
      <c r="B841" s="1">
        <f ca="1">IFERROR(__xludf.UNSUPPORTED("""COMPUTED_VALUE"""),63.44)</f>
        <v>63.44</v>
      </c>
      <c r="C841" s="2">
        <f t="shared" ca="1" si="3"/>
        <v>-1.8108651911468838E-2</v>
      </c>
    </row>
    <row r="842" spans="1:3">
      <c r="A842" s="3">
        <f ca="1">IFERROR(__xludf.UNSUPPORTED("""COMPUTED_VALUE"""),44684.6666666666)</f>
        <v>44684.666666666599</v>
      </c>
      <c r="B842" s="1">
        <f ca="1">IFERROR(__xludf.UNSUPPORTED("""COMPUTED_VALUE"""),63.08)</f>
        <v>63.08</v>
      </c>
      <c r="C842" s="2">
        <f t="shared" ca="1" si="3"/>
        <v>-5.6746532156368131E-3</v>
      </c>
    </row>
    <row r="843" spans="1:3">
      <c r="A843" s="3">
        <f ca="1">IFERROR(__xludf.UNSUPPORTED("""COMPUTED_VALUE"""),44685.6666666666)</f>
        <v>44685.666666666599</v>
      </c>
      <c r="B843" s="1">
        <f ca="1">IFERROR(__xludf.UNSUPPORTED("""COMPUTED_VALUE"""),65.03)</f>
        <v>65.03</v>
      </c>
      <c r="C843" s="2">
        <f t="shared" ca="1" si="3"/>
        <v>3.0913126188966439E-2</v>
      </c>
    </row>
    <row r="844" spans="1:3">
      <c r="A844" s="3">
        <f ca="1">IFERROR(__xludf.UNSUPPORTED("""COMPUTED_VALUE"""),44686.6666666666)</f>
        <v>44686.666666666599</v>
      </c>
      <c r="B844" s="1">
        <f ca="1">IFERROR(__xludf.UNSUPPORTED("""COMPUTED_VALUE"""),64.51)</f>
        <v>64.510000000000005</v>
      </c>
      <c r="C844" s="2">
        <f t="shared" ca="1" si="3"/>
        <v>-7.9963093956634777E-3</v>
      </c>
    </row>
    <row r="845" spans="1:3">
      <c r="A845" s="3">
        <f ca="1">IFERROR(__xludf.UNSUPPORTED("""COMPUTED_VALUE"""),44687.6666666666)</f>
        <v>44687.666666666599</v>
      </c>
      <c r="B845" s="1">
        <f ca="1">IFERROR(__xludf.UNSUPPORTED("""COMPUTED_VALUE"""),64.74)</f>
        <v>64.739999999999995</v>
      </c>
      <c r="C845" s="2">
        <f t="shared" ca="1" si="3"/>
        <v>3.565338707177023E-3</v>
      </c>
    </row>
    <row r="846" spans="1:3">
      <c r="A846" s="3">
        <f ca="1">IFERROR(__xludf.UNSUPPORTED("""COMPUTED_VALUE"""),44690.6666666666)</f>
        <v>44690.666666666599</v>
      </c>
      <c r="B846" s="1">
        <f ca="1">IFERROR(__xludf.UNSUPPORTED("""COMPUTED_VALUE"""),64.61)</f>
        <v>64.61</v>
      </c>
      <c r="C846" s="2">
        <f t="shared" ca="1" si="3"/>
        <v>-2.0080321285139862E-3</v>
      </c>
    </row>
    <row r="847" spans="1:3">
      <c r="A847" s="3">
        <f ca="1">IFERROR(__xludf.UNSUPPORTED("""COMPUTED_VALUE"""),44691.6666666666)</f>
        <v>44691.666666666599</v>
      </c>
      <c r="B847" s="1">
        <f ca="1">IFERROR(__xludf.UNSUPPORTED("""COMPUTED_VALUE"""),64.01)</f>
        <v>64.010000000000005</v>
      </c>
      <c r="C847" s="2">
        <f t="shared" ca="1" si="3"/>
        <v>-9.286488159727508E-3</v>
      </c>
    </row>
    <row r="848" spans="1:3">
      <c r="A848" s="3">
        <f ca="1">IFERROR(__xludf.UNSUPPORTED("""COMPUTED_VALUE"""),44692.6666666666)</f>
        <v>44692.666666666599</v>
      </c>
      <c r="B848" s="1">
        <f ca="1">IFERROR(__xludf.UNSUPPORTED("""COMPUTED_VALUE"""),64.31)</f>
        <v>64.31</v>
      </c>
      <c r="C848" s="2">
        <f t="shared" ca="1" si="3"/>
        <v>4.6867676925479943E-3</v>
      </c>
    </row>
    <row r="849" spans="1:3">
      <c r="A849" s="3">
        <f ca="1">IFERROR(__xludf.UNSUPPORTED("""COMPUTED_VALUE"""),44693.6666666666)</f>
        <v>44693.666666666599</v>
      </c>
      <c r="B849" s="1">
        <f ca="1">IFERROR(__xludf.UNSUPPORTED("""COMPUTED_VALUE"""),64.51)</f>
        <v>64.510000000000005</v>
      </c>
      <c r="C849" s="2">
        <f t="shared" ca="1" si="3"/>
        <v>3.109936246306995E-3</v>
      </c>
    </row>
    <row r="850" spans="1:3">
      <c r="A850" s="3">
        <f ca="1">IFERROR(__xludf.UNSUPPORTED("""COMPUTED_VALUE"""),44694.6666666666)</f>
        <v>44694.666666666599</v>
      </c>
      <c r="B850" s="1">
        <f ca="1">IFERROR(__xludf.UNSUPPORTED("""COMPUTED_VALUE"""),65.72)</f>
        <v>65.72</v>
      </c>
      <c r="C850" s="2">
        <f t="shared" ca="1" si="3"/>
        <v>1.8756781894279859E-2</v>
      </c>
    </row>
    <row r="851" spans="1:3">
      <c r="A851" s="3">
        <f ca="1">IFERROR(__xludf.UNSUPPORTED("""COMPUTED_VALUE"""),44697.6666666666)</f>
        <v>44697.666666666599</v>
      </c>
      <c r="B851" s="1">
        <f ca="1">IFERROR(__xludf.UNSUPPORTED("""COMPUTED_VALUE"""),65.96)</f>
        <v>65.959999999999994</v>
      </c>
      <c r="C851" s="2">
        <f t="shared" ca="1" si="3"/>
        <v>3.6518563603164162E-3</v>
      </c>
    </row>
    <row r="852" spans="1:3">
      <c r="A852" s="3">
        <f ca="1">IFERROR(__xludf.UNSUPPORTED("""COMPUTED_VALUE"""),44698.6666666666)</f>
        <v>44698.666666666599</v>
      </c>
      <c r="B852" s="1">
        <f ca="1">IFERROR(__xludf.UNSUPPORTED("""COMPUTED_VALUE"""),65.78)</f>
        <v>65.78</v>
      </c>
      <c r="C852" s="2">
        <f t="shared" ca="1" si="3"/>
        <v>-2.7289266221951583E-3</v>
      </c>
    </row>
    <row r="853" spans="1:3">
      <c r="A853" s="3">
        <f ca="1">IFERROR(__xludf.UNSUPPORTED("""COMPUTED_VALUE"""),44699.6666666666)</f>
        <v>44699.666666666599</v>
      </c>
      <c r="B853" s="1">
        <f ca="1">IFERROR(__xludf.UNSUPPORTED("""COMPUTED_VALUE"""),61.2)</f>
        <v>61.2</v>
      </c>
      <c r="C853" s="2">
        <f t="shared" ca="1" si="3"/>
        <v>-6.9626026147765252E-2</v>
      </c>
    </row>
    <row r="854" spans="1:3">
      <c r="A854" s="3">
        <f ca="1">IFERROR(__xludf.UNSUPPORTED("""COMPUTED_VALUE"""),44700.6666666666)</f>
        <v>44700.666666666599</v>
      </c>
      <c r="B854" s="1">
        <f ca="1">IFERROR(__xludf.UNSUPPORTED("""COMPUTED_VALUE"""),60)</f>
        <v>60</v>
      </c>
      <c r="C854" s="2">
        <f t="shared" ca="1" si="3"/>
        <v>-1.9607843137254947E-2</v>
      </c>
    </row>
    <row r="855" spans="1:3">
      <c r="A855" s="3">
        <f ca="1">IFERROR(__xludf.UNSUPPORTED("""COMPUTED_VALUE"""),44701.6666666666)</f>
        <v>44701.666666666599</v>
      </c>
      <c r="B855" s="1">
        <f ca="1">IFERROR(__xludf.UNSUPPORTED("""COMPUTED_VALUE"""),60.98)</f>
        <v>60.98</v>
      </c>
      <c r="C855" s="2">
        <f t="shared" ca="1" si="3"/>
        <v>1.633333333333328E-2</v>
      </c>
    </row>
    <row r="856" spans="1:3">
      <c r="A856" s="3">
        <f ca="1">IFERROR(__xludf.UNSUPPORTED("""COMPUTED_VALUE"""),44704.6666666666)</f>
        <v>44704.666666666599</v>
      </c>
      <c r="B856" s="1">
        <f ca="1">IFERROR(__xludf.UNSUPPORTED("""COMPUTED_VALUE"""),62.86)</f>
        <v>62.86</v>
      </c>
      <c r="C856" s="2">
        <f t="shared" ca="1" si="3"/>
        <v>3.0829780255821625E-2</v>
      </c>
    </row>
    <row r="857" spans="1:3">
      <c r="A857" s="3">
        <f ca="1">IFERROR(__xludf.UNSUPPORTED("""COMPUTED_VALUE"""),44705.6666666666)</f>
        <v>44705.666666666599</v>
      </c>
      <c r="B857" s="1">
        <f ca="1">IFERROR(__xludf.UNSUPPORTED("""COMPUTED_VALUE"""),64.02)</f>
        <v>64.02</v>
      </c>
      <c r="C857" s="2">
        <f t="shared" ca="1" si="3"/>
        <v>1.8453706649697688E-2</v>
      </c>
    </row>
    <row r="858" spans="1:3">
      <c r="A858" s="3">
        <f ca="1">IFERROR(__xludf.UNSUPPORTED("""COMPUTED_VALUE"""),44706.6666666666)</f>
        <v>44706.666666666599</v>
      </c>
      <c r="B858" s="1">
        <f ca="1">IFERROR(__xludf.UNSUPPORTED("""COMPUTED_VALUE"""),64.07)</f>
        <v>64.069999999999993</v>
      </c>
      <c r="C858" s="2">
        <f t="shared" ca="1" si="3"/>
        <v>7.810059356450665E-4</v>
      </c>
    </row>
    <row r="859" spans="1:3">
      <c r="A859" s="3">
        <f ca="1">IFERROR(__xludf.UNSUPPORTED("""COMPUTED_VALUE"""),44707.6666666666)</f>
        <v>44707.666666666599</v>
      </c>
      <c r="B859" s="1">
        <f ca="1">IFERROR(__xludf.UNSUPPORTED("""COMPUTED_VALUE"""),64.3)</f>
        <v>64.3</v>
      </c>
      <c r="C859" s="2">
        <f t="shared" ca="1" si="3"/>
        <v>3.589823630404308E-3</v>
      </c>
    </row>
    <row r="860" spans="1:3">
      <c r="A860" s="3">
        <f ca="1">IFERROR(__xludf.UNSUPPORTED("""COMPUTED_VALUE"""),44708.6666666666)</f>
        <v>44708.666666666599</v>
      </c>
      <c r="B860" s="1">
        <f ca="1">IFERROR(__xludf.UNSUPPORTED("""COMPUTED_VALUE"""),64.68)</f>
        <v>64.680000000000007</v>
      </c>
      <c r="C860" s="2">
        <f t="shared" ca="1" si="3"/>
        <v>5.9097978227062161E-3</v>
      </c>
    </row>
    <row r="861" spans="1:3">
      <c r="A861" s="3">
        <f ca="1">IFERROR(__xludf.UNSUPPORTED("""COMPUTED_VALUE"""),44712.6666666666)</f>
        <v>44712.666666666599</v>
      </c>
      <c r="B861" s="1">
        <f ca="1">IFERROR(__xludf.UNSUPPORTED("""COMPUTED_VALUE"""),63.38)</f>
        <v>63.38</v>
      </c>
      <c r="C861" s="2">
        <f t="shared" ca="1" si="3"/>
        <v>-2.0098948670377304E-2</v>
      </c>
    </row>
    <row r="862" spans="1:3">
      <c r="A862" s="3">
        <f ca="1">IFERROR(__xludf.UNSUPPORTED("""COMPUTED_VALUE"""),44713.6666666666)</f>
        <v>44713.666666666599</v>
      </c>
      <c r="B862" s="1">
        <f ca="1">IFERROR(__xludf.UNSUPPORTED("""COMPUTED_VALUE"""),63.07)</f>
        <v>63.07</v>
      </c>
      <c r="C862" s="2">
        <f t="shared" ca="1" si="3"/>
        <v>-4.8911328494793665E-3</v>
      </c>
    </row>
    <row r="863" spans="1:3">
      <c r="A863" s="3">
        <f ca="1">IFERROR(__xludf.UNSUPPORTED("""COMPUTED_VALUE"""),44714.6666666666)</f>
        <v>44714.666666666599</v>
      </c>
      <c r="B863" s="1">
        <f ca="1">IFERROR(__xludf.UNSUPPORTED("""COMPUTED_VALUE"""),63.73)</f>
        <v>63.73</v>
      </c>
      <c r="C863" s="2">
        <f t="shared" ca="1" si="3"/>
        <v>1.0464563183764018E-2</v>
      </c>
    </row>
    <row r="864" spans="1:3">
      <c r="A864" s="3">
        <f ca="1">IFERROR(__xludf.UNSUPPORTED("""COMPUTED_VALUE"""),44715.6666666666)</f>
        <v>44715.666666666599</v>
      </c>
      <c r="B864" s="1">
        <f ca="1">IFERROR(__xludf.UNSUPPORTED("""COMPUTED_VALUE"""),62.97)</f>
        <v>62.97</v>
      </c>
      <c r="C864" s="2">
        <f t="shared" ca="1" si="3"/>
        <v>-1.1925309901145428E-2</v>
      </c>
    </row>
    <row r="865" spans="1:3">
      <c r="A865" s="3">
        <f ca="1">IFERROR(__xludf.UNSUPPORTED("""COMPUTED_VALUE"""),44718.6666666666)</f>
        <v>44718.666666666599</v>
      </c>
      <c r="B865" s="1">
        <f ca="1">IFERROR(__xludf.UNSUPPORTED("""COMPUTED_VALUE"""),62.87)</f>
        <v>62.87</v>
      </c>
      <c r="C865" s="2">
        <f t="shared" ca="1" si="3"/>
        <v>-1.5880578053041356E-3</v>
      </c>
    </row>
    <row r="866" spans="1:3">
      <c r="A866" s="3">
        <f ca="1">IFERROR(__xludf.UNSUPPORTED("""COMPUTED_VALUE"""),44719.6666666666)</f>
        <v>44719.666666666599</v>
      </c>
      <c r="B866" s="1">
        <f ca="1">IFERROR(__xludf.UNSUPPORTED("""COMPUTED_VALUE"""),63.25)</f>
        <v>63.25</v>
      </c>
      <c r="C866" s="2">
        <f t="shared" ca="1" si="3"/>
        <v>6.0442182280897499E-3</v>
      </c>
    </row>
    <row r="867" spans="1:3">
      <c r="A867" s="3">
        <f ca="1">IFERROR(__xludf.UNSUPPORTED("""COMPUTED_VALUE"""),44720.6666666666)</f>
        <v>44720.666666666599</v>
      </c>
      <c r="B867" s="1">
        <f ca="1">IFERROR(__xludf.UNSUPPORTED("""COMPUTED_VALUE"""),62.89)</f>
        <v>62.89</v>
      </c>
      <c r="C867" s="2">
        <f t="shared" ca="1" si="3"/>
        <v>-5.6916996047430739E-3</v>
      </c>
    </row>
    <row r="868" spans="1:3">
      <c r="A868" s="3">
        <f ca="1">IFERROR(__xludf.UNSUPPORTED("""COMPUTED_VALUE"""),44721.6666666666)</f>
        <v>44721.666666666599</v>
      </c>
      <c r="B868" s="1">
        <f ca="1">IFERROR(__xludf.UNSUPPORTED("""COMPUTED_VALUE"""),61.8)</f>
        <v>61.8</v>
      </c>
      <c r="C868" s="2">
        <f t="shared" ca="1" si="3"/>
        <v>-1.7331849260613826E-2</v>
      </c>
    </row>
    <row r="869" spans="1:3">
      <c r="A869" s="3">
        <f ca="1">IFERROR(__xludf.UNSUPPORTED("""COMPUTED_VALUE"""),44722.6666666666)</f>
        <v>44722.666666666599</v>
      </c>
      <c r="B869" s="1">
        <f ca="1">IFERROR(__xludf.UNSUPPORTED("""COMPUTED_VALUE"""),61.41)</f>
        <v>61.41</v>
      </c>
      <c r="C869" s="2">
        <f t="shared" ca="1" si="3"/>
        <v>-6.3106796116504946E-3</v>
      </c>
    </row>
    <row r="870" spans="1:3">
      <c r="A870" s="3">
        <f ca="1">IFERROR(__xludf.UNSUPPORTED("""COMPUTED_VALUE"""),44725.6666666666)</f>
        <v>44725.666666666599</v>
      </c>
      <c r="B870" s="1">
        <f ca="1">IFERROR(__xludf.UNSUPPORTED("""COMPUTED_VALUE"""),61.34)</f>
        <v>61.34</v>
      </c>
      <c r="C870" s="2">
        <f t="shared" ca="1" si="3"/>
        <v>-1.1398794984529097E-3</v>
      </c>
    </row>
    <row r="871" spans="1:3">
      <c r="A871" s="3">
        <f ca="1">IFERROR(__xludf.UNSUPPORTED("""COMPUTED_VALUE"""),44726.6666666666)</f>
        <v>44726.666666666599</v>
      </c>
      <c r="B871" s="1">
        <f ca="1">IFERROR(__xludf.UNSUPPORTED("""COMPUTED_VALUE"""),59.23)</f>
        <v>59.23</v>
      </c>
      <c r="C871" s="2">
        <f t="shared" ca="1" si="3"/>
        <v>-3.4398434952722635E-2</v>
      </c>
    </row>
    <row r="872" spans="1:3">
      <c r="A872" s="3">
        <f ca="1">IFERROR(__xludf.UNSUPPORTED("""COMPUTED_VALUE"""),44727.6666666666)</f>
        <v>44727.666666666599</v>
      </c>
      <c r="B872" s="1">
        <f ca="1">IFERROR(__xludf.UNSUPPORTED("""COMPUTED_VALUE"""),59.67)</f>
        <v>59.67</v>
      </c>
      <c r="C872" s="2">
        <f t="shared" ca="1" si="3"/>
        <v>7.4286679047780657E-3</v>
      </c>
    </row>
    <row r="873" spans="1:3">
      <c r="A873" s="3">
        <f ca="1">IFERROR(__xludf.UNSUPPORTED("""COMPUTED_VALUE"""),44728.6666666666)</f>
        <v>44728.666666666599</v>
      </c>
      <c r="B873" s="1">
        <f ca="1">IFERROR(__xludf.UNSUPPORTED("""COMPUTED_VALUE"""),59.07)</f>
        <v>59.07</v>
      </c>
      <c r="C873" s="2">
        <f t="shared" ca="1" si="3"/>
        <v>-1.0055304172951255E-2</v>
      </c>
    </row>
    <row r="874" spans="1:3">
      <c r="A874" s="3">
        <f ca="1">IFERROR(__xludf.UNSUPPORTED("""COMPUTED_VALUE"""),44729.6666666666)</f>
        <v>44729.666666666599</v>
      </c>
      <c r="B874" s="1">
        <f ca="1">IFERROR(__xludf.UNSUPPORTED("""COMPUTED_VALUE"""),59.43)</f>
        <v>59.43</v>
      </c>
      <c r="C874" s="2">
        <f t="shared" ca="1" si="3"/>
        <v>6.0944641950228442E-3</v>
      </c>
    </row>
    <row r="875" spans="1:3">
      <c r="A875" s="3">
        <f ca="1">IFERROR(__xludf.UNSUPPORTED("""COMPUTED_VALUE"""),44733.6666666666)</f>
        <v>44733.666666666599</v>
      </c>
      <c r="B875" s="1">
        <f ca="1">IFERROR(__xludf.UNSUPPORTED("""COMPUTED_VALUE"""),60.7)</f>
        <v>60.7</v>
      </c>
      <c r="C875" s="2">
        <f t="shared" ca="1" si="3"/>
        <v>2.1369678613494921E-2</v>
      </c>
    </row>
    <row r="876" spans="1:3">
      <c r="A876" s="3">
        <f ca="1">IFERROR(__xludf.UNSUPPORTED("""COMPUTED_VALUE"""),44734.6666666666)</f>
        <v>44734.666666666599</v>
      </c>
      <c r="B876" s="1">
        <f ca="1">IFERROR(__xludf.UNSUPPORTED("""COMPUTED_VALUE"""),61.15)</f>
        <v>61.15</v>
      </c>
      <c r="C876" s="2">
        <f t="shared" ca="1" si="3"/>
        <v>7.4135090609554486E-3</v>
      </c>
    </row>
    <row r="877" spans="1:3">
      <c r="A877" s="3">
        <f ca="1">IFERROR(__xludf.UNSUPPORTED("""COMPUTED_VALUE"""),44735.6666666666)</f>
        <v>44735.666666666599</v>
      </c>
      <c r="B877" s="1">
        <f ca="1">IFERROR(__xludf.UNSUPPORTED("""COMPUTED_VALUE"""),61.88)</f>
        <v>61.88</v>
      </c>
      <c r="C877" s="2">
        <f t="shared" ca="1" si="3"/>
        <v>1.1937857726901127E-2</v>
      </c>
    </row>
    <row r="878" spans="1:3">
      <c r="A878" s="3">
        <f ca="1">IFERROR(__xludf.UNSUPPORTED("""COMPUTED_VALUE"""),44736.6666666666)</f>
        <v>44736.666666666599</v>
      </c>
      <c r="B878" s="1">
        <f ca="1">IFERROR(__xludf.UNSUPPORTED("""COMPUTED_VALUE"""),63.04)</f>
        <v>63.04</v>
      </c>
      <c r="C878" s="2">
        <f t="shared" ca="1" si="3"/>
        <v>1.8745959922430454E-2</v>
      </c>
    </row>
    <row r="879" spans="1:3">
      <c r="A879" s="3">
        <f ca="1">IFERROR(__xludf.UNSUPPORTED("""COMPUTED_VALUE"""),44739.6666666666)</f>
        <v>44739.666666666599</v>
      </c>
      <c r="B879" s="1">
        <f ca="1">IFERROR(__xludf.UNSUPPORTED("""COMPUTED_VALUE"""),62.91)</f>
        <v>62.91</v>
      </c>
      <c r="C879" s="2">
        <f t="shared" ca="1" si="3"/>
        <v>-2.0621827411167917E-3</v>
      </c>
    </row>
    <row r="880" spans="1:3">
      <c r="A880" s="3">
        <f ca="1">IFERROR(__xludf.UNSUPPORTED("""COMPUTED_VALUE"""),44740.6666666666)</f>
        <v>44740.666666666599</v>
      </c>
      <c r="B880" s="1">
        <f ca="1">IFERROR(__xludf.UNSUPPORTED("""COMPUTED_VALUE"""),62.28)</f>
        <v>62.28</v>
      </c>
      <c r="C880" s="2">
        <f t="shared" ca="1" si="3"/>
        <v>-1.0014306151645136E-2</v>
      </c>
    </row>
    <row r="881" spans="1:3">
      <c r="A881" s="3">
        <f ca="1">IFERROR(__xludf.UNSUPPORTED("""COMPUTED_VALUE"""),44741.6666666666)</f>
        <v>44741.666666666599</v>
      </c>
      <c r="B881" s="1">
        <f ca="1">IFERROR(__xludf.UNSUPPORTED("""COMPUTED_VALUE"""),62.73)</f>
        <v>62.73</v>
      </c>
      <c r="C881" s="2">
        <f t="shared" ca="1" si="3"/>
        <v>7.225433526011492E-3</v>
      </c>
    </row>
    <row r="882" spans="1:3">
      <c r="A882" s="3">
        <f ca="1">IFERROR(__xludf.UNSUPPORTED("""COMPUTED_VALUE"""),44742.6666666666)</f>
        <v>44742.666666666599</v>
      </c>
      <c r="B882" s="1">
        <f ca="1">IFERROR(__xludf.UNSUPPORTED("""COMPUTED_VALUE"""),62.91)</f>
        <v>62.91</v>
      </c>
      <c r="C882" s="2">
        <f t="shared" ca="1" si="3"/>
        <v>2.8694404591104693E-3</v>
      </c>
    </row>
    <row r="883" spans="1:3">
      <c r="A883" s="3">
        <f ca="1">IFERROR(__xludf.UNSUPPORTED("""COMPUTED_VALUE"""),44743.6666666666)</f>
        <v>44743.666666666599</v>
      </c>
      <c r="B883" s="1">
        <f ca="1">IFERROR(__xludf.UNSUPPORTED("""COMPUTED_VALUE"""),64.38)</f>
        <v>64.38</v>
      </c>
      <c r="C883" s="2">
        <f t="shared" ca="1" si="3"/>
        <v>2.3366714353838802E-2</v>
      </c>
    </row>
    <row r="884" spans="1:3">
      <c r="A884" s="3">
        <f ca="1">IFERROR(__xludf.UNSUPPORTED("""COMPUTED_VALUE"""),44747.6666666666)</f>
        <v>44747.666666666599</v>
      </c>
      <c r="B884" s="1">
        <f ca="1">IFERROR(__xludf.UNSUPPORTED("""COMPUTED_VALUE"""),63.28)</f>
        <v>63.28</v>
      </c>
      <c r="C884" s="2">
        <f t="shared" ca="1" si="3"/>
        <v>-1.7086051568810101E-2</v>
      </c>
    </row>
    <row r="885" spans="1:3">
      <c r="A885" s="3">
        <f ca="1">IFERROR(__xludf.UNSUPPORTED("""COMPUTED_VALUE"""),44748.6666666666)</f>
        <v>44748.666666666599</v>
      </c>
      <c r="B885" s="1">
        <f ca="1">IFERROR(__xludf.UNSUPPORTED("""COMPUTED_VALUE"""),63.41)</f>
        <v>63.41</v>
      </c>
      <c r="C885" s="2">
        <f t="shared" ca="1" si="3"/>
        <v>2.0543615676358322E-3</v>
      </c>
    </row>
    <row r="886" spans="1:3">
      <c r="A886" s="3">
        <f ca="1">IFERROR(__xludf.UNSUPPORTED("""COMPUTED_VALUE"""),44749.6666666666)</f>
        <v>44749.666666666599</v>
      </c>
      <c r="B886" s="1">
        <f ca="1">IFERROR(__xludf.UNSUPPORTED("""COMPUTED_VALUE"""),62.91)</f>
        <v>62.91</v>
      </c>
      <c r="C886" s="2">
        <f t="shared" ca="1" si="3"/>
        <v>-7.8851916101561267E-3</v>
      </c>
    </row>
    <row r="887" spans="1:3">
      <c r="A887" s="3">
        <f ca="1">IFERROR(__xludf.UNSUPPORTED("""COMPUTED_VALUE"""),44750.6666666666)</f>
        <v>44750.666666666599</v>
      </c>
      <c r="B887" s="1">
        <f ca="1">IFERROR(__xludf.UNSUPPORTED("""COMPUTED_VALUE"""),63.14)</f>
        <v>63.14</v>
      </c>
      <c r="C887" s="2">
        <f t="shared" ca="1" si="3"/>
        <v>3.6560165315530756E-3</v>
      </c>
    </row>
    <row r="888" spans="1:3">
      <c r="A888" s="3">
        <f ca="1">IFERROR(__xludf.UNSUPPORTED("""COMPUTED_VALUE"""),44753.6666666666)</f>
        <v>44753.666666666599</v>
      </c>
      <c r="B888" s="1">
        <f ca="1">IFERROR(__xludf.UNSUPPORTED("""COMPUTED_VALUE"""),62.94)</f>
        <v>62.94</v>
      </c>
      <c r="C888" s="2">
        <f t="shared" ca="1" si="3"/>
        <v>-3.1675641431739444E-3</v>
      </c>
    </row>
    <row r="889" spans="1:3">
      <c r="A889" s="3">
        <f ca="1">IFERROR(__xludf.UNSUPPORTED("""COMPUTED_VALUE"""),44754.6666666666)</f>
        <v>44754.666666666599</v>
      </c>
      <c r="B889" s="1">
        <f ca="1">IFERROR(__xludf.UNSUPPORTED("""COMPUTED_VALUE"""),62.67)</f>
        <v>62.67</v>
      </c>
      <c r="C889" s="2">
        <f t="shared" ca="1" si="3"/>
        <v>-4.2897998093421675E-3</v>
      </c>
    </row>
    <row r="890" spans="1:3">
      <c r="A890" s="3">
        <f ca="1">IFERROR(__xludf.UNSUPPORTED("""COMPUTED_VALUE"""),44755.6666666666)</f>
        <v>44755.666666666599</v>
      </c>
      <c r="B890" s="1">
        <f ca="1">IFERROR(__xludf.UNSUPPORTED("""COMPUTED_VALUE"""),62.38)</f>
        <v>62.38</v>
      </c>
      <c r="C890" s="2">
        <f t="shared" ca="1" si="3"/>
        <v>-4.627413435455547E-3</v>
      </c>
    </row>
    <row r="891" spans="1:3">
      <c r="A891" s="3">
        <f ca="1">IFERROR(__xludf.UNSUPPORTED("""COMPUTED_VALUE"""),44756.6666666666)</f>
        <v>44756.666666666599</v>
      </c>
      <c r="B891" s="1">
        <f ca="1">IFERROR(__xludf.UNSUPPORTED("""COMPUTED_VALUE"""),62.18)</f>
        <v>62.18</v>
      </c>
      <c r="C891" s="2">
        <f t="shared" ca="1" si="3"/>
        <v>-3.2061558191728572E-3</v>
      </c>
    </row>
    <row r="892" spans="1:3">
      <c r="A892" s="3">
        <f ca="1">IFERROR(__xludf.UNSUPPORTED("""COMPUTED_VALUE"""),44757.6666666666)</f>
        <v>44757.666666666599</v>
      </c>
      <c r="B892" s="1">
        <f ca="1">IFERROR(__xludf.UNSUPPORTED("""COMPUTED_VALUE"""),62.5)</f>
        <v>62.5</v>
      </c>
      <c r="C892" s="2">
        <f t="shared" ca="1" si="3"/>
        <v>5.146349308459316E-3</v>
      </c>
    </row>
    <row r="893" spans="1:3">
      <c r="A893" s="3">
        <f ca="1">IFERROR(__xludf.UNSUPPORTED("""COMPUTED_VALUE"""),44760.6666666666)</f>
        <v>44760.666666666599</v>
      </c>
      <c r="B893" s="1">
        <f ca="1">IFERROR(__xludf.UNSUPPORTED("""COMPUTED_VALUE"""),61.65)</f>
        <v>61.65</v>
      </c>
      <c r="C893" s="2">
        <f t="shared" ca="1" si="3"/>
        <v>-1.3600000000000024E-2</v>
      </c>
    </row>
    <row r="894" spans="1:3">
      <c r="A894" s="3">
        <f ca="1">IFERROR(__xludf.UNSUPPORTED("""COMPUTED_VALUE"""),44761.6666666666)</f>
        <v>44761.666666666599</v>
      </c>
      <c r="B894" s="1">
        <f ca="1">IFERROR(__xludf.UNSUPPORTED("""COMPUTED_VALUE"""),62.53)</f>
        <v>62.53</v>
      </c>
      <c r="C894" s="2">
        <f t="shared" ca="1" si="3"/>
        <v>1.4274128142741323E-2</v>
      </c>
    </row>
    <row r="895" spans="1:3">
      <c r="A895" s="3">
        <f ca="1">IFERROR(__xludf.UNSUPPORTED("""COMPUTED_VALUE"""),44762.6666666666)</f>
        <v>44762.666666666599</v>
      </c>
      <c r="B895" s="1">
        <f ca="1">IFERROR(__xludf.UNSUPPORTED("""COMPUTED_VALUE"""),61.5)</f>
        <v>61.5</v>
      </c>
      <c r="C895" s="2">
        <f t="shared" ca="1" si="3"/>
        <v>-1.6472093395170338E-2</v>
      </c>
    </row>
    <row r="896" spans="1:3">
      <c r="A896" s="3">
        <f ca="1">IFERROR(__xludf.UNSUPPORTED("""COMPUTED_VALUE"""),44763.6666666666)</f>
        <v>44763.666666666599</v>
      </c>
      <c r="B896" s="1">
        <f ca="1">IFERROR(__xludf.UNSUPPORTED("""COMPUTED_VALUE"""),61.36)</f>
        <v>61.36</v>
      </c>
      <c r="C896" s="2">
        <f t="shared" ca="1" si="3"/>
        <v>-2.2764227642276514E-3</v>
      </c>
    </row>
    <row r="897" spans="1:3">
      <c r="A897" s="3">
        <f ca="1">IFERROR(__xludf.UNSUPPORTED("""COMPUTED_VALUE"""),44764.6666666666)</f>
        <v>44764.666666666599</v>
      </c>
      <c r="B897" s="1">
        <f ca="1">IFERROR(__xludf.UNSUPPORTED("""COMPUTED_VALUE"""),61.59)</f>
        <v>61.59</v>
      </c>
      <c r="C897" s="2">
        <f t="shared" ca="1" si="3"/>
        <v>3.7483702737940673E-3</v>
      </c>
    </row>
    <row r="898" spans="1:3">
      <c r="A898" s="3">
        <f ca="1">IFERROR(__xludf.UNSUPPORTED("""COMPUTED_VALUE"""),44767.6666666666)</f>
        <v>44767.666666666599</v>
      </c>
      <c r="B898" s="1">
        <f ca="1">IFERROR(__xludf.UNSUPPORTED("""COMPUTED_VALUE"""),62.19)</f>
        <v>62.19</v>
      </c>
      <c r="C898" s="2">
        <f t="shared" ca="1" si="3"/>
        <v>9.7418412079882163E-3</v>
      </c>
    </row>
    <row r="899" spans="1:3">
      <c r="A899" s="3">
        <f ca="1">IFERROR(__xludf.UNSUPPORTED("""COMPUTED_VALUE"""),44768.6666666666)</f>
        <v>44768.666666666599</v>
      </c>
      <c r="B899" s="1">
        <f ca="1">IFERROR(__xludf.UNSUPPORTED("""COMPUTED_VALUE"""),63.21)</f>
        <v>63.21</v>
      </c>
      <c r="C899" s="2">
        <f t="shared" ca="1" si="3"/>
        <v>1.6401350699469418E-2</v>
      </c>
    </row>
    <row r="900" spans="1:3">
      <c r="A900" s="3">
        <f ca="1">IFERROR(__xludf.UNSUPPORTED("""COMPUTED_VALUE"""),44769.6666666666)</f>
        <v>44769.666666666599</v>
      </c>
      <c r="B900" s="1">
        <f ca="1">IFERROR(__xludf.UNSUPPORTED("""COMPUTED_VALUE"""),63.01)</f>
        <v>63.01</v>
      </c>
      <c r="C900" s="2">
        <f t="shared" ca="1" si="3"/>
        <v>-3.1640563202025443E-3</v>
      </c>
    </row>
    <row r="901" spans="1:3">
      <c r="A901" s="3">
        <f ca="1">IFERROR(__xludf.UNSUPPORTED("""COMPUTED_VALUE"""),44770.6666666666)</f>
        <v>44770.666666666599</v>
      </c>
      <c r="B901" s="1">
        <f ca="1">IFERROR(__xludf.UNSUPPORTED("""COMPUTED_VALUE"""),64.06)</f>
        <v>64.06</v>
      </c>
      <c r="C901" s="2">
        <f t="shared" ca="1" si="3"/>
        <v>1.6664021583875643E-2</v>
      </c>
    </row>
    <row r="902" spans="1:3">
      <c r="A902" s="3">
        <f ca="1">IFERROR(__xludf.UNSUPPORTED("""COMPUTED_VALUE"""),44771.6666666666)</f>
        <v>44771.666666666599</v>
      </c>
      <c r="B902" s="1">
        <f ca="1">IFERROR(__xludf.UNSUPPORTED("""COMPUTED_VALUE"""),64.17)</f>
        <v>64.17</v>
      </c>
      <c r="C902" s="2">
        <f t="shared" ca="1" si="3"/>
        <v>1.7171401810802283E-3</v>
      </c>
    </row>
    <row r="903" spans="1:3">
      <c r="A903" s="3">
        <f ca="1">IFERROR(__xludf.UNSUPPORTED("""COMPUTED_VALUE"""),44774.6666666666)</f>
        <v>44774.666666666599</v>
      </c>
      <c r="B903" s="1">
        <f ca="1">IFERROR(__xludf.UNSUPPORTED("""COMPUTED_VALUE"""),64.52)</f>
        <v>64.52</v>
      </c>
      <c r="C903" s="2">
        <f t="shared" ca="1" si="3"/>
        <v>5.4542621162536123E-3</v>
      </c>
    </row>
    <row r="904" spans="1:3">
      <c r="A904" s="3">
        <f ca="1">IFERROR(__xludf.UNSUPPORTED("""COMPUTED_VALUE"""),44775.6666666666)</f>
        <v>44775.666666666599</v>
      </c>
      <c r="B904" s="1">
        <f ca="1">IFERROR(__xludf.UNSUPPORTED("""COMPUTED_VALUE"""),63.64)</f>
        <v>63.64</v>
      </c>
      <c r="C904" s="2">
        <f t="shared" ca="1" si="3"/>
        <v>-1.3639181649100985E-2</v>
      </c>
    </row>
    <row r="905" spans="1:3">
      <c r="A905" s="3">
        <f ca="1">IFERROR(__xludf.UNSUPPORTED("""COMPUTED_VALUE"""),44776.6666666666)</f>
        <v>44776.666666666599</v>
      </c>
      <c r="B905" s="1">
        <f ca="1">IFERROR(__xludf.UNSUPPORTED("""COMPUTED_VALUE"""),63.92)</f>
        <v>63.92</v>
      </c>
      <c r="C905" s="2">
        <f t="shared" ca="1" si="3"/>
        <v>4.3997485857951149E-3</v>
      </c>
    </row>
    <row r="906" spans="1:3">
      <c r="A906" s="3">
        <f ca="1">IFERROR(__xludf.UNSUPPORTED("""COMPUTED_VALUE"""),44777.6666666666)</f>
        <v>44777.666666666599</v>
      </c>
      <c r="B906" s="1">
        <f ca="1">IFERROR(__xludf.UNSUPPORTED("""COMPUTED_VALUE"""),63.67)</f>
        <v>63.67</v>
      </c>
      <c r="C906" s="2">
        <f t="shared" ca="1" si="3"/>
        <v>-3.9111389236545684E-3</v>
      </c>
    </row>
    <row r="907" spans="1:3">
      <c r="A907" s="3">
        <f ca="1">IFERROR(__xludf.UNSUPPORTED("""COMPUTED_VALUE"""),44778.6666666666)</f>
        <v>44778.666666666599</v>
      </c>
      <c r="B907" s="1">
        <f ca="1">IFERROR(__xludf.UNSUPPORTED("""COMPUTED_VALUE"""),63.38)</f>
        <v>63.38</v>
      </c>
      <c r="C907" s="2">
        <f t="shared" ca="1" si="3"/>
        <v>-4.554735354169925E-3</v>
      </c>
    </row>
    <row r="908" spans="1:3">
      <c r="A908" s="3">
        <f ca="1">IFERROR(__xludf.UNSUPPORTED("""COMPUTED_VALUE"""),44781.6666666666)</f>
        <v>44781.666666666599</v>
      </c>
      <c r="B908" s="1">
        <f ca="1">IFERROR(__xludf.UNSUPPORTED("""COMPUTED_VALUE"""),62.97)</f>
        <v>62.97</v>
      </c>
      <c r="C908" s="2">
        <f t="shared" ca="1" si="3"/>
        <v>-6.4689176396340118E-3</v>
      </c>
    </row>
    <row r="909" spans="1:3">
      <c r="A909" s="3">
        <f ca="1">IFERROR(__xludf.UNSUPPORTED("""COMPUTED_VALUE"""),44782.6666666666)</f>
        <v>44782.666666666599</v>
      </c>
      <c r="B909" s="1">
        <f ca="1">IFERROR(__xludf.UNSUPPORTED("""COMPUTED_VALUE"""),63.05)</f>
        <v>63.05</v>
      </c>
      <c r="C909" s="2">
        <f t="shared" ca="1" si="3"/>
        <v>1.2704462442432634E-3</v>
      </c>
    </row>
    <row r="910" spans="1:3">
      <c r="A910" s="3">
        <f ca="1">IFERROR(__xludf.UNSUPPORTED("""COMPUTED_VALUE"""),44783.6666666666)</f>
        <v>44783.666666666599</v>
      </c>
      <c r="B910" s="1">
        <f ca="1">IFERROR(__xludf.UNSUPPORTED("""COMPUTED_VALUE"""),63.65)</f>
        <v>63.65</v>
      </c>
      <c r="C910" s="2">
        <f t="shared" ca="1" si="3"/>
        <v>9.5162569389373747E-3</v>
      </c>
    </row>
    <row r="911" spans="1:3">
      <c r="A911" s="3">
        <f ca="1">IFERROR(__xludf.UNSUPPORTED("""COMPUTED_VALUE"""),44784.6666666666)</f>
        <v>44784.666666666599</v>
      </c>
      <c r="B911" s="1">
        <f ca="1">IFERROR(__xludf.UNSUPPORTED("""COMPUTED_VALUE"""),63.22)</f>
        <v>63.22</v>
      </c>
      <c r="C911" s="2">
        <f t="shared" ca="1" si="3"/>
        <v>-6.7556952081696733E-3</v>
      </c>
    </row>
    <row r="912" spans="1:3">
      <c r="A912" s="3">
        <f ca="1">IFERROR(__xludf.UNSUPPORTED("""COMPUTED_VALUE"""),44785.6666666666)</f>
        <v>44785.666666666599</v>
      </c>
      <c r="B912" s="1">
        <f ca="1">IFERROR(__xludf.UNSUPPORTED("""COMPUTED_VALUE"""),63.7)</f>
        <v>63.7</v>
      </c>
      <c r="C912" s="2">
        <f t="shared" ca="1" si="3"/>
        <v>7.5925340082253082E-3</v>
      </c>
    </row>
    <row r="913" spans="1:3">
      <c r="A913" s="3">
        <f ca="1">IFERROR(__xludf.UNSUPPORTED("""COMPUTED_VALUE"""),44788.6666666666)</f>
        <v>44788.666666666599</v>
      </c>
      <c r="B913" s="1">
        <f ca="1">IFERROR(__xludf.UNSUPPORTED("""COMPUTED_VALUE"""),64.5)</f>
        <v>64.5</v>
      </c>
      <c r="C913" s="2">
        <f t="shared" ca="1" si="3"/>
        <v>1.25588697017268E-2</v>
      </c>
    </row>
    <row r="914" spans="1:3">
      <c r="A914" s="3">
        <f ca="1">IFERROR(__xludf.UNSUPPORTED("""COMPUTED_VALUE"""),44789.6666666666)</f>
        <v>44789.666666666599</v>
      </c>
      <c r="B914" s="1">
        <f ca="1">IFERROR(__xludf.UNSUPPORTED("""COMPUTED_VALUE"""),65.03)</f>
        <v>65.03</v>
      </c>
      <c r="C914" s="2">
        <f t="shared" ca="1" si="3"/>
        <v>8.2170542635659084E-3</v>
      </c>
    </row>
    <row r="915" spans="1:3">
      <c r="A915" s="3">
        <f ca="1">IFERROR(__xludf.UNSUPPORTED("""COMPUTED_VALUE"""),44790.6666666666)</f>
        <v>44790.666666666599</v>
      </c>
      <c r="B915" s="1">
        <f ca="1">IFERROR(__xludf.UNSUPPORTED("""COMPUTED_VALUE"""),64.88)</f>
        <v>64.88</v>
      </c>
      <c r="C915" s="2">
        <f t="shared" ca="1" si="3"/>
        <v>-2.3066277102876472E-3</v>
      </c>
    </row>
    <row r="916" spans="1:3">
      <c r="A916" s="3">
        <f ca="1">IFERROR(__xludf.UNSUPPORTED("""COMPUTED_VALUE"""),44791.6666666666)</f>
        <v>44791.666666666599</v>
      </c>
      <c r="B916" s="1">
        <f ca="1">IFERROR(__xludf.UNSUPPORTED("""COMPUTED_VALUE"""),65.22)</f>
        <v>65.22</v>
      </c>
      <c r="C916" s="2">
        <f t="shared" ca="1" si="3"/>
        <v>5.2404438964242205E-3</v>
      </c>
    </row>
    <row r="917" spans="1:3">
      <c r="A917" s="3">
        <f ca="1">IFERROR(__xludf.UNSUPPORTED("""COMPUTED_VALUE"""),44792.6666666666)</f>
        <v>44792.666666666599</v>
      </c>
      <c r="B917" s="1">
        <f ca="1">IFERROR(__xludf.UNSUPPORTED("""COMPUTED_VALUE"""),65.17)</f>
        <v>65.17</v>
      </c>
      <c r="C917" s="2">
        <f t="shared" ca="1" si="3"/>
        <v>-7.6663600122657408E-4</v>
      </c>
    </row>
    <row r="918" spans="1:3">
      <c r="A918" s="3">
        <f ca="1">IFERROR(__xludf.UNSUPPORTED("""COMPUTED_VALUE"""),44795.6666666666)</f>
        <v>44795.666666666599</v>
      </c>
      <c r="B918" s="1">
        <f ca="1">IFERROR(__xludf.UNSUPPORTED("""COMPUTED_VALUE"""),64.2)</f>
        <v>64.2</v>
      </c>
      <c r="C918" s="2">
        <f t="shared" ca="1" si="3"/>
        <v>-1.488414914838114E-2</v>
      </c>
    </row>
    <row r="919" spans="1:3">
      <c r="A919" s="3">
        <f ca="1">IFERROR(__xludf.UNSUPPORTED("""COMPUTED_VALUE"""),44796.6666666666)</f>
        <v>44796.666666666599</v>
      </c>
      <c r="B919" s="1">
        <f ca="1">IFERROR(__xludf.UNSUPPORTED("""COMPUTED_VALUE"""),64.27)</f>
        <v>64.27</v>
      </c>
      <c r="C919" s="2">
        <f t="shared" ca="1" si="3"/>
        <v>1.0903426791276196E-3</v>
      </c>
    </row>
    <row r="920" spans="1:3">
      <c r="A920" s="3">
        <f ca="1">IFERROR(__xludf.UNSUPPORTED("""COMPUTED_VALUE"""),44797.6666666666)</f>
        <v>44797.666666666599</v>
      </c>
      <c r="B920" s="1">
        <f ca="1">IFERROR(__xludf.UNSUPPORTED("""COMPUTED_VALUE"""),64.36)</f>
        <v>64.36</v>
      </c>
      <c r="C920" s="2">
        <f t="shared" ca="1" si="3"/>
        <v>1.4003423058970503E-3</v>
      </c>
    </row>
    <row r="921" spans="1:3">
      <c r="A921" s="3">
        <f ca="1">IFERROR(__xludf.UNSUPPORTED("""COMPUTED_VALUE"""),44798.6666666666)</f>
        <v>44798.666666666599</v>
      </c>
      <c r="B921" s="1">
        <f ca="1">IFERROR(__xludf.UNSUPPORTED("""COMPUTED_VALUE"""),64.67)</f>
        <v>64.67</v>
      </c>
      <c r="C921" s="2">
        <f t="shared" ca="1" si="3"/>
        <v>4.8166563082660393E-3</v>
      </c>
    </row>
    <row r="922" spans="1:3">
      <c r="A922" s="3">
        <f ca="1">IFERROR(__xludf.UNSUPPORTED("""COMPUTED_VALUE"""),44799.6666666666)</f>
        <v>44799.666666666599</v>
      </c>
      <c r="B922" s="1">
        <f ca="1">IFERROR(__xludf.UNSUPPORTED("""COMPUTED_VALUE"""),63.11)</f>
        <v>63.11</v>
      </c>
      <c r="C922" s="2">
        <f t="shared" ca="1" si="3"/>
        <v>-2.4122467914025086E-2</v>
      </c>
    </row>
    <row r="923" spans="1:3">
      <c r="A923" s="3">
        <f ca="1">IFERROR(__xludf.UNSUPPORTED("""COMPUTED_VALUE"""),44802.6666666666)</f>
        <v>44802.666666666599</v>
      </c>
      <c r="B923" s="1">
        <f ca="1">IFERROR(__xludf.UNSUPPORTED("""COMPUTED_VALUE"""),62.73)</f>
        <v>62.73</v>
      </c>
      <c r="C923" s="2">
        <f t="shared" ca="1" si="3"/>
        <v>-6.0212327681825788E-3</v>
      </c>
    </row>
    <row r="924" spans="1:3">
      <c r="A924" s="3">
        <f ca="1">IFERROR(__xludf.UNSUPPORTED("""COMPUTED_VALUE"""),44803.6666666666)</f>
        <v>44803.666666666599</v>
      </c>
      <c r="B924" s="1">
        <f ca="1">IFERROR(__xludf.UNSUPPORTED("""COMPUTED_VALUE"""),62.15)</f>
        <v>62.15</v>
      </c>
      <c r="C924" s="2">
        <f t="shared" ca="1" si="3"/>
        <v>-9.2459748126892758E-3</v>
      </c>
    </row>
    <row r="925" spans="1:3">
      <c r="A925" s="3">
        <f ca="1">IFERROR(__xludf.UNSUPPORTED("""COMPUTED_VALUE"""),44804.6666666666)</f>
        <v>44804.666666666599</v>
      </c>
      <c r="B925" s="1">
        <f ca="1">IFERROR(__xludf.UNSUPPORTED("""COMPUTED_VALUE"""),61.71)</f>
        <v>61.71</v>
      </c>
      <c r="C925" s="2">
        <f t="shared" ca="1" si="3"/>
        <v>-7.0796460176990785E-3</v>
      </c>
    </row>
    <row r="926" spans="1:3">
      <c r="A926" s="3">
        <f ca="1">IFERROR(__xludf.UNSUPPORTED("""COMPUTED_VALUE"""),44805.6666666666)</f>
        <v>44805.666666666599</v>
      </c>
      <c r="B926" s="1">
        <f ca="1">IFERROR(__xludf.UNSUPPORTED("""COMPUTED_VALUE"""),62)</f>
        <v>62</v>
      </c>
      <c r="C926" s="2">
        <f t="shared" ca="1" si="3"/>
        <v>4.6994004213255407E-3</v>
      </c>
    </row>
    <row r="927" spans="1:3">
      <c r="A927" s="3">
        <f ca="1">IFERROR(__xludf.UNSUPPORTED("""COMPUTED_VALUE"""),44806.6666666666)</f>
        <v>44806.666666666599</v>
      </c>
      <c r="B927" s="1">
        <f ca="1">IFERROR(__xludf.UNSUPPORTED("""COMPUTED_VALUE"""),61.15)</f>
        <v>61.15</v>
      </c>
      <c r="C927" s="2">
        <f t="shared" ca="1" si="3"/>
        <v>-1.3709677419354862E-2</v>
      </c>
    </row>
    <row r="928" spans="1:3">
      <c r="A928" s="3">
        <f ca="1">IFERROR(__xludf.UNSUPPORTED("""COMPUTED_VALUE"""),44810.6666666666)</f>
        <v>44810.666666666599</v>
      </c>
      <c r="B928" s="1">
        <f ca="1">IFERROR(__xludf.UNSUPPORTED("""COMPUTED_VALUE"""),61.18)</f>
        <v>61.18</v>
      </c>
      <c r="C928" s="2">
        <f t="shared" ca="1" si="3"/>
        <v>4.9059689288636363E-4</v>
      </c>
    </row>
    <row r="929" spans="1:3">
      <c r="A929" s="3">
        <f ca="1">IFERROR(__xludf.UNSUPPORTED("""COMPUTED_VALUE"""),44811.6666666666)</f>
        <v>44811.666666666599</v>
      </c>
      <c r="B929" s="1">
        <f ca="1">IFERROR(__xludf.UNSUPPORTED("""COMPUTED_VALUE"""),62.31)</f>
        <v>62.31</v>
      </c>
      <c r="C929" s="2">
        <f t="shared" ca="1" si="3"/>
        <v>1.8470088264138651E-2</v>
      </c>
    </row>
    <row r="930" spans="1:3">
      <c r="A930" s="3">
        <f ca="1">IFERROR(__xludf.UNSUPPORTED("""COMPUTED_VALUE"""),44812.6666666666)</f>
        <v>44812.666666666599</v>
      </c>
      <c r="B930" s="1">
        <f ca="1">IFERROR(__xludf.UNSUPPORTED("""COMPUTED_VALUE"""),62.12)</f>
        <v>62.12</v>
      </c>
      <c r="C930" s="2">
        <f t="shared" ca="1" si="3"/>
        <v>-3.0492697801316774E-3</v>
      </c>
    </row>
    <row r="931" spans="1:3">
      <c r="A931" s="3">
        <f ca="1">IFERROR(__xludf.UNSUPPORTED("""COMPUTED_VALUE"""),44813.6666666666)</f>
        <v>44813.666666666599</v>
      </c>
      <c r="B931" s="1">
        <f ca="1">IFERROR(__xludf.UNSUPPORTED("""COMPUTED_VALUE"""),62.32)</f>
        <v>62.32</v>
      </c>
      <c r="C931" s="2">
        <f t="shared" ca="1" si="3"/>
        <v>3.2195750160979209E-3</v>
      </c>
    </row>
    <row r="932" spans="1:3">
      <c r="A932" s="3">
        <f ca="1">IFERROR(__xludf.UNSUPPORTED("""COMPUTED_VALUE"""),44816.6666666666)</f>
        <v>44816.666666666599</v>
      </c>
      <c r="B932" s="1">
        <f ca="1">IFERROR(__xludf.UNSUPPORTED("""COMPUTED_VALUE"""),62.5)</f>
        <v>62.5</v>
      </c>
      <c r="C932" s="2">
        <f t="shared" ca="1" si="3"/>
        <v>2.8883183568677744E-3</v>
      </c>
    </row>
    <row r="933" spans="1:3">
      <c r="A933" s="3">
        <f ca="1">IFERROR(__xludf.UNSUPPORTED("""COMPUTED_VALUE"""),44817.6666666666)</f>
        <v>44817.666666666599</v>
      </c>
      <c r="B933" s="1">
        <f ca="1">IFERROR(__xludf.UNSUPPORTED("""COMPUTED_VALUE"""),60.47)</f>
        <v>60.47</v>
      </c>
      <c r="C933" s="2">
        <f t="shared" ca="1" si="3"/>
        <v>-3.2480000000000016E-2</v>
      </c>
    </row>
    <row r="934" spans="1:3">
      <c r="A934" s="3">
        <f ca="1">IFERROR(__xludf.UNSUPPORTED("""COMPUTED_VALUE"""),44818.6666666666)</f>
        <v>44818.666666666599</v>
      </c>
      <c r="B934" s="1">
        <f ca="1">IFERROR(__xludf.UNSUPPORTED("""COMPUTED_VALUE"""),60.79)</f>
        <v>60.79</v>
      </c>
      <c r="C934" s="2">
        <f t="shared" ca="1" si="3"/>
        <v>5.2918802712088684E-3</v>
      </c>
    </row>
    <row r="935" spans="1:3">
      <c r="A935" s="3">
        <f ca="1">IFERROR(__xludf.UNSUPPORTED("""COMPUTED_VALUE"""),44819.6666666666)</f>
        <v>44819.666666666599</v>
      </c>
      <c r="B935" s="1">
        <f ca="1">IFERROR(__xludf.UNSUPPORTED("""COMPUTED_VALUE"""),59.53)</f>
        <v>59.53</v>
      </c>
      <c r="C935" s="2">
        <f t="shared" ca="1" si="3"/>
        <v>-2.072709327191969E-2</v>
      </c>
    </row>
    <row r="936" spans="1:3">
      <c r="A936" s="3">
        <f ca="1">IFERROR(__xludf.UNSUPPORTED("""COMPUTED_VALUE"""),44820.6666666666)</f>
        <v>44820.666666666599</v>
      </c>
      <c r="B936" s="1">
        <f ca="1">IFERROR(__xludf.UNSUPPORTED("""COMPUTED_VALUE"""),59.54)</f>
        <v>59.54</v>
      </c>
      <c r="C936" s="2">
        <f t="shared" ca="1" si="3"/>
        <v>1.6798252981686562E-4</v>
      </c>
    </row>
    <row r="937" spans="1:3">
      <c r="A937" s="3">
        <f ca="1">IFERROR(__xludf.UNSUPPORTED("""COMPUTED_VALUE"""),44823.6666666666)</f>
        <v>44823.666666666599</v>
      </c>
      <c r="B937" s="1">
        <f ca="1">IFERROR(__xludf.UNSUPPORTED("""COMPUTED_VALUE"""),59.99)</f>
        <v>59.99</v>
      </c>
      <c r="C937" s="2">
        <f t="shared" ca="1" si="3"/>
        <v>7.5579442391669948E-3</v>
      </c>
    </row>
    <row r="938" spans="1:3">
      <c r="A938" s="3">
        <f ca="1">IFERROR(__xludf.UNSUPPORTED("""COMPUTED_VALUE"""),44824.6666666666)</f>
        <v>44824.666666666599</v>
      </c>
      <c r="B938" s="1">
        <f ca="1">IFERROR(__xludf.UNSUPPORTED("""COMPUTED_VALUE"""),59.9)</f>
        <v>59.9</v>
      </c>
      <c r="C938" s="2">
        <f t="shared" ca="1" si="3"/>
        <v>-1.5002500416736691E-3</v>
      </c>
    </row>
    <row r="939" spans="1:3">
      <c r="A939" s="3">
        <f ca="1">IFERROR(__xludf.UNSUPPORTED("""COMPUTED_VALUE"""),44825.6666666666)</f>
        <v>44825.666666666599</v>
      </c>
      <c r="B939" s="1">
        <f ca="1">IFERROR(__xludf.UNSUPPORTED("""COMPUTED_VALUE"""),59.4)</f>
        <v>59.4</v>
      </c>
      <c r="C939" s="2">
        <f t="shared" ca="1" si="3"/>
        <v>-8.3472454090150246E-3</v>
      </c>
    </row>
    <row r="940" spans="1:3">
      <c r="A940" s="3">
        <f ca="1">IFERROR(__xludf.UNSUPPORTED("""COMPUTED_VALUE"""),44826.6666666666)</f>
        <v>44826.666666666599</v>
      </c>
      <c r="B940" s="1">
        <f ca="1">IFERROR(__xludf.UNSUPPORTED("""COMPUTED_VALUE"""),59.26)</f>
        <v>59.26</v>
      </c>
      <c r="C940" s="2">
        <f t="shared" ca="1" si="3"/>
        <v>-2.3569023569023667E-3</v>
      </c>
    </row>
    <row r="941" spans="1:3">
      <c r="A941" s="3">
        <f ca="1">IFERROR(__xludf.UNSUPPORTED("""COMPUTED_VALUE"""),44827.6666666666)</f>
        <v>44827.666666666599</v>
      </c>
      <c r="B941" s="1">
        <f ca="1">IFERROR(__xludf.UNSUPPORTED("""COMPUTED_VALUE"""),58.6)</f>
        <v>58.6</v>
      </c>
      <c r="C941" s="2">
        <f t="shared" ca="1" si="3"/>
        <v>-1.1137360782990156E-2</v>
      </c>
    </row>
    <row r="942" spans="1:3">
      <c r="A942" s="3">
        <f ca="1">IFERROR(__xludf.UNSUPPORTED("""COMPUTED_VALUE"""),44830.6666666666)</f>
        <v>44830.666666666599</v>
      </c>
      <c r="B942" s="1">
        <f ca="1">IFERROR(__xludf.UNSUPPORTED("""COMPUTED_VALUE"""),57.87)</f>
        <v>57.87</v>
      </c>
      <c r="C942" s="2">
        <f t="shared" ca="1" si="3"/>
        <v>-1.2457337883959111E-2</v>
      </c>
    </row>
    <row r="943" spans="1:3">
      <c r="A943" s="3">
        <f ca="1">IFERROR(__xludf.UNSUPPORTED("""COMPUTED_VALUE"""),44831.6666666666)</f>
        <v>44831.666666666599</v>
      </c>
      <c r="B943" s="1">
        <f ca="1">IFERROR(__xludf.UNSUPPORTED("""COMPUTED_VALUE"""),56.38)</f>
        <v>56.38</v>
      </c>
      <c r="C943" s="2">
        <f t="shared" ca="1" si="3"/>
        <v>-2.5747364783134524E-2</v>
      </c>
    </row>
    <row r="944" spans="1:3">
      <c r="A944" s="3">
        <f ca="1">IFERROR(__xludf.UNSUPPORTED("""COMPUTED_VALUE"""),44832.6666666666)</f>
        <v>44832.666666666599</v>
      </c>
      <c r="B944" s="1">
        <f ca="1">IFERROR(__xludf.UNSUPPORTED("""COMPUTED_VALUE"""),56.98)</f>
        <v>56.98</v>
      </c>
      <c r="C944" s="2">
        <f t="shared" ca="1" si="3"/>
        <v>1.064207165661572E-2</v>
      </c>
    </row>
    <row r="945" spans="1:3">
      <c r="A945" s="3">
        <f ca="1">IFERROR(__xludf.UNSUPPORTED("""COMPUTED_VALUE"""),44833.6666666666)</f>
        <v>44833.666666666599</v>
      </c>
      <c r="B945" s="1">
        <f ca="1">IFERROR(__xludf.UNSUPPORTED("""COMPUTED_VALUE"""),56.57)</f>
        <v>56.57</v>
      </c>
      <c r="C945" s="2">
        <f t="shared" ca="1" si="3"/>
        <v>-7.1955071955071359E-3</v>
      </c>
    </row>
    <row r="946" spans="1:3">
      <c r="A946" s="3">
        <f ca="1">IFERROR(__xludf.UNSUPPORTED("""COMPUTED_VALUE"""),44834.6666666666)</f>
        <v>44834.666666666599</v>
      </c>
      <c r="B946" s="1">
        <f ca="1">IFERROR(__xludf.UNSUPPORTED("""COMPUTED_VALUE"""),56.02)</f>
        <v>56.02</v>
      </c>
      <c r="C946" s="2">
        <f t="shared" ca="1" si="3"/>
        <v>-9.7224677390842697E-3</v>
      </c>
    </row>
    <row r="947" spans="1:3">
      <c r="A947" s="3">
        <f ca="1">IFERROR(__xludf.UNSUPPORTED("""COMPUTED_VALUE"""),44837.6666666666)</f>
        <v>44837.666666666599</v>
      </c>
      <c r="B947" s="1">
        <f ca="1">IFERROR(__xludf.UNSUPPORTED("""COMPUTED_VALUE"""),56.65)</f>
        <v>56.65</v>
      </c>
      <c r="C947" s="2">
        <f t="shared" ca="1" si="3"/>
        <v>1.1245983577293742E-2</v>
      </c>
    </row>
    <row r="948" spans="1:3">
      <c r="A948" s="3">
        <f ca="1">IFERROR(__xludf.UNSUPPORTED("""COMPUTED_VALUE"""),44838.6666666666)</f>
        <v>44838.666666666599</v>
      </c>
      <c r="B948" s="1">
        <f ca="1">IFERROR(__xludf.UNSUPPORTED("""COMPUTED_VALUE"""),56.78)</f>
        <v>56.78</v>
      </c>
      <c r="C948" s="2">
        <f t="shared" ca="1" si="3"/>
        <v>2.2947925860547671E-3</v>
      </c>
    </row>
    <row r="949" spans="1:3">
      <c r="A949" s="3">
        <f ca="1">IFERROR(__xludf.UNSUPPORTED("""COMPUTED_VALUE"""),44839.6666666666)</f>
        <v>44839.666666666599</v>
      </c>
      <c r="B949" s="1">
        <f ca="1">IFERROR(__xludf.UNSUPPORTED("""COMPUTED_VALUE"""),56.24)</f>
        <v>56.24</v>
      </c>
      <c r="C949" s="2">
        <f t="shared" ca="1" si="3"/>
        <v>-9.5103909827403861E-3</v>
      </c>
    </row>
    <row r="950" spans="1:3">
      <c r="A950" s="3">
        <f ca="1">IFERROR(__xludf.UNSUPPORTED("""COMPUTED_VALUE"""),44840.6666666666)</f>
        <v>44840.666666666599</v>
      </c>
      <c r="B950" s="1">
        <f ca="1">IFERROR(__xludf.UNSUPPORTED("""COMPUTED_VALUE"""),55.03)</f>
        <v>55.03</v>
      </c>
      <c r="C950" s="2">
        <f t="shared" ca="1" si="3"/>
        <v>-2.1514935988620212E-2</v>
      </c>
    </row>
    <row r="951" spans="1:3">
      <c r="A951" s="3">
        <f ca="1">IFERROR(__xludf.UNSUPPORTED("""COMPUTED_VALUE"""),44841.6666666666)</f>
        <v>44841.666666666599</v>
      </c>
      <c r="B951" s="1">
        <f ca="1">IFERROR(__xludf.UNSUPPORTED("""COMPUTED_VALUE"""),54.51)</f>
        <v>54.51</v>
      </c>
      <c r="C951" s="2">
        <f t="shared" ca="1" si="3"/>
        <v>-9.4493912411412525E-3</v>
      </c>
    </row>
    <row r="952" spans="1:3">
      <c r="A952" s="3">
        <f ca="1">IFERROR(__xludf.UNSUPPORTED("""COMPUTED_VALUE"""),44844.6666666666)</f>
        <v>44844.666666666599</v>
      </c>
      <c r="B952" s="1">
        <f ca="1">IFERROR(__xludf.UNSUPPORTED("""COMPUTED_VALUE"""),54.39)</f>
        <v>54.39</v>
      </c>
      <c r="C952" s="2">
        <f t="shared" ca="1" si="3"/>
        <v>-2.2014309301045211E-3</v>
      </c>
    </row>
    <row r="953" spans="1:3">
      <c r="A953" s="3">
        <f ca="1">IFERROR(__xludf.UNSUPPORTED("""COMPUTED_VALUE"""),44845.6666666666)</f>
        <v>44845.666666666599</v>
      </c>
      <c r="B953" s="1">
        <f ca="1">IFERROR(__xludf.UNSUPPORTED("""COMPUTED_VALUE"""),54.48)</f>
        <v>54.48</v>
      </c>
      <c r="C953" s="2">
        <f t="shared" ca="1" si="3"/>
        <v>1.6547159404301582E-3</v>
      </c>
    </row>
    <row r="954" spans="1:3">
      <c r="A954" s="3">
        <f ca="1">IFERROR(__xludf.UNSUPPORTED("""COMPUTED_VALUE"""),44846.6666666666)</f>
        <v>44846.666666666599</v>
      </c>
      <c r="B954" s="1">
        <f ca="1">IFERROR(__xludf.UNSUPPORTED("""COMPUTED_VALUE"""),55.14)</f>
        <v>55.14</v>
      </c>
      <c r="C954" s="2">
        <f t="shared" ca="1" si="3"/>
        <v>1.2114537444933989E-2</v>
      </c>
    </row>
    <row r="955" spans="1:3">
      <c r="A955" s="3">
        <f ca="1">IFERROR(__xludf.UNSUPPORTED("""COMPUTED_VALUE"""),44847.6666666666)</f>
        <v>44847.666666666599</v>
      </c>
      <c r="B955" s="1">
        <f ca="1">IFERROR(__xludf.UNSUPPORTED("""COMPUTED_VALUE"""),55.87)</f>
        <v>55.87</v>
      </c>
      <c r="C955" s="2">
        <f t="shared" ca="1" si="3"/>
        <v>1.3239027928908177E-2</v>
      </c>
    </row>
    <row r="956" spans="1:3">
      <c r="A956" s="3">
        <f ca="1">IFERROR(__xludf.UNSUPPORTED("""COMPUTED_VALUE"""),44848.6666666666)</f>
        <v>44848.666666666599</v>
      </c>
      <c r="B956" s="1">
        <f ca="1">IFERROR(__xludf.UNSUPPORTED("""COMPUTED_VALUE"""),54.98)</f>
        <v>54.98</v>
      </c>
      <c r="C956" s="2">
        <f t="shared" ca="1" si="3"/>
        <v>-1.5929837121890111E-2</v>
      </c>
    </row>
    <row r="957" spans="1:3">
      <c r="A957" s="3">
        <f ca="1">IFERROR(__xludf.UNSUPPORTED("""COMPUTED_VALUE"""),44851.6666666666)</f>
        <v>44851.666666666599</v>
      </c>
      <c r="B957" s="1">
        <f ca="1">IFERROR(__xludf.UNSUPPORTED("""COMPUTED_VALUE"""),55.69)</f>
        <v>55.69</v>
      </c>
      <c r="C957" s="2">
        <f t="shared" ca="1" si="3"/>
        <v>1.2913786831575135E-2</v>
      </c>
    </row>
    <row r="958" spans="1:3">
      <c r="A958" s="3">
        <f ca="1">IFERROR(__xludf.UNSUPPORTED("""COMPUTED_VALUE"""),44852.6666666666)</f>
        <v>44852.666666666599</v>
      </c>
      <c r="B958" s="1">
        <f ca="1">IFERROR(__xludf.UNSUPPORTED("""COMPUTED_VALUE"""),56.44)</f>
        <v>56.44</v>
      </c>
      <c r="C958" s="2">
        <f t="shared" ca="1" si="3"/>
        <v>1.3467408870533311E-2</v>
      </c>
    </row>
    <row r="959" spans="1:3">
      <c r="A959" s="3">
        <f ca="1">IFERROR(__xludf.UNSUPPORTED("""COMPUTED_VALUE"""),44853.6666666666)</f>
        <v>44853.666666666599</v>
      </c>
      <c r="B959" s="1">
        <f ca="1">IFERROR(__xludf.UNSUPPORTED("""COMPUTED_VALUE"""),55.96)</f>
        <v>55.96</v>
      </c>
      <c r="C959" s="2">
        <f t="shared" ca="1" si="3"/>
        <v>-8.5046066619418308E-3</v>
      </c>
    </row>
    <row r="960" spans="1:3">
      <c r="A960" s="3">
        <f ca="1">IFERROR(__xludf.UNSUPPORTED("""COMPUTED_VALUE"""),44854.6666666666)</f>
        <v>44854.666666666599</v>
      </c>
      <c r="B960" s="1">
        <f ca="1">IFERROR(__xludf.UNSUPPORTED("""COMPUTED_VALUE"""),55.08)</f>
        <v>55.08</v>
      </c>
      <c r="C960" s="2">
        <f t="shared" ca="1" si="3"/>
        <v>-1.5725518227305262E-2</v>
      </c>
    </row>
    <row r="961" spans="1:3">
      <c r="A961" s="3">
        <f ca="1">IFERROR(__xludf.UNSUPPORTED("""COMPUTED_VALUE"""),44855.6666666666)</f>
        <v>44855.666666666599</v>
      </c>
      <c r="B961" s="1">
        <f ca="1">IFERROR(__xludf.UNSUPPORTED("""COMPUTED_VALUE"""),55.96)</f>
        <v>55.96</v>
      </c>
      <c r="C961" s="2">
        <f t="shared" ca="1" si="3"/>
        <v>1.5976761074800339E-2</v>
      </c>
    </row>
    <row r="962" spans="1:3">
      <c r="A962" s="3">
        <f ca="1">IFERROR(__xludf.UNSUPPORTED("""COMPUTED_VALUE"""),44858.6666666666)</f>
        <v>44858.666666666599</v>
      </c>
      <c r="B962" s="1">
        <f ca="1">IFERROR(__xludf.UNSUPPORTED("""COMPUTED_VALUE"""),57.57)</f>
        <v>57.57</v>
      </c>
      <c r="C962" s="2">
        <f t="shared" ca="1" si="3"/>
        <v>2.8770550393137945E-2</v>
      </c>
    </row>
    <row r="963" spans="1:3">
      <c r="A963" s="3">
        <f ca="1">IFERROR(__xludf.UNSUPPORTED("""COMPUTED_VALUE"""),44859.6666666666)</f>
        <v>44859.666666666599</v>
      </c>
      <c r="B963" s="1">
        <f ca="1">IFERROR(__xludf.UNSUPPORTED("""COMPUTED_VALUE"""),58.95)</f>
        <v>58.95</v>
      </c>
      <c r="C963" s="2">
        <f t="shared" ca="1" si="3"/>
        <v>2.3970818134445068E-2</v>
      </c>
    </row>
    <row r="964" spans="1:3">
      <c r="A964" s="3">
        <f ca="1">IFERROR(__xludf.UNSUPPORTED("""COMPUTED_VALUE"""),44860.6666666666)</f>
        <v>44860.666666666599</v>
      </c>
      <c r="B964" s="1">
        <f ca="1">IFERROR(__xludf.UNSUPPORTED("""COMPUTED_VALUE"""),59.39)</f>
        <v>59.39</v>
      </c>
      <c r="C964" s="2">
        <f t="shared" ca="1" si="3"/>
        <v>7.4639525021204019E-3</v>
      </c>
    </row>
    <row r="965" spans="1:3">
      <c r="A965" s="3">
        <f ca="1">IFERROR(__xludf.UNSUPPORTED("""COMPUTED_VALUE"""),44861.6666666666)</f>
        <v>44861.666666666599</v>
      </c>
      <c r="B965" s="1">
        <f ca="1">IFERROR(__xludf.UNSUPPORTED("""COMPUTED_VALUE"""),59.53)</f>
        <v>59.53</v>
      </c>
      <c r="C965" s="2">
        <f t="shared" ca="1" si="3"/>
        <v>2.3572992086209896E-3</v>
      </c>
    </row>
    <row r="966" spans="1:3">
      <c r="A966" s="3">
        <f ca="1">IFERROR(__xludf.UNSUPPORTED("""COMPUTED_VALUE"""),44862.6666666666)</f>
        <v>44862.666666666599</v>
      </c>
      <c r="B966" s="1">
        <f ca="1">IFERROR(__xludf.UNSUPPORTED("""COMPUTED_VALUE"""),60.76)</f>
        <v>60.76</v>
      </c>
      <c r="C966" s="2">
        <f t="shared" ca="1" si="3"/>
        <v>2.0661851167478529E-2</v>
      </c>
    </row>
    <row r="967" spans="1:3">
      <c r="A967" s="3">
        <f ca="1">IFERROR(__xludf.UNSUPPORTED("""COMPUTED_VALUE"""),44865.6666666666)</f>
        <v>44865.666666666599</v>
      </c>
      <c r="B967" s="1">
        <f ca="1">IFERROR(__xludf.UNSUPPORTED("""COMPUTED_VALUE"""),59.85)</f>
        <v>59.85</v>
      </c>
      <c r="C967" s="2">
        <f t="shared" ca="1" si="3"/>
        <v>-1.4976958525345566E-2</v>
      </c>
    </row>
    <row r="968" spans="1:3">
      <c r="A968" s="3">
        <f ca="1">IFERROR(__xludf.UNSUPPORTED("""COMPUTED_VALUE"""),44866.6666666666)</f>
        <v>44866.666666666599</v>
      </c>
      <c r="B968" s="1">
        <f ca="1">IFERROR(__xludf.UNSUPPORTED("""COMPUTED_VALUE"""),59.64)</f>
        <v>59.64</v>
      </c>
      <c r="C968" s="2">
        <f t="shared" ca="1" si="3"/>
        <v>-3.5087719298245758E-3</v>
      </c>
    </row>
    <row r="969" spans="1:3">
      <c r="A969" s="3">
        <f ca="1">IFERROR(__xludf.UNSUPPORTED("""COMPUTED_VALUE"""),44867.6666666666)</f>
        <v>44867.666666666599</v>
      </c>
      <c r="B969" s="1">
        <f ca="1">IFERROR(__xludf.UNSUPPORTED("""COMPUTED_VALUE"""),58.81)</f>
        <v>58.81</v>
      </c>
      <c r="C969" s="2">
        <f t="shared" ca="1" si="3"/>
        <v>-1.3916834339369522E-2</v>
      </c>
    </row>
    <row r="970" spans="1:3">
      <c r="A970" s="3">
        <f ca="1">IFERROR(__xludf.UNSUPPORTED("""COMPUTED_VALUE"""),44868.6666666666)</f>
        <v>44868.666666666599</v>
      </c>
      <c r="B970" s="1">
        <f ca="1">IFERROR(__xludf.UNSUPPORTED("""COMPUTED_VALUE"""),58.78)</f>
        <v>58.78</v>
      </c>
      <c r="C970" s="2">
        <f t="shared" ca="1" si="3"/>
        <v>-5.1011732698522593E-4</v>
      </c>
    </row>
    <row r="971" spans="1:3">
      <c r="A971" s="3">
        <f ca="1">IFERROR(__xludf.UNSUPPORTED("""COMPUTED_VALUE"""),44869.6666666666)</f>
        <v>44869.666666666599</v>
      </c>
      <c r="B971" s="1">
        <f ca="1">IFERROR(__xludf.UNSUPPORTED("""COMPUTED_VALUE"""),59.26)</f>
        <v>59.26</v>
      </c>
      <c r="C971" s="2">
        <f t="shared" ca="1" si="3"/>
        <v>8.1660428717250239E-3</v>
      </c>
    </row>
    <row r="972" spans="1:3">
      <c r="A972" s="3">
        <f ca="1">IFERROR(__xludf.UNSUPPORTED("""COMPUTED_VALUE"""),44872.6666666666)</f>
        <v>44872.666666666599</v>
      </c>
      <c r="B972" s="1">
        <f ca="1">IFERROR(__xludf.UNSUPPORTED("""COMPUTED_VALUE"""),59.49)</f>
        <v>59.49</v>
      </c>
      <c r="C972" s="2">
        <f t="shared" ca="1" si="3"/>
        <v>3.881201484981505E-3</v>
      </c>
    </row>
    <row r="973" spans="1:3">
      <c r="A973" s="3">
        <f ca="1">IFERROR(__xludf.UNSUPPORTED("""COMPUTED_VALUE"""),44873.6666666666)</f>
        <v>44873.666666666599</v>
      </c>
      <c r="B973" s="1">
        <f ca="1">IFERROR(__xludf.UNSUPPORTED("""COMPUTED_VALUE"""),59.6)</f>
        <v>59.6</v>
      </c>
      <c r="C973" s="2">
        <f t="shared" ca="1" si="3"/>
        <v>1.8490502605479817E-3</v>
      </c>
    </row>
    <row r="974" spans="1:3">
      <c r="A974" s="3">
        <f ca="1">IFERROR(__xludf.UNSUPPORTED("""COMPUTED_VALUE"""),44874.6666666666)</f>
        <v>44874.666666666599</v>
      </c>
      <c r="B974" s="1">
        <f ca="1">IFERROR(__xludf.UNSUPPORTED("""COMPUTED_VALUE"""),58.77)</f>
        <v>58.77</v>
      </c>
      <c r="C974" s="2">
        <f t="shared" ca="1" si="3"/>
        <v>-1.3926174496644267E-2</v>
      </c>
    </row>
    <row r="975" spans="1:3">
      <c r="A975" s="3">
        <f ca="1">IFERROR(__xludf.UNSUPPORTED("""COMPUTED_VALUE"""),44875.6666666666)</f>
        <v>44875.666666666599</v>
      </c>
      <c r="B975" s="1">
        <f ca="1">IFERROR(__xludf.UNSUPPORTED("""COMPUTED_VALUE"""),60.88)</f>
        <v>60.88</v>
      </c>
      <c r="C975" s="2">
        <f t="shared" ca="1" si="3"/>
        <v>3.5902671431002203E-2</v>
      </c>
    </row>
    <row r="976" spans="1:3">
      <c r="A976" s="3">
        <f ca="1">IFERROR(__xludf.UNSUPPORTED("""COMPUTED_VALUE"""),44876.6666666666)</f>
        <v>44876.666666666599</v>
      </c>
      <c r="B976" s="1">
        <f ca="1">IFERROR(__xludf.UNSUPPORTED("""COMPUTED_VALUE"""),61.32)</f>
        <v>61.32</v>
      </c>
      <c r="C976" s="2">
        <f t="shared" ca="1" si="3"/>
        <v>7.2273324572929981E-3</v>
      </c>
    </row>
    <row r="977" spans="1:3">
      <c r="A977" s="3">
        <f ca="1">IFERROR(__xludf.UNSUPPORTED("""COMPUTED_VALUE"""),44879.6666666666)</f>
        <v>44879.666666666599</v>
      </c>
      <c r="B977" s="1">
        <f ca="1">IFERROR(__xludf.UNSUPPORTED("""COMPUTED_VALUE"""),60.73)</f>
        <v>60.73</v>
      </c>
      <c r="C977" s="2">
        <f t="shared" ca="1" si="3"/>
        <v>-9.6216568819309095E-3</v>
      </c>
    </row>
    <row r="978" spans="1:3">
      <c r="A978" s="3">
        <f ca="1">IFERROR(__xludf.UNSUPPORTED("""COMPUTED_VALUE"""),44880.6666666666)</f>
        <v>44880.666666666599</v>
      </c>
      <c r="B978" s="1">
        <f ca="1">IFERROR(__xludf.UNSUPPORTED("""COMPUTED_VALUE"""),60.63)</f>
        <v>60.63</v>
      </c>
      <c r="C978" s="2">
        <f t="shared" ca="1" si="3"/>
        <v>-1.6466326362587571E-3</v>
      </c>
    </row>
    <row r="979" spans="1:3">
      <c r="A979" s="3">
        <f ca="1">IFERROR(__xludf.UNSUPPORTED("""COMPUTED_VALUE"""),44881.6666666666)</f>
        <v>44881.666666666599</v>
      </c>
      <c r="B979" s="1">
        <f ca="1">IFERROR(__xludf.UNSUPPORTED("""COMPUTED_VALUE"""),60.52)</f>
        <v>60.52</v>
      </c>
      <c r="C979" s="2">
        <f t="shared" ca="1" si="3"/>
        <v>-1.8142833580735516E-3</v>
      </c>
    </row>
    <row r="980" spans="1:3">
      <c r="A980" s="3">
        <f ca="1">IFERROR(__xludf.UNSUPPORTED("""COMPUTED_VALUE"""),44882.6666666666)</f>
        <v>44882.666666666599</v>
      </c>
      <c r="B980" s="1">
        <f ca="1">IFERROR(__xludf.UNSUPPORTED("""COMPUTED_VALUE"""),60.71)</f>
        <v>60.71</v>
      </c>
      <c r="C980" s="2">
        <f t="shared" ca="1" si="3"/>
        <v>3.1394580304031348E-3</v>
      </c>
    </row>
    <row r="981" spans="1:3">
      <c r="A981" s="3">
        <f ca="1">IFERROR(__xludf.UNSUPPORTED("""COMPUTED_VALUE"""),44883.6666666666)</f>
        <v>44883.666666666599</v>
      </c>
      <c r="B981" s="1">
        <f ca="1">IFERROR(__xludf.UNSUPPORTED("""COMPUTED_VALUE"""),61.14)</f>
        <v>61.14</v>
      </c>
      <c r="C981" s="2">
        <f t="shared" ca="1" si="3"/>
        <v>7.0828529072640371E-3</v>
      </c>
    </row>
    <row r="982" spans="1:3">
      <c r="A982" s="3">
        <f ca="1">IFERROR(__xludf.UNSUPPORTED("""COMPUTED_VALUE"""),44886.6666666666)</f>
        <v>44886.666666666599</v>
      </c>
      <c r="B982" s="1">
        <f ca="1">IFERROR(__xludf.UNSUPPORTED("""COMPUTED_VALUE"""),62.08)</f>
        <v>62.08</v>
      </c>
      <c r="C982" s="2">
        <f t="shared" ca="1" si="3"/>
        <v>1.5374550212626721E-2</v>
      </c>
    </row>
    <row r="983" spans="1:3">
      <c r="A983" s="3">
        <f ca="1">IFERROR(__xludf.UNSUPPORTED("""COMPUTED_VALUE"""),44887.6666666666)</f>
        <v>44887.666666666599</v>
      </c>
      <c r="B983" s="1">
        <f ca="1">IFERROR(__xludf.UNSUPPORTED("""COMPUTED_VALUE"""),62.35)</f>
        <v>62.35</v>
      </c>
      <c r="C983" s="2">
        <f t="shared" ca="1" si="3"/>
        <v>4.3492268041237618E-3</v>
      </c>
    </row>
    <row r="984" spans="1:3">
      <c r="A984" s="3">
        <f ca="1">IFERROR(__xludf.UNSUPPORTED("""COMPUTED_VALUE"""),44888.6666666666)</f>
        <v>44888.666666666599</v>
      </c>
      <c r="B984" s="1">
        <f ca="1">IFERROR(__xludf.UNSUPPORTED("""COMPUTED_VALUE"""),62.63)</f>
        <v>62.63</v>
      </c>
      <c r="C984" s="2">
        <f t="shared" ca="1" si="3"/>
        <v>4.4907778668805314E-3</v>
      </c>
    </row>
    <row r="985" spans="1:3">
      <c r="A985" s="3">
        <f ca="1">IFERROR(__xludf.UNSUPPORTED("""COMPUTED_VALUE"""),44890.5416666666)</f>
        <v>44890.541666666599</v>
      </c>
      <c r="B985" s="1">
        <f ca="1">IFERROR(__xludf.UNSUPPORTED("""COMPUTED_VALUE"""),62.69)</f>
        <v>62.69</v>
      </c>
      <c r="C985" s="2">
        <f t="shared" ca="1" si="3"/>
        <v>9.5800734472289908E-4</v>
      </c>
    </row>
    <row r="986" spans="1:3">
      <c r="A986" s="3">
        <f ca="1">IFERROR(__xludf.UNSUPPORTED("""COMPUTED_VALUE"""),44893.6666666666)</f>
        <v>44893.666666666599</v>
      </c>
      <c r="B986" s="1">
        <f ca="1">IFERROR(__xludf.UNSUPPORTED("""COMPUTED_VALUE"""),62.7)</f>
        <v>62.7</v>
      </c>
      <c r="C986" s="2">
        <f t="shared" ca="1" si="3"/>
        <v>1.595150741745911E-4</v>
      </c>
    </row>
    <row r="987" spans="1:3">
      <c r="A987" s="3">
        <f ca="1">IFERROR(__xludf.UNSUPPORTED("""COMPUTED_VALUE"""),44894.6666666666)</f>
        <v>44894.666666666599</v>
      </c>
      <c r="B987" s="1">
        <f ca="1">IFERROR(__xludf.UNSUPPORTED("""COMPUTED_VALUE"""),62.48)</f>
        <v>62.48</v>
      </c>
      <c r="C987" s="2">
        <f t="shared" ca="1" si="3"/>
        <v>-3.5087719298246564E-3</v>
      </c>
    </row>
    <row r="988" spans="1:3">
      <c r="A988" s="3">
        <f ca="1">IFERROR(__xludf.UNSUPPORTED("""COMPUTED_VALUE"""),44895.6666666666)</f>
        <v>44895.666666666599</v>
      </c>
      <c r="B988" s="1">
        <f ca="1">IFERROR(__xludf.UNSUPPORTED("""COMPUTED_VALUE"""),63.61)</f>
        <v>63.61</v>
      </c>
      <c r="C988" s="2">
        <f t="shared" ca="1" si="3"/>
        <v>1.8085787451984678E-2</v>
      </c>
    </row>
    <row r="989" spans="1:3">
      <c r="A989" s="3">
        <f ca="1">IFERROR(__xludf.UNSUPPORTED("""COMPUTED_VALUE"""),44896.6666666666)</f>
        <v>44896.666666666599</v>
      </c>
      <c r="B989" s="1">
        <f ca="1">IFERROR(__xludf.UNSUPPORTED("""COMPUTED_VALUE"""),63.79)</f>
        <v>63.79</v>
      </c>
      <c r="C989" s="2">
        <f t="shared" ca="1" si="3"/>
        <v>2.8297437509825453E-3</v>
      </c>
    </row>
    <row r="990" spans="1:3">
      <c r="A990" s="3">
        <f ca="1">IFERROR(__xludf.UNSUPPORTED("""COMPUTED_VALUE"""),44897.6666666666)</f>
        <v>44897.666666666599</v>
      </c>
      <c r="B990" s="1">
        <f ca="1">IFERROR(__xludf.UNSUPPORTED("""COMPUTED_VALUE"""),64.35)</f>
        <v>64.349999999999994</v>
      </c>
      <c r="C990" s="2">
        <f t="shared" ca="1" si="3"/>
        <v>8.7788054554004576E-3</v>
      </c>
    </row>
    <row r="991" spans="1:3">
      <c r="A991" s="3">
        <f ca="1">IFERROR(__xludf.UNSUPPORTED("""COMPUTED_VALUE"""),44900.6666666666)</f>
        <v>44900.666666666599</v>
      </c>
      <c r="B991" s="1">
        <f ca="1">IFERROR(__xludf.UNSUPPORTED("""COMPUTED_VALUE"""),63.47)</f>
        <v>63.47</v>
      </c>
      <c r="C991" s="2">
        <f t="shared" ca="1" si="3"/>
        <v>-1.3675213675213606E-2</v>
      </c>
    </row>
    <row r="992" spans="1:3">
      <c r="A992" s="3">
        <f ca="1">IFERROR(__xludf.UNSUPPORTED("""COMPUTED_VALUE"""),44901.6666666666)</f>
        <v>44901.666666666599</v>
      </c>
      <c r="B992" s="1">
        <f ca="1">IFERROR(__xludf.UNSUPPORTED("""COMPUTED_VALUE"""),63.44)</f>
        <v>63.44</v>
      </c>
      <c r="C992" s="2">
        <f t="shared" ca="1" si="3"/>
        <v>-4.7266425082718034E-4</v>
      </c>
    </row>
    <row r="993" spans="1:3">
      <c r="A993" s="3">
        <f ca="1">IFERROR(__xludf.UNSUPPORTED("""COMPUTED_VALUE"""),44902.6666666666)</f>
        <v>44902.666666666599</v>
      </c>
      <c r="B993" s="1">
        <f ca="1">IFERROR(__xludf.UNSUPPORTED("""COMPUTED_VALUE"""),63.54)</f>
        <v>63.54</v>
      </c>
      <c r="C993" s="2">
        <f t="shared" ca="1" si="3"/>
        <v>1.5762925598991398E-3</v>
      </c>
    </row>
    <row r="994" spans="1:3">
      <c r="A994" s="3">
        <f ca="1">IFERROR(__xludf.UNSUPPORTED("""COMPUTED_VALUE"""),44903.6666666666)</f>
        <v>44903.666666666599</v>
      </c>
      <c r="B994" s="1">
        <f ca="1">IFERROR(__xludf.UNSUPPORTED("""COMPUTED_VALUE"""),63.81)</f>
        <v>63.81</v>
      </c>
      <c r="C994" s="2">
        <f t="shared" ca="1" si="3"/>
        <v>4.2492917847025986E-3</v>
      </c>
    </row>
    <row r="995" spans="1:3">
      <c r="A995" s="3">
        <f ca="1">IFERROR(__xludf.UNSUPPORTED("""COMPUTED_VALUE"""),44904.6666666666)</f>
        <v>44904.666666666599</v>
      </c>
      <c r="B995" s="1">
        <f ca="1">IFERROR(__xludf.UNSUPPORTED("""COMPUTED_VALUE"""),63.14)</f>
        <v>63.14</v>
      </c>
      <c r="C995" s="2">
        <f t="shared" ca="1" si="3"/>
        <v>-1.049992164237583E-2</v>
      </c>
    </row>
    <row r="996" spans="1:3">
      <c r="A996" s="3">
        <f ca="1">IFERROR(__xludf.UNSUPPORTED("""COMPUTED_VALUE"""),44907.6666666666)</f>
        <v>44907.666666666599</v>
      </c>
      <c r="B996" s="1">
        <f ca="1">IFERROR(__xludf.UNSUPPORTED("""COMPUTED_VALUE"""),63.97)</f>
        <v>63.97</v>
      </c>
      <c r="C996" s="2">
        <f t="shared" ca="1" si="3"/>
        <v>1.3145391194171656E-2</v>
      </c>
    </row>
    <row r="997" spans="1:3">
      <c r="A997" s="3">
        <f ca="1">IFERROR(__xludf.UNSUPPORTED("""COMPUTED_VALUE"""),44908.6666666666)</f>
        <v>44908.666666666599</v>
      </c>
      <c r="B997" s="1">
        <f ca="1">IFERROR(__xludf.UNSUPPORTED("""COMPUTED_VALUE"""),63.99)</f>
        <v>63.99</v>
      </c>
      <c r="C997" s="2">
        <f t="shared" ca="1" si="3"/>
        <v>3.1264655307180128E-4</v>
      </c>
    </row>
    <row r="998" spans="1:3">
      <c r="A998" s="3">
        <f ca="1">IFERROR(__xludf.UNSUPPORTED("""COMPUTED_VALUE"""),44909.6666666666)</f>
        <v>44909.666666666599</v>
      </c>
      <c r="B998" s="1">
        <f ca="1">IFERROR(__xludf.UNSUPPORTED("""COMPUTED_VALUE"""),63.99)</f>
        <v>63.99</v>
      </c>
      <c r="C998" s="2">
        <f t="shared" ca="1" si="3"/>
        <v>0</v>
      </c>
    </row>
    <row r="999" spans="1:3">
      <c r="A999" s="3">
        <f ca="1">IFERROR(__xludf.UNSUPPORTED("""COMPUTED_VALUE"""),44910.6666666666)</f>
        <v>44910.666666666599</v>
      </c>
      <c r="B999" s="1">
        <f ca="1">IFERROR(__xludf.UNSUPPORTED("""COMPUTED_VALUE"""),63.11)</f>
        <v>63.11</v>
      </c>
      <c r="C999" s="2">
        <f t="shared" ca="1" si="3"/>
        <v>-1.3752148773245858E-2</v>
      </c>
    </row>
    <row r="1000" spans="1:3">
      <c r="A1000" s="3">
        <f ca="1">IFERROR(__xludf.UNSUPPORTED("""COMPUTED_VALUE"""),44911.6666666666)</f>
        <v>44911.666666666599</v>
      </c>
      <c r="B1000" s="1">
        <f ca="1">IFERROR(__xludf.UNSUPPORTED("""COMPUTED_VALUE"""),62.75)</f>
        <v>62.75</v>
      </c>
      <c r="C1000" s="2">
        <f t="shared" ca="1" si="3"/>
        <v>-5.7043257803834485E-3</v>
      </c>
    </row>
    <row r="1001" spans="1:3">
      <c r="A1001" s="3">
        <f ca="1">IFERROR(__xludf.UNSUPPORTED("""COMPUTED_VALUE"""),44914.6666666666)</f>
        <v>44914.666666666599</v>
      </c>
      <c r="B1001" s="1">
        <f ca="1">IFERROR(__xludf.UNSUPPORTED("""COMPUTED_VALUE"""),62.84)</f>
        <v>62.84</v>
      </c>
      <c r="C1001" s="2">
        <f t="shared" ca="1" si="3"/>
        <v>1.4342629482072256E-3</v>
      </c>
    </row>
    <row r="1002" spans="1:3">
      <c r="A1002" s="3">
        <f ca="1">IFERROR(__xludf.UNSUPPORTED("""COMPUTED_VALUE"""),44915.6666666666)</f>
        <v>44915.666666666599</v>
      </c>
      <c r="B1002" s="1">
        <f ca="1">IFERROR(__xludf.UNSUPPORTED("""COMPUTED_VALUE"""),62.79)</f>
        <v>62.79</v>
      </c>
      <c r="C1002" s="2">
        <f t="shared" ca="1" si="3"/>
        <v>-7.9567154678555473E-4</v>
      </c>
    </row>
    <row r="1003" spans="1:3">
      <c r="A1003" s="3">
        <f ca="1">IFERROR(__xludf.UNSUPPORTED("""COMPUTED_VALUE"""),44916.6666666666)</f>
        <v>44916.666666666599</v>
      </c>
      <c r="B1003" s="1">
        <f ca="1">IFERROR(__xludf.UNSUPPORTED("""COMPUTED_VALUE"""),63.8)</f>
        <v>63.8</v>
      </c>
      <c r="C1003" s="2">
        <f t="shared" ca="1" si="3"/>
        <v>1.6085363911450837E-2</v>
      </c>
    </row>
    <row r="1004" spans="1:3">
      <c r="A1004" s="3">
        <f ca="1">IFERROR(__xludf.UNSUPPORTED("""COMPUTED_VALUE"""),44917.6666666666)</f>
        <v>44917.666666666599</v>
      </c>
      <c r="B1004" s="1">
        <f ca="1">IFERROR(__xludf.UNSUPPORTED("""COMPUTED_VALUE"""),63.34)</f>
        <v>63.34</v>
      </c>
      <c r="C1004" s="2">
        <f t="shared" ca="1" si="3"/>
        <v>-7.2100313479622844E-3</v>
      </c>
    </row>
    <row r="1005" spans="1:3">
      <c r="A1005" s="3">
        <f ca="1">IFERROR(__xludf.UNSUPPORTED("""COMPUTED_VALUE"""),44918.6666666666)</f>
        <v>44918.666666666599</v>
      </c>
      <c r="B1005" s="1">
        <f ca="1">IFERROR(__xludf.UNSUPPORTED("""COMPUTED_VALUE"""),63.82)</f>
        <v>63.82</v>
      </c>
      <c r="C1005" s="2">
        <f t="shared" ca="1" si="3"/>
        <v>7.5781496684559019E-3</v>
      </c>
    </row>
    <row r="1006" spans="1:3">
      <c r="A1006" s="3">
        <f ca="1">IFERROR(__xludf.UNSUPPORTED("""COMPUTED_VALUE"""),44922.6666666666)</f>
        <v>44922.666666666599</v>
      </c>
      <c r="B1006" s="1">
        <f ca="1">IFERROR(__xludf.UNSUPPORTED("""COMPUTED_VALUE"""),64.21)</f>
        <v>64.209999999999994</v>
      </c>
      <c r="C1006" s="2">
        <f t="shared" ca="1" si="3"/>
        <v>6.1109370103414832E-3</v>
      </c>
    </row>
    <row r="1007" spans="1:3">
      <c r="A1007" s="3">
        <f ca="1">IFERROR(__xludf.UNSUPPORTED("""COMPUTED_VALUE"""),44923.6666666666)</f>
        <v>44923.666666666599</v>
      </c>
      <c r="B1007" s="1">
        <f ca="1">IFERROR(__xludf.UNSUPPORTED("""COMPUTED_VALUE"""),63.57)</f>
        <v>63.57</v>
      </c>
      <c r="C1007" s="2">
        <f t="shared" ca="1" si="3"/>
        <v>-9.9672948138918166E-3</v>
      </c>
    </row>
    <row r="1008" spans="1:3">
      <c r="A1008" s="3">
        <f ca="1">IFERROR(__xludf.UNSUPPORTED("""COMPUTED_VALUE"""),44924.6666666666)</f>
        <v>44924.666666666599</v>
      </c>
      <c r="B1008" s="1">
        <f ca="1">IFERROR(__xludf.UNSUPPORTED("""COMPUTED_VALUE"""),63.95)</f>
        <v>63.95</v>
      </c>
      <c r="C1008" s="2">
        <f t="shared" ca="1" si="3"/>
        <v>5.9776624193802509E-3</v>
      </c>
    </row>
    <row r="1009" spans="1:3">
      <c r="A1009" s="3">
        <f ca="1">IFERROR(__xludf.UNSUPPORTED("""COMPUTED_VALUE"""),44925.6666666666)</f>
        <v>44925.666666666599</v>
      </c>
      <c r="B1009" s="1">
        <f ca="1">IFERROR(__xludf.UNSUPPORTED("""COMPUTED_VALUE"""),63.61)</f>
        <v>63.61</v>
      </c>
      <c r="C1009" s="2">
        <f t="shared" ca="1" si="3"/>
        <v>-5.3166536356529072E-3</v>
      </c>
    </row>
    <row r="1010" spans="1:3">
      <c r="A1010" s="3">
        <f ca="1">IFERROR(__xludf.UNSUPPORTED("""COMPUTED_VALUE"""),44929.6666666666)</f>
        <v>44929.666666666599</v>
      </c>
      <c r="B1010" s="1">
        <f ca="1">IFERROR(__xludf.UNSUPPORTED("""COMPUTED_VALUE"""),62.95)</f>
        <v>62.95</v>
      </c>
      <c r="C1010" s="2">
        <f t="shared" ca="1" si="3"/>
        <v>-1.0375727086935963E-2</v>
      </c>
    </row>
    <row r="1011" spans="1:3">
      <c r="A1011" s="3">
        <f ca="1">IFERROR(__xludf.UNSUPPORTED("""COMPUTED_VALUE"""),44930.6666666666)</f>
        <v>44930.666666666599</v>
      </c>
      <c r="B1011" s="1">
        <f ca="1">IFERROR(__xludf.UNSUPPORTED("""COMPUTED_VALUE"""),62.92)</f>
        <v>62.92</v>
      </c>
      <c r="C1011" s="2">
        <f t="shared" ca="1" si="3"/>
        <v>-4.7656870532170189E-4</v>
      </c>
    </row>
    <row r="1012" spans="1:3">
      <c r="A1012" s="3">
        <f ca="1">IFERROR(__xludf.UNSUPPORTED("""COMPUTED_VALUE"""),44931.6666666666)</f>
        <v>44931.666666666599</v>
      </c>
      <c r="B1012" s="1">
        <f ca="1">IFERROR(__xludf.UNSUPPORTED("""COMPUTED_VALUE"""),62.2)</f>
        <v>62.2</v>
      </c>
      <c r="C1012" s="2">
        <f t="shared" ca="1" si="3"/>
        <v>-1.1443102352193243E-2</v>
      </c>
    </row>
    <row r="1013" spans="1:3">
      <c r="A1013" s="3">
        <f ca="1">IFERROR(__xludf.UNSUPPORTED("""COMPUTED_VALUE"""),44932.6666666666)</f>
        <v>44932.666666666599</v>
      </c>
      <c r="B1013" s="1">
        <f ca="1">IFERROR(__xludf.UNSUPPORTED("""COMPUTED_VALUE"""),63.4)</f>
        <v>63.4</v>
      </c>
      <c r="C1013" s="2">
        <f t="shared" ca="1" si="3"/>
        <v>1.9292604501607649E-2</v>
      </c>
    </row>
    <row r="1014" spans="1:3">
      <c r="A1014" s="3">
        <f ca="1">IFERROR(__xludf.UNSUPPORTED("""COMPUTED_VALUE"""),44935.6666666666)</f>
        <v>44935.666666666599</v>
      </c>
      <c r="B1014" s="1">
        <f ca="1">IFERROR(__xludf.UNSUPPORTED("""COMPUTED_VALUE"""),62.61)</f>
        <v>62.61</v>
      </c>
      <c r="C1014" s="2">
        <f t="shared" ca="1" si="3"/>
        <v>-1.2460567823343835E-2</v>
      </c>
    </row>
    <row r="1015" spans="1:3">
      <c r="A1015" s="3">
        <f ca="1">IFERROR(__xludf.UNSUPPORTED("""COMPUTED_VALUE"""),44936.6666666666)</f>
        <v>44936.666666666599</v>
      </c>
      <c r="B1015" s="1">
        <f ca="1">IFERROR(__xludf.UNSUPPORTED("""COMPUTED_VALUE"""),62.13)</f>
        <v>62.13</v>
      </c>
      <c r="C1015" s="2">
        <f t="shared" ca="1" si="3"/>
        <v>-7.6665069477718714E-3</v>
      </c>
    </row>
    <row r="1016" spans="1:3">
      <c r="A1016" s="3">
        <f ca="1">IFERROR(__xludf.UNSUPPORTED("""COMPUTED_VALUE"""),44937.6666666666)</f>
        <v>44937.666666666599</v>
      </c>
      <c r="B1016" s="1">
        <f ca="1">IFERROR(__xludf.UNSUPPORTED("""COMPUTED_VALUE"""),62.01)</f>
        <v>62.01</v>
      </c>
      <c r="C1016" s="2">
        <f t="shared" ca="1" si="3"/>
        <v>-1.9314340898117584E-3</v>
      </c>
    </row>
    <row r="1017" spans="1:3">
      <c r="A1017" s="3">
        <f ca="1">IFERROR(__xludf.UNSUPPORTED("""COMPUTED_VALUE"""),44938.6666666666)</f>
        <v>44938.666666666599</v>
      </c>
      <c r="B1017" s="1">
        <f ca="1">IFERROR(__xludf.UNSUPPORTED("""COMPUTED_VALUE"""),61.21)</f>
        <v>61.21</v>
      </c>
      <c r="C1017" s="2">
        <f t="shared" ca="1" si="3"/>
        <v>-1.2901144976616629E-2</v>
      </c>
    </row>
    <row r="1018" spans="1:3">
      <c r="A1018" s="3">
        <f ca="1">IFERROR(__xludf.UNSUPPORTED("""COMPUTED_VALUE"""),44939.6666666666)</f>
        <v>44939.666666666599</v>
      </c>
      <c r="B1018" s="1">
        <f ca="1">IFERROR(__xludf.UNSUPPORTED("""COMPUTED_VALUE"""),61.43)</f>
        <v>61.43</v>
      </c>
      <c r="C1018" s="2">
        <f t="shared" ca="1" si="3"/>
        <v>3.5941839568697739E-3</v>
      </c>
    </row>
    <row r="1019" spans="1:3">
      <c r="A1019" s="3">
        <f ca="1">IFERROR(__xludf.UNSUPPORTED("""COMPUTED_VALUE"""),44943.6666666666)</f>
        <v>44943.666666666599</v>
      </c>
      <c r="B1019" s="1">
        <f ca="1">IFERROR(__xludf.UNSUPPORTED("""COMPUTED_VALUE"""),61.68)</f>
        <v>61.68</v>
      </c>
      <c r="C1019" s="2">
        <f t="shared" ca="1" si="3"/>
        <v>4.0696727983070159E-3</v>
      </c>
    </row>
    <row r="1020" spans="1:3">
      <c r="A1020" s="3">
        <f ca="1">IFERROR(__xludf.UNSUPPORTED("""COMPUTED_VALUE"""),44944.6666666666)</f>
        <v>44944.666666666599</v>
      </c>
      <c r="B1020" s="1">
        <f ca="1">IFERROR(__xludf.UNSUPPORTED("""COMPUTED_VALUE"""),59.81)</f>
        <v>59.81</v>
      </c>
      <c r="C1020" s="2">
        <f t="shared" ca="1" si="3"/>
        <v>-3.0317769130998661E-2</v>
      </c>
    </row>
    <row r="1021" spans="1:3">
      <c r="A1021" s="3">
        <f ca="1">IFERROR(__xludf.UNSUPPORTED("""COMPUTED_VALUE"""),44945.6666666666)</f>
        <v>44945.666666666599</v>
      </c>
      <c r="B1021" s="1">
        <f ca="1">IFERROR(__xludf.UNSUPPORTED("""COMPUTED_VALUE"""),59.72)</f>
        <v>59.72</v>
      </c>
      <c r="C1021" s="2">
        <f t="shared" ca="1" si="3"/>
        <v>-1.5047650894499816E-3</v>
      </c>
    </row>
    <row r="1022" spans="1:3">
      <c r="A1022" s="3">
        <f ca="1">IFERROR(__xludf.UNSUPPORTED("""COMPUTED_VALUE"""),44946.6666666666)</f>
        <v>44946.666666666599</v>
      </c>
      <c r="B1022" s="1">
        <f ca="1">IFERROR(__xludf.UNSUPPORTED("""COMPUTED_VALUE"""),60.08)</f>
        <v>60.08</v>
      </c>
      <c r="C1022" s="2">
        <f t="shared" ca="1" si="3"/>
        <v>6.0281312793034067E-3</v>
      </c>
    </row>
    <row r="1023" spans="1:3">
      <c r="A1023" s="3">
        <f ca="1">IFERROR(__xludf.UNSUPPORTED("""COMPUTED_VALUE"""),44949.6666666666)</f>
        <v>44949.666666666599</v>
      </c>
      <c r="B1023" s="1">
        <f ca="1">IFERROR(__xludf.UNSUPPORTED("""COMPUTED_VALUE"""),60.23)</f>
        <v>60.23</v>
      </c>
      <c r="C1023" s="2">
        <f t="shared" ref="C1023:C1277" ca="1" si="4">(B1023-B1022)/B1022</f>
        <v>2.4966711051930524E-3</v>
      </c>
    </row>
    <row r="1024" spans="1:3">
      <c r="A1024" s="3">
        <f ca="1">IFERROR(__xludf.UNSUPPORTED("""COMPUTED_VALUE"""),44950.6666666666)</f>
        <v>44950.666666666599</v>
      </c>
      <c r="B1024" s="1">
        <f ca="1">IFERROR(__xludf.UNSUPPORTED("""COMPUTED_VALUE"""),60.55)</f>
        <v>60.55</v>
      </c>
      <c r="C1024" s="2">
        <f t="shared" ca="1" si="4"/>
        <v>5.3129669599867226E-3</v>
      </c>
    </row>
    <row r="1025" spans="1:3">
      <c r="A1025" s="3">
        <f ca="1">IFERROR(__xludf.UNSUPPORTED("""COMPUTED_VALUE"""),44951.6666666666)</f>
        <v>44951.666666666599</v>
      </c>
      <c r="B1025" s="1">
        <f ca="1">IFERROR(__xludf.UNSUPPORTED("""COMPUTED_VALUE"""),60.93)</f>
        <v>60.93</v>
      </c>
      <c r="C1025" s="2">
        <f t="shared" ca="1" si="4"/>
        <v>6.2758051197357983E-3</v>
      </c>
    </row>
    <row r="1026" spans="1:3">
      <c r="A1026" s="3">
        <f ca="1">IFERROR(__xludf.UNSUPPORTED("""COMPUTED_VALUE"""),44952.6666666666)</f>
        <v>44952.666666666599</v>
      </c>
      <c r="B1026" s="1">
        <f ca="1">IFERROR(__xludf.UNSUPPORTED("""COMPUTED_VALUE"""),60.81)</f>
        <v>60.81</v>
      </c>
      <c r="C1026" s="2">
        <f t="shared" ca="1" si="4"/>
        <v>-1.9694731659280723E-3</v>
      </c>
    </row>
    <row r="1027" spans="1:3">
      <c r="A1027" s="3">
        <f ca="1">IFERROR(__xludf.UNSUPPORTED("""COMPUTED_VALUE"""),44953.6666666666)</f>
        <v>44953.666666666599</v>
      </c>
      <c r="B1027" s="1">
        <f ca="1">IFERROR(__xludf.UNSUPPORTED("""COMPUTED_VALUE"""),60.49)</f>
        <v>60.49</v>
      </c>
      <c r="C1027" s="2">
        <f t="shared" ca="1" si="4"/>
        <v>-5.2622923861207083E-3</v>
      </c>
    </row>
    <row r="1028" spans="1:3">
      <c r="A1028" s="3">
        <f ca="1">IFERROR(__xludf.UNSUPPORTED("""COMPUTED_VALUE"""),44956.6666666666)</f>
        <v>44956.666666666599</v>
      </c>
      <c r="B1028" s="1">
        <f ca="1">IFERROR(__xludf.UNSUPPORTED("""COMPUTED_VALUE"""),60.64)</f>
        <v>60.64</v>
      </c>
      <c r="C1028" s="2">
        <f t="shared" ca="1" si="4"/>
        <v>2.4797487187964715E-3</v>
      </c>
    </row>
    <row r="1029" spans="1:3">
      <c r="A1029" s="3">
        <f ca="1">IFERROR(__xludf.UNSUPPORTED("""COMPUTED_VALUE"""),44957.6666666666)</f>
        <v>44957.666666666599</v>
      </c>
      <c r="B1029" s="1">
        <f ca="1">IFERROR(__xludf.UNSUPPORTED("""COMPUTED_VALUE"""),61.32)</f>
        <v>61.32</v>
      </c>
      <c r="C1029" s="2">
        <f t="shared" ca="1" si="4"/>
        <v>1.1213720316622686E-2</v>
      </c>
    </row>
    <row r="1030" spans="1:3">
      <c r="A1030" s="3">
        <f ca="1">IFERROR(__xludf.UNSUPPORTED("""COMPUTED_VALUE"""),44958.6666666666)</f>
        <v>44958.666666666599</v>
      </c>
      <c r="B1030" s="1">
        <f ca="1">IFERROR(__xludf.UNSUPPORTED("""COMPUTED_VALUE"""),61.33)</f>
        <v>61.33</v>
      </c>
      <c r="C1030" s="2">
        <f t="shared" ca="1" si="4"/>
        <v>1.6307893020218542E-4</v>
      </c>
    </row>
    <row r="1031" spans="1:3">
      <c r="A1031" s="3">
        <f ca="1">IFERROR(__xludf.UNSUPPORTED("""COMPUTED_VALUE"""),44959.6666666666)</f>
        <v>44959.666666666599</v>
      </c>
      <c r="B1031" s="1">
        <f ca="1">IFERROR(__xludf.UNSUPPORTED("""COMPUTED_VALUE"""),60.28)</f>
        <v>60.28</v>
      </c>
      <c r="C1031" s="2">
        <f t="shared" ca="1" si="4"/>
        <v>-1.7120495679112949E-2</v>
      </c>
    </row>
    <row r="1032" spans="1:3">
      <c r="A1032" s="3">
        <f ca="1">IFERROR(__xludf.UNSUPPORTED("""COMPUTED_VALUE"""),44960.6666666666)</f>
        <v>44960.666666666599</v>
      </c>
      <c r="B1032" s="1">
        <f ca="1">IFERROR(__xludf.UNSUPPORTED("""COMPUTED_VALUE"""),59.83)</f>
        <v>59.83</v>
      </c>
      <c r="C1032" s="2">
        <f t="shared" ca="1" si="4"/>
        <v>-7.4651625746516726E-3</v>
      </c>
    </row>
    <row r="1033" spans="1:3">
      <c r="A1033" s="3">
        <f ca="1">IFERROR(__xludf.UNSUPPORTED("""COMPUTED_VALUE"""),44963.6666666666)</f>
        <v>44963.666666666599</v>
      </c>
      <c r="B1033" s="1">
        <f ca="1">IFERROR(__xludf.UNSUPPORTED("""COMPUTED_VALUE"""),60.17)</f>
        <v>60.17</v>
      </c>
      <c r="C1033" s="2">
        <f t="shared" ca="1" si="4"/>
        <v>5.6827678422196794E-3</v>
      </c>
    </row>
    <row r="1034" spans="1:3">
      <c r="A1034" s="3">
        <f ca="1">IFERROR(__xludf.UNSUPPORTED("""COMPUTED_VALUE"""),44964.6666666666)</f>
        <v>44964.666666666599</v>
      </c>
      <c r="B1034" s="1">
        <f ca="1">IFERROR(__xludf.UNSUPPORTED("""COMPUTED_VALUE"""),60.07)</f>
        <v>60.07</v>
      </c>
      <c r="C1034" s="2">
        <f t="shared" ca="1" si="4"/>
        <v>-1.6619577862722523E-3</v>
      </c>
    </row>
    <row r="1035" spans="1:3">
      <c r="A1035" s="3">
        <f ca="1">IFERROR(__xludf.UNSUPPORTED("""COMPUTED_VALUE"""),44965.6666666666)</f>
        <v>44965.666666666599</v>
      </c>
      <c r="B1035" s="1">
        <f ca="1">IFERROR(__xludf.UNSUPPORTED("""COMPUTED_VALUE"""),59.72)</f>
        <v>59.72</v>
      </c>
      <c r="C1035" s="2">
        <f t="shared" ca="1" si="4"/>
        <v>-5.8265357083402934E-3</v>
      </c>
    </row>
    <row r="1036" spans="1:3">
      <c r="A1036" s="3">
        <f ca="1">IFERROR(__xludf.UNSUPPORTED("""COMPUTED_VALUE"""),44966.6666666666)</f>
        <v>44966.666666666599</v>
      </c>
      <c r="B1036" s="1">
        <f ca="1">IFERROR(__xludf.UNSUPPORTED("""COMPUTED_VALUE"""),59.62)</f>
        <v>59.62</v>
      </c>
      <c r="C1036" s="2">
        <f t="shared" ca="1" si="4"/>
        <v>-1.6744809109176394E-3</v>
      </c>
    </row>
    <row r="1037" spans="1:3">
      <c r="A1037" s="3">
        <f ca="1">IFERROR(__xludf.UNSUPPORTED("""COMPUTED_VALUE"""),44967.6666666666)</f>
        <v>44967.666666666599</v>
      </c>
      <c r="B1037" s="1">
        <f ca="1">IFERROR(__xludf.UNSUPPORTED("""COMPUTED_VALUE"""),59.62)</f>
        <v>59.62</v>
      </c>
      <c r="C1037" s="2">
        <f t="shared" ca="1" si="4"/>
        <v>0</v>
      </c>
    </row>
    <row r="1038" spans="1:3">
      <c r="A1038" s="3">
        <f ca="1">IFERROR(__xludf.UNSUPPORTED("""COMPUTED_VALUE"""),44970.6666666666)</f>
        <v>44970.666666666599</v>
      </c>
      <c r="B1038" s="1">
        <f ca="1">IFERROR(__xludf.UNSUPPORTED("""COMPUTED_VALUE"""),60.6)</f>
        <v>60.6</v>
      </c>
      <c r="C1038" s="2">
        <f t="shared" ca="1" si="4"/>
        <v>1.6437437101643811E-2</v>
      </c>
    </row>
    <row r="1039" spans="1:3">
      <c r="A1039" s="3">
        <f ca="1">IFERROR(__xludf.UNSUPPORTED("""COMPUTED_VALUE"""),44971.6666666666)</f>
        <v>44971.666666666599</v>
      </c>
      <c r="B1039" s="1">
        <f ca="1">IFERROR(__xludf.UNSUPPORTED("""COMPUTED_VALUE"""),59.59)</f>
        <v>59.59</v>
      </c>
      <c r="C1039" s="2">
        <f t="shared" ca="1" si="4"/>
        <v>-1.6666666666666632E-2</v>
      </c>
    </row>
    <row r="1040" spans="1:3">
      <c r="A1040" s="3">
        <f ca="1">IFERROR(__xludf.UNSUPPORTED("""COMPUTED_VALUE"""),44972.6666666666)</f>
        <v>44972.666666666599</v>
      </c>
      <c r="B1040" s="1">
        <f ca="1">IFERROR(__xludf.UNSUPPORTED("""COMPUTED_VALUE"""),59.59)</f>
        <v>59.59</v>
      </c>
      <c r="C1040" s="2">
        <f t="shared" ca="1" si="4"/>
        <v>0</v>
      </c>
    </row>
    <row r="1041" spans="1:3">
      <c r="A1041" s="3">
        <f ca="1">IFERROR(__xludf.UNSUPPORTED("""COMPUTED_VALUE"""),44973.6666666666)</f>
        <v>44973.666666666599</v>
      </c>
      <c r="B1041" s="1">
        <f ca="1">IFERROR(__xludf.UNSUPPORTED("""COMPUTED_VALUE"""),59.22)</f>
        <v>59.22</v>
      </c>
      <c r="C1041" s="2">
        <f t="shared" ca="1" si="4"/>
        <v>-6.209095485819844E-3</v>
      </c>
    </row>
    <row r="1042" spans="1:3">
      <c r="A1042" s="3">
        <f ca="1">IFERROR(__xludf.UNSUPPORTED("""COMPUTED_VALUE"""),44974.6666666666)</f>
        <v>44974.666666666599</v>
      </c>
      <c r="B1042" s="1">
        <f ca="1">IFERROR(__xludf.UNSUPPORTED("""COMPUTED_VALUE"""),60.12)</f>
        <v>60.12</v>
      </c>
      <c r="C1042" s="2">
        <f t="shared" ca="1" si="4"/>
        <v>1.5197568389057727E-2</v>
      </c>
    </row>
    <row r="1043" spans="1:3">
      <c r="A1043" s="3">
        <f ca="1">IFERROR(__xludf.UNSUPPORTED("""COMPUTED_VALUE"""),44978.6666666666)</f>
        <v>44978.666666666599</v>
      </c>
      <c r="B1043" s="1">
        <f ca="1">IFERROR(__xludf.UNSUPPORTED("""COMPUTED_VALUE"""),59.8)</f>
        <v>59.8</v>
      </c>
      <c r="C1043" s="2">
        <f t="shared" ca="1" si="4"/>
        <v>-5.3226879574185017E-3</v>
      </c>
    </row>
    <row r="1044" spans="1:3">
      <c r="A1044" s="3">
        <f ca="1">IFERROR(__xludf.UNSUPPORTED("""COMPUTED_VALUE"""),44979.6666666666)</f>
        <v>44979.666666666599</v>
      </c>
      <c r="B1044" s="1">
        <f ca="1">IFERROR(__xludf.UNSUPPORTED("""COMPUTED_VALUE"""),59.98)</f>
        <v>59.98</v>
      </c>
      <c r="C1044" s="2">
        <f t="shared" ca="1" si="4"/>
        <v>3.0100334448160491E-3</v>
      </c>
    </row>
    <row r="1045" spans="1:3">
      <c r="A1045" s="3">
        <f ca="1">IFERROR(__xludf.UNSUPPORTED("""COMPUTED_VALUE"""),44980.6666666666)</f>
        <v>44980.666666666599</v>
      </c>
      <c r="B1045" s="1">
        <f ca="1">IFERROR(__xludf.UNSUPPORTED("""COMPUTED_VALUE"""),60.09)</f>
        <v>60.09</v>
      </c>
      <c r="C1045" s="2">
        <f t="shared" ca="1" si="4"/>
        <v>1.8339446482161811E-3</v>
      </c>
    </row>
    <row r="1046" spans="1:3">
      <c r="A1046" s="3">
        <f ca="1">IFERROR(__xludf.UNSUPPORTED("""COMPUTED_VALUE"""),44981.6666666666)</f>
        <v>44981.666666666599</v>
      </c>
      <c r="B1046" s="1">
        <f ca="1">IFERROR(__xludf.UNSUPPORTED("""COMPUTED_VALUE"""),59.84)</f>
        <v>59.84</v>
      </c>
      <c r="C1046" s="2">
        <f t="shared" ca="1" si="4"/>
        <v>-4.1604260276252285E-3</v>
      </c>
    </row>
    <row r="1047" spans="1:3">
      <c r="A1047" s="3">
        <f ca="1">IFERROR(__xludf.UNSUPPORTED("""COMPUTED_VALUE"""),44984.6666666666)</f>
        <v>44984.666666666599</v>
      </c>
      <c r="B1047" s="1">
        <f ca="1">IFERROR(__xludf.UNSUPPORTED("""COMPUTED_VALUE"""),59.82)</f>
        <v>59.82</v>
      </c>
      <c r="C1047" s="2">
        <f t="shared" ca="1" si="4"/>
        <v>-3.3422459893053352E-4</v>
      </c>
    </row>
    <row r="1048" spans="1:3">
      <c r="A1048" s="3">
        <f ca="1">IFERROR(__xludf.UNSUPPORTED("""COMPUTED_VALUE"""),44985.6666666666)</f>
        <v>44985.666666666599</v>
      </c>
      <c r="B1048" s="1">
        <f ca="1">IFERROR(__xludf.UNSUPPORTED("""COMPUTED_VALUE"""),59.51)</f>
        <v>59.51</v>
      </c>
      <c r="C1048" s="2">
        <f t="shared" ca="1" si="4"/>
        <v>-5.1822133065864643E-3</v>
      </c>
    </row>
    <row r="1049" spans="1:3">
      <c r="A1049" s="3">
        <f ca="1">IFERROR(__xludf.UNSUPPORTED("""COMPUTED_VALUE"""),44986.6666666666)</f>
        <v>44986.666666666599</v>
      </c>
      <c r="B1049" s="1">
        <f ca="1">IFERROR(__xludf.UNSUPPORTED("""COMPUTED_VALUE"""),58.86)</f>
        <v>58.86</v>
      </c>
      <c r="C1049" s="2">
        <f t="shared" ca="1" si="4"/>
        <v>-1.0922534027894448E-2</v>
      </c>
    </row>
    <row r="1050" spans="1:3">
      <c r="A1050" s="3">
        <f ca="1">IFERROR(__xludf.UNSUPPORTED("""COMPUTED_VALUE"""),44987.6666666666)</f>
        <v>44987.666666666599</v>
      </c>
      <c r="B1050" s="1">
        <f ca="1">IFERROR(__xludf.UNSUPPORTED("""COMPUTED_VALUE"""),59.72)</f>
        <v>59.72</v>
      </c>
      <c r="C1050" s="2">
        <f t="shared" ca="1" si="4"/>
        <v>1.4610941216445794E-2</v>
      </c>
    </row>
    <row r="1051" spans="1:3">
      <c r="A1051" s="3">
        <f ca="1">IFERROR(__xludf.UNSUPPORTED("""COMPUTED_VALUE"""),44988.6666666666)</f>
        <v>44988.666666666599</v>
      </c>
      <c r="B1051" s="1">
        <f ca="1">IFERROR(__xludf.UNSUPPORTED("""COMPUTED_VALUE"""),59.44)</f>
        <v>59.44</v>
      </c>
      <c r="C1051" s="2">
        <f t="shared" ca="1" si="4"/>
        <v>-4.6885465505693428E-3</v>
      </c>
    </row>
    <row r="1052" spans="1:3">
      <c r="A1052" s="3">
        <f ca="1">IFERROR(__xludf.UNSUPPORTED("""COMPUTED_VALUE"""),44991.6666666666)</f>
        <v>44991.666666666599</v>
      </c>
      <c r="B1052" s="1">
        <f ca="1">IFERROR(__xludf.UNSUPPORTED("""COMPUTED_VALUE"""),60.36)</f>
        <v>60.36</v>
      </c>
      <c r="C1052" s="2">
        <f t="shared" ca="1" si="4"/>
        <v>1.547779273216692E-2</v>
      </c>
    </row>
    <row r="1053" spans="1:3">
      <c r="A1053" s="3">
        <f ca="1">IFERROR(__xludf.UNSUPPORTED("""COMPUTED_VALUE"""),44992.6666666666)</f>
        <v>44992.666666666599</v>
      </c>
      <c r="B1053" s="1">
        <f ca="1">IFERROR(__xludf.UNSUPPORTED("""COMPUTED_VALUE"""),60.01)</f>
        <v>60.01</v>
      </c>
      <c r="C1053" s="2">
        <f t="shared" ca="1" si="4"/>
        <v>-5.7985420808482676E-3</v>
      </c>
    </row>
    <row r="1054" spans="1:3">
      <c r="A1054" s="3">
        <f ca="1">IFERROR(__xludf.UNSUPPORTED("""COMPUTED_VALUE"""),44993.6666666666)</f>
        <v>44993.666666666599</v>
      </c>
      <c r="B1054" s="1">
        <f ca="1">IFERROR(__xludf.UNSUPPORTED("""COMPUTED_VALUE"""),60.04)</f>
        <v>60.04</v>
      </c>
      <c r="C1054" s="2">
        <f t="shared" ca="1" si="4"/>
        <v>4.9991668055326011E-4</v>
      </c>
    </row>
    <row r="1055" spans="1:3">
      <c r="A1055" s="3">
        <f ca="1">IFERROR(__xludf.UNSUPPORTED("""COMPUTED_VALUE"""),44994.6666666666)</f>
        <v>44994.666666666599</v>
      </c>
      <c r="B1055" s="1">
        <f ca="1">IFERROR(__xludf.UNSUPPORTED("""COMPUTED_VALUE"""),59.46)</f>
        <v>59.46</v>
      </c>
      <c r="C1055" s="2">
        <f t="shared" ca="1" si="4"/>
        <v>-9.660226515656201E-3</v>
      </c>
    </row>
    <row r="1056" spans="1:3">
      <c r="A1056" s="3">
        <f ca="1">IFERROR(__xludf.UNSUPPORTED("""COMPUTED_VALUE"""),44995.6666666666)</f>
        <v>44995.666666666599</v>
      </c>
      <c r="B1056" s="1">
        <f ca="1">IFERROR(__xludf.UNSUPPORTED("""COMPUTED_VALUE"""),59.21)</f>
        <v>59.21</v>
      </c>
      <c r="C1056" s="2">
        <f t="shared" ca="1" si="4"/>
        <v>-4.204507231752439E-3</v>
      </c>
    </row>
    <row r="1057" spans="1:3">
      <c r="A1057" s="3">
        <f ca="1">IFERROR(__xludf.UNSUPPORTED("""COMPUTED_VALUE"""),44998.6666666666)</f>
        <v>44998.666666666599</v>
      </c>
      <c r="B1057" s="1">
        <f ca="1">IFERROR(__xludf.UNSUPPORTED("""COMPUTED_VALUE"""),59.81)</f>
        <v>59.81</v>
      </c>
      <c r="C1057" s="2">
        <f t="shared" ca="1" si="4"/>
        <v>1.0133423408208097E-2</v>
      </c>
    </row>
    <row r="1058" spans="1:3">
      <c r="A1058" s="3">
        <f ca="1">IFERROR(__xludf.UNSUPPORTED("""COMPUTED_VALUE"""),44999.6666666666)</f>
        <v>44999.666666666599</v>
      </c>
      <c r="B1058" s="1">
        <f ca="1">IFERROR(__xludf.UNSUPPORTED("""COMPUTED_VALUE"""),60.03)</f>
        <v>60.03</v>
      </c>
      <c r="C1058" s="2">
        <f t="shared" ca="1" si="4"/>
        <v>3.6783146630997971E-3</v>
      </c>
    </row>
    <row r="1059" spans="1:3">
      <c r="A1059" s="3">
        <f ca="1">IFERROR(__xludf.UNSUPPORTED("""COMPUTED_VALUE"""),45000.6666666666)</f>
        <v>45000.666666666599</v>
      </c>
      <c r="B1059" s="1">
        <f ca="1">IFERROR(__xludf.UNSUPPORTED("""COMPUTED_VALUE"""),60.43)</f>
        <v>60.43</v>
      </c>
      <c r="C1059" s="2">
        <f t="shared" ca="1" si="4"/>
        <v>6.6633349991670589E-3</v>
      </c>
    </row>
    <row r="1060" spans="1:3">
      <c r="A1060" s="3">
        <f ca="1">IFERROR(__xludf.UNSUPPORTED("""COMPUTED_VALUE"""),45001.6666666666)</f>
        <v>45001.666666666599</v>
      </c>
      <c r="B1060" s="1">
        <f ca="1">IFERROR(__xludf.UNSUPPORTED("""COMPUTED_VALUE"""),60.3)</f>
        <v>60.3</v>
      </c>
      <c r="C1060" s="2">
        <f t="shared" ca="1" si="4"/>
        <v>-2.1512493794473369E-3</v>
      </c>
    </row>
    <row r="1061" spans="1:3">
      <c r="A1061" s="3">
        <f ca="1">IFERROR(__xludf.UNSUPPORTED("""COMPUTED_VALUE"""),45002.6666666666)</f>
        <v>45002.666666666599</v>
      </c>
      <c r="B1061" s="1">
        <f ca="1">IFERROR(__xludf.UNSUPPORTED("""COMPUTED_VALUE"""),60.02)</f>
        <v>60.02</v>
      </c>
      <c r="C1061" s="2">
        <f t="shared" ca="1" si="4"/>
        <v>-4.6434494195687235E-3</v>
      </c>
    </row>
    <row r="1062" spans="1:3">
      <c r="A1062" s="3">
        <f ca="1">IFERROR(__xludf.UNSUPPORTED("""COMPUTED_VALUE"""),45005.6666666666)</f>
        <v>45005.666666666599</v>
      </c>
      <c r="B1062" s="1">
        <f ca="1">IFERROR(__xludf.UNSUPPORTED("""COMPUTED_VALUE"""),60.6)</f>
        <v>60.6</v>
      </c>
      <c r="C1062" s="2">
        <f t="shared" ca="1" si="4"/>
        <v>9.6634455181605836E-3</v>
      </c>
    </row>
    <row r="1063" spans="1:3">
      <c r="A1063" s="3">
        <f ca="1">IFERROR(__xludf.UNSUPPORTED("""COMPUTED_VALUE"""),45006.6666666666)</f>
        <v>45006.666666666599</v>
      </c>
      <c r="B1063" s="1">
        <f ca="1">IFERROR(__xludf.UNSUPPORTED("""COMPUTED_VALUE"""),60.32)</f>
        <v>60.32</v>
      </c>
      <c r="C1063" s="2">
        <f t="shared" ca="1" si="4"/>
        <v>-4.6204620462046387E-3</v>
      </c>
    </row>
    <row r="1064" spans="1:3">
      <c r="A1064" s="3">
        <f ca="1">IFERROR(__xludf.UNSUPPORTED("""COMPUTED_VALUE"""),45007.6666666666)</f>
        <v>45007.666666666599</v>
      </c>
      <c r="B1064" s="1">
        <f ca="1">IFERROR(__xludf.UNSUPPORTED("""COMPUTED_VALUE"""),60.05)</f>
        <v>60.05</v>
      </c>
      <c r="C1064" s="2">
        <f t="shared" ca="1" si="4"/>
        <v>-4.4761273209549587E-3</v>
      </c>
    </row>
    <row r="1065" spans="1:3">
      <c r="A1065" s="3">
        <f ca="1">IFERROR(__xludf.UNSUPPORTED("""COMPUTED_VALUE"""),45008.6666666666)</f>
        <v>45008.666666666599</v>
      </c>
      <c r="B1065" s="1">
        <f ca="1">IFERROR(__xludf.UNSUPPORTED("""COMPUTED_VALUE"""),59.92)</f>
        <v>59.92</v>
      </c>
      <c r="C1065" s="2">
        <f t="shared" ca="1" si="4"/>
        <v>-2.1648626144878513E-3</v>
      </c>
    </row>
    <row r="1066" spans="1:3">
      <c r="A1066" s="3">
        <f ca="1">IFERROR(__xludf.UNSUPPORTED("""COMPUTED_VALUE"""),45009.6666666666)</f>
        <v>45009.666666666599</v>
      </c>
      <c r="B1066" s="1">
        <f ca="1">IFERROR(__xludf.UNSUPPORTED("""COMPUTED_VALUE"""),60.9)</f>
        <v>60.9</v>
      </c>
      <c r="C1066" s="2">
        <f t="shared" ca="1" si="4"/>
        <v>1.6355140186915834E-2</v>
      </c>
    </row>
    <row r="1067" spans="1:3">
      <c r="A1067" s="3">
        <f ca="1">IFERROR(__xludf.UNSUPPORTED("""COMPUTED_VALUE"""),45012.6666666666)</f>
        <v>45012.666666666599</v>
      </c>
      <c r="B1067" s="1">
        <f ca="1">IFERROR(__xludf.UNSUPPORTED("""COMPUTED_VALUE"""),61.35)</f>
        <v>61.35</v>
      </c>
      <c r="C1067" s="2">
        <f t="shared" ca="1" si="4"/>
        <v>7.3891625615764012E-3</v>
      </c>
    </row>
    <row r="1068" spans="1:3">
      <c r="A1068" s="3">
        <f ca="1">IFERROR(__xludf.UNSUPPORTED("""COMPUTED_VALUE"""),45013.6666666666)</f>
        <v>45013.666666666599</v>
      </c>
      <c r="B1068" s="1">
        <f ca="1">IFERROR(__xludf.UNSUPPORTED("""COMPUTED_VALUE"""),61.42)</f>
        <v>61.42</v>
      </c>
      <c r="C1068" s="2">
        <f t="shared" ca="1" si="4"/>
        <v>1.1409942950285294E-3</v>
      </c>
    </row>
    <row r="1069" spans="1:3">
      <c r="A1069" s="3">
        <f ca="1">IFERROR(__xludf.UNSUPPORTED("""COMPUTED_VALUE"""),45014.6666666666)</f>
        <v>45014.666666666599</v>
      </c>
      <c r="B1069" s="1">
        <f ca="1">IFERROR(__xludf.UNSUPPORTED("""COMPUTED_VALUE"""),61.86)</f>
        <v>61.86</v>
      </c>
      <c r="C1069" s="2">
        <f t="shared" ca="1" si="4"/>
        <v>7.1637902963203794E-3</v>
      </c>
    </row>
    <row r="1070" spans="1:3">
      <c r="A1070" s="3">
        <f ca="1">IFERROR(__xludf.UNSUPPORTED("""COMPUTED_VALUE"""),45015.6666666666)</f>
        <v>45015.666666666599</v>
      </c>
      <c r="B1070" s="1">
        <f ca="1">IFERROR(__xludf.UNSUPPORTED("""COMPUTED_VALUE"""),61.85)</f>
        <v>61.85</v>
      </c>
      <c r="C1070" s="2">
        <f t="shared" ca="1" si="4"/>
        <v>-1.6165535079207906E-4</v>
      </c>
    </row>
    <row r="1071" spans="1:3">
      <c r="A1071" s="3">
        <f ca="1">IFERROR(__xludf.UNSUPPORTED("""COMPUTED_VALUE"""),45016.6666666666)</f>
        <v>45016.666666666599</v>
      </c>
      <c r="B1071" s="1">
        <f ca="1">IFERROR(__xludf.UNSUPPORTED("""COMPUTED_VALUE"""),62.03)</f>
        <v>62.03</v>
      </c>
      <c r="C1071" s="2">
        <f t="shared" ca="1" si="4"/>
        <v>2.9102667744543204E-3</v>
      </c>
    </row>
    <row r="1072" spans="1:3">
      <c r="A1072" s="3">
        <f ca="1">IFERROR(__xludf.UNSUPPORTED("""COMPUTED_VALUE"""),45019.6666666666)</f>
        <v>45019.666666666599</v>
      </c>
      <c r="B1072" s="1">
        <f ca="1">IFERROR(__xludf.UNSUPPORTED("""COMPUTED_VALUE"""),62.4)</f>
        <v>62.4</v>
      </c>
      <c r="C1072" s="2">
        <f t="shared" ca="1" si="4"/>
        <v>5.964855714976583E-3</v>
      </c>
    </row>
    <row r="1073" spans="1:3">
      <c r="A1073" s="3">
        <f ca="1">IFERROR(__xludf.UNSUPPORTED("""COMPUTED_VALUE"""),45020.6666666666)</f>
        <v>45020.666666666599</v>
      </c>
      <c r="B1073" s="1">
        <f ca="1">IFERROR(__xludf.UNSUPPORTED("""COMPUTED_VALUE"""),62.21)</f>
        <v>62.21</v>
      </c>
      <c r="C1073" s="2">
        <f t="shared" ca="1" si="4"/>
        <v>-3.0448717948717585E-3</v>
      </c>
    </row>
    <row r="1074" spans="1:3">
      <c r="A1074" s="3">
        <f ca="1">IFERROR(__xludf.UNSUPPORTED("""COMPUTED_VALUE"""),45021.6666666666)</f>
        <v>45021.666666666599</v>
      </c>
      <c r="B1074" s="1">
        <f ca="1">IFERROR(__xludf.UNSUPPORTED("""COMPUTED_VALUE"""),62.8)</f>
        <v>62.8</v>
      </c>
      <c r="C1074" s="2">
        <f t="shared" ca="1" si="4"/>
        <v>9.4840057868509284E-3</v>
      </c>
    </row>
    <row r="1075" spans="1:3">
      <c r="A1075" s="3">
        <f ca="1">IFERROR(__xludf.UNSUPPORTED("""COMPUTED_VALUE"""),45022.6666666666)</f>
        <v>45022.666666666599</v>
      </c>
      <c r="B1075" s="1">
        <f ca="1">IFERROR(__xludf.UNSUPPORTED("""COMPUTED_VALUE"""),62.84)</f>
        <v>62.84</v>
      </c>
      <c r="C1075" s="2">
        <f t="shared" ca="1" si="4"/>
        <v>6.3694267515933527E-4</v>
      </c>
    </row>
    <row r="1076" spans="1:3">
      <c r="A1076" s="3">
        <f ca="1">IFERROR(__xludf.UNSUPPORTED("""COMPUTED_VALUE"""),45026.6666666666)</f>
        <v>45026.666666666599</v>
      </c>
      <c r="B1076" s="1">
        <f ca="1">IFERROR(__xludf.UNSUPPORTED("""COMPUTED_VALUE"""),62.69)</f>
        <v>62.69</v>
      </c>
      <c r="C1076" s="2">
        <f t="shared" ca="1" si="4"/>
        <v>-2.387014640356551E-3</v>
      </c>
    </row>
    <row r="1077" spans="1:3">
      <c r="A1077" s="3">
        <f ca="1">IFERROR(__xludf.UNSUPPORTED("""COMPUTED_VALUE"""),45027.6666666666)</f>
        <v>45027.666666666599</v>
      </c>
      <c r="B1077" s="1">
        <f ca="1">IFERROR(__xludf.UNSUPPORTED("""COMPUTED_VALUE"""),62.58)</f>
        <v>62.58</v>
      </c>
      <c r="C1077" s="2">
        <f t="shared" ca="1" si="4"/>
        <v>-1.7546658159195954E-3</v>
      </c>
    </row>
    <row r="1078" spans="1:3">
      <c r="A1078" s="3">
        <f ca="1">IFERROR(__xludf.UNSUPPORTED("""COMPUTED_VALUE"""),45028.6666666666)</f>
        <v>45028.666666666599</v>
      </c>
      <c r="B1078" s="1">
        <f ca="1">IFERROR(__xludf.UNSUPPORTED("""COMPUTED_VALUE"""),62.69)</f>
        <v>62.69</v>
      </c>
      <c r="C1078" s="2">
        <f t="shared" ca="1" si="4"/>
        <v>1.7577500798977219E-3</v>
      </c>
    </row>
    <row r="1079" spans="1:3">
      <c r="A1079" s="3">
        <f ca="1">IFERROR(__xludf.UNSUPPORTED("""COMPUTED_VALUE"""),45029.6666666666)</f>
        <v>45029.666666666599</v>
      </c>
      <c r="B1079" s="1">
        <f ca="1">IFERROR(__xludf.UNSUPPORTED("""COMPUTED_VALUE"""),63.15)</f>
        <v>63.15</v>
      </c>
      <c r="C1079" s="2">
        <f t="shared" ca="1" si="4"/>
        <v>7.3376934120274505E-3</v>
      </c>
    </row>
    <row r="1080" spans="1:3">
      <c r="A1080" s="3">
        <f ca="1">IFERROR(__xludf.UNSUPPORTED("""COMPUTED_VALUE"""),45030.6666666666)</f>
        <v>45030.666666666599</v>
      </c>
      <c r="B1080" s="1">
        <f ca="1">IFERROR(__xludf.UNSUPPORTED("""COMPUTED_VALUE"""),63.05)</f>
        <v>63.05</v>
      </c>
      <c r="C1080" s="2">
        <f t="shared" ca="1" si="4"/>
        <v>-1.5835312747426986E-3</v>
      </c>
    </row>
    <row r="1081" spans="1:3">
      <c r="A1081" s="3">
        <f ca="1">IFERROR(__xludf.UNSUPPORTED("""COMPUTED_VALUE"""),45033.6666666666)</f>
        <v>45033.666666666599</v>
      </c>
      <c r="B1081" s="1">
        <f ca="1">IFERROR(__xludf.UNSUPPORTED("""COMPUTED_VALUE"""),63.46)</f>
        <v>63.46</v>
      </c>
      <c r="C1081" s="2">
        <f t="shared" ca="1" si="4"/>
        <v>6.5027755749405827E-3</v>
      </c>
    </row>
    <row r="1082" spans="1:3">
      <c r="A1082" s="3">
        <f ca="1">IFERROR(__xludf.UNSUPPORTED("""COMPUTED_VALUE"""),45034.6666666666)</f>
        <v>45034.666666666599</v>
      </c>
      <c r="B1082" s="1">
        <f ca="1">IFERROR(__xludf.UNSUPPORTED("""COMPUTED_VALUE"""),63.56)</f>
        <v>63.56</v>
      </c>
      <c r="C1082" s="2">
        <f t="shared" ca="1" si="4"/>
        <v>1.5757957768673403E-3</v>
      </c>
    </row>
    <row r="1083" spans="1:3">
      <c r="A1083" s="3">
        <f ca="1">IFERROR(__xludf.UNSUPPORTED("""COMPUTED_VALUE"""),45035.6666666666)</f>
        <v>45035.666666666599</v>
      </c>
      <c r="B1083" s="1">
        <f ca="1">IFERROR(__xludf.UNSUPPORTED("""COMPUTED_VALUE"""),63.68)</f>
        <v>63.68</v>
      </c>
      <c r="C1083" s="2">
        <f t="shared" ca="1" si="4"/>
        <v>1.8879798615481032E-3</v>
      </c>
    </row>
    <row r="1084" spans="1:3">
      <c r="A1084" s="3">
        <f ca="1">IFERROR(__xludf.UNSUPPORTED("""COMPUTED_VALUE"""),45036.6666666666)</f>
        <v>45036.666666666599</v>
      </c>
      <c r="B1084" s="1">
        <f ca="1">IFERROR(__xludf.UNSUPPORTED("""COMPUTED_VALUE"""),63.96)</f>
        <v>63.96</v>
      </c>
      <c r="C1084" s="2">
        <f t="shared" ca="1" si="4"/>
        <v>4.3969849246231337E-3</v>
      </c>
    </row>
    <row r="1085" spans="1:3">
      <c r="A1085" s="3">
        <f ca="1">IFERROR(__xludf.UNSUPPORTED("""COMPUTED_VALUE"""),45037.6666666666)</f>
        <v>45037.666666666599</v>
      </c>
      <c r="B1085" s="1">
        <f ca="1">IFERROR(__xludf.UNSUPPORTED("""COMPUTED_VALUE"""),64.05)</f>
        <v>64.05</v>
      </c>
      <c r="C1085" s="2">
        <f t="shared" ca="1" si="4"/>
        <v>1.407129455909886E-3</v>
      </c>
    </row>
    <row r="1086" spans="1:3">
      <c r="A1086" s="3">
        <f ca="1">IFERROR(__xludf.UNSUPPORTED("""COMPUTED_VALUE"""),45040.6666666666)</f>
        <v>45040.666666666599</v>
      </c>
      <c r="B1086" s="1">
        <f ca="1">IFERROR(__xludf.UNSUPPORTED("""COMPUTED_VALUE"""),63.95)</f>
        <v>63.95</v>
      </c>
      <c r="C1086" s="2">
        <f t="shared" ca="1" si="4"/>
        <v>-1.5612802498047513E-3</v>
      </c>
    </row>
    <row r="1087" spans="1:3">
      <c r="A1087" s="3">
        <f ca="1">IFERROR(__xludf.UNSUPPORTED("""COMPUTED_VALUE"""),45041.6666666666)</f>
        <v>45041.666666666599</v>
      </c>
      <c r="B1087" s="1">
        <f ca="1">IFERROR(__xludf.UNSUPPORTED("""COMPUTED_VALUE"""),63.85)</f>
        <v>63.85</v>
      </c>
      <c r="C1087" s="2">
        <f t="shared" ca="1" si="4"/>
        <v>-1.5637216575449791E-3</v>
      </c>
    </row>
    <row r="1088" spans="1:3">
      <c r="A1088" s="3">
        <f ca="1">IFERROR(__xludf.UNSUPPORTED("""COMPUTED_VALUE"""),45042.6666666666)</f>
        <v>45042.666666666599</v>
      </c>
      <c r="B1088" s="1">
        <f ca="1">IFERROR(__xludf.UNSUPPORTED("""COMPUTED_VALUE"""),63.55)</f>
        <v>63.55</v>
      </c>
      <c r="C1088" s="2">
        <f t="shared" ca="1" si="4"/>
        <v>-4.6985121378230891E-3</v>
      </c>
    </row>
    <row r="1089" spans="1:3">
      <c r="A1089" s="3">
        <f ca="1">IFERROR(__xludf.UNSUPPORTED("""COMPUTED_VALUE"""),45043.6666666666)</f>
        <v>45043.666666666599</v>
      </c>
      <c r="B1089" s="1">
        <f ca="1">IFERROR(__xludf.UNSUPPORTED("""COMPUTED_VALUE"""),63.68)</f>
        <v>63.68</v>
      </c>
      <c r="C1089" s="2">
        <f t="shared" ca="1" si="4"/>
        <v>2.0456333595594424E-3</v>
      </c>
    </row>
    <row r="1090" spans="1:3">
      <c r="A1090" s="3">
        <f ca="1">IFERROR(__xludf.UNSUPPORTED("""COMPUTED_VALUE"""),45044.6666666666)</f>
        <v>45044.666666666599</v>
      </c>
      <c r="B1090" s="1">
        <f ca="1">IFERROR(__xludf.UNSUPPORTED("""COMPUTED_VALUE"""),64.15)</f>
        <v>64.150000000000006</v>
      </c>
      <c r="C1090" s="2">
        <f t="shared" ca="1" si="4"/>
        <v>7.3806532663317518E-3</v>
      </c>
    </row>
    <row r="1091" spans="1:3">
      <c r="A1091" s="3">
        <f ca="1">IFERROR(__xludf.UNSUPPORTED("""COMPUTED_VALUE"""),45047.6666666666)</f>
        <v>45047.666666666599</v>
      </c>
      <c r="B1091" s="1">
        <f ca="1">IFERROR(__xludf.UNSUPPORTED("""COMPUTED_VALUE"""),64.3)</f>
        <v>64.3</v>
      </c>
      <c r="C1091" s="2">
        <f t="shared" ca="1" si="4"/>
        <v>2.338269680436344E-3</v>
      </c>
    </row>
    <row r="1092" spans="1:3">
      <c r="A1092" s="3">
        <f ca="1">IFERROR(__xludf.UNSUPPORTED("""COMPUTED_VALUE"""),45048.6666666666)</f>
        <v>45048.666666666599</v>
      </c>
      <c r="B1092" s="1">
        <f ca="1">IFERROR(__xludf.UNSUPPORTED("""COMPUTED_VALUE"""),64.01)</f>
        <v>64.010000000000005</v>
      </c>
      <c r="C1092" s="2">
        <f t="shared" ca="1" si="4"/>
        <v>-4.5101088646966108E-3</v>
      </c>
    </row>
    <row r="1093" spans="1:3">
      <c r="A1093" s="3">
        <f ca="1">IFERROR(__xludf.UNSUPPORTED("""COMPUTED_VALUE"""),45049.6666666666)</f>
        <v>45049.666666666599</v>
      </c>
      <c r="B1093" s="1">
        <f ca="1">IFERROR(__xludf.UNSUPPORTED("""COMPUTED_VALUE"""),63.65)</f>
        <v>63.65</v>
      </c>
      <c r="C1093" s="2">
        <f t="shared" ca="1" si="4"/>
        <v>-5.6241212310577486E-3</v>
      </c>
    </row>
    <row r="1094" spans="1:3">
      <c r="A1094" s="3">
        <f ca="1">IFERROR(__xludf.UNSUPPORTED("""COMPUTED_VALUE"""),45050.6666666666)</f>
        <v>45050.666666666599</v>
      </c>
      <c r="B1094" s="1">
        <f ca="1">IFERROR(__xludf.UNSUPPORTED("""COMPUTED_VALUE"""),63.72)</f>
        <v>63.72</v>
      </c>
      <c r="C1094" s="2">
        <f t="shared" ca="1" si="4"/>
        <v>1.099764336213673E-3</v>
      </c>
    </row>
    <row r="1095" spans="1:3">
      <c r="A1095" s="3">
        <f ca="1">IFERROR(__xludf.UNSUPPORTED("""COMPUTED_VALUE"""),45051.6666666666)</f>
        <v>45051.666666666599</v>
      </c>
      <c r="B1095" s="1">
        <f ca="1">IFERROR(__xludf.UNSUPPORTED("""COMPUTED_VALUE"""),64.02)</f>
        <v>64.02</v>
      </c>
      <c r="C1095" s="2">
        <f t="shared" ca="1" si="4"/>
        <v>4.7080979284368669E-3</v>
      </c>
    </row>
    <row r="1096" spans="1:3">
      <c r="A1096" s="3">
        <f ca="1">IFERROR(__xludf.UNSUPPORTED("""COMPUTED_VALUE"""),45054.6666666666)</f>
        <v>45054.666666666599</v>
      </c>
      <c r="B1096" s="1">
        <f ca="1">IFERROR(__xludf.UNSUPPORTED("""COMPUTED_VALUE"""),63.92)</f>
        <v>63.92</v>
      </c>
      <c r="C1096" s="2">
        <f t="shared" ca="1" si="4"/>
        <v>-1.562011871290133E-3</v>
      </c>
    </row>
    <row r="1097" spans="1:3">
      <c r="A1097" s="3">
        <f ca="1">IFERROR(__xludf.UNSUPPORTED("""COMPUTED_VALUE"""),45055.6666666666)</f>
        <v>45055.666666666599</v>
      </c>
      <c r="B1097" s="1">
        <f ca="1">IFERROR(__xludf.UNSUPPORTED("""COMPUTED_VALUE"""),63.39)</f>
        <v>63.39</v>
      </c>
      <c r="C1097" s="2">
        <f t="shared" ca="1" si="4"/>
        <v>-8.2916145181477028E-3</v>
      </c>
    </row>
    <row r="1098" spans="1:3">
      <c r="A1098" s="3">
        <f ca="1">IFERROR(__xludf.UNSUPPORTED("""COMPUTED_VALUE"""),45056.6666666666)</f>
        <v>45056.666666666599</v>
      </c>
      <c r="B1098" s="1">
        <f ca="1">IFERROR(__xludf.UNSUPPORTED("""COMPUTED_VALUE"""),63.5)</f>
        <v>63.5</v>
      </c>
      <c r="C1098" s="2">
        <f t="shared" ca="1" si="4"/>
        <v>1.7352894778356117E-3</v>
      </c>
    </row>
    <row r="1099" spans="1:3">
      <c r="A1099" s="3">
        <f ca="1">IFERROR(__xludf.UNSUPPORTED("""COMPUTED_VALUE"""),45057.6666666666)</f>
        <v>45057.666666666599</v>
      </c>
      <c r="B1099" s="1">
        <f ca="1">IFERROR(__xludf.UNSUPPORTED("""COMPUTED_VALUE"""),63.86)</f>
        <v>63.86</v>
      </c>
      <c r="C1099" s="2">
        <f t="shared" ca="1" si="4"/>
        <v>5.6692913385826679E-3</v>
      </c>
    </row>
    <row r="1100" spans="1:3">
      <c r="A1100" s="3">
        <f ca="1">IFERROR(__xludf.UNSUPPORTED("""COMPUTED_VALUE"""),45058.6666666666)</f>
        <v>45058.666666666599</v>
      </c>
      <c r="B1100" s="1">
        <f ca="1">IFERROR(__xludf.UNSUPPORTED("""COMPUTED_VALUE"""),64.11)</f>
        <v>64.11</v>
      </c>
      <c r="C1100" s="2">
        <f t="shared" ca="1" si="4"/>
        <v>3.9148136548700285E-3</v>
      </c>
    </row>
    <row r="1101" spans="1:3">
      <c r="A1101" s="3">
        <f ca="1">IFERROR(__xludf.UNSUPPORTED("""COMPUTED_VALUE"""),45061.6666666666)</f>
        <v>45061.666666666599</v>
      </c>
      <c r="B1101" s="1">
        <f ca="1">IFERROR(__xludf.UNSUPPORTED("""COMPUTED_VALUE"""),63.94)</f>
        <v>63.94</v>
      </c>
      <c r="C1101" s="2">
        <f t="shared" ca="1" si="4"/>
        <v>-2.6516924036811998E-3</v>
      </c>
    </row>
    <row r="1102" spans="1:3">
      <c r="A1102" s="3">
        <f ca="1">IFERROR(__xludf.UNSUPPORTED("""COMPUTED_VALUE"""),45062.6666666666)</f>
        <v>45062.666666666599</v>
      </c>
      <c r="B1102" s="1">
        <f ca="1">IFERROR(__xludf.UNSUPPORTED("""COMPUTED_VALUE"""),63.22)</f>
        <v>63.22</v>
      </c>
      <c r="C1102" s="2">
        <f t="shared" ca="1" si="4"/>
        <v>-1.1260556771973709E-2</v>
      </c>
    </row>
    <row r="1103" spans="1:3">
      <c r="A1103" s="3">
        <f ca="1">IFERROR(__xludf.UNSUPPORTED("""COMPUTED_VALUE"""),45063.6666666666)</f>
        <v>45063.666666666599</v>
      </c>
      <c r="B1103" s="1">
        <f ca="1">IFERROR(__xludf.UNSUPPORTED("""COMPUTED_VALUE"""),63.15)</f>
        <v>63.15</v>
      </c>
      <c r="C1103" s="2">
        <f t="shared" ca="1" si="4"/>
        <v>-1.1072445428661861E-3</v>
      </c>
    </row>
    <row r="1104" spans="1:3">
      <c r="A1104" s="3">
        <f ca="1">IFERROR(__xludf.UNSUPPORTED("""COMPUTED_VALUE"""),45064.6666666666)</f>
        <v>45064.666666666599</v>
      </c>
      <c r="B1104" s="1">
        <f ca="1">IFERROR(__xludf.UNSUPPORTED("""COMPUTED_VALUE"""),62.8)</f>
        <v>62.8</v>
      </c>
      <c r="C1104" s="2">
        <f t="shared" ca="1" si="4"/>
        <v>-5.5423594615993891E-3</v>
      </c>
    </row>
    <row r="1105" spans="1:3">
      <c r="A1105" s="3">
        <f ca="1">IFERROR(__xludf.UNSUPPORTED("""COMPUTED_VALUE"""),45065.6666666666)</f>
        <v>45065.666666666599</v>
      </c>
      <c r="B1105" s="1">
        <f ca="1">IFERROR(__xludf.UNSUPPORTED("""COMPUTED_VALUE"""),62.83)</f>
        <v>62.83</v>
      </c>
      <c r="C1105" s="2">
        <f t="shared" ca="1" si="4"/>
        <v>4.7770700636944486E-4</v>
      </c>
    </row>
    <row r="1106" spans="1:3">
      <c r="A1106" s="3">
        <f ca="1">IFERROR(__xludf.UNSUPPORTED("""COMPUTED_VALUE"""),45068.6666666666)</f>
        <v>45068.666666666599</v>
      </c>
      <c r="B1106" s="1">
        <f ca="1">IFERROR(__xludf.UNSUPPORTED("""COMPUTED_VALUE"""),61.51)</f>
        <v>61.51</v>
      </c>
      <c r="C1106" s="2">
        <f t="shared" ca="1" si="4"/>
        <v>-2.1009072099315618E-2</v>
      </c>
    </row>
    <row r="1107" spans="1:3">
      <c r="A1107" s="3">
        <f ca="1">IFERROR(__xludf.UNSUPPORTED("""COMPUTED_VALUE"""),45069.6666666666)</f>
        <v>45069.666666666599</v>
      </c>
      <c r="B1107" s="1">
        <f ca="1">IFERROR(__xludf.UNSUPPORTED("""COMPUTED_VALUE"""),61.4)</f>
        <v>61.4</v>
      </c>
      <c r="C1107" s="2">
        <f t="shared" ca="1" si="4"/>
        <v>-1.7883271012843348E-3</v>
      </c>
    </row>
    <row r="1108" spans="1:3">
      <c r="A1108" s="3">
        <f ca="1">IFERROR(__xludf.UNSUPPORTED("""COMPUTED_VALUE"""),45070.6666666666)</f>
        <v>45070.666666666599</v>
      </c>
      <c r="B1108" s="1">
        <f ca="1">IFERROR(__xludf.UNSUPPORTED("""COMPUTED_VALUE"""),60.88)</f>
        <v>60.88</v>
      </c>
      <c r="C1108" s="2">
        <f t="shared" ca="1" si="4"/>
        <v>-8.4690553745927696E-3</v>
      </c>
    </row>
    <row r="1109" spans="1:3">
      <c r="A1109" s="3">
        <f ca="1">IFERROR(__xludf.UNSUPPORTED("""COMPUTED_VALUE"""),45071.6666666666)</f>
        <v>45071.666666666599</v>
      </c>
      <c r="B1109" s="1">
        <f ca="1">IFERROR(__xludf.UNSUPPORTED("""COMPUTED_VALUE"""),60.41)</f>
        <v>60.41</v>
      </c>
      <c r="C1109" s="2">
        <f t="shared" ca="1" si="4"/>
        <v>-7.7201051248358401E-3</v>
      </c>
    </row>
    <row r="1110" spans="1:3">
      <c r="A1110" s="3">
        <f ca="1">IFERROR(__xludf.UNSUPPORTED("""COMPUTED_VALUE"""),45072.6666666666)</f>
        <v>45072.666666666599</v>
      </c>
      <c r="B1110" s="1">
        <f ca="1">IFERROR(__xludf.UNSUPPORTED("""COMPUTED_VALUE"""),60.26)</f>
        <v>60.26</v>
      </c>
      <c r="C1110" s="2">
        <f t="shared" ca="1" si="4"/>
        <v>-2.4830326104949276E-3</v>
      </c>
    </row>
    <row r="1111" spans="1:3">
      <c r="A1111" s="3">
        <f ca="1">IFERROR(__xludf.UNSUPPORTED("""COMPUTED_VALUE"""),45076.6666666666)</f>
        <v>45076.666666666599</v>
      </c>
      <c r="B1111" s="1">
        <f ca="1">IFERROR(__xludf.UNSUPPORTED("""COMPUTED_VALUE"""),59.78)</f>
        <v>59.78</v>
      </c>
      <c r="C1111" s="2">
        <f t="shared" ca="1" si="4"/>
        <v>-7.9654829074012092E-3</v>
      </c>
    </row>
    <row r="1112" spans="1:3">
      <c r="A1112" s="3">
        <f ca="1">IFERROR(__xludf.UNSUPPORTED("""COMPUTED_VALUE"""),45077.6666666666)</f>
        <v>45077.666666666599</v>
      </c>
      <c r="B1112" s="1">
        <f ca="1">IFERROR(__xludf.UNSUPPORTED("""COMPUTED_VALUE"""),59.66)</f>
        <v>59.66</v>
      </c>
      <c r="C1112" s="2">
        <f t="shared" ca="1" si="4"/>
        <v>-2.0073603211777273E-3</v>
      </c>
    </row>
    <row r="1113" spans="1:3">
      <c r="A1113" s="3">
        <f ca="1">IFERROR(__xludf.UNSUPPORTED("""COMPUTED_VALUE"""),45078.6666666666)</f>
        <v>45078.666666666599</v>
      </c>
      <c r="B1113" s="1">
        <f ca="1">IFERROR(__xludf.UNSUPPORTED("""COMPUTED_VALUE"""),60)</f>
        <v>60</v>
      </c>
      <c r="C1113" s="2">
        <f t="shared" ca="1" si="4"/>
        <v>5.6989607777405875E-3</v>
      </c>
    </row>
    <row r="1114" spans="1:3">
      <c r="A1114" s="3">
        <f ca="1">IFERROR(__xludf.UNSUPPORTED("""COMPUTED_VALUE"""),45079.6666666666)</f>
        <v>45079.666666666599</v>
      </c>
      <c r="B1114" s="1">
        <f ca="1">IFERROR(__xludf.UNSUPPORTED("""COMPUTED_VALUE"""),61.16)</f>
        <v>61.16</v>
      </c>
      <c r="C1114" s="2">
        <f t="shared" ca="1" si="4"/>
        <v>1.9333333333333275E-2</v>
      </c>
    </row>
    <row r="1115" spans="1:3">
      <c r="A1115" s="3">
        <f ca="1">IFERROR(__xludf.UNSUPPORTED("""COMPUTED_VALUE"""),45082.6666666666)</f>
        <v>45082.666666666599</v>
      </c>
      <c r="B1115" s="1">
        <f ca="1">IFERROR(__xludf.UNSUPPORTED("""COMPUTED_VALUE"""),60.75)</f>
        <v>60.75</v>
      </c>
      <c r="C1115" s="2">
        <f t="shared" ca="1" si="4"/>
        <v>-6.7037279267494537E-3</v>
      </c>
    </row>
    <row r="1116" spans="1:3">
      <c r="A1116" s="3">
        <f ca="1">IFERROR(__xludf.UNSUPPORTED("""COMPUTED_VALUE"""),45083.6666666666)</f>
        <v>45083.666666666599</v>
      </c>
      <c r="B1116" s="1">
        <f ca="1">IFERROR(__xludf.UNSUPPORTED("""COMPUTED_VALUE"""),60.31)</f>
        <v>60.31</v>
      </c>
      <c r="C1116" s="2">
        <f t="shared" ca="1" si="4"/>
        <v>-7.2427983539094277E-3</v>
      </c>
    </row>
    <row r="1117" spans="1:3">
      <c r="A1117" s="3">
        <f ca="1">IFERROR(__xludf.UNSUPPORTED("""COMPUTED_VALUE"""),45084.6666666666)</f>
        <v>45084.666666666599</v>
      </c>
      <c r="B1117" s="1">
        <f ca="1">IFERROR(__xludf.UNSUPPORTED("""COMPUTED_VALUE"""),60.22)</f>
        <v>60.22</v>
      </c>
      <c r="C1117" s="2">
        <f t="shared" ca="1" si="4"/>
        <v>-1.4922898358481745E-3</v>
      </c>
    </row>
    <row r="1118" spans="1:3">
      <c r="A1118" s="3">
        <f ca="1">IFERROR(__xludf.UNSUPPORTED("""COMPUTED_VALUE"""),45085.6666666666)</f>
        <v>45085.666666666599</v>
      </c>
      <c r="B1118" s="1">
        <f ca="1">IFERROR(__xludf.UNSUPPORTED("""COMPUTED_VALUE"""),60.37)</f>
        <v>60.37</v>
      </c>
      <c r="C1118" s="2">
        <f t="shared" ca="1" si="4"/>
        <v>2.490866821653912E-3</v>
      </c>
    </row>
    <row r="1119" spans="1:3">
      <c r="A1119" s="3">
        <f ca="1">IFERROR(__xludf.UNSUPPORTED("""COMPUTED_VALUE"""),45086.6666666666)</f>
        <v>45086.666666666599</v>
      </c>
      <c r="B1119" s="1">
        <f ca="1">IFERROR(__xludf.UNSUPPORTED("""COMPUTED_VALUE"""),60.47)</f>
        <v>60.47</v>
      </c>
      <c r="C1119" s="2">
        <f t="shared" ca="1" si="4"/>
        <v>1.6564518800729075E-3</v>
      </c>
    </row>
    <row r="1120" spans="1:3">
      <c r="A1120" s="3">
        <f ca="1">IFERROR(__xludf.UNSUPPORTED("""COMPUTED_VALUE"""),45089.6666666666)</f>
        <v>45089.666666666599</v>
      </c>
      <c r="B1120" s="1">
        <f ca="1">IFERROR(__xludf.UNSUPPORTED("""COMPUTED_VALUE"""),60.21)</f>
        <v>60.21</v>
      </c>
      <c r="C1120" s="2">
        <f t="shared" ca="1" si="4"/>
        <v>-4.299652720357169E-3</v>
      </c>
    </row>
    <row r="1121" spans="1:3">
      <c r="A1121" s="3">
        <f ca="1">IFERROR(__xludf.UNSUPPORTED("""COMPUTED_VALUE"""),45090.6666666666)</f>
        <v>45090.666666666599</v>
      </c>
      <c r="B1121" s="1">
        <f ca="1">IFERROR(__xludf.UNSUPPORTED("""COMPUTED_VALUE"""),60.45)</f>
        <v>60.45</v>
      </c>
      <c r="C1121" s="2">
        <f t="shared" ca="1" si="4"/>
        <v>3.9860488290981893E-3</v>
      </c>
    </row>
    <row r="1122" spans="1:3">
      <c r="A1122" s="3">
        <f ca="1">IFERROR(__xludf.UNSUPPORTED("""COMPUTED_VALUE"""),45091.6666666666)</f>
        <v>45091.666666666599</v>
      </c>
      <c r="B1122" s="1">
        <f ca="1">IFERROR(__xludf.UNSUPPORTED("""COMPUTED_VALUE"""),60.86)</f>
        <v>60.86</v>
      </c>
      <c r="C1122" s="2">
        <f t="shared" ca="1" si="4"/>
        <v>6.7824648469809196E-3</v>
      </c>
    </row>
    <row r="1123" spans="1:3">
      <c r="A1123" s="3">
        <f ca="1">IFERROR(__xludf.UNSUPPORTED("""COMPUTED_VALUE"""),45092.6666666666)</f>
        <v>45092.666666666599</v>
      </c>
      <c r="B1123" s="1">
        <f ca="1">IFERROR(__xludf.UNSUPPORTED("""COMPUTED_VALUE"""),61.23)</f>
        <v>61.23</v>
      </c>
      <c r="C1123" s="2">
        <f t="shared" ca="1" si="4"/>
        <v>6.079526782780109E-3</v>
      </c>
    </row>
    <row r="1124" spans="1:3">
      <c r="A1124" s="3">
        <f ca="1">IFERROR(__xludf.UNSUPPORTED("""COMPUTED_VALUE"""),45093.6666666666)</f>
        <v>45093.666666666599</v>
      </c>
      <c r="B1124" s="1">
        <f ca="1">IFERROR(__xludf.UNSUPPORTED("""COMPUTED_VALUE"""),61.67)</f>
        <v>61.67</v>
      </c>
      <c r="C1124" s="2">
        <f t="shared" ca="1" si="4"/>
        <v>7.1860199248735077E-3</v>
      </c>
    </row>
    <row r="1125" spans="1:3">
      <c r="A1125" s="3">
        <f ca="1">IFERROR(__xludf.UNSUPPORTED("""COMPUTED_VALUE"""),45097.6666666666)</f>
        <v>45097.666666666599</v>
      </c>
      <c r="B1125" s="1">
        <f ca="1">IFERROR(__xludf.UNSUPPORTED("""COMPUTED_VALUE"""),61.26)</f>
        <v>61.26</v>
      </c>
      <c r="C1125" s="2">
        <f t="shared" ca="1" si="4"/>
        <v>-6.6482892816605108E-3</v>
      </c>
    </row>
    <row r="1126" spans="1:3">
      <c r="A1126" s="3">
        <f ca="1">IFERROR(__xludf.UNSUPPORTED("""COMPUTED_VALUE"""),45098.6666666666)</f>
        <v>45098.666666666599</v>
      </c>
      <c r="B1126" s="1">
        <f ca="1">IFERROR(__xludf.UNSUPPORTED("""COMPUTED_VALUE"""),61.43)</f>
        <v>61.43</v>
      </c>
      <c r="C1126" s="2">
        <f t="shared" ca="1" si="4"/>
        <v>2.7750571335292476E-3</v>
      </c>
    </row>
    <row r="1127" spans="1:3">
      <c r="A1127" s="3">
        <f ca="1">IFERROR(__xludf.UNSUPPORTED("""COMPUTED_VALUE"""),45099.6666666666)</f>
        <v>45099.666666666599</v>
      </c>
      <c r="B1127" s="1">
        <f ca="1">IFERROR(__xludf.UNSUPPORTED("""COMPUTED_VALUE"""),61.85)</f>
        <v>61.85</v>
      </c>
      <c r="C1127" s="2">
        <f t="shared" ca="1" si="4"/>
        <v>6.8370503011558146E-3</v>
      </c>
    </row>
    <row r="1128" spans="1:3">
      <c r="A1128" s="3">
        <f ca="1">IFERROR(__xludf.UNSUPPORTED("""COMPUTED_VALUE"""),45100.6666666666)</f>
        <v>45100.666666666599</v>
      </c>
      <c r="B1128" s="1">
        <f ca="1">IFERROR(__xludf.UNSUPPORTED("""COMPUTED_VALUE"""),61.2)</f>
        <v>61.2</v>
      </c>
      <c r="C1128" s="2">
        <f t="shared" ca="1" si="4"/>
        <v>-1.0509296685529483E-2</v>
      </c>
    </row>
    <row r="1129" spans="1:3">
      <c r="A1129" s="3">
        <f ca="1">IFERROR(__xludf.UNSUPPORTED("""COMPUTED_VALUE"""),45103.6666666666)</f>
        <v>45103.666666666599</v>
      </c>
      <c r="B1129" s="1">
        <f ca="1">IFERROR(__xludf.UNSUPPORTED("""COMPUTED_VALUE"""),61.22)</f>
        <v>61.22</v>
      </c>
      <c r="C1129" s="2">
        <f t="shared" ca="1" si="4"/>
        <v>3.2679738562085001E-4</v>
      </c>
    </row>
    <row r="1130" spans="1:3">
      <c r="A1130" s="3">
        <f ca="1">IFERROR(__xludf.UNSUPPORTED("""COMPUTED_VALUE"""),45104.6666666666)</f>
        <v>45104.666666666599</v>
      </c>
      <c r="B1130" s="1">
        <f ca="1">IFERROR(__xludf.UNSUPPORTED("""COMPUTED_VALUE"""),61.09)</f>
        <v>61.09</v>
      </c>
      <c r="C1130" s="2">
        <f t="shared" ca="1" si="4"/>
        <v>-2.1234890558640223E-3</v>
      </c>
    </row>
    <row r="1131" spans="1:3">
      <c r="A1131" s="3">
        <f ca="1">IFERROR(__xludf.UNSUPPORTED("""COMPUTED_VALUE"""),45105.6666666666)</f>
        <v>45105.666666666599</v>
      </c>
      <c r="B1131" s="1">
        <f ca="1">IFERROR(__xludf.UNSUPPORTED("""COMPUTED_VALUE"""),60.52)</f>
        <v>60.52</v>
      </c>
      <c r="C1131" s="2">
        <f t="shared" ca="1" si="4"/>
        <v>-9.3304959895236586E-3</v>
      </c>
    </row>
    <row r="1132" spans="1:3">
      <c r="A1132" s="3">
        <f ca="1">IFERROR(__xludf.UNSUPPORTED("""COMPUTED_VALUE"""),45106.6666666666)</f>
        <v>45106.666666666599</v>
      </c>
      <c r="B1132" s="1">
        <f ca="1">IFERROR(__xludf.UNSUPPORTED("""COMPUTED_VALUE"""),60.02)</f>
        <v>60.02</v>
      </c>
      <c r="C1132" s="2">
        <f t="shared" ca="1" si="4"/>
        <v>-8.261731658955716E-3</v>
      </c>
    </row>
    <row r="1133" spans="1:3">
      <c r="A1133" s="3">
        <f ca="1">IFERROR(__xludf.UNSUPPORTED("""COMPUTED_VALUE"""),45107.6666666666)</f>
        <v>45107.666666666599</v>
      </c>
      <c r="B1133" s="1">
        <f ca="1">IFERROR(__xludf.UNSUPPORTED("""COMPUTED_VALUE"""),60.22)</f>
        <v>60.22</v>
      </c>
      <c r="C1133" s="2">
        <f t="shared" ca="1" si="4"/>
        <v>3.3322225924691056E-3</v>
      </c>
    </row>
    <row r="1134" spans="1:3">
      <c r="A1134" s="3">
        <f ca="1">IFERROR(__xludf.UNSUPPORTED("""COMPUTED_VALUE"""),45110.5416666666)</f>
        <v>45110.541666666599</v>
      </c>
      <c r="B1134" s="1">
        <f ca="1">IFERROR(__xludf.UNSUPPORTED("""COMPUTED_VALUE"""),60.58)</f>
        <v>60.58</v>
      </c>
      <c r="C1134" s="2">
        <f t="shared" ca="1" si="4"/>
        <v>5.9780803719694364E-3</v>
      </c>
    </row>
    <row r="1135" spans="1:3">
      <c r="A1135" s="3">
        <f ca="1">IFERROR(__xludf.UNSUPPORTED("""COMPUTED_VALUE"""),45112.6666666666)</f>
        <v>45112.666666666599</v>
      </c>
      <c r="B1135" s="1">
        <f ca="1">IFERROR(__xludf.UNSUPPORTED("""COMPUTED_VALUE"""),61.03)</f>
        <v>61.03</v>
      </c>
      <c r="C1135" s="2">
        <f t="shared" ca="1" si="4"/>
        <v>7.4281941234731405E-3</v>
      </c>
    </row>
    <row r="1136" spans="1:3">
      <c r="A1136" s="3">
        <f ca="1">IFERROR(__xludf.UNSUPPORTED("""COMPUTED_VALUE"""),45113.6666666666)</f>
        <v>45113.666666666599</v>
      </c>
      <c r="B1136" s="1">
        <f ca="1">IFERROR(__xludf.UNSUPPORTED("""COMPUTED_VALUE"""),60.56)</f>
        <v>60.56</v>
      </c>
      <c r="C1136" s="2">
        <f t="shared" ca="1" si="4"/>
        <v>-7.7011305915123526E-3</v>
      </c>
    </row>
    <row r="1137" spans="1:3">
      <c r="A1137" s="3">
        <f ca="1">IFERROR(__xludf.UNSUPPORTED("""COMPUTED_VALUE"""),45114.6666666666)</f>
        <v>45114.666666666599</v>
      </c>
      <c r="B1137" s="1">
        <f ca="1">IFERROR(__xludf.UNSUPPORTED("""COMPUTED_VALUE"""),59.76)</f>
        <v>59.76</v>
      </c>
      <c r="C1137" s="2">
        <f t="shared" ca="1" si="4"/>
        <v>-1.321003963011896E-2</v>
      </c>
    </row>
    <row r="1138" spans="1:3">
      <c r="A1138" s="3">
        <f ca="1">IFERROR(__xludf.UNSUPPORTED("""COMPUTED_VALUE"""),45117.6666666666)</f>
        <v>45117.666666666599</v>
      </c>
      <c r="B1138" s="1">
        <f ca="1">IFERROR(__xludf.UNSUPPORTED("""COMPUTED_VALUE"""),59.31)</f>
        <v>59.31</v>
      </c>
      <c r="C1138" s="2">
        <f t="shared" ca="1" si="4"/>
        <v>-7.5301204819276397E-3</v>
      </c>
    </row>
    <row r="1139" spans="1:3">
      <c r="A1139" s="3">
        <f ca="1">IFERROR(__xludf.UNSUPPORTED("""COMPUTED_VALUE"""),45118.6666666666)</f>
        <v>45118.666666666599</v>
      </c>
      <c r="B1139" s="1">
        <f ca="1">IFERROR(__xludf.UNSUPPORTED("""COMPUTED_VALUE"""),59.52)</f>
        <v>59.52</v>
      </c>
      <c r="C1139" s="2">
        <f t="shared" ca="1" si="4"/>
        <v>3.5407182599898981E-3</v>
      </c>
    </row>
    <row r="1140" spans="1:3">
      <c r="A1140" s="3">
        <f ca="1">IFERROR(__xludf.UNSUPPORTED("""COMPUTED_VALUE"""),45119.6666666666)</f>
        <v>45119.666666666599</v>
      </c>
      <c r="B1140" s="1">
        <f ca="1">IFERROR(__xludf.UNSUPPORTED("""COMPUTED_VALUE"""),59.84)</f>
        <v>59.84</v>
      </c>
      <c r="C1140" s="2">
        <f t="shared" ca="1" si="4"/>
        <v>5.3763440860215101E-3</v>
      </c>
    </row>
    <row r="1141" spans="1:3">
      <c r="A1141" s="3">
        <f ca="1">IFERROR(__xludf.UNSUPPORTED("""COMPUTED_VALUE"""),45120.6666666666)</f>
        <v>45120.666666666599</v>
      </c>
      <c r="B1141" s="1">
        <f ca="1">IFERROR(__xludf.UNSUPPORTED("""COMPUTED_VALUE"""),60.35)</f>
        <v>60.35</v>
      </c>
      <c r="C1141" s="2">
        <f t="shared" ca="1" si="4"/>
        <v>8.5227272727272391E-3</v>
      </c>
    </row>
    <row r="1142" spans="1:3">
      <c r="A1142" s="3">
        <f ca="1">IFERROR(__xludf.UNSUPPORTED("""COMPUTED_VALUE"""),45121.6666666666)</f>
        <v>45121.666666666599</v>
      </c>
      <c r="B1142" s="1">
        <f ca="1">IFERROR(__xludf.UNSUPPORTED("""COMPUTED_VALUE"""),60.9)</f>
        <v>60.9</v>
      </c>
      <c r="C1142" s="2">
        <f t="shared" ca="1" si="4"/>
        <v>9.1135045567522308E-3</v>
      </c>
    </row>
    <row r="1143" spans="1:3">
      <c r="A1143" s="3">
        <f ca="1">IFERROR(__xludf.UNSUPPORTED("""COMPUTED_VALUE"""),45124.6666666666)</f>
        <v>45124.666666666599</v>
      </c>
      <c r="B1143" s="1">
        <f ca="1">IFERROR(__xludf.UNSUPPORTED("""COMPUTED_VALUE"""),60.81)</f>
        <v>60.81</v>
      </c>
      <c r="C1143" s="2">
        <f t="shared" ca="1" si="4"/>
        <v>-1.4778325123152103E-3</v>
      </c>
    </row>
    <row r="1144" spans="1:3">
      <c r="A1144" s="3">
        <f ca="1">IFERROR(__xludf.UNSUPPORTED("""COMPUTED_VALUE"""),45125.6666666666)</f>
        <v>45125.666666666599</v>
      </c>
      <c r="B1144" s="1">
        <f ca="1">IFERROR(__xludf.UNSUPPORTED("""COMPUTED_VALUE"""),60.57)</f>
        <v>60.57</v>
      </c>
      <c r="C1144" s="2">
        <f t="shared" ca="1" si="4"/>
        <v>-3.9467192895905603E-3</v>
      </c>
    </row>
    <row r="1145" spans="1:3">
      <c r="A1145" s="3">
        <f ca="1">IFERROR(__xludf.UNSUPPORTED("""COMPUTED_VALUE"""),45126.6666666666)</f>
        <v>45126.666666666599</v>
      </c>
      <c r="B1145" s="1">
        <f ca="1">IFERROR(__xludf.UNSUPPORTED("""COMPUTED_VALUE"""),61.64)</f>
        <v>61.64</v>
      </c>
      <c r="C1145" s="2">
        <f t="shared" ca="1" si="4"/>
        <v>1.7665510979032528E-2</v>
      </c>
    </row>
    <row r="1146" spans="1:3">
      <c r="A1146" s="3">
        <f ca="1">IFERROR(__xludf.UNSUPPORTED("""COMPUTED_VALUE"""),45127.6666666666)</f>
        <v>45127.666666666599</v>
      </c>
      <c r="B1146" s="1">
        <f ca="1">IFERROR(__xludf.UNSUPPORTED("""COMPUTED_VALUE"""),62.39)</f>
        <v>62.39</v>
      </c>
      <c r="C1146" s="2">
        <f t="shared" ca="1" si="4"/>
        <v>1.2167423750811162E-2</v>
      </c>
    </row>
    <row r="1147" spans="1:3">
      <c r="A1147" s="3">
        <f ca="1">IFERROR(__xludf.UNSUPPORTED("""COMPUTED_VALUE"""),45128.6666666666)</f>
        <v>45128.666666666599</v>
      </c>
      <c r="B1147" s="1">
        <f ca="1">IFERROR(__xludf.UNSUPPORTED("""COMPUTED_VALUE"""),62.44)</f>
        <v>62.44</v>
      </c>
      <c r="C1147" s="2">
        <f t="shared" ca="1" si="4"/>
        <v>8.0141048244906487E-4</v>
      </c>
    </row>
    <row r="1148" spans="1:3">
      <c r="A1148" s="3">
        <f ca="1">IFERROR(__xludf.UNSUPPORTED("""COMPUTED_VALUE"""),45131.6666666666)</f>
        <v>45131.666666666599</v>
      </c>
      <c r="B1148" s="1">
        <f ca="1">IFERROR(__xludf.UNSUPPORTED("""COMPUTED_VALUE"""),62.46)</f>
        <v>62.46</v>
      </c>
      <c r="C1148" s="2">
        <f t="shared" ca="1" si="4"/>
        <v>3.2030749519543764E-4</v>
      </c>
    </row>
    <row r="1149" spans="1:3">
      <c r="A1149" s="3">
        <f ca="1">IFERROR(__xludf.UNSUPPORTED("""COMPUTED_VALUE"""),45132.6666666666)</f>
        <v>45132.666666666599</v>
      </c>
      <c r="B1149" s="1">
        <f ca="1">IFERROR(__xludf.UNSUPPORTED("""COMPUTED_VALUE"""),62.25)</f>
        <v>62.25</v>
      </c>
      <c r="C1149" s="2">
        <f t="shared" ca="1" si="4"/>
        <v>-3.3621517771373816E-3</v>
      </c>
    </row>
    <row r="1150" spans="1:3">
      <c r="A1150" s="3">
        <f ca="1">IFERROR(__xludf.UNSUPPORTED("""COMPUTED_VALUE"""),45133.6666666666)</f>
        <v>45133.666666666599</v>
      </c>
      <c r="B1150" s="1">
        <f ca="1">IFERROR(__xludf.UNSUPPORTED("""COMPUTED_VALUE"""),63.05)</f>
        <v>63.05</v>
      </c>
      <c r="C1150" s="2">
        <f t="shared" ca="1" si="4"/>
        <v>1.2851405622489914E-2</v>
      </c>
    </row>
    <row r="1151" spans="1:3">
      <c r="A1151" s="3">
        <f ca="1">IFERROR(__xludf.UNSUPPORTED("""COMPUTED_VALUE"""),45134.6666666666)</f>
        <v>45134.666666666599</v>
      </c>
      <c r="B1151" s="1">
        <f ca="1">IFERROR(__xludf.UNSUPPORTED("""COMPUTED_VALUE"""),62.44)</f>
        <v>62.44</v>
      </c>
      <c r="C1151" s="2">
        <f t="shared" ca="1" si="4"/>
        <v>-9.6748612212529655E-3</v>
      </c>
    </row>
    <row r="1152" spans="1:3">
      <c r="A1152" s="3">
        <f ca="1">IFERROR(__xludf.UNSUPPORTED("""COMPUTED_VALUE"""),45135.6666666666)</f>
        <v>45135.666666666599</v>
      </c>
      <c r="B1152" s="1">
        <f ca="1">IFERROR(__xludf.UNSUPPORTED("""COMPUTED_VALUE"""),62.48)</f>
        <v>62.48</v>
      </c>
      <c r="C1152" s="2">
        <f t="shared" ca="1" si="4"/>
        <v>6.4061499039076155E-4</v>
      </c>
    </row>
    <row r="1153" spans="1:3">
      <c r="A1153" s="3">
        <f ca="1">IFERROR(__xludf.UNSUPPORTED("""COMPUTED_VALUE"""),45138.6666666666)</f>
        <v>45138.666666666599</v>
      </c>
      <c r="B1153" s="1">
        <f ca="1">IFERROR(__xludf.UNSUPPORTED("""COMPUTED_VALUE"""),61.93)</f>
        <v>61.93</v>
      </c>
      <c r="C1153" s="2">
        <f t="shared" ca="1" si="4"/>
        <v>-8.802816901408406E-3</v>
      </c>
    </row>
    <row r="1154" spans="1:3">
      <c r="A1154" s="3">
        <f ca="1">IFERROR(__xludf.UNSUPPORTED("""COMPUTED_VALUE"""),45139.6666666666)</f>
        <v>45139.666666666599</v>
      </c>
      <c r="B1154" s="1">
        <f ca="1">IFERROR(__xludf.UNSUPPORTED("""COMPUTED_VALUE"""),61.77)</f>
        <v>61.77</v>
      </c>
      <c r="C1154" s="2">
        <f t="shared" ca="1" si="4"/>
        <v>-2.5835620862263296E-3</v>
      </c>
    </row>
    <row r="1155" spans="1:3">
      <c r="A1155" s="3">
        <f ca="1">IFERROR(__xludf.UNSUPPORTED("""COMPUTED_VALUE"""),45140.6666666666)</f>
        <v>45140.666666666599</v>
      </c>
      <c r="B1155" s="1">
        <f ca="1">IFERROR(__xludf.UNSUPPORTED("""COMPUTED_VALUE"""),61.96)</f>
        <v>61.96</v>
      </c>
      <c r="C1155" s="2">
        <f t="shared" ca="1" si="4"/>
        <v>3.0759268253196977E-3</v>
      </c>
    </row>
    <row r="1156" spans="1:3">
      <c r="A1156" s="3">
        <f ca="1">IFERROR(__xludf.UNSUPPORTED("""COMPUTED_VALUE"""),45141.6666666666)</f>
        <v>45141.666666666599</v>
      </c>
      <c r="B1156" s="1">
        <f ca="1">IFERROR(__xludf.UNSUPPORTED("""COMPUTED_VALUE"""),61.64)</f>
        <v>61.64</v>
      </c>
      <c r="C1156" s="2">
        <f t="shared" ca="1" si="4"/>
        <v>-5.1646223369916124E-3</v>
      </c>
    </row>
    <row r="1157" spans="1:3">
      <c r="A1157" s="3">
        <f ca="1">IFERROR(__xludf.UNSUPPORTED("""COMPUTED_VALUE"""),45142.6666666666)</f>
        <v>45142.666666666599</v>
      </c>
      <c r="B1157" s="1">
        <f ca="1">IFERROR(__xludf.UNSUPPORTED("""COMPUTED_VALUE"""),60.71)</f>
        <v>60.71</v>
      </c>
      <c r="C1157" s="2">
        <f t="shared" ca="1" si="4"/>
        <v>-1.5087605451005836E-2</v>
      </c>
    </row>
    <row r="1158" spans="1:3">
      <c r="A1158" s="3">
        <f ca="1">IFERROR(__xludf.UNSUPPORTED("""COMPUTED_VALUE"""),45145.6666666666)</f>
        <v>45145.666666666599</v>
      </c>
      <c r="B1158" s="1">
        <f ca="1">IFERROR(__xludf.UNSUPPORTED("""COMPUTED_VALUE"""),61.19)</f>
        <v>61.19</v>
      </c>
      <c r="C1158" s="2">
        <f t="shared" ca="1" si="4"/>
        <v>7.9064404546202744E-3</v>
      </c>
    </row>
    <row r="1159" spans="1:3">
      <c r="A1159" s="3">
        <f ca="1">IFERROR(__xludf.UNSUPPORTED("""COMPUTED_VALUE"""),45146.6666666666)</f>
        <v>45146.666666666599</v>
      </c>
      <c r="B1159" s="1">
        <f ca="1">IFERROR(__xludf.UNSUPPORTED("""COMPUTED_VALUE"""),60.92)</f>
        <v>60.92</v>
      </c>
      <c r="C1159" s="2">
        <f t="shared" ca="1" si="4"/>
        <v>-4.4124857002777584E-3</v>
      </c>
    </row>
    <row r="1160" spans="1:3">
      <c r="A1160" s="3">
        <f ca="1">IFERROR(__xludf.UNSUPPORTED("""COMPUTED_VALUE"""),45147.6666666666)</f>
        <v>45147.666666666599</v>
      </c>
      <c r="B1160" s="1">
        <f ca="1">IFERROR(__xludf.UNSUPPORTED("""COMPUTED_VALUE"""),61.06)</f>
        <v>61.06</v>
      </c>
      <c r="C1160" s="2">
        <f t="shared" ca="1" si="4"/>
        <v>2.298095863427455E-3</v>
      </c>
    </row>
    <row r="1161" spans="1:3">
      <c r="A1161" s="3">
        <f ca="1">IFERROR(__xludf.UNSUPPORTED("""COMPUTED_VALUE"""),45148.6666666666)</f>
        <v>45148.666666666599</v>
      </c>
      <c r="B1161" s="1">
        <f ca="1">IFERROR(__xludf.UNSUPPORTED("""COMPUTED_VALUE"""),60.92)</f>
        <v>60.92</v>
      </c>
      <c r="C1161" s="2">
        <f t="shared" ca="1" si="4"/>
        <v>-2.2928267278087221E-3</v>
      </c>
    </row>
    <row r="1162" spans="1:3">
      <c r="A1162" s="3">
        <f ca="1">IFERROR(__xludf.UNSUPPORTED("""COMPUTED_VALUE"""),45149.6666666666)</f>
        <v>45149.666666666599</v>
      </c>
      <c r="B1162" s="1">
        <f ca="1">IFERROR(__xludf.UNSUPPORTED("""COMPUTED_VALUE"""),61.17)</f>
        <v>61.17</v>
      </c>
      <c r="C1162" s="2">
        <f t="shared" ca="1" si="4"/>
        <v>4.1037426132632957E-3</v>
      </c>
    </row>
    <row r="1163" spans="1:3">
      <c r="A1163" s="3">
        <f ca="1">IFERROR(__xludf.UNSUPPORTED("""COMPUTED_VALUE"""),45152.6666666666)</f>
        <v>45152.666666666599</v>
      </c>
      <c r="B1163" s="1">
        <f ca="1">IFERROR(__xludf.UNSUPPORTED("""COMPUTED_VALUE"""),60.88)</f>
        <v>60.88</v>
      </c>
      <c r="C1163" s="2">
        <f t="shared" ca="1" si="4"/>
        <v>-4.74088605525583E-3</v>
      </c>
    </row>
    <row r="1164" spans="1:3">
      <c r="A1164" s="3">
        <f ca="1">IFERROR(__xludf.UNSUPPORTED("""COMPUTED_VALUE"""),45153.6666666666)</f>
        <v>45153.666666666599</v>
      </c>
      <c r="B1164" s="1">
        <f ca="1">IFERROR(__xludf.UNSUPPORTED("""COMPUTED_VALUE"""),60.47)</f>
        <v>60.47</v>
      </c>
      <c r="C1164" s="2">
        <f t="shared" ca="1" si="4"/>
        <v>-6.7345597897503886E-3</v>
      </c>
    </row>
    <row r="1165" spans="1:3">
      <c r="A1165" s="3">
        <f ca="1">IFERROR(__xludf.UNSUPPORTED("""COMPUTED_VALUE"""),45154.6666666666)</f>
        <v>45154.666666666599</v>
      </c>
      <c r="B1165" s="1">
        <f ca="1">IFERROR(__xludf.UNSUPPORTED("""COMPUTED_VALUE"""),60.48)</f>
        <v>60.48</v>
      </c>
      <c r="C1165" s="2">
        <f t="shared" ca="1" si="4"/>
        <v>1.653712584752441E-4</v>
      </c>
    </row>
    <row r="1166" spans="1:3">
      <c r="A1166" s="3">
        <f ca="1">IFERROR(__xludf.UNSUPPORTED("""COMPUTED_VALUE"""),45155.6666666666)</f>
        <v>45155.666666666599</v>
      </c>
      <c r="B1166" s="1">
        <f ca="1">IFERROR(__xludf.UNSUPPORTED("""COMPUTED_VALUE"""),60.61)</f>
        <v>60.61</v>
      </c>
      <c r="C1166" s="2">
        <f t="shared" ca="1" si="4"/>
        <v>2.1494708994709419E-3</v>
      </c>
    </row>
    <row r="1167" spans="1:3">
      <c r="A1167" s="3">
        <f ca="1">IFERROR(__xludf.UNSUPPORTED("""COMPUTED_VALUE"""),45156.6666666666)</f>
        <v>45156.666666666599</v>
      </c>
      <c r="B1167" s="1">
        <f ca="1">IFERROR(__xludf.UNSUPPORTED("""COMPUTED_VALUE"""),60.95)</f>
        <v>60.95</v>
      </c>
      <c r="C1167" s="2">
        <f t="shared" ca="1" si="4"/>
        <v>5.6096353737007656E-3</v>
      </c>
    </row>
    <row r="1168" spans="1:3">
      <c r="A1168" s="3">
        <f ca="1">IFERROR(__xludf.UNSUPPORTED("""COMPUTED_VALUE"""),45159.6666666666)</f>
        <v>45159.666666666599</v>
      </c>
      <c r="B1168" s="1">
        <f ca="1">IFERROR(__xludf.UNSUPPORTED("""COMPUTED_VALUE"""),60.43)</f>
        <v>60.43</v>
      </c>
      <c r="C1168" s="2">
        <f t="shared" ca="1" si="4"/>
        <v>-8.5315832649713388E-3</v>
      </c>
    </row>
    <row r="1169" spans="1:3">
      <c r="A1169" s="3">
        <f ca="1">IFERROR(__xludf.UNSUPPORTED("""COMPUTED_VALUE"""),45160.6666666666)</f>
        <v>45160.666666666599</v>
      </c>
      <c r="B1169" s="1">
        <f ca="1">IFERROR(__xludf.UNSUPPORTED("""COMPUTED_VALUE"""),60.06)</f>
        <v>60.06</v>
      </c>
      <c r="C1169" s="2">
        <f t="shared" ca="1" si="4"/>
        <v>-6.1227866953499493E-3</v>
      </c>
    </row>
    <row r="1170" spans="1:3">
      <c r="A1170" s="3">
        <f ca="1">IFERROR(__xludf.UNSUPPORTED("""COMPUTED_VALUE"""),45161.6666666666)</f>
        <v>45161.666666666599</v>
      </c>
      <c r="B1170" s="1">
        <f ca="1">IFERROR(__xludf.UNSUPPORTED("""COMPUTED_VALUE"""),60.27)</f>
        <v>60.27</v>
      </c>
      <c r="C1170" s="2">
        <f t="shared" ca="1" si="4"/>
        <v>3.4965034965035104E-3</v>
      </c>
    </row>
    <row r="1171" spans="1:3">
      <c r="A1171" s="3">
        <f ca="1">IFERROR(__xludf.UNSUPPORTED("""COMPUTED_VALUE"""),45162.6666666666)</f>
        <v>45162.666666666599</v>
      </c>
      <c r="B1171" s="1">
        <f ca="1">IFERROR(__xludf.UNSUPPORTED("""COMPUTED_VALUE"""),60.11)</f>
        <v>60.11</v>
      </c>
      <c r="C1171" s="2">
        <f t="shared" ca="1" si="4"/>
        <v>-2.6547204247553292E-3</v>
      </c>
    </row>
    <row r="1172" spans="1:3">
      <c r="A1172" s="3">
        <f ca="1">IFERROR(__xludf.UNSUPPORTED("""COMPUTED_VALUE"""),45163.6666666666)</f>
        <v>45163.666666666599</v>
      </c>
      <c r="B1172" s="1">
        <f ca="1">IFERROR(__xludf.UNSUPPORTED("""COMPUTED_VALUE"""),60.39)</f>
        <v>60.39</v>
      </c>
      <c r="C1172" s="2">
        <f t="shared" ca="1" si="4"/>
        <v>4.6581267675927657E-3</v>
      </c>
    </row>
    <row r="1173" spans="1:3">
      <c r="A1173" s="3">
        <f ca="1">IFERROR(__xludf.UNSUPPORTED("""COMPUTED_VALUE"""),45166.6666666666)</f>
        <v>45166.666666666599</v>
      </c>
      <c r="B1173" s="1">
        <f ca="1">IFERROR(__xludf.UNSUPPORTED("""COMPUTED_VALUE"""),60.56)</f>
        <v>60.56</v>
      </c>
      <c r="C1173" s="2">
        <f t="shared" ca="1" si="4"/>
        <v>2.815035601920876E-3</v>
      </c>
    </row>
    <row r="1174" spans="1:3">
      <c r="A1174" s="3">
        <f ca="1">IFERROR(__xludf.UNSUPPORTED("""COMPUTED_VALUE"""),45167.6666666666)</f>
        <v>45167.666666666599</v>
      </c>
      <c r="B1174" s="1">
        <f ca="1">IFERROR(__xludf.UNSUPPORTED("""COMPUTED_VALUE"""),60.5)</f>
        <v>60.5</v>
      </c>
      <c r="C1174" s="2">
        <f t="shared" ca="1" si="4"/>
        <v>-9.9075297225895424E-4</v>
      </c>
    </row>
    <row r="1175" spans="1:3">
      <c r="A1175" s="3">
        <f ca="1">IFERROR(__xludf.UNSUPPORTED("""COMPUTED_VALUE"""),45168.6666666666)</f>
        <v>45168.666666666599</v>
      </c>
      <c r="B1175" s="1">
        <f ca="1">IFERROR(__xludf.UNSUPPORTED("""COMPUTED_VALUE"""),60.47)</f>
        <v>60.47</v>
      </c>
      <c r="C1175" s="2">
        <f t="shared" ca="1" si="4"/>
        <v>-4.9586776859506009E-4</v>
      </c>
    </row>
    <row r="1176" spans="1:3">
      <c r="A1176" s="3">
        <f ca="1">IFERROR(__xludf.UNSUPPORTED("""COMPUTED_VALUE"""),45169.6666666666)</f>
        <v>45169.666666666599</v>
      </c>
      <c r="B1176" s="1">
        <f ca="1">IFERROR(__xludf.UNSUPPORTED("""COMPUTED_VALUE"""),59.83)</f>
        <v>59.83</v>
      </c>
      <c r="C1176" s="2">
        <f t="shared" ca="1" si="4"/>
        <v>-1.0583760542417737E-2</v>
      </c>
    </row>
    <row r="1177" spans="1:3">
      <c r="A1177" s="3">
        <f ca="1">IFERROR(__xludf.UNSUPPORTED("""COMPUTED_VALUE"""),45170.6666666666)</f>
        <v>45170.666666666599</v>
      </c>
      <c r="B1177" s="1">
        <f ca="1">IFERROR(__xludf.UNSUPPORTED("""COMPUTED_VALUE"""),59.31)</f>
        <v>59.31</v>
      </c>
      <c r="C1177" s="2">
        <f t="shared" ca="1" si="4"/>
        <v>-8.6912919939828859E-3</v>
      </c>
    </row>
    <row r="1178" spans="1:3">
      <c r="A1178" s="3">
        <f ca="1">IFERROR(__xludf.UNSUPPORTED("""COMPUTED_VALUE"""),45174.6666666666)</f>
        <v>45174.666666666599</v>
      </c>
      <c r="B1178" s="1">
        <f ca="1">IFERROR(__xludf.UNSUPPORTED("""COMPUTED_VALUE"""),58.82)</f>
        <v>58.82</v>
      </c>
      <c r="C1178" s="2">
        <f t="shared" ca="1" si="4"/>
        <v>-8.2616759399764279E-3</v>
      </c>
    </row>
    <row r="1179" spans="1:3">
      <c r="A1179" s="3">
        <f ca="1">IFERROR(__xludf.UNSUPPORTED("""COMPUTED_VALUE"""),45175.6666666666)</f>
        <v>45175.666666666599</v>
      </c>
      <c r="B1179" s="1">
        <f ca="1">IFERROR(__xludf.UNSUPPORTED("""COMPUTED_VALUE"""),58.78)</f>
        <v>58.78</v>
      </c>
      <c r="C1179" s="2">
        <f t="shared" ca="1" si="4"/>
        <v>-6.8004080244813238E-4</v>
      </c>
    </row>
    <row r="1180" spans="1:3">
      <c r="A1180" s="3">
        <f ca="1">IFERROR(__xludf.UNSUPPORTED("""COMPUTED_VALUE"""),45176.6666666666)</f>
        <v>45176.666666666599</v>
      </c>
      <c r="B1180" s="1">
        <f ca="1">IFERROR(__xludf.UNSUPPORTED("""COMPUTED_VALUE"""),58.33)</f>
        <v>58.33</v>
      </c>
      <c r="C1180" s="2">
        <f t="shared" ca="1" si="4"/>
        <v>-7.6556651922423079E-3</v>
      </c>
    </row>
    <row r="1181" spans="1:3">
      <c r="A1181" s="3">
        <f ca="1">IFERROR(__xludf.UNSUPPORTED("""COMPUTED_VALUE"""),45177.6666666666)</f>
        <v>45177.666666666599</v>
      </c>
      <c r="B1181" s="1">
        <f ca="1">IFERROR(__xludf.UNSUPPORTED("""COMPUTED_VALUE"""),58.33)</f>
        <v>58.33</v>
      </c>
      <c r="C1181" s="2">
        <f t="shared" ca="1" si="4"/>
        <v>0</v>
      </c>
    </row>
    <row r="1182" spans="1:3">
      <c r="A1182" s="3">
        <f ca="1">IFERROR(__xludf.UNSUPPORTED("""COMPUTED_VALUE"""),45180.6666666666)</f>
        <v>45180.666666666599</v>
      </c>
      <c r="B1182" s="1">
        <f ca="1">IFERROR(__xludf.UNSUPPORTED("""COMPUTED_VALUE"""),58.88)</f>
        <v>58.88</v>
      </c>
      <c r="C1182" s="2">
        <f t="shared" ca="1" si="4"/>
        <v>9.4291102348706378E-3</v>
      </c>
    </row>
    <row r="1183" spans="1:3">
      <c r="A1183" s="3">
        <f ca="1">IFERROR(__xludf.UNSUPPORTED("""COMPUTED_VALUE"""),45181.6666666666)</f>
        <v>45181.666666666599</v>
      </c>
      <c r="B1183" s="1">
        <f ca="1">IFERROR(__xludf.UNSUPPORTED("""COMPUTED_VALUE"""),58.3)</f>
        <v>58.3</v>
      </c>
      <c r="C1183" s="2">
        <f t="shared" ca="1" si="4"/>
        <v>-9.8505434782609601E-3</v>
      </c>
    </row>
    <row r="1184" spans="1:3">
      <c r="A1184" s="3">
        <f ca="1">IFERROR(__xludf.UNSUPPORTED("""COMPUTED_VALUE"""),45182.6666666666)</f>
        <v>45182.666666666599</v>
      </c>
      <c r="B1184" s="1">
        <f ca="1">IFERROR(__xludf.UNSUPPORTED("""COMPUTED_VALUE"""),58.44)</f>
        <v>58.44</v>
      </c>
      <c r="C1184" s="2">
        <f t="shared" ca="1" si="4"/>
        <v>2.4013722126929771E-3</v>
      </c>
    </row>
    <row r="1185" spans="1:3">
      <c r="A1185" s="3">
        <f ca="1">IFERROR(__xludf.UNSUPPORTED("""COMPUTED_VALUE"""),45183.6666666666)</f>
        <v>45183.666666666599</v>
      </c>
      <c r="B1185" s="1">
        <f ca="1">IFERROR(__xludf.UNSUPPORTED("""COMPUTED_VALUE"""),58.46)</f>
        <v>58.46</v>
      </c>
      <c r="C1185" s="2">
        <f t="shared" ca="1" si="4"/>
        <v>3.4223134839156616E-4</v>
      </c>
    </row>
    <row r="1186" spans="1:3">
      <c r="A1186" s="3">
        <f ca="1">IFERROR(__xludf.UNSUPPORTED("""COMPUTED_VALUE"""),45184.6666666666)</f>
        <v>45184.666666666599</v>
      </c>
      <c r="B1186" s="1">
        <f ca="1">IFERROR(__xludf.UNSUPPORTED("""COMPUTED_VALUE"""),57.94)</f>
        <v>57.94</v>
      </c>
      <c r="C1186" s="2">
        <f t="shared" ca="1" si="4"/>
        <v>-8.8949709202874299E-3</v>
      </c>
    </row>
    <row r="1187" spans="1:3">
      <c r="A1187" s="3">
        <f ca="1">IFERROR(__xludf.UNSUPPORTED("""COMPUTED_VALUE"""),45187.6666666666)</f>
        <v>45187.666666666599</v>
      </c>
      <c r="B1187" s="1">
        <f ca="1">IFERROR(__xludf.UNSUPPORTED("""COMPUTED_VALUE"""),58.3)</f>
        <v>58.3</v>
      </c>
      <c r="C1187" s="2">
        <f t="shared" ca="1" si="4"/>
        <v>6.2133241284086892E-3</v>
      </c>
    </row>
    <row r="1188" spans="1:3">
      <c r="A1188" s="3">
        <f ca="1">IFERROR(__xludf.UNSUPPORTED("""COMPUTED_VALUE"""),45188.6666666666)</f>
        <v>45188.666666666599</v>
      </c>
      <c r="B1188" s="1">
        <f ca="1">IFERROR(__xludf.UNSUPPORTED("""COMPUTED_VALUE"""),58.18)</f>
        <v>58.18</v>
      </c>
      <c r="C1188" s="2">
        <f t="shared" ca="1" si="4"/>
        <v>-2.0583190394510712E-3</v>
      </c>
    </row>
    <row r="1189" spans="1:3">
      <c r="A1189" s="3">
        <f ca="1">IFERROR(__xludf.UNSUPPORTED("""COMPUTED_VALUE"""),45189.6666666666)</f>
        <v>45189.666666666599</v>
      </c>
      <c r="B1189" s="1">
        <f ca="1">IFERROR(__xludf.UNSUPPORTED("""COMPUTED_VALUE"""),58.44)</f>
        <v>58.44</v>
      </c>
      <c r="C1189" s="2">
        <f t="shared" ca="1" si="4"/>
        <v>4.4688896528016159E-3</v>
      </c>
    </row>
    <row r="1190" spans="1:3">
      <c r="A1190" s="3">
        <f ca="1">IFERROR(__xludf.UNSUPPORTED("""COMPUTED_VALUE"""),45190.6666666666)</f>
        <v>45190.666666666599</v>
      </c>
      <c r="B1190" s="1">
        <f ca="1">IFERROR(__xludf.UNSUPPORTED("""COMPUTED_VALUE"""),57.54)</f>
        <v>57.54</v>
      </c>
      <c r="C1190" s="2">
        <f t="shared" ca="1" si="4"/>
        <v>-1.5400410677618047E-2</v>
      </c>
    </row>
    <row r="1191" spans="1:3">
      <c r="A1191" s="3">
        <f ca="1">IFERROR(__xludf.UNSUPPORTED("""COMPUTED_VALUE"""),45191.6666666666)</f>
        <v>45191.666666666599</v>
      </c>
      <c r="B1191" s="1">
        <f ca="1">IFERROR(__xludf.UNSUPPORTED("""COMPUTED_VALUE"""),57.6)</f>
        <v>57.6</v>
      </c>
      <c r="C1191" s="2">
        <f t="shared" ca="1" si="4"/>
        <v>1.0427528675704253E-3</v>
      </c>
    </row>
    <row r="1192" spans="1:3">
      <c r="A1192" s="3">
        <f ca="1">IFERROR(__xludf.UNSUPPORTED("""COMPUTED_VALUE"""),45194.6666666666)</f>
        <v>45194.666666666599</v>
      </c>
      <c r="B1192" s="1">
        <f ca="1">IFERROR(__xludf.UNSUPPORTED("""COMPUTED_VALUE"""),57)</f>
        <v>57</v>
      </c>
      <c r="C1192" s="2">
        <f t="shared" ca="1" si="4"/>
        <v>-1.041666666666669E-2</v>
      </c>
    </row>
    <row r="1193" spans="1:3">
      <c r="A1193" s="3">
        <f ca="1">IFERROR(__xludf.UNSUPPORTED("""COMPUTED_VALUE"""),45195.6666666666)</f>
        <v>45195.666666666599</v>
      </c>
      <c r="B1193" s="1">
        <f ca="1">IFERROR(__xludf.UNSUPPORTED("""COMPUTED_VALUE"""),56.53)</f>
        <v>56.53</v>
      </c>
      <c r="C1193" s="2">
        <f t="shared" ca="1" si="4"/>
        <v>-8.2456140350877002E-3</v>
      </c>
    </row>
    <row r="1194" spans="1:3">
      <c r="A1194" s="3">
        <f ca="1">IFERROR(__xludf.UNSUPPORTED("""COMPUTED_VALUE"""),45196.6666666666)</f>
        <v>45196.666666666599</v>
      </c>
      <c r="B1194" s="1">
        <f ca="1">IFERROR(__xludf.UNSUPPORTED("""COMPUTED_VALUE"""),55.95)</f>
        <v>55.95</v>
      </c>
      <c r="C1194" s="2">
        <f t="shared" ca="1" si="4"/>
        <v>-1.0260038917388966E-2</v>
      </c>
    </row>
    <row r="1195" spans="1:3">
      <c r="A1195" s="3">
        <f ca="1">IFERROR(__xludf.UNSUPPORTED("""COMPUTED_VALUE"""),45197.6666666666)</f>
        <v>45197.666666666599</v>
      </c>
      <c r="B1195" s="1">
        <f ca="1">IFERROR(__xludf.UNSUPPORTED("""COMPUTED_VALUE"""),55.81)</f>
        <v>55.81</v>
      </c>
      <c r="C1195" s="2">
        <f t="shared" ca="1" si="4"/>
        <v>-2.5022341376228878E-3</v>
      </c>
    </row>
    <row r="1196" spans="1:3">
      <c r="A1196" s="3">
        <f ca="1">IFERROR(__xludf.UNSUPPORTED("""COMPUTED_VALUE"""),45198.6666666666)</f>
        <v>45198.666666666599</v>
      </c>
      <c r="B1196" s="1">
        <f ca="1">IFERROR(__xludf.UNSUPPORTED("""COMPUTED_VALUE"""),55.98)</f>
        <v>55.98</v>
      </c>
      <c r="C1196" s="2">
        <f t="shared" ca="1" si="4"/>
        <v>3.0460490951441425E-3</v>
      </c>
    </row>
    <row r="1197" spans="1:3">
      <c r="A1197" s="3">
        <f ca="1">IFERROR(__xludf.UNSUPPORTED("""COMPUTED_VALUE"""),45201.6666666666)</f>
        <v>45201.666666666599</v>
      </c>
      <c r="B1197" s="1">
        <f ca="1">IFERROR(__xludf.UNSUPPORTED("""COMPUTED_VALUE"""),55.48)</f>
        <v>55.48</v>
      </c>
      <c r="C1197" s="2">
        <f t="shared" ca="1" si="4"/>
        <v>-8.9317613433369074E-3</v>
      </c>
    </row>
    <row r="1198" spans="1:3">
      <c r="A1198" s="3">
        <f ca="1">IFERROR(__xludf.UNSUPPORTED("""COMPUTED_VALUE"""),45202.6666666666)</f>
        <v>45202.666666666599</v>
      </c>
      <c r="B1198" s="1">
        <f ca="1">IFERROR(__xludf.UNSUPPORTED("""COMPUTED_VALUE"""),54.88)</f>
        <v>54.88</v>
      </c>
      <c r="C1198" s="2">
        <f t="shared" ca="1" si="4"/>
        <v>-1.0814708002883821E-2</v>
      </c>
    </row>
    <row r="1199" spans="1:3">
      <c r="A1199" s="3">
        <f ca="1">IFERROR(__xludf.UNSUPPORTED("""COMPUTED_VALUE"""),45203.6666666666)</f>
        <v>45203.666666666599</v>
      </c>
      <c r="B1199" s="1">
        <f ca="1">IFERROR(__xludf.UNSUPPORTED("""COMPUTED_VALUE"""),55.04)</f>
        <v>55.04</v>
      </c>
      <c r="C1199" s="2">
        <f t="shared" ca="1" si="4"/>
        <v>2.9154518950436693E-3</v>
      </c>
    </row>
    <row r="1200" spans="1:3">
      <c r="A1200" s="3">
        <f ca="1">IFERROR(__xludf.UNSUPPORTED("""COMPUTED_VALUE"""),45204.6666666666)</f>
        <v>45204.666666666599</v>
      </c>
      <c r="B1200" s="1">
        <f ca="1">IFERROR(__xludf.UNSUPPORTED("""COMPUTED_VALUE"""),52.38)</f>
        <v>52.38</v>
      </c>
      <c r="C1200" s="2">
        <f t="shared" ca="1" si="4"/>
        <v>-4.8328488372092963E-2</v>
      </c>
    </row>
    <row r="1201" spans="1:3">
      <c r="A1201" s="3">
        <f ca="1">IFERROR(__xludf.UNSUPPORTED("""COMPUTED_VALUE"""),45205.6666666666)</f>
        <v>45205.666666666599</v>
      </c>
      <c r="B1201" s="1">
        <f ca="1">IFERROR(__xludf.UNSUPPORTED("""COMPUTED_VALUE"""),53.14)</f>
        <v>53.14</v>
      </c>
      <c r="C1201" s="2">
        <f t="shared" ca="1" si="4"/>
        <v>1.4509354715540244E-2</v>
      </c>
    </row>
    <row r="1202" spans="1:3">
      <c r="A1202" s="3">
        <f ca="1">IFERROR(__xludf.UNSUPPORTED("""COMPUTED_VALUE"""),45208.6666666666)</f>
        <v>45208.666666666599</v>
      </c>
      <c r="B1202" s="1">
        <f ca="1">IFERROR(__xludf.UNSUPPORTED("""COMPUTED_VALUE"""),52.88)</f>
        <v>52.88</v>
      </c>
      <c r="C1202" s="2">
        <f t="shared" ca="1" si="4"/>
        <v>-4.8927361686111779E-3</v>
      </c>
    </row>
    <row r="1203" spans="1:3">
      <c r="A1203" s="3">
        <f ca="1">IFERROR(__xludf.UNSUPPORTED("""COMPUTED_VALUE"""),45209.6666666666)</f>
        <v>45209.666666666599</v>
      </c>
      <c r="B1203" s="1">
        <f ca="1">IFERROR(__xludf.UNSUPPORTED("""COMPUTED_VALUE"""),54.03)</f>
        <v>54.03</v>
      </c>
      <c r="C1203" s="2">
        <f t="shared" ca="1" si="4"/>
        <v>2.1747352496217825E-2</v>
      </c>
    </row>
    <row r="1204" spans="1:3">
      <c r="A1204" s="3">
        <f ca="1">IFERROR(__xludf.UNSUPPORTED("""COMPUTED_VALUE"""),45210.6666666666)</f>
        <v>45210.666666666599</v>
      </c>
      <c r="B1204" s="1">
        <f ca="1">IFERROR(__xludf.UNSUPPORTED("""COMPUTED_VALUE"""),53.71)</f>
        <v>53.71</v>
      </c>
      <c r="C1204" s="2">
        <f t="shared" ca="1" si="4"/>
        <v>-5.9226355728299145E-3</v>
      </c>
    </row>
    <row r="1205" spans="1:3">
      <c r="A1205" s="3">
        <f ca="1">IFERROR(__xludf.UNSUPPORTED("""COMPUTED_VALUE"""),45211.6666666666)</f>
        <v>45211.666666666599</v>
      </c>
      <c r="B1205" s="1">
        <f ca="1">IFERROR(__xludf.UNSUPPORTED("""COMPUTED_VALUE"""),52.81)</f>
        <v>52.81</v>
      </c>
      <c r="C1205" s="2">
        <f t="shared" ca="1" si="4"/>
        <v>-1.6756656116179457E-2</v>
      </c>
    </row>
    <row r="1206" spans="1:3">
      <c r="A1206" s="3">
        <f ca="1">IFERROR(__xludf.UNSUPPORTED("""COMPUTED_VALUE"""),45212.6666666666)</f>
        <v>45212.666666666599</v>
      </c>
      <c r="B1206" s="1">
        <f ca="1">IFERROR(__xludf.UNSUPPORTED("""COMPUTED_VALUE"""),52.89)</f>
        <v>52.89</v>
      </c>
      <c r="C1206" s="2">
        <f t="shared" ca="1" si="4"/>
        <v>1.5148646089755404E-3</v>
      </c>
    </row>
    <row r="1207" spans="1:3">
      <c r="A1207" s="3">
        <f ca="1">IFERROR(__xludf.UNSUPPORTED("""COMPUTED_VALUE"""),45215.6666666666)</f>
        <v>45215.666666666599</v>
      </c>
      <c r="B1207" s="1">
        <f ca="1">IFERROR(__xludf.UNSUPPORTED("""COMPUTED_VALUE"""),53.43)</f>
        <v>53.43</v>
      </c>
      <c r="C1207" s="2">
        <f t="shared" ca="1" si="4"/>
        <v>1.0209869540555855E-2</v>
      </c>
    </row>
    <row r="1208" spans="1:3">
      <c r="A1208" s="3">
        <f ca="1">IFERROR(__xludf.UNSUPPORTED("""COMPUTED_VALUE"""),45216.6666666666)</f>
        <v>45216.666666666599</v>
      </c>
      <c r="B1208" s="1">
        <f ca="1">IFERROR(__xludf.UNSUPPORTED("""COMPUTED_VALUE"""),54.07)</f>
        <v>54.07</v>
      </c>
      <c r="C1208" s="2">
        <f t="shared" ca="1" si="4"/>
        <v>1.1978289350552136E-2</v>
      </c>
    </row>
    <row r="1209" spans="1:3">
      <c r="A1209" s="3">
        <f ca="1">IFERROR(__xludf.UNSUPPORTED("""COMPUTED_VALUE"""),45217.6666666666)</f>
        <v>45217.666666666599</v>
      </c>
      <c r="B1209" s="1">
        <f ca="1">IFERROR(__xludf.UNSUPPORTED("""COMPUTED_VALUE"""),54.05)</f>
        <v>54.05</v>
      </c>
      <c r="C1209" s="2">
        <f t="shared" ca="1" si="4"/>
        <v>-3.6989088218981187E-4</v>
      </c>
    </row>
    <row r="1210" spans="1:3">
      <c r="A1210" s="3">
        <f ca="1">IFERROR(__xludf.UNSUPPORTED("""COMPUTED_VALUE"""),45218.6666666666)</f>
        <v>45218.666666666599</v>
      </c>
      <c r="B1210" s="1">
        <f ca="1">IFERROR(__xludf.UNSUPPORTED("""COMPUTED_VALUE"""),54.35)</f>
        <v>54.35</v>
      </c>
      <c r="C1210" s="2">
        <f t="shared" ca="1" si="4"/>
        <v>5.5504162812211703E-3</v>
      </c>
    </row>
    <row r="1211" spans="1:3">
      <c r="A1211" s="3">
        <f ca="1">IFERROR(__xludf.UNSUPPORTED("""COMPUTED_VALUE"""),45219.6666666666)</f>
        <v>45219.666666666599</v>
      </c>
      <c r="B1211" s="1">
        <f ca="1">IFERROR(__xludf.UNSUPPORTED("""COMPUTED_VALUE"""),54.57)</f>
        <v>54.57</v>
      </c>
      <c r="C1211" s="2">
        <f t="shared" ca="1" si="4"/>
        <v>4.0478380864765202E-3</v>
      </c>
    </row>
    <row r="1212" spans="1:3">
      <c r="A1212" s="3">
        <f ca="1">IFERROR(__xludf.UNSUPPORTED("""COMPUTED_VALUE"""),45222.6666666666)</f>
        <v>45222.666666666599</v>
      </c>
      <c r="B1212" s="1">
        <f ca="1">IFERROR(__xludf.UNSUPPORTED("""COMPUTED_VALUE"""),54.08)</f>
        <v>54.08</v>
      </c>
      <c r="C1212" s="2">
        <f t="shared" ca="1" si="4"/>
        <v>-8.9792926516401323E-3</v>
      </c>
    </row>
    <row r="1213" spans="1:3">
      <c r="A1213" s="3">
        <f ca="1">IFERROR(__xludf.UNSUPPORTED("""COMPUTED_VALUE"""),45223.6666666666)</f>
        <v>45223.666666666599</v>
      </c>
      <c r="B1213" s="1">
        <f ca="1">IFERROR(__xludf.UNSUPPORTED("""COMPUTED_VALUE"""),55.64)</f>
        <v>55.64</v>
      </c>
      <c r="C1213" s="2">
        <f t="shared" ca="1" si="4"/>
        <v>2.8846153846153889E-2</v>
      </c>
    </row>
    <row r="1214" spans="1:3">
      <c r="A1214" s="3">
        <f ca="1">IFERROR(__xludf.UNSUPPORTED("""COMPUTED_VALUE"""),45224.6666666666)</f>
        <v>45224.666666666599</v>
      </c>
      <c r="B1214" s="1">
        <f ca="1">IFERROR(__xludf.UNSUPPORTED("""COMPUTED_VALUE"""),56.12)</f>
        <v>56.12</v>
      </c>
      <c r="C1214" s="2">
        <f t="shared" ca="1" si="4"/>
        <v>8.6268871315599727E-3</v>
      </c>
    </row>
    <row r="1215" spans="1:3">
      <c r="A1215" s="3">
        <f ca="1">IFERROR(__xludf.UNSUPPORTED("""COMPUTED_VALUE"""),45225.6666666666)</f>
        <v>45225.666666666599</v>
      </c>
      <c r="B1215" s="1">
        <f ca="1">IFERROR(__xludf.UNSUPPORTED("""COMPUTED_VALUE"""),55.78)</f>
        <v>55.78</v>
      </c>
      <c r="C1215" s="2">
        <f t="shared" ca="1" si="4"/>
        <v>-6.0584461867426286E-3</v>
      </c>
    </row>
    <row r="1216" spans="1:3">
      <c r="A1216" s="3">
        <f ca="1">IFERROR(__xludf.UNSUPPORTED("""COMPUTED_VALUE"""),45226.6666666666)</f>
        <v>45226.666666666599</v>
      </c>
      <c r="B1216" s="1">
        <f ca="1">IFERROR(__xludf.UNSUPPORTED("""COMPUTED_VALUE"""),55.24)</f>
        <v>55.24</v>
      </c>
      <c r="C1216" s="2">
        <f t="shared" ca="1" si="4"/>
        <v>-9.6808892076012745E-3</v>
      </c>
    </row>
    <row r="1217" spans="1:3">
      <c r="A1217" s="3">
        <f ca="1">IFERROR(__xludf.UNSUPPORTED("""COMPUTED_VALUE"""),45229.6666666666)</f>
        <v>45229.666666666599</v>
      </c>
      <c r="B1217" s="1">
        <f ca="1">IFERROR(__xludf.UNSUPPORTED("""COMPUTED_VALUE"""),56.15)</f>
        <v>56.15</v>
      </c>
      <c r="C1217" s="2">
        <f t="shared" ca="1" si="4"/>
        <v>1.6473569876900733E-2</v>
      </c>
    </row>
    <row r="1218" spans="1:3">
      <c r="A1218" s="3">
        <f ca="1">IFERROR(__xludf.UNSUPPORTED("""COMPUTED_VALUE"""),45230.6666666666)</f>
        <v>45230.666666666599</v>
      </c>
      <c r="B1218" s="1">
        <f ca="1">IFERROR(__xludf.UNSUPPORTED("""COMPUTED_VALUE"""),56.49)</f>
        <v>56.49</v>
      </c>
      <c r="C1218" s="2">
        <f t="shared" ca="1" si="4"/>
        <v>6.0552092609083424E-3</v>
      </c>
    </row>
    <row r="1219" spans="1:3">
      <c r="A1219" s="3">
        <f ca="1">IFERROR(__xludf.UNSUPPORTED("""COMPUTED_VALUE"""),45231.6666666666)</f>
        <v>45231.666666666599</v>
      </c>
      <c r="B1219" s="1">
        <f ca="1">IFERROR(__xludf.UNSUPPORTED("""COMPUTED_VALUE"""),56.44)</f>
        <v>56.44</v>
      </c>
      <c r="C1219" s="2">
        <f t="shared" ca="1" si="4"/>
        <v>-8.8511240927605344E-4</v>
      </c>
    </row>
    <row r="1220" spans="1:3">
      <c r="A1220" s="3">
        <f ca="1">IFERROR(__xludf.UNSUPPORTED("""COMPUTED_VALUE"""),45232.6666666666)</f>
        <v>45232.666666666599</v>
      </c>
      <c r="B1220" s="1">
        <f ca="1">IFERROR(__xludf.UNSUPPORTED("""COMPUTED_VALUE"""),57.09)</f>
        <v>57.09</v>
      </c>
      <c r="C1220" s="2">
        <f t="shared" ca="1" si="4"/>
        <v>1.1516654854713071E-2</v>
      </c>
    </row>
    <row r="1221" spans="1:3">
      <c r="A1221" s="3">
        <f ca="1">IFERROR(__xludf.UNSUPPORTED("""COMPUTED_VALUE"""),45233.6666666666)</f>
        <v>45233.666666666599</v>
      </c>
      <c r="B1221" s="1">
        <f ca="1">IFERROR(__xludf.UNSUPPORTED("""COMPUTED_VALUE"""),56.74)</f>
        <v>56.74</v>
      </c>
      <c r="C1221" s="2">
        <f t="shared" ca="1" si="4"/>
        <v>-6.130670870555288E-3</v>
      </c>
    </row>
    <row r="1222" spans="1:3">
      <c r="A1222" s="3">
        <f ca="1">IFERROR(__xludf.UNSUPPORTED("""COMPUTED_VALUE"""),45236.6666666666)</f>
        <v>45236.666666666599</v>
      </c>
      <c r="B1222" s="1">
        <f ca="1">IFERROR(__xludf.UNSUPPORTED("""COMPUTED_VALUE"""),56.97)</f>
        <v>56.97</v>
      </c>
      <c r="C1222" s="2">
        <f t="shared" ca="1" si="4"/>
        <v>4.0535777229467199E-3</v>
      </c>
    </row>
    <row r="1223" spans="1:3">
      <c r="A1223" s="3">
        <f ca="1">IFERROR(__xludf.UNSUPPORTED("""COMPUTED_VALUE"""),45237.6666666666)</f>
        <v>45237.666666666599</v>
      </c>
      <c r="B1223" s="1">
        <f ca="1">IFERROR(__xludf.UNSUPPORTED("""COMPUTED_VALUE"""),57.18)</f>
        <v>57.18</v>
      </c>
      <c r="C1223" s="2">
        <f t="shared" ca="1" si="4"/>
        <v>3.6861506055819002E-3</v>
      </c>
    </row>
    <row r="1224" spans="1:3">
      <c r="A1224" s="3">
        <f ca="1">IFERROR(__xludf.UNSUPPORTED("""COMPUTED_VALUE"""),45238.6666666666)</f>
        <v>45238.666666666599</v>
      </c>
      <c r="B1224" s="1">
        <f ca="1">IFERROR(__xludf.UNSUPPORTED("""COMPUTED_VALUE"""),57.09)</f>
        <v>57.09</v>
      </c>
      <c r="C1224" s="2">
        <f t="shared" ca="1" si="4"/>
        <v>-1.573976915005182E-3</v>
      </c>
    </row>
    <row r="1225" spans="1:3">
      <c r="A1225" s="3">
        <f ca="1">IFERROR(__xludf.UNSUPPORTED("""COMPUTED_VALUE"""),45239.6666666666)</f>
        <v>45239.666666666599</v>
      </c>
      <c r="B1225" s="1">
        <f ca="1">IFERROR(__xludf.UNSUPPORTED("""COMPUTED_VALUE"""),56.66)</f>
        <v>56.66</v>
      </c>
      <c r="C1225" s="2">
        <f t="shared" ca="1" si="4"/>
        <v>-7.5319670695394433E-3</v>
      </c>
    </row>
    <row r="1226" spans="1:3">
      <c r="A1226" s="3">
        <f ca="1">IFERROR(__xludf.UNSUPPORTED("""COMPUTED_VALUE"""),45240.6666666666)</f>
        <v>45240.666666666599</v>
      </c>
      <c r="B1226" s="1">
        <f ca="1">IFERROR(__xludf.UNSUPPORTED("""COMPUTED_VALUE"""),56.72)</f>
        <v>56.72</v>
      </c>
      <c r="C1226" s="2">
        <f t="shared" ca="1" si="4"/>
        <v>1.0589481115425745E-3</v>
      </c>
    </row>
    <row r="1227" spans="1:3">
      <c r="A1227" s="3">
        <f ca="1">IFERROR(__xludf.UNSUPPORTED("""COMPUTED_VALUE"""),45243.6666666666)</f>
        <v>45243.666666666599</v>
      </c>
      <c r="B1227" s="1">
        <f ca="1">IFERROR(__xludf.UNSUPPORTED("""COMPUTED_VALUE"""),56.93)</f>
        <v>56.93</v>
      </c>
      <c r="C1227" s="2">
        <f t="shared" ca="1" si="4"/>
        <v>3.7023977433004382E-3</v>
      </c>
    </row>
    <row r="1228" spans="1:3">
      <c r="A1228" s="3">
        <f ca="1">IFERROR(__xludf.UNSUPPORTED("""COMPUTED_VALUE"""),45244.6666666666)</f>
        <v>45244.666666666599</v>
      </c>
      <c r="B1228" s="1">
        <f ca="1">IFERROR(__xludf.UNSUPPORTED("""COMPUTED_VALUE"""),57.1)</f>
        <v>57.1</v>
      </c>
      <c r="C1228" s="2">
        <f t="shared" ca="1" si="4"/>
        <v>2.9861233093272741E-3</v>
      </c>
    </row>
    <row r="1229" spans="1:3">
      <c r="A1229" s="3">
        <f ca="1">IFERROR(__xludf.UNSUPPORTED("""COMPUTED_VALUE"""),45245.6666666666)</f>
        <v>45245.666666666599</v>
      </c>
      <c r="B1229" s="1">
        <f ca="1">IFERROR(__xludf.UNSUPPORTED("""COMPUTED_VALUE"""),57.21)</f>
        <v>57.21</v>
      </c>
      <c r="C1229" s="2">
        <f t="shared" ca="1" si="4"/>
        <v>1.9264448336252088E-3</v>
      </c>
    </row>
    <row r="1230" spans="1:3">
      <c r="A1230" s="3">
        <f ca="1">IFERROR(__xludf.UNSUPPORTED("""COMPUTED_VALUE"""),45246.6666666666)</f>
        <v>45246.666666666599</v>
      </c>
      <c r="B1230" s="1">
        <f ca="1">IFERROR(__xludf.UNSUPPORTED("""COMPUTED_VALUE"""),57.15)</f>
        <v>57.15</v>
      </c>
      <c r="C1230" s="2">
        <f t="shared" ca="1" si="4"/>
        <v>-1.0487676979549427E-3</v>
      </c>
    </row>
    <row r="1231" spans="1:3">
      <c r="A1231" s="3">
        <f ca="1">IFERROR(__xludf.UNSUPPORTED("""COMPUTED_VALUE"""),45247.6666666666)</f>
        <v>45247.666666666599</v>
      </c>
      <c r="B1231" s="1">
        <f ca="1">IFERROR(__xludf.UNSUPPORTED("""COMPUTED_VALUE"""),57.26)</f>
        <v>57.26</v>
      </c>
      <c r="C1231" s="2">
        <f t="shared" ca="1" si="4"/>
        <v>1.9247594050743558E-3</v>
      </c>
    </row>
    <row r="1232" spans="1:3">
      <c r="A1232" s="3">
        <f ca="1">IFERROR(__xludf.UNSUPPORTED("""COMPUTED_VALUE"""),45250.6666666666)</f>
        <v>45250.666666666599</v>
      </c>
      <c r="B1232" s="1">
        <f ca="1">IFERROR(__xludf.UNSUPPORTED("""COMPUTED_VALUE"""),57.4)</f>
        <v>57.4</v>
      </c>
      <c r="C1232" s="2">
        <f t="shared" ca="1" si="4"/>
        <v>2.4449877750611347E-3</v>
      </c>
    </row>
    <row r="1233" spans="1:3">
      <c r="A1233" s="3">
        <f ca="1">IFERROR(__xludf.UNSUPPORTED("""COMPUTED_VALUE"""),45251.6666666666)</f>
        <v>45251.666666666599</v>
      </c>
      <c r="B1233" s="1">
        <f ca="1">IFERROR(__xludf.UNSUPPORTED("""COMPUTED_VALUE"""),58.03)</f>
        <v>58.03</v>
      </c>
      <c r="C1233" s="2">
        <f t="shared" ca="1" si="4"/>
        <v>1.0975609756097605E-2</v>
      </c>
    </row>
    <row r="1234" spans="1:3">
      <c r="A1234" s="3">
        <f ca="1">IFERROR(__xludf.UNSUPPORTED("""COMPUTED_VALUE"""),45252.6666666666)</f>
        <v>45252.666666666599</v>
      </c>
      <c r="B1234" s="1">
        <f ca="1">IFERROR(__xludf.UNSUPPORTED("""COMPUTED_VALUE"""),58.42)</f>
        <v>58.42</v>
      </c>
      <c r="C1234" s="2">
        <f t="shared" ca="1" si="4"/>
        <v>6.7206617266930991E-3</v>
      </c>
    </row>
    <row r="1235" spans="1:3">
      <c r="A1235" s="3">
        <f ca="1">IFERROR(__xludf.UNSUPPORTED("""COMPUTED_VALUE"""),45254.5416666666)</f>
        <v>45254.541666666599</v>
      </c>
      <c r="B1235" s="1">
        <f ca="1">IFERROR(__xludf.UNSUPPORTED("""COMPUTED_VALUE"""),58.57)</f>
        <v>58.57</v>
      </c>
      <c r="C1235" s="2">
        <f t="shared" ca="1" si="4"/>
        <v>2.5676138308798114E-3</v>
      </c>
    </row>
    <row r="1236" spans="1:3">
      <c r="A1236" s="3">
        <f ca="1">IFERROR(__xludf.UNSUPPORTED("""COMPUTED_VALUE"""),45257.6666666666)</f>
        <v>45257.666666666599</v>
      </c>
      <c r="B1236" s="1">
        <f ca="1">IFERROR(__xludf.UNSUPPORTED("""COMPUTED_VALUE"""),58.46)</f>
        <v>58.46</v>
      </c>
      <c r="C1236" s="2">
        <f t="shared" ca="1" si="4"/>
        <v>-1.8780945876728603E-3</v>
      </c>
    </row>
    <row r="1237" spans="1:3">
      <c r="A1237" s="3">
        <f ca="1">IFERROR(__xludf.UNSUPPORTED("""COMPUTED_VALUE"""),45258.6666666666)</f>
        <v>45258.666666666599</v>
      </c>
      <c r="B1237" s="1">
        <f ca="1">IFERROR(__xludf.UNSUPPORTED("""COMPUTED_VALUE"""),58.58)</f>
        <v>58.58</v>
      </c>
      <c r="C1237" s="2">
        <f t="shared" ca="1" si="4"/>
        <v>2.0526855969893506E-3</v>
      </c>
    </row>
    <row r="1238" spans="1:3">
      <c r="A1238" s="3">
        <f ca="1">IFERROR(__xludf.UNSUPPORTED("""COMPUTED_VALUE"""),45259.6666666666)</f>
        <v>45259.666666666599</v>
      </c>
      <c r="B1238" s="1">
        <f ca="1">IFERROR(__xludf.UNSUPPORTED("""COMPUTED_VALUE"""),58.23)</f>
        <v>58.23</v>
      </c>
      <c r="C1238" s="2">
        <f t="shared" ca="1" si="4"/>
        <v>-5.9747354045749648E-3</v>
      </c>
    </row>
    <row r="1239" spans="1:3">
      <c r="A1239" s="3">
        <f ca="1">IFERROR(__xludf.UNSUPPORTED("""COMPUTED_VALUE"""),45260.6666666666)</f>
        <v>45260.666666666599</v>
      </c>
      <c r="B1239" s="1">
        <f ca="1">IFERROR(__xludf.UNSUPPORTED("""COMPUTED_VALUE"""),58.44)</f>
        <v>58.44</v>
      </c>
      <c r="C1239" s="2">
        <f t="shared" ca="1" si="4"/>
        <v>3.6063884595569445E-3</v>
      </c>
    </row>
    <row r="1240" spans="1:3">
      <c r="A1240" s="3">
        <f ca="1">IFERROR(__xludf.UNSUPPORTED("""COMPUTED_VALUE"""),45261.6666666666)</f>
        <v>45261.666666666599</v>
      </c>
      <c r="B1240" s="1">
        <f ca="1">IFERROR(__xludf.UNSUPPORTED("""COMPUTED_VALUE"""),58.64)</f>
        <v>58.64</v>
      </c>
      <c r="C1240" s="2">
        <f t="shared" ca="1" si="4"/>
        <v>3.4223134839151755E-3</v>
      </c>
    </row>
    <row r="1241" spans="1:3">
      <c r="A1241" s="3">
        <f ca="1">IFERROR(__xludf.UNSUPPORTED("""COMPUTED_VALUE"""),45264.6666666666)</f>
        <v>45264.666666666599</v>
      </c>
      <c r="B1241" s="1">
        <f ca="1">IFERROR(__xludf.UNSUPPORTED("""COMPUTED_VALUE"""),58.57)</f>
        <v>58.57</v>
      </c>
      <c r="C1241" s="2">
        <f t="shared" ca="1" si="4"/>
        <v>-1.1937244201910007E-3</v>
      </c>
    </row>
    <row r="1242" spans="1:3">
      <c r="A1242" s="3">
        <f ca="1">IFERROR(__xludf.UNSUPPORTED("""COMPUTED_VALUE"""),45265.6666666666)</f>
        <v>45265.666666666599</v>
      </c>
      <c r="B1242" s="1">
        <f ca="1">IFERROR(__xludf.UNSUPPORTED("""COMPUTED_VALUE"""),58.66)</f>
        <v>58.66</v>
      </c>
      <c r="C1242" s="2">
        <f t="shared" ca="1" si="4"/>
        <v>1.5366228444595579E-3</v>
      </c>
    </row>
    <row r="1243" spans="1:3">
      <c r="A1243" s="3">
        <f ca="1">IFERROR(__xludf.UNSUPPORTED("""COMPUTED_VALUE"""),45266.6666666666)</f>
        <v>45266.666666666599</v>
      </c>
      <c r="B1243" s="1">
        <f ca="1">IFERROR(__xludf.UNSUPPORTED("""COMPUTED_VALUE"""),58.6)</f>
        <v>58.6</v>
      </c>
      <c r="C1243" s="2">
        <f t="shared" ca="1" si="4"/>
        <v>-1.0228435049436614E-3</v>
      </c>
    </row>
    <row r="1244" spans="1:3">
      <c r="A1244" s="3">
        <f ca="1">IFERROR(__xludf.UNSUPPORTED("""COMPUTED_VALUE"""),45267.6666666666)</f>
        <v>45267.666666666599</v>
      </c>
      <c r="B1244" s="1">
        <f ca="1">IFERROR(__xludf.UNSUPPORTED("""COMPUTED_VALUE"""),58.74)</f>
        <v>58.74</v>
      </c>
      <c r="C1244" s="2">
        <f t="shared" ca="1" si="4"/>
        <v>2.3890784982935251E-3</v>
      </c>
    </row>
    <row r="1245" spans="1:3">
      <c r="A1245" s="3">
        <f ca="1">IFERROR(__xludf.UNSUPPORTED("""COMPUTED_VALUE"""),45268.6666666666)</f>
        <v>45268.666666666599</v>
      </c>
      <c r="B1245" s="1">
        <f ca="1">IFERROR(__xludf.UNSUPPORTED("""COMPUTED_VALUE"""),58.61)</f>
        <v>58.61</v>
      </c>
      <c r="C1245" s="2">
        <f t="shared" ca="1" si="4"/>
        <v>-2.2131426625809085E-3</v>
      </c>
    </row>
    <row r="1246" spans="1:3">
      <c r="A1246" s="3">
        <f ca="1">IFERROR(__xludf.UNSUPPORTED("""COMPUTED_VALUE"""),45271.6666666666)</f>
        <v>45271.666666666599</v>
      </c>
      <c r="B1246" s="1">
        <f ca="1">IFERROR(__xludf.UNSUPPORTED("""COMPUTED_VALUE"""),59.04)</f>
        <v>59.04</v>
      </c>
      <c r="C1246" s="2">
        <f t="shared" ca="1" si="4"/>
        <v>7.3366319740658546E-3</v>
      </c>
    </row>
    <row r="1247" spans="1:3">
      <c r="A1247" s="3">
        <f ca="1">IFERROR(__xludf.UNSUPPORTED("""COMPUTED_VALUE"""),45272.6666666666)</f>
        <v>45272.666666666599</v>
      </c>
      <c r="B1247" s="1">
        <f ca="1">IFERROR(__xludf.UNSUPPORTED("""COMPUTED_VALUE"""),59.42)</f>
        <v>59.42</v>
      </c>
      <c r="C1247" s="2">
        <f t="shared" ca="1" si="4"/>
        <v>6.4363143631436751E-3</v>
      </c>
    </row>
    <row r="1248" spans="1:3">
      <c r="A1248" s="3">
        <f ca="1">IFERROR(__xludf.UNSUPPORTED("""COMPUTED_VALUE"""),45273.6666666666)</f>
        <v>45273.666666666599</v>
      </c>
      <c r="B1248" s="1">
        <f ca="1">IFERROR(__xludf.UNSUPPORTED("""COMPUTED_VALUE"""),59.93)</f>
        <v>59.93</v>
      </c>
      <c r="C1248" s="2">
        <f t="shared" ca="1" si="4"/>
        <v>8.5829686974082456E-3</v>
      </c>
    </row>
    <row r="1249" spans="1:3">
      <c r="A1249" s="3">
        <f ca="1">IFERROR(__xludf.UNSUPPORTED("""COMPUTED_VALUE"""),45274.6666666666)</f>
        <v>45274.666666666599</v>
      </c>
      <c r="B1249" s="1">
        <f ca="1">IFERROR(__xludf.UNSUPPORTED("""COMPUTED_VALUE"""),59.04)</f>
        <v>59.04</v>
      </c>
      <c r="C1249" s="2">
        <f t="shared" ca="1" si="4"/>
        <v>-1.485065910228601E-2</v>
      </c>
    </row>
    <row r="1250" spans="1:3">
      <c r="A1250" s="3">
        <f ca="1">IFERROR(__xludf.UNSUPPORTED("""COMPUTED_VALUE"""),45275.6666666666)</f>
        <v>45275.666666666599</v>
      </c>
      <c r="B1250" s="1">
        <f ca="1">IFERROR(__xludf.UNSUPPORTED("""COMPUTED_VALUE"""),58.6)</f>
        <v>58.6</v>
      </c>
      <c r="C1250" s="2">
        <f t="shared" ca="1" si="4"/>
        <v>-7.4525745257452191E-3</v>
      </c>
    </row>
    <row r="1251" spans="1:3">
      <c r="A1251" s="3">
        <f ca="1">IFERROR(__xludf.UNSUPPORTED("""COMPUTED_VALUE"""),45278.6666666666)</f>
        <v>45278.666666666599</v>
      </c>
      <c r="B1251" s="1">
        <f ca="1">IFERROR(__xludf.UNSUPPORTED("""COMPUTED_VALUE"""),59.02)</f>
        <v>59.02</v>
      </c>
      <c r="C1251" s="2">
        <f t="shared" ca="1" si="4"/>
        <v>7.167235494880575E-3</v>
      </c>
    </row>
    <row r="1252" spans="1:3">
      <c r="A1252" s="3">
        <f ca="1">IFERROR(__xludf.UNSUPPORTED("""COMPUTED_VALUE"""),45279.6666666666)</f>
        <v>45279.666666666599</v>
      </c>
      <c r="B1252" s="1">
        <f ca="1">IFERROR(__xludf.UNSUPPORTED("""COMPUTED_VALUE"""),58.83)</f>
        <v>58.83</v>
      </c>
      <c r="C1252" s="2">
        <f t="shared" ca="1" si="4"/>
        <v>-3.2192477126398648E-3</v>
      </c>
    </row>
    <row r="1253" spans="1:3">
      <c r="A1253" s="3">
        <f ca="1">IFERROR(__xludf.UNSUPPORTED("""COMPUTED_VALUE"""),45280.6666666666)</f>
        <v>45280.666666666599</v>
      </c>
      <c r="B1253" s="1">
        <f ca="1">IFERROR(__xludf.UNSUPPORTED("""COMPUTED_VALUE"""),57.61)</f>
        <v>57.61</v>
      </c>
      <c r="C1253" s="2">
        <f t="shared" ca="1" si="4"/>
        <v>-2.073771885092638E-2</v>
      </c>
    </row>
    <row r="1254" spans="1:3">
      <c r="A1254" s="3">
        <f ca="1">IFERROR(__xludf.UNSUPPORTED("""COMPUTED_VALUE"""),45281.6666666666)</f>
        <v>45281.666666666599</v>
      </c>
      <c r="B1254" s="1">
        <f ca="1">IFERROR(__xludf.UNSUPPORTED("""COMPUTED_VALUE"""),57.99)</f>
        <v>57.99</v>
      </c>
      <c r="C1254" s="2">
        <f t="shared" ca="1" si="4"/>
        <v>6.5960770699531775E-3</v>
      </c>
    </row>
    <row r="1255" spans="1:3">
      <c r="A1255" s="3">
        <f ca="1">IFERROR(__xludf.UNSUPPORTED("""COMPUTED_VALUE"""),45282.6666666666)</f>
        <v>45282.666666666599</v>
      </c>
      <c r="B1255" s="1">
        <f ca="1">IFERROR(__xludf.UNSUPPORTED("""COMPUTED_VALUE"""),58.32)</f>
        <v>58.32</v>
      </c>
      <c r="C1255" s="2">
        <f t="shared" ca="1" si="4"/>
        <v>5.6906363166062818E-3</v>
      </c>
    </row>
    <row r="1256" spans="1:3">
      <c r="A1256" s="3">
        <f ca="1">IFERROR(__xludf.UNSUPPORTED("""COMPUTED_VALUE"""),45286.6666666666)</f>
        <v>45286.666666666599</v>
      </c>
      <c r="B1256" s="1">
        <f ca="1">IFERROR(__xludf.UNSUPPORTED("""COMPUTED_VALUE"""),58.56)</f>
        <v>58.56</v>
      </c>
      <c r="C1256" s="2">
        <f t="shared" ca="1" si="4"/>
        <v>4.1152263374485938E-3</v>
      </c>
    </row>
    <row r="1257" spans="1:3">
      <c r="A1257" s="3">
        <f ca="1">IFERROR(__xludf.UNSUPPORTED("""COMPUTED_VALUE"""),45287.6666666666)</f>
        <v>45287.666666666599</v>
      </c>
      <c r="B1257" s="1">
        <f ca="1">IFERROR(__xludf.UNSUPPORTED("""COMPUTED_VALUE"""),58.71)</f>
        <v>58.71</v>
      </c>
      <c r="C1257" s="2">
        <f t="shared" ca="1" si="4"/>
        <v>2.5614754098360411E-3</v>
      </c>
    </row>
    <row r="1258" spans="1:3">
      <c r="A1258" s="3">
        <f ca="1">IFERROR(__xludf.UNSUPPORTED("""COMPUTED_VALUE"""),45288.6666666666)</f>
        <v>45288.666666666599</v>
      </c>
      <c r="B1258" s="1">
        <f ca="1">IFERROR(__xludf.UNSUPPORTED("""COMPUTED_VALUE"""),58.75)</f>
        <v>58.75</v>
      </c>
      <c r="C1258" s="2">
        <f t="shared" ca="1" si="4"/>
        <v>6.8131493782999739E-4</v>
      </c>
    </row>
    <row r="1259" spans="1:3">
      <c r="A1259" s="3">
        <f ca="1">IFERROR(__xludf.UNSUPPORTED("""COMPUTED_VALUE"""),45289.6666666666)</f>
        <v>45289.666666666599</v>
      </c>
      <c r="B1259" s="1">
        <f ca="1">IFERROR(__xludf.UNSUPPORTED("""COMPUTED_VALUE"""),58.93)</f>
        <v>58.93</v>
      </c>
      <c r="C1259" s="2">
        <f t="shared" ca="1" si="4"/>
        <v>3.0638297872340376E-3</v>
      </c>
    </row>
    <row r="1260" spans="1:3">
      <c r="A1260" s="3">
        <f ca="1">IFERROR(__xludf.UNSUPPORTED("""COMPUTED_VALUE"""),45293.6666666666)</f>
        <v>45293.666666666599</v>
      </c>
      <c r="B1260" s="1">
        <f ca="1">IFERROR(__xludf.UNSUPPORTED("""COMPUTED_VALUE"""),59.82)</f>
        <v>59.82</v>
      </c>
      <c r="C1260" s="2">
        <f t="shared" ca="1" si="4"/>
        <v>1.5102664177838123E-2</v>
      </c>
    </row>
    <row r="1261" spans="1:3">
      <c r="A1261" s="3">
        <f ca="1">IFERROR(__xludf.UNSUPPORTED("""COMPUTED_VALUE"""),45294.6666666666)</f>
        <v>45294.666666666599</v>
      </c>
      <c r="B1261" s="1">
        <f ca="1">IFERROR(__xludf.UNSUPPORTED("""COMPUTED_VALUE"""),59.96)</f>
        <v>59.96</v>
      </c>
      <c r="C1261" s="2">
        <f t="shared" ca="1" si="4"/>
        <v>2.3403543965229115E-3</v>
      </c>
    </row>
    <row r="1262" spans="1:3">
      <c r="A1262" s="3">
        <f ca="1">IFERROR(__xludf.UNSUPPORTED("""COMPUTED_VALUE"""),45295.6666666666)</f>
        <v>45295.666666666599</v>
      </c>
      <c r="B1262" s="1">
        <f ca="1">IFERROR(__xludf.UNSUPPORTED("""COMPUTED_VALUE"""),59.76)</f>
        <v>59.76</v>
      </c>
      <c r="C1262" s="2">
        <f t="shared" ca="1" si="4"/>
        <v>-3.3355570380253978E-3</v>
      </c>
    </row>
    <row r="1263" spans="1:3">
      <c r="A1263" s="3">
        <f ca="1">IFERROR(__xludf.UNSUPPORTED("""COMPUTED_VALUE"""),45296.6666666666)</f>
        <v>45296.666666666599</v>
      </c>
      <c r="B1263" s="1">
        <f ca="1">IFERROR(__xludf.UNSUPPORTED("""COMPUTED_VALUE"""),59.67)</f>
        <v>59.67</v>
      </c>
      <c r="C1263" s="2">
        <f t="shared" ca="1" si="4"/>
        <v>-1.5060240963854804E-3</v>
      </c>
    </row>
    <row r="1264" spans="1:3">
      <c r="A1264" s="3">
        <f ca="1">IFERROR(__xludf.UNSUPPORTED("""COMPUTED_VALUE"""),45299.6666666666)</f>
        <v>45299.666666666599</v>
      </c>
      <c r="B1264" s="1">
        <f ca="1">IFERROR(__xludf.UNSUPPORTED("""COMPUTED_VALUE"""),60.11)</f>
        <v>60.11</v>
      </c>
      <c r="C1264" s="2">
        <f t="shared" ca="1" si="4"/>
        <v>7.3738897268308653E-3</v>
      </c>
    </row>
    <row r="1265" spans="1:3">
      <c r="A1265" s="3">
        <f ca="1">IFERROR(__xludf.UNSUPPORTED("""COMPUTED_VALUE"""),45300.6666666666)</f>
        <v>45300.666666666599</v>
      </c>
      <c r="B1265" s="1">
        <f ca="1">IFERROR(__xludf.UNSUPPORTED("""COMPUTED_VALUE"""),60)</f>
        <v>60</v>
      </c>
      <c r="C1265" s="2">
        <f t="shared" ca="1" si="4"/>
        <v>-1.8299783729828552E-3</v>
      </c>
    </row>
    <row r="1266" spans="1:3">
      <c r="A1266" s="3">
        <f ca="1">IFERROR(__xludf.UNSUPPORTED("""COMPUTED_VALUE"""),45301.6666666666)</f>
        <v>45301.666666666599</v>
      </c>
      <c r="B1266" s="1">
        <f ca="1">IFERROR(__xludf.UNSUPPORTED("""COMPUTED_VALUE"""),60.2)</f>
        <v>60.2</v>
      </c>
      <c r="C1266" s="2">
        <f t="shared" ca="1" si="4"/>
        <v>3.3333333333333808E-3</v>
      </c>
    </row>
    <row r="1267" spans="1:3">
      <c r="A1267" s="3">
        <f ca="1">IFERROR(__xludf.UNSUPPORTED("""COMPUTED_VALUE"""),45302.6666666666)</f>
        <v>45302.666666666599</v>
      </c>
      <c r="B1267" s="1">
        <f ca="1">IFERROR(__xludf.UNSUPPORTED("""COMPUTED_VALUE"""),59.81)</f>
        <v>59.81</v>
      </c>
      <c r="C1267" s="2">
        <f t="shared" ca="1" si="4"/>
        <v>-6.4784053156146269E-3</v>
      </c>
    </row>
    <row r="1268" spans="1:3">
      <c r="A1268" s="3">
        <f ca="1">IFERROR(__xludf.UNSUPPORTED("""COMPUTED_VALUE"""),45303.6666666666)</f>
        <v>45303.666666666599</v>
      </c>
      <c r="B1268" s="1">
        <f ca="1">IFERROR(__xludf.UNSUPPORTED("""COMPUTED_VALUE"""),60.39)</f>
        <v>60.39</v>
      </c>
      <c r="C1268" s="2">
        <f t="shared" ca="1" si="4"/>
        <v>9.6973750208994864E-3</v>
      </c>
    </row>
    <row r="1269" spans="1:3">
      <c r="A1269" s="3">
        <f ca="1">IFERROR(__xludf.UNSUPPORTED("""COMPUTED_VALUE"""),45307.6666666666)</f>
        <v>45307.666666666599</v>
      </c>
      <c r="B1269" s="1">
        <f ca="1">IFERROR(__xludf.UNSUPPORTED("""COMPUTED_VALUE"""),59.99)</f>
        <v>59.99</v>
      </c>
      <c r="C1269" s="2">
        <f t="shared" ca="1" si="4"/>
        <v>-6.6236131809902067E-3</v>
      </c>
    </row>
    <row r="1270" spans="1:3">
      <c r="A1270" s="3">
        <f ca="1">IFERROR(__xludf.UNSUPPORTED("""COMPUTED_VALUE"""),45308.6666666666)</f>
        <v>45308.666666666599</v>
      </c>
      <c r="B1270" s="1">
        <f ca="1">IFERROR(__xludf.UNSUPPORTED("""COMPUTED_VALUE"""),59.99)</f>
        <v>59.99</v>
      </c>
      <c r="C1270" s="2">
        <f t="shared" ca="1" si="4"/>
        <v>0</v>
      </c>
    </row>
    <row r="1271" spans="1:3">
      <c r="A1271" s="3">
        <f ca="1">IFERROR(__xludf.UNSUPPORTED("""COMPUTED_VALUE"""),45309.6666666666)</f>
        <v>45309.666666666599</v>
      </c>
      <c r="B1271" s="1">
        <f ca="1">IFERROR(__xludf.UNSUPPORTED("""COMPUTED_VALUE"""),60.16)</f>
        <v>60.16</v>
      </c>
      <c r="C1271" s="2">
        <f t="shared" ca="1" si="4"/>
        <v>2.8338056342722888E-3</v>
      </c>
    </row>
    <row r="1272" spans="1:3">
      <c r="A1272" s="3">
        <f ca="1">IFERROR(__xludf.UNSUPPORTED("""COMPUTED_VALUE"""),45310.6666666666)</f>
        <v>45310.666666666599</v>
      </c>
      <c r="B1272" s="1">
        <f ca="1">IFERROR(__xludf.UNSUPPORTED("""COMPUTED_VALUE"""),59.83)</f>
        <v>59.83</v>
      </c>
      <c r="C1272" s="2">
        <f t="shared" ca="1" si="4"/>
        <v>-5.4853723404255043E-3</v>
      </c>
    </row>
    <row r="1273" spans="1:3">
      <c r="A1273" s="3">
        <f ca="1">IFERROR(__xludf.UNSUPPORTED("""COMPUTED_VALUE"""),45313.6666666666)</f>
        <v>45313.666666666599</v>
      </c>
      <c r="B1273" s="1">
        <f ca="1">IFERROR(__xludf.UNSUPPORTED("""COMPUTED_VALUE"""),59.57)</f>
        <v>59.57</v>
      </c>
      <c r="C1273" s="2">
        <f t="shared" ca="1" si="4"/>
        <v>-4.3456459969914429E-3</v>
      </c>
    </row>
    <row r="1274" spans="1:3">
      <c r="A1274" s="3">
        <f ca="1">IFERROR(__xludf.UNSUPPORTED("""COMPUTED_VALUE"""),45314.6666666666)</f>
        <v>45314.666666666599</v>
      </c>
      <c r="B1274" s="1">
        <f ca="1">IFERROR(__xludf.UNSUPPORTED("""COMPUTED_VALUE"""),59.85)</f>
        <v>59.85</v>
      </c>
      <c r="C1274" s="2">
        <f t="shared" ca="1" si="4"/>
        <v>4.7003525264395019E-3</v>
      </c>
    </row>
    <row r="1275" spans="1:3">
      <c r="A1275" s="3">
        <f ca="1">IFERROR(__xludf.UNSUPPORTED("""COMPUTED_VALUE"""),45315.6666666666)</f>
        <v>45315.666666666599</v>
      </c>
      <c r="B1275" s="1">
        <f ca="1">IFERROR(__xludf.UNSUPPORTED("""COMPUTED_VALUE"""),58.91)</f>
        <v>58.91</v>
      </c>
      <c r="C1275" s="2">
        <f t="shared" ca="1" si="4"/>
        <v>-1.5705931495405261E-2</v>
      </c>
    </row>
    <row r="1276" spans="1:3">
      <c r="A1276" s="3">
        <f ca="1">IFERROR(__xludf.UNSUPPORTED("""COMPUTED_VALUE"""),45316.6666666666)</f>
        <v>45316.666666666599</v>
      </c>
      <c r="B1276" s="1">
        <f ca="1">IFERROR(__xludf.UNSUPPORTED("""COMPUTED_VALUE"""),59.16)</f>
        <v>59.16</v>
      </c>
      <c r="C1276" s="2">
        <f t="shared" ca="1" si="4"/>
        <v>4.2437616703445936E-3</v>
      </c>
    </row>
    <row r="1277" spans="1:3">
      <c r="A1277" s="3">
        <f ca="1">IFERROR(__xludf.UNSUPPORTED("""COMPUTED_VALUE"""),45317.6666666666)</f>
        <v>45317.666666666599</v>
      </c>
      <c r="B1277" s="1">
        <f ca="1">IFERROR(__xludf.UNSUPPORTED("""COMPUTED_VALUE"""),59.37)</f>
        <v>59.37</v>
      </c>
      <c r="C1277" s="2">
        <f t="shared" ca="1" si="4"/>
        <v>3.5496957403651263E-3</v>
      </c>
    </row>
    <row r="1278" spans="1:3">
      <c r="A1278" s="3">
        <f ca="1">IFERROR(__xludf.UNSUPPORTED("""COMPUTED_VALUE"""),45320.6666666666)</f>
        <v>45320.666666666599</v>
      </c>
      <c r="B1278" s="1">
        <f ca="1">IFERROR(__xludf.UNSUPPORTED("""COMPUTED_VALUE"""),59.73)</f>
        <v>59.73</v>
      </c>
      <c r="C1278" s="2">
        <f t="shared" ref="C1278:C1532" ca="1" si="5">(B1278-B1277)/B1277</f>
        <v>6.0636685194542603E-3</v>
      </c>
    </row>
    <row r="1279" spans="1:3">
      <c r="A1279" s="3">
        <f ca="1">IFERROR(__xludf.UNSUPPORTED("""COMPUTED_VALUE"""),45321.6666666666)</f>
        <v>45321.666666666599</v>
      </c>
      <c r="B1279" s="1">
        <f ca="1">IFERROR(__xludf.UNSUPPORTED("""COMPUTED_VALUE"""),59.9)</f>
        <v>59.9</v>
      </c>
      <c r="C1279" s="2">
        <f t="shared" ca="1" si="5"/>
        <v>2.8461409676879576E-3</v>
      </c>
    </row>
    <row r="1280" spans="1:3">
      <c r="A1280" s="3">
        <f ca="1">IFERROR(__xludf.UNSUPPORTED("""COMPUTED_VALUE"""),45322.6666666666)</f>
        <v>45322.666666666599</v>
      </c>
      <c r="B1280" s="1">
        <f ca="1">IFERROR(__xludf.UNSUPPORTED("""COMPUTED_VALUE"""),59.49)</f>
        <v>59.49</v>
      </c>
      <c r="C1280" s="2">
        <f t="shared" ca="1" si="5"/>
        <v>-6.8447412353922635E-3</v>
      </c>
    </row>
    <row r="1281" spans="1:3">
      <c r="A1281" s="3">
        <f ca="1">IFERROR(__xludf.UNSUPPORTED("""COMPUTED_VALUE"""),45323.6666666666)</f>
        <v>45323.666666666599</v>
      </c>
      <c r="B1281" s="1">
        <f ca="1">IFERROR(__xludf.UNSUPPORTED("""COMPUTED_VALUE"""),60.98)</f>
        <v>60.98</v>
      </c>
      <c r="C1281" s="2">
        <f t="shared" ca="1" si="5"/>
        <v>2.5046226256513614E-2</v>
      </c>
    </row>
    <row r="1282" spans="1:3">
      <c r="A1282" s="3">
        <f ca="1">IFERROR(__xludf.UNSUPPORTED("""COMPUTED_VALUE"""),45324.6666666666)</f>
        <v>45324.666666666599</v>
      </c>
      <c r="B1282" s="1">
        <f ca="1">IFERROR(__xludf.UNSUPPORTED("""COMPUTED_VALUE"""),60.54)</f>
        <v>60.54</v>
      </c>
      <c r="C1282" s="2">
        <f t="shared" ca="1" si="5"/>
        <v>-7.2154804854050137E-3</v>
      </c>
    </row>
    <row r="1283" spans="1:3">
      <c r="A1283" s="3">
        <f ca="1">IFERROR(__xludf.UNSUPPORTED("""COMPUTED_VALUE"""),45327.6666666666)</f>
        <v>45327.666666666599</v>
      </c>
      <c r="B1283" s="1">
        <f ca="1">IFERROR(__xludf.UNSUPPORTED("""COMPUTED_VALUE"""),60.04)</f>
        <v>60.04</v>
      </c>
      <c r="C1283" s="2">
        <f t="shared" ca="1" si="5"/>
        <v>-8.2590023125206479E-3</v>
      </c>
    </row>
    <row r="1284" spans="1:3">
      <c r="A1284" s="3">
        <f ca="1">IFERROR(__xludf.UNSUPPORTED("""COMPUTED_VALUE"""),45328.6666666666)</f>
        <v>45328.666666666599</v>
      </c>
      <c r="B1284" s="1">
        <f ca="1">IFERROR(__xludf.UNSUPPORTED("""COMPUTED_VALUE"""),59.94)</f>
        <v>59.94</v>
      </c>
      <c r="C1284" s="2">
        <f t="shared" ca="1" si="5"/>
        <v>-1.6655562958028218E-3</v>
      </c>
    </row>
    <row r="1285" spans="1:3">
      <c r="A1285" s="3">
        <f ca="1">IFERROR(__xludf.UNSUPPORTED("""COMPUTED_VALUE"""),45329.6666666666)</f>
        <v>45329.666666666599</v>
      </c>
      <c r="B1285" s="1">
        <f ca="1">IFERROR(__xludf.UNSUPPORTED("""COMPUTED_VALUE"""),59.99)</f>
        <v>59.99</v>
      </c>
      <c r="C1285" s="2">
        <f t="shared" ca="1" si="5"/>
        <v>8.3416750083423869E-4</v>
      </c>
    </row>
    <row r="1286" spans="1:3">
      <c r="A1286" s="3">
        <f ca="1">IFERROR(__xludf.UNSUPPORTED("""COMPUTED_VALUE"""),45330.6666666666)</f>
        <v>45330.666666666599</v>
      </c>
      <c r="B1286" s="1">
        <f ca="1">IFERROR(__xludf.UNSUPPORTED("""COMPUTED_VALUE"""),59.83)</f>
        <v>59.83</v>
      </c>
      <c r="C1286" s="2">
        <f t="shared" ca="1" si="5"/>
        <v>-2.6671111851975945E-3</v>
      </c>
    </row>
    <row r="1287" spans="1:3">
      <c r="A1287" s="3">
        <f ca="1">IFERROR(__xludf.UNSUPPORTED("""COMPUTED_VALUE"""),45331.6666666666)</f>
        <v>45331.666666666599</v>
      </c>
      <c r="B1287" s="1">
        <f ca="1">IFERROR(__xludf.UNSUPPORTED("""COMPUTED_VALUE"""),59.56)</f>
        <v>59.56</v>
      </c>
      <c r="C1287" s="2">
        <f t="shared" ca="1" si="5"/>
        <v>-4.5127862276449276E-3</v>
      </c>
    </row>
    <row r="1288" spans="1:3">
      <c r="A1288" s="3">
        <f ca="1">IFERROR(__xludf.UNSUPPORTED("""COMPUTED_VALUE"""),45334.6666666666)</f>
        <v>45334.666666666599</v>
      </c>
      <c r="B1288" s="1">
        <f ca="1">IFERROR(__xludf.UNSUPPORTED("""COMPUTED_VALUE"""),59.7)</f>
        <v>59.7</v>
      </c>
      <c r="C1288" s="2">
        <f t="shared" ca="1" si="5"/>
        <v>2.3505708529214333E-3</v>
      </c>
    </row>
    <row r="1289" spans="1:3">
      <c r="A1289" s="3">
        <f ca="1">IFERROR(__xludf.UNSUPPORTED("""COMPUTED_VALUE"""),45335.6666666666)</f>
        <v>45335.666666666599</v>
      </c>
      <c r="B1289" s="1">
        <f ca="1">IFERROR(__xludf.UNSUPPORTED("""COMPUTED_VALUE"""),59.35)</f>
        <v>59.35</v>
      </c>
      <c r="C1289" s="2">
        <f t="shared" ca="1" si="5"/>
        <v>-5.862646566164178E-3</v>
      </c>
    </row>
    <row r="1290" spans="1:3">
      <c r="A1290" s="3">
        <f ca="1">IFERROR(__xludf.UNSUPPORTED("""COMPUTED_VALUE"""),45336.6666666666)</f>
        <v>45336.666666666599</v>
      </c>
      <c r="B1290" s="1">
        <f ca="1">IFERROR(__xludf.UNSUPPORTED("""COMPUTED_VALUE"""),59.29)</f>
        <v>59.29</v>
      </c>
      <c r="C1290" s="2">
        <f t="shared" ca="1" si="5"/>
        <v>-1.0109519797809987E-3</v>
      </c>
    </row>
    <row r="1291" spans="1:3">
      <c r="A1291" s="3">
        <f ca="1">IFERROR(__xludf.UNSUPPORTED("""COMPUTED_VALUE"""),45337.6666666666)</f>
        <v>45337.666666666599</v>
      </c>
      <c r="B1291" s="1">
        <f ca="1">IFERROR(__xludf.UNSUPPORTED("""COMPUTED_VALUE"""),59.4)</f>
        <v>59.4</v>
      </c>
      <c r="C1291" s="2">
        <f t="shared" ca="1" si="5"/>
        <v>1.8552875695732743E-3</v>
      </c>
    </row>
    <row r="1292" spans="1:3">
      <c r="A1292" s="3">
        <f ca="1">IFERROR(__xludf.UNSUPPORTED("""COMPUTED_VALUE"""),45338.6666666666)</f>
        <v>45338.666666666599</v>
      </c>
      <c r="B1292" s="1">
        <f ca="1">IFERROR(__xludf.UNSUPPORTED("""COMPUTED_VALUE"""),59.39)</f>
        <v>59.39</v>
      </c>
      <c r="C1292" s="2">
        <f t="shared" ca="1" si="5"/>
        <v>-1.6835016835013486E-4</v>
      </c>
    </row>
    <row r="1293" spans="1:3">
      <c r="A1293" s="3">
        <f ca="1">IFERROR(__xludf.UNSUPPORTED("""COMPUTED_VALUE"""),45342.6666666666)</f>
        <v>45342.666666666599</v>
      </c>
      <c r="B1293" s="1">
        <f ca="1">IFERROR(__xludf.UNSUPPORTED("""COMPUTED_VALUE"""),60.7)</f>
        <v>60.7</v>
      </c>
      <c r="C1293" s="2">
        <f t="shared" ca="1" si="5"/>
        <v>2.2057585452096351E-2</v>
      </c>
    </row>
    <row r="1294" spans="1:3">
      <c r="A1294" s="3">
        <f ca="1">IFERROR(__xludf.UNSUPPORTED("""COMPUTED_VALUE"""),45343.6666666666)</f>
        <v>45343.666666666599</v>
      </c>
      <c r="B1294" s="1">
        <f ca="1">IFERROR(__xludf.UNSUPPORTED("""COMPUTED_VALUE"""),61.24)</f>
        <v>61.24</v>
      </c>
      <c r="C1294" s="2">
        <f t="shared" ca="1" si="5"/>
        <v>8.8962108731466087E-3</v>
      </c>
    </row>
    <row r="1295" spans="1:3">
      <c r="A1295" s="3">
        <f ca="1">IFERROR(__xludf.UNSUPPORTED("""COMPUTED_VALUE"""),45344.6666666666)</f>
        <v>45344.666666666599</v>
      </c>
      <c r="B1295" s="1">
        <f ca="1">IFERROR(__xludf.UNSUPPORTED("""COMPUTED_VALUE"""),61.15)</f>
        <v>61.15</v>
      </c>
      <c r="C1295" s="2">
        <f t="shared" ca="1" si="5"/>
        <v>-1.4696276943174953E-3</v>
      </c>
    </row>
    <row r="1296" spans="1:3">
      <c r="A1296" s="3">
        <f ca="1">IFERROR(__xludf.UNSUPPORTED("""COMPUTED_VALUE"""),45345.6666666666)</f>
        <v>45345.666666666599</v>
      </c>
      <c r="B1296" s="1">
        <f ca="1">IFERROR(__xludf.UNSUPPORTED("""COMPUTED_VALUE"""),61.2)</f>
        <v>61.2</v>
      </c>
      <c r="C1296" s="2">
        <f t="shared" ca="1" si="5"/>
        <v>8.1766148814397816E-4</v>
      </c>
    </row>
    <row r="1297" spans="1:3">
      <c r="A1297" s="3">
        <f ca="1">IFERROR(__xludf.UNSUPPORTED("""COMPUTED_VALUE"""),45348.6666666666)</f>
        <v>45348.666666666599</v>
      </c>
      <c r="B1297" s="1">
        <f ca="1">IFERROR(__xludf.UNSUPPORTED("""COMPUTED_VALUE"""),60.71)</f>
        <v>60.71</v>
      </c>
      <c r="C1297" s="2">
        <f t="shared" ca="1" si="5"/>
        <v>-8.0065359477124506E-3</v>
      </c>
    </row>
    <row r="1298" spans="1:3">
      <c r="A1298" s="3">
        <f ca="1">IFERROR(__xludf.UNSUPPORTED("""COMPUTED_VALUE"""),45349.6666666666)</f>
        <v>45349.666666666599</v>
      </c>
      <c r="B1298" s="1">
        <f ca="1">IFERROR(__xludf.UNSUPPORTED("""COMPUTED_VALUE"""),60.34)</f>
        <v>60.34</v>
      </c>
      <c r="C1298" s="2">
        <f t="shared" ca="1" si="5"/>
        <v>-6.0945478504364596E-3</v>
      </c>
    </row>
    <row r="1299" spans="1:3">
      <c r="A1299" s="3">
        <f ca="1">IFERROR(__xludf.UNSUPPORTED("""COMPUTED_VALUE"""),45350.6666666666)</f>
        <v>45350.666666666599</v>
      </c>
      <c r="B1299" s="1">
        <f ca="1">IFERROR(__xludf.UNSUPPORTED("""COMPUTED_VALUE"""),60.4)</f>
        <v>60.4</v>
      </c>
      <c r="C1299" s="2">
        <f t="shared" ca="1" si="5"/>
        <v>9.943652635067148E-4</v>
      </c>
    </row>
    <row r="1300" spans="1:3">
      <c r="A1300" s="3">
        <f ca="1">IFERROR(__xludf.UNSUPPORTED("""COMPUTED_VALUE"""),45351.6666666666)</f>
        <v>45351.666666666599</v>
      </c>
      <c r="B1300" s="1">
        <f ca="1">IFERROR(__xludf.UNSUPPORTED("""COMPUTED_VALUE"""),60.02)</f>
        <v>60.02</v>
      </c>
      <c r="C1300" s="2">
        <f t="shared" ca="1" si="5"/>
        <v>-6.2913907284767459E-3</v>
      </c>
    </row>
    <row r="1301" spans="1:3">
      <c r="A1301" s="3">
        <f ca="1">IFERROR(__xludf.UNSUPPORTED("""COMPUTED_VALUE"""),45352.6666666666)</f>
        <v>45352.666666666599</v>
      </c>
      <c r="B1301" s="1">
        <f ca="1">IFERROR(__xludf.UNSUPPORTED("""COMPUTED_VALUE"""),59.53)</f>
        <v>59.53</v>
      </c>
      <c r="C1301" s="2">
        <f t="shared" ca="1" si="5"/>
        <v>-8.1639453515495158E-3</v>
      </c>
    </row>
    <row r="1302" spans="1:3">
      <c r="A1302" s="3">
        <f ca="1">IFERROR(__xludf.UNSUPPORTED("""COMPUTED_VALUE"""),45355.6666666666)</f>
        <v>45355.666666666599</v>
      </c>
      <c r="B1302" s="1">
        <f ca="1">IFERROR(__xludf.UNSUPPORTED("""COMPUTED_VALUE"""),59.81)</f>
        <v>59.81</v>
      </c>
      <c r="C1302" s="2">
        <f t="shared" ca="1" si="5"/>
        <v>4.7035108348731924E-3</v>
      </c>
    </row>
    <row r="1303" spans="1:3">
      <c r="A1303" s="3">
        <f ca="1">IFERROR(__xludf.UNSUPPORTED("""COMPUTED_VALUE"""),45356.6666666666)</f>
        <v>45356.666666666599</v>
      </c>
      <c r="B1303" s="1">
        <f ca="1">IFERROR(__xludf.UNSUPPORTED("""COMPUTED_VALUE"""),59.52)</f>
        <v>59.52</v>
      </c>
      <c r="C1303" s="2">
        <f t="shared" ca="1" si="5"/>
        <v>-4.8486875104497432E-3</v>
      </c>
    </row>
    <row r="1304" spans="1:3">
      <c r="A1304" s="3">
        <f ca="1">IFERROR(__xludf.UNSUPPORTED("""COMPUTED_VALUE"""),45357.6666666666)</f>
        <v>45357.666666666599</v>
      </c>
      <c r="B1304" s="1">
        <f ca="1">IFERROR(__xludf.UNSUPPORTED("""COMPUTED_VALUE"""),59.55)</f>
        <v>59.55</v>
      </c>
      <c r="C1304" s="2">
        <f t="shared" ca="1" si="5"/>
        <v>5.0403225806441583E-4</v>
      </c>
    </row>
    <row r="1305" spans="1:3">
      <c r="A1305" s="3">
        <f ca="1">IFERROR(__xludf.UNSUPPORTED("""COMPUTED_VALUE"""),45358.6666666666)</f>
        <v>45358.666666666599</v>
      </c>
      <c r="B1305" s="1">
        <f ca="1">IFERROR(__xludf.UNSUPPORTED("""COMPUTED_VALUE"""),59.44)</f>
        <v>59.44</v>
      </c>
      <c r="C1305" s="2">
        <f t="shared" ca="1" si="5"/>
        <v>-1.8471872376154398E-3</v>
      </c>
    </row>
    <row r="1306" spans="1:3">
      <c r="A1306" s="3">
        <f ca="1">IFERROR(__xludf.UNSUPPORTED("""COMPUTED_VALUE"""),45359.6666666666)</f>
        <v>45359.666666666599</v>
      </c>
      <c r="B1306" s="1">
        <f ca="1">IFERROR(__xludf.UNSUPPORTED("""COMPUTED_VALUE"""),59.52)</f>
        <v>59.52</v>
      </c>
      <c r="C1306" s="2">
        <f t="shared" ca="1" si="5"/>
        <v>1.3458950201885162E-3</v>
      </c>
    </row>
    <row r="1307" spans="1:3">
      <c r="A1307" s="3">
        <f ca="1">IFERROR(__xludf.UNSUPPORTED("""COMPUTED_VALUE"""),45362.6666666666)</f>
        <v>45362.666666666599</v>
      </c>
      <c r="B1307" s="1">
        <f ca="1">IFERROR(__xludf.UNSUPPORTED("""COMPUTED_VALUE"""),60.24)</f>
        <v>60.24</v>
      </c>
      <c r="C1307" s="2">
        <f t="shared" ca="1" si="5"/>
        <v>1.2096774193548368E-2</v>
      </c>
    </row>
    <row r="1308" spans="1:3">
      <c r="A1308" s="3">
        <f ca="1">IFERROR(__xludf.UNSUPPORTED("""COMPUTED_VALUE"""),45363.6666666666)</f>
        <v>45363.666666666599</v>
      </c>
      <c r="B1308" s="1">
        <f ca="1">IFERROR(__xludf.UNSUPPORTED("""COMPUTED_VALUE"""),60.5)</f>
        <v>60.5</v>
      </c>
      <c r="C1308" s="2">
        <f t="shared" ca="1" si="5"/>
        <v>4.3160690571048804E-3</v>
      </c>
    </row>
    <row r="1309" spans="1:3">
      <c r="A1309" s="3">
        <f ca="1">IFERROR(__xludf.UNSUPPORTED("""COMPUTED_VALUE"""),45364.6666666666)</f>
        <v>45364.666666666599</v>
      </c>
      <c r="B1309" s="1">
        <f ca="1">IFERROR(__xludf.UNSUPPORTED("""COMPUTED_VALUE"""),61.12)</f>
        <v>61.12</v>
      </c>
      <c r="C1309" s="2">
        <f t="shared" ca="1" si="5"/>
        <v>1.0247933884297478E-2</v>
      </c>
    </row>
    <row r="1310" spans="1:3">
      <c r="A1310" s="3">
        <f ca="1">IFERROR(__xludf.UNSUPPORTED("""COMPUTED_VALUE"""),45365.6666666666)</f>
        <v>45365.666666666599</v>
      </c>
      <c r="B1310" s="1">
        <f ca="1">IFERROR(__xludf.UNSUPPORTED("""COMPUTED_VALUE"""),60.5)</f>
        <v>60.5</v>
      </c>
      <c r="C1310" s="2">
        <f t="shared" ca="1" si="5"/>
        <v>-1.0143979057591582E-2</v>
      </c>
    </row>
    <row r="1311" spans="1:3">
      <c r="A1311" s="3">
        <f ca="1">IFERROR(__xludf.UNSUPPORTED("""COMPUTED_VALUE"""),45366.6666666666)</f>
        <v>45366.666666666599</v>
      </c>
      <c r="B1311" s="1">
        <f ca="1">IFERROR(__xludf.UNSUPPORTED("""COMPUTED_VALUE"""),59.88)</f>
        <v>59.88</v>
      </c>
      <c r="C1311" s="2">
        <f t="shared" ca="1" si="5"/>
        <v>-1.0247933884297478E-2</v>
      </c>
    </row>
    <row r="1312" spans="1:3">
      <c r="A1312" s="3">
        <f ca="1">IFERROR(__xludf.UNSUPPORTED("""COMPUTED_VALUE"""),45369.6666666666)</f>
        <v>45369.666666666599</v>
      </c>
      <c r="B1312" s="1">
        <f ca="1">IFERROR(__xludf.UNSUPPORTED("""COMPUTED_VALUE"""),60.13)</f>
        <v>60.13</v>
      </c>
      <c r="C1312" s="2">
        <f t="shared" ca="1" si="5"/>
        <v>4.1750167000667998E-3</v>
      </c>
    </row>
    <row r="1313" spans="1:3">
      <c r="A1313" s="3">
        <f ca="1">IFERROR(__xludf.UNSUPPORTED("""COMPUTED_VALUE"""),45370.6666666666)</f>
        <v>45370.666666666599</v>
      </c>
      <c r="B1313" s="1">
        <f ca="1">IFERROR(__xludf.UNSUPPORTED("""COMPUTED_VALUE"""),60.23)</f>
        <v>60.23</v>
      </c>
      <c r="C1313" s="2">
        <f t="shared" ca="1" si="5"/>
        <v>1.6630633627140248E-3</v>
      </c>
    </row>
    <row r="1314" spans="1:3">
      <c r="A1314" s="3">
        <f ca="1">IFERROR(__xludf.UNSUPPORTED("""COMPUTED_VALUE"""),45371.6666666666)</f>
        <v>45371.666666666599</v>
      </c>
      <c r="B1314" s="1">
        <f ca="1">IFERROR(__xludf.UNSUPPORTED("""COMPUTED_VALUE"""),60.75)</f>
        <v>60.75</v>
      </c>
      <c r="C1314" s="2">
        <f t="shared" ca="1" si="5"/>
        <v>8.6335713099784678E-3</v>
      </c>
    </row>
    <row r="1315" spans="1:3">
      <c r="A1315" s="3">
        <f ca="1">IFERROR(__xludf.UNSUPPORTED("""COMPUTED_VALUE"""),45372.6666666666)</f>
        <v>45372.666666666599</v>
      </c>
      <c r="B1315" s="1">
        <f ca="1">IFERROR(__xludf.UNSUPPORTED("""COMPUTED_VALUE"""),60.47)</f>
        <v>60.47</v>
      </c>
      <c r="C1315" s="2">
        <f t="shared" ca="1" si="5"/>
        <v>-4.6090534979424053E-3</v>
      </c>
    </row>
    <row r="1316" spans="1:3">
      <c r="A1316" s="3">
        <f ca="1">IFERROR(__xludf.UNSUPPORTED("""COMPUTED_VALUE"""),45373.6666666666)</f>
        <v>45373.666666666599</v>
      </c>
      <c r="B1316" s="1">
        <f ca="1">IFERROR(__xludf.UNSUPPORTED("""COMPUTED_VALUE"""),60.49)</f>
        <v>60.49</v>
      </c>
      <c r="C1316" s="2">
        <f t="shared" ca="1" si="5"/>
        <v>3.3074251695060572E-4</v>
      </c>
    </row>
    <row r="1317" spans="1:3">
      <c r="A1317" s="3">
        <f ca="1">IFERROR(__xludf.UNSUPPORTED("""COMPUTED_VALUE"""),45376.6666666666)</f>
        <v>45376.666666666599</v>
      </c>
      <c r="B1317" s="1">
        <f ca="1">IFERROR(__xludf.UNSUPPORTED("""COMPUTED_VALUE"""),60.4)</f>
        <v>60.4</v>
      </c>
      <c r="C1317" s="2">
        <f t="shared" ca="1" si="5"/>
        <v>-1.4878492312779535E-3</v>
      </c>
    </row>
    <row r="1318" spans="1:3">
      <c r="A1318" s="3">
        <f ca="1">IFERROR(__xludf.UNSUPPORTED("""COMPUTED_VALUE"""),45377.6666666666)</f>
        <v>45377.666666666599</v>
      </c>
      <c r="B1318" s="1">
        <f ca="1">IFERROR(__xludf.UNSUPPORTED("""COMPUTED_VALUE"""),60.54)</f>
        <v>60.54</v>
      </c>
      <c r="C1318" s="2">
        <f t="shared" ca="1" si="5"/>
        <v>2.3178807947019961E-3</v>
      </c>
    </row>
    <row r="1319" spans="1:3">
      <c r="A1319" s="3">
        <f ca="1">IFERROR(__xludf.UNSUPPORTED("""COMPUTED_VALUE"""),45378.6666666666)</f>
        <v>45378.666666666599</v>
      </c>
      <c r="B1319" s="1">
        <f ca="1">IFERROR(__xludf.UNSUPPORTED("""COMPUTED_VALUE"""),61.03)</f>
        <v>61.03</v>
      </c>
      <c r="C1319" s="2">
        <f t="shared" ca="1" si="5"/>
        <v>8.0938222662702668E-3</v>
      </c>
    </row>
    <row r="1320" spans="1:3">
      <c r="A1320" s="3">
        <f ca="1">IFERROR(__xludf.UNSUPPORTED("""COMPUTED_VALUE"""),45379.6666666666)</f>
        <v>45379.666666666599</v>
      </c>
      <c r="B1320" s="1">
        <f ca="1">IFERROR(__xludf.UNSUPPORTED("""COMPUTED_VALUE"""),61.18)</f>
        <v>61.18</v>
      </c>
      <c r="C1320" s="2">
        <f t="shared" ca="1" si="5"/>
        <v>2.4578076355890313E-3</v>
      </c>
    </row>
    <row r="1321" spans="1:3">
      <c r="A1321" s="3">
        <f ca="1">IFERROR(__xludf.UNSUPPORTED("""COMPUTED_VALUE"""),45383.6666666666)</f>
        <v>45383.666666666599</v>
      </c>
      <c r="B1321" s="1">
        <f ca="1">IFERROR(__xludf.UNSUPPORTED("""COMPUTED_VALUE"""),60.68)</f>
        <v>60.68</v>
      </c>
      <c r="C1321" s="2">
        <f t="shared" ca="1" si="5"/>
        <v>-8.1726054266100037E-3</v>
      </c>
    </row>
    <row r="1322" spans="1:3">
      <c r="A1322" s="3">
        <f ca="1">IFERROR(__xludf.UNSUPPORTED("""COMPUTED_VALUE"""),45384.6666666666)</f>
        <v>45384.666666666599</v>
      </c>
      <c r="B1322" s="1">
        <f ca="1">IFERROR(__xludf.UNSUPPORTED("""COMPUTED_VALUE"""),60.15)</f>
        <v>60.15</v>
      </c>
      <c r="C1322" s="2">
        <f t="shared" ca="1" si="5"/>
        <v>-8.7343441001977769E-3</v>
      </c>
    </row>
    <row r="1323" spans="1:3">
      <c r="A1323" s="3">
        <f ca="1">IFERROR(__xludf.UNSUPPORTED("""COMPUTED_VALUE"""),45385.6666666666)</f>
        <v>45385.666666666599</v>
      </c>
      <c r="B1323" s="1">
        <f ca="1">IFERROR(__xludf.UNSUPPORTED("""COMPUTED_VALUE"""),59.83)</f>
        <v>59.83</v>
      </c>
      <c r="C1323" s="2">
        <f t="shared" ca="1" si="5"/>
        <v>-5.3200332502078189E-3</v>
      </c>
    </row>
    <row r="1324" spans="1:3">
      <c r="A1324" s="3">
        <f ca="1">IFERROR(__xludf.UNSUPPORTED("""COMPUTED_VALUE"""),45386.6666666666)</f>
        <v>45386.666666666599</v>
      </c>
      <c r="B1324" s="1">
        <f ca="1">IFERROR(__xludf.UNSUPPORTED("""COMPUTED_VALUE"""),59.3)</f>
        <v>59.3</v>
      </c>
      <c r="C1324" s="2">
        <f t="shared" ca="1" si="5"/>
        <v>-8.8584322246364894E-3</v>
      </c>
    </row>
    <row r="1325" spans="1:3">
      <c r="A1325" s="3">
        <f ca="1">IFERROR(__xludf.UNSUPPORTED("""COMPUTED_VALUE"""),45387.6666666666)</f>
        <v>45387.666666666599</v>
      </c>
      <c r="B1325" s="1">
        <f ca="1">IFERROR(__xludf.UNSUPPORTED("""COMPUTED_VALUE"""),59.51)</f>
        <v>59.51</v>
      </c>
      <c r="C1325" s="2">
        <f t="shared" ca="1" si="5"/>
        <v>3.5413153456998461E-3</v>
      </c>
    </row>
    <row r="1326" spans="1:3">
      <c r="A1326" s="3">
        <f ca="1">IFERROR(__xludf.UNSUPPORTED("""COMPUTED_VALUE"""),45390.6666666666)</f>
        <v>45390.666666666599</v>
      </c>
      <c r="B1326" s="1">
        <f ca="1">IFERROR(__xludf.UNSUPPORTED("""COMPUTED_VALUE"""),59.27)</f>
        <v>59.27</v>
      </c>
      <c r="C1326" s="2">
        <f t="shared" ca="1" si="5"/>
        <v>-4.0329356410686423E-3</v>
      </c>
    </row>
    <row r="1327" spans="1:3">
      <c r="A1327" s="3">
        <f ca="1">IFERROR(__xludf.UNSUPPORTED("""COMPUTED_VALUE"""),45391.6666666666)</f>
        <v>45391.666666666599</v>
      </c>
      <c r="B1327" s="1">
        <f ca="1">IFERROR(__xludf.UNSUPPORTED("""COMPUTED_VALUE"""),59.72)</f>
        <v>59.72</v>
      </c>
      <c r="C1327" s="2">
        <f t="shared" ca="1" si="5"/>
        <v>7.5923738822337725E-3</v>
      </c>
    </row>
    <row r="1328" spans="1:3">
      <c r="A1328" s="3">
        <f ca="1">IFERROR(__xludf.UNSUPPORTED("""COMPUTED_VALUE"""),45392.6666666666)</f>
        <v>45392.666666666599</v>
      </c>
      <c r="B1328" s="1">
        <f ca="1">IFERROR(__xludf.UNSUPPORTED("""COMPUTED_VALUE"""),58.92)</f>
        <v>58.92</v>
      </c>
      <c r="C1328" s="2">
        <f t="shared" ca="1" si="5"/>
        <v>-1.3395847287340877E-2</v>
      </c>
    </row>
    <row r="1329" spans="1:3">
      <c r="A1329" s="3">
        <f ca="1">IFERROR(__xludf.UNSUPPORTED("""COMPUTED_VALUE"""),45393.6666666666)</f>
        <v>45393.666666666599</v>
      </c>
      <c r="B1329" s="1">
        <f ca="1">IFERROR(__xludf.UNSUPPORTED("""COMPUTED_VALUE"""),59.05)</f>
        <v>59.05</v>
      </c>
      <c r="C1329" s="2">
        <f t="shared" ca="1" si="5"/>
        <v>2.2063815342836975E-3</v>
      </c>
    </row>
    <row r="1330" spans="1:3">
      <c r="A1330" s="3">
        <f ca="1">IFERROR(__xludf.UNSUPPORTED("""COMPUTED_VALUE"""),45394.6666666666)</f>
        <v>45394.666666666599</v>
      </c>
      <c r="B1330" s="1">
        <f ca="1">IFERROR(__xludf.UNSUPPORTED("""COMPUTED_VALUE"""),58.28)</f>
        <v>58.28</v>
      </c>
      <c r="C1330" s="2">
        <f t="shared" ca="1" si="5"/>
        <v>-1.3039796782387741E-2</v>
      </c>
    </row>
    <row r="1331" spans="1:3">
      <c r="A1331" s="3">
        <f ca="1">IFERROR(__xludf.UNSUPPORTED("""COMPUTED_VALUE"""),45397.6666666666)</f>
        <v>45397.666666666599</v>
      </c>
      <c r="B1331" s="1">
        <f ca="1">IFERROR(__xludf.UNSUPPORTED("""COMPUTED_VALUE"""),58.14)</f>
        <v>58.14</v>
      </c>
      <c r="C1331" s="2">
        <f t="shared" ca="1" si="5"/>
        <v>-2.4021962937542992E-3</v>
      </c>
    </row>
    <row r="1332" spans="1:3">
      <c r="A1332" s="3">
        <f ca="1">IFERROR(__xludf.UNSUPPORTED("""COMPUTED_VALUE"""),45398.6666666666)</f>
        <v>45398.666666666599</v>
      </c>
      <c r="B1332" s="1">
        <f ca="1">IFERROR(__xludf.UNSUPPORTED("""COMPUTED_VALUE"""),58.06)</f>
        <v>58.06</v>
      </c>
      <c r="C1332" s="2">
        <f t="shared" ca="1" si="5"/>
        <v>-1.375988992088034E-3</v>
      </c>
    </row>
    <row r="1333" spans="1:3">
      <c r="A1333" s="3">
        <f ca="1">IFERROR(__xludf.UNSUPPORTED("""COMPUTED_VALUE"""),45399.6666666666)</f>
        <v>45399.666666666599</v>
      </c>
      <c r="B1333" s="1">
        <f ca="1">IFERROR(__xludf.UNSUPPORTED("""COMPUTED_VALUE"""),58.51)</f>
        <v>58.51</v>
      </c>
      <c r="C1333" s="2">
        <f t="shared" ca="1" si="5"/>
        <v>7.7506028246640667E-3</v>
      </c>
    </row>
    <row r="1334" spans="1:3">
      <c r="A1334" s="3">
        <f ca="1">IFERROR(__xludf.UNSUPPORTED("""COMPUTED_VALUE"""),45400.6666666666)</f>
        <v>45400.666666666599</v>
      </c>
      <c r="B1334" s="1">
        <f ca="1">IFERROR(__xludf.UNSUPPORTED("""COMPUTED_VALUE"""),58.91)</f>
        <v>58.91</v>
      </c>
      <c r="C1334" s="2">
        <f t="shared" ca="1" si="5"/>
        <v>6.8364382156896018E-3</v>
      </c>
    </row>
    <row r="1335" spans="1:3">
      <c r="A1335" s="3">
        <f ca="1">IFERROR(__xludf.UNSUPPORTED("""COMPUTED_VALUE"""),45401.6666666666)</f>
        <v>45401.666666666599</v>
      </c>
      <c r="B1335" s="1">
        <f ca="1">IFERROR(__xludf.UNSUPPORTED("""COMPUTED_VALUE"""),60.17)</f>
        <v>60.17</v>
      </c>
      <c r="C1335" s="2">
        <f t="shared" ca="1" si="5"/>
        <v>2.1388558818536837E-2</v>
      </c>
    </row>
    <row r="1336" spans="1:3">
      <c r="A1336" s="3">
        <f ca="1">IFERROR(__xludf.UNSUPPORTED("""COMPUTED_VALUE"""),45404.6666666666)</f>
        <v>45404.666666666599</v>
      </c>
      <c r="B1336" s="1">
        <f ca="1">IFERROR(__xludf.UNSUPPORTED("""COMPUTED_VALUE"""),60.55)</f>
        <v>60.55</v>
      </c>
      <c r="C1336" s="2">
        <f t="shared" ca="1" si="5"/>
        <v>6.3154395878343931E-3</v>
      </c>
    </row>
    <row r="1337" spans="1:3">
      <c r="A1337" s="3">
        <f ca="1">IFERROR(__xludf.UNSUPPORTED("""COMPUTED_VALUE"""),45405.6666666666)</f>
        <v>45405.666666666599</v>
      </c>
      <c r="B1337" s="1">
        <f ca="1">IFERROR(__xludf.UNSUPPORTED("""COMPUTED_VALUE"""),60.64)</f>
        <v>60.64</v>
      </c>
      <c r="C1337" s="2">
        <f t="shared" ca="1" si="5"/>
        <v>1.4863748967795774E-3</v>
      </c>
    </row>
    <row r="1338" spans="1:3">
      <c r="A1338" s="3">
        <f ca="1">IFERROR(__xludf.UNSUPPORTED("""COMPUTED_VALUE"""),45406.6666666666)</f>
        <v>45406.666666666599</v>
      </c>
      <c r="B1338" s="1">
        <f ca="1">IFERROR(__xludf.UNSUPPORTED("""COMPUTED_VALUE"""),61.55)</f>
        <v>61.55</v>
      </c>
      <c r="C1338" s="2">
        <f t="shared" ca="1" si="5"/>
        <v>1.5006596306068546E-2</v>
      </c>
    </row>
    <row r="1339" spans="1:3">
      <c r="A1339" s="3">
        <f ca="1">IFERROR(__xludf.UNSUPPORTED("""COMPUTED_VALUE"""),45407.6666666666)</f>
        <v>45407.666666666599</v>
      </c>
      <c r="B1339" s="1">
        <f ca="1">IFERROR(__xludf.UNSUPPORTED("""COMPUTED_VALUE"""),61.74)</f>
        <v>61.74</v>
      </c>
      <c r="C1339" s="2">
        <f t="shared" ca="1" si="5"/>
        <v>3.0869212022746522E-3</v>
      </c>
    </row>
    <row r="1340" spans="1:3">
      <c r="A1340" s="3">
        <f ca="1">IFERROR(__xludf.UNSUPPORTED("""COMPUTED_VALUE"""),45408.6666666666)</f>
        <v>45408.666666666599</v>
      </c>
      <c r="B1340" s="1">
        <f ca="1">IFERROR(__xludf.UNSUPPORTED("""COMPUTED_VALUE"""),61.74)</f>
        <v>61.74</v>
      </c>
      <c r="C1340" s="2">
        <f t="shared" ca="1" si="5"/>
        <v>0</v>
      </c>
    </row>
    <row r="1341" spans="1:3">
      <c r="A1341" s="3">
        <f ca="1">IFERROR(__xludf.UNSUPPORTED("""COMPUTED_VALUE"""),45411.6666666666)</f>
        <v>45411.666666666599</v>
      </c>
      <c r="B1341" s="1">
        <f ca="1">IFERROR(__xludf.UNSUPPORTED("""COMPUTED_VALUE"""),62.04)</f>
        <v>62.04</v>
      </c>
      <c r="C1341" s="2">
        <f t="shared" ca="1" si="5"/>
        <v>4.8590864917395071E-3</v>
      </c>
    </row>
    <row r="1342" spans="1:3">
      <c r="A1342" s="3">
        <f ca="1">IFERROR(__xludf.UNSUPPORTED("""COMPUTED_VALUE"""),45412.6666666666)</f>
        <v>45412.666666666599</v>
      </c>
      <c r="B1342" s="1">
        <f ca="1">IFERROR(__xludf.UNSUPPORTED("""COMPUTED_VALUE"""),61.77)</f>
        <v>61.77</v>
      </c>
      <c r="C1342" s="2">
        <f t="shared" ca="1" si="5"/>
        <v>-4.3520309477755644E-3</v>
      </c>
    </row>
    <row r="1343" spans="1:3">
      <c r="A1343" s="3">
        <f ca="1">IFERROR(__xludf.UNSUPPORTED("""COMPUTED_VALUE"""),45413.6666666666)</f>
        <v>45413.666666666599</v>
      </c>
      <c r="B1343" s="1">
        <f ca="1">IFERROR(__xludf.UNSUPPORTED("""COMPUTED_VALUE"""),61.93)</f>
        <v>61.93</v>
      </c>
      <c r="C1343" s="2">
        <f t="shared" ca="1" si="5"/>
        <v>2.5902541686902473E-3</v>
      </c>
    </row>
    <row r="1344" spans="1:3">
      <c r="A1344" s="3">
        <f ca="1">IFERROR(__xludf.UNSUPPORTED("""COMPUTED_VALUE"""),45414.6666666666)</f>
        <v>45414.666666666599</v>
      </c>
      <c r="B1344" s="1">
        <f ca="1">IFERROR(__xludf.UNSUPPORTED("""COMPUTED_VALUE"""),61.99)</f>
        <v>61.99</v>
      </c>
      <c r="C1344" s="2">
        <f t="shared" ca="1" si="5"/>
        <v>9.6883578233493092E-4</v>
      </c>
    </row>
    <row r="1345" spans="1:3">
      <c r="A1345" s="3">
        <f ca="1">IFERROR(__xludf.UNSUPPORTED("""COMPUTED_VALUE"""),45415.6666666666)</f>
        <v>45415.666666666599</v>
      </c>
      <c r="B1345" s="1">
        <f ca="1">IFERROR(__xludf.UNSUPPORTED("""COMPUTED_VALUE"""),62.17)</f>
        <v>62.17</v>
      </c>
      <c r="C1345" s="2">
        <f t="shared" ca="1" si="5"/>
        <v>2.9036941442168044E-3</v>
      </c>
    </row>
    <row r="1346" spans="1:3">
      <c r="A1346" s="3">
        <f ca="1">IFERROR(__xludf.UNSUPPORTED("""COMPUTED_VALUE"""),45418.6666666666)</f>
        <v>45418.666666666599</v>
      </c>
      <c r="B1346" s="1">
        <f ca="1">IFERROR(__xludf.UNSUPPORTED("""COMPUTED_VALUE"""),62.35)</f>
        <v>62.35</v>
      </c>
      <c r="C1346" s="2">
        <f t="shared" ca="1" si="5"/>
        <v>2.8952871159723293E-3</v>
      </c>
    </row>
    <row r="1347" spans="1:3">
      <c r="A1347" s="3">
        <f ca="1">IFERROR(__xludf.UNSUPPORTED("""COMPUTED_VALUE"""),45419.6666666666)</f>
        <v>45419.666666666599</v>
      </c>
      <c r="B1347" s="1">
        <f ca="1">IFERROR(__xludf.UNSUPPORTED("""COMPUTED_VALUE"""),62.62)</f>
        <v>62.62</v>
      </c>
      <c r="C1347" s="2">
        <f t="shared" ca="1" si="5"/>
        <v>4.3303929430632878E-3</v>
      </c>
    </row>
    <row r="1348" spans="1:3">
      <c r="A1348" s="3">
        <f ca="1">IFERROR(__xludf.UNSUPPORTED("""COMPUTED_VALUE"""),45420.6666666666)</f>
        <v>45420.666666666599</v>
      </c>
      <c r="B1348" s="1">
        <f ca="1">IFERROR(__xludf.UNSUPPORTED("""COMPUTED_VALUE"""),62.85)</f>
        <v>62.85</v>
      </c>
      <c r="C1348" s="2">
        <f t="shared" ca="1" si="5"/>
        <v>3.6729479399553494E-3</v>
      </c>
    </row>
    <row r="1349" spans="1:3">
      <c r="A1349" s="3">
        <f ca="1">IFERROR(__xludf.UNSUPPORTED("""COMPUTED_VALUE"""),45421.6666666666)</f>
        <v>45421.666666666599</v>
      </c>
      <c r="B1349" s="1">
        <f ca="1">IFERROR(__xludf.UNSUPPORTED("""COMPUTED_VALUE"""),62.88)</f>
        <v>62.88</v>
      </c>
      <c r="C1349" s="2">
        <f t="shared" ca="1" si="5"/>
        <v>4.7732696897376508E-4</v>
      </c>
    </row>
    <row r="1350" spans="1:3">
      <c r="A1350" s="3">
        <f ca="1">IFERROR(__xludf.UNSUPPORTED("""COMPUTED_VALUE"""),45422.6666666666)</f>
        <v>45422.666666666599</v>
      </c>
      <c r="B1350" s="1">
        <f ca="1">IFERROR(__xludf.UNSUPPORTED("""COMPUTED_VALUE"""),63.26)</f>
        <v>63.26</v>
      </c>
      <c r="C1350" s="2">
        <f t="shared" ca="1" si="5"/>
        <v>6.0432569974553981E-3</v>
      </c>
    </row>
    <row r="1351" spans="1:3">
      <c r="A1351" s="3">
        <f ca="1">IFERROR(__xludf.UNSUPPORTED("""COMPUTED_VALUE"""),45425.6666666666)</f>
        <v>45425.666666666599</v>
      </c>
      <c r="B1351" s="1">
        <f ca="1">IFERROR(__xludf.UNSUPPORTED("""COMPUTED_VALUE"""),63.58)</f>
        <v>63.58</v>
      </c>
      <c r="C1351" s="2">
        <f t="shared" ca="1" si="5"/>
        <v>5.0584887764780319E-3</v>
      </c>
    </row>
    <row r="1352" spans="1:3">
      <c r="A1352" s="3">
        <f ca="1">IFERROR(__xludf.UNSUPPORTED("""COMPUTED_VALUE"""),45426.6666666666)</f>
        <v>45426.666666666599</v>
      </c>
      <c r="B1352" s="1">
        <f ca="1">IFERROR(__xludf.UNSUPPORTED("""COMPUTED_VALUE"""),63.1)</f>
        <v>63.1</v>
      </c>
      <c r="C1352" s="2">
        <f t="shared" ca="1" si="5"/>
        <v>-7.5495438817237632E-3</v>
      </c>
    </row>
    <row r="1353" spans="1:3">
      <c r="A1353" s="3">
        <f ca="1">IFERROR(__xludf.UNSUPPORTED("""COMPUTED_VALUE"""),45427.6666666666)</f>
        <v>45427.666666666599</v>
      </c>
      <c r="B1353" s="1">
        <f ca="1">IFERROR(__xludf.UNSUPPORTED("""COMPUTED_VALUE"""),63.13)</f>
        <v>63.13</v>
      </c>
      <c r="C1353" s="2">
        <f t="shared" ca="1" si="5"/>
        <v>4.7543581616483577E-4</v>
      </c>
    </row>
    <row r="1354" spans="1:3">
      <c r="A1354" s="3">
        <f ca="1">IFERROR(__xludf.UNSUPPORTED("""COMPUTED_VALUE"""),45428.6666666666)</f>
        <v>45428.666666666599</v>
      </c>
      <c r="B1354" s="1">
        <f ca="1">IFERROR(__xludf.UNSUPPORTED("""COMPUTED_VALUE"""),63.32)</f>
        <v>63.32</v>
      </c>
      <c r="C1354" s="2">
        <f t="shared" ca="1" si="5"/>
        <v>3.0096626009820642E-3</v>
      </c>
    </row>
    <row r="1355" spans="1:3">
      <c r="A1355" s="3">
        <f ca="1">IFERROR(__xludf.UNSUPPORTED("""COMPUTED_VALUE"""),45429.6666666666)</f>
        <v>45429.666666666599</v>
      </c>
      <c r="B1355" s="1">
        <f ca="1">IFERROR(__xludf.UNSUPPORTED("""COMPUTED_VALUE"""),63.03)</f>
        <v>63.03</v>
      </c>
      <c r="C1355" s="2">
        <f t="shared" ca="1" si="5"/>
        <v>-4.5799115603284771E-3</v>
      </c>
    </row>
    <row r="1356" spans="1:3">
      <c r="A1356" s="3">
        <f ca="1">IFERROR(__xludf.UNSUPPORTED("""COMPUTED_VALUE"""),45432.6666666666)</f>
        <v>45432.666666666599</v>
      </c>
      <c r="B1356" s="1">
        <f ca="1">IFERROR(__xludf.UNSUPPORTED("""COMPUTED_VALUE"""),62.57)</f>
        <v>62.57</v>
      </c>
      <c r="C1356" s="2">
        <f t="shared" ca="1" si="5"/>
        <v>-7.2981120101539088E-3</v>
      </c>
    </row>
    <row r="1357" spans="1:3">
      <c r="A1357" s="3">
        <f ca="1">IFERROR(__xludf.UNSUPPORTED("""COMPUTED_VALUE"""),45433.6666666666)</f>
        <v>45433.666666666599</v>
      </c>
      <c r="B1357" s="1">
        <f ca="1">IFERROR(__xludf.UNSUPPORTED("""COMPUTED_VALUE"""),62.91)</f>
        <v>62.91</v>
      </c>
      <c r="C1357" s="2">
        <f t="shared" ca="1" si="5"/>
        <v>5.4339140163016829E-3</v>
      </c>
    </row>
    <row r="1358" spans="1:3">
      <c r="A1358" s="3">
        <f ca="1">IFERROR(__xludf.UNSUPPORTED("""COMPUTED_VALUE"""),45434.6666666666)</f>
        <v>45434.666666666599</v>
      </c>
      <c r="B1358" s="1">
        <f ca="1">IFERROR(__xludf.UNSUPPORTED("""COMPUTED_VALUE"""),63)</f>
        <v>63</v>
      </c>
      <c r="C1358" s="2">
        <f t="shared" ca="1" si="5"/>
        <v>1.4306151645207981E-3</v>
      </c>
    </row>
    <row r="1359" spans="1:3">
      <c r="A1359" s="3">
        <f ca="1">IFERROR(__xludf.UNSUPPORTED("""COMPUTED_VALUE"""),45435.6666666666)</f>
        <v>45435.666666666599</v>
      </c>
      <c r="B1359" s="1">
        <f ca="1">IFERROR(__xludf.UNSUPPORTED("""COMPUTED_VALUE"""),62.09)</f>
        <v>62.09</v>
      </c>
      <c r="C1359" s="2">
        <f t="shared" ca="1" si="5"/>
        <v>-1.444444444444439E-2</v>
      </c>
    </row>
    <row r="1360" spans="1:3">
      <c r="A1360" s="3">
        <f ca="1">IFERROR(__xludf.UNSUPPORTED("""COMPUTED_VALUE"""),45436.6666666666)</f>
        <v>45436.666666666599</v>
      </c>
      <c r="B1360" s="1">
        <f ca="1">IFERROR(__xludf.UNSUPPORTED("""COMPUTED_VALUE"""),62)</f>
        <v>62</v>
      </c>
      <c r="C1360" s="2">
        <f t="shared" ca="1" si="5"/>
        <v>-1.4495087775809857E-3</v>
      </c>
    </row>
    <row r="1361" spans="1:3">
      <c r="A1361" s="3">
        <f ca="1">IFERROR(__xludf.UNSUPPORTED("""COMPUTED_VALUE"""),45440.6666666666)</f>
        <v>45440.666666666599</v>
      </c>
      <c r="B1361" s="1">
        <f ca="1">IFERROR(__xludf.UNSUPPORTED("""COMPUTED_VALUE"""),61.82)</f>
        <v>61.82</v>
      </c>
      <c r="C1361" s="2">
        <f t="shared" ca="1" si="5"/>
        <v>-2.9032258064516083E-3</v>
      </c>
    </row>
    <row r="1362" spans="1:3">
      <c r="A1362" s="3">
        <f ca="1">IFERROR(__xludf.UNSUPPORTED("""COMPUTED_VALUE"""),45441.6666666666)</f>
        <v>45441.666666666599</v>
      </c>
      <c r="B1362" s="1">
        <f ca="1">IFERROR(__xludf.UNSUPPORTED("""COMPUTED_VALUE"""),61.7)</f>
        <v>61.7</v>
      </c>
      <c r="C1362" s="2">
        <f t="shared" ca="1" si="5"/>
        <v>-1.9411193788417575E-3</v>
      </c>
    </row>
    <row r="1363" spans="1:3">
      <c r="A1363" s="3">
        <f ca="1">IFERROR(__xludf.UNSUPPORTED("""COMPUTED_VALUE"""),45442.6666666666)</f>
        <v>45442.666666666599</v>
      </c>
      <c r="B1363" s="1">
        <f ca="1">IFERROR(__xludf.UNSUPPORTED("""COMPUTED_VALUE"""),61.97)</f>
        <v>61.97</v>
      </c>
      <c r="C1363" s="2">
        <f t="shared" ca="1" si="5"/>
        <v>4.3760129659642785E-3</v>
      </c>
    </row>
    <row r="1364" spans="1:3">
      <c r="A1364" s="3">
        <f ca="1">IFERROR(__xludf.UNSUPPORTED("""COMPUTED_VALUE"""),45443.6666666666)</f>
        <v>45443.666666666599</v>
      </c>
      <c r="B1364" s="1">
        <f ca="1">IFERROR(__xludf.UNSUPPORTED("""COMPUTED_VALUE"""),62.93)</f>
        <v>62.93</v>
      </c>
      <c r="C1364" s="2">
        <f t="shared" ca="1" si="5"/>
        <v>1.5491366790382457E-2</v>
      </c>
    </row>
    <row r="1365" spans="1:3">
      <c r="A1365" s="3">
        <f ca="1">IFERROR(__xludf.UNSUPPORTED("""COMPUTED_VALUE"""),45446.6666666666)</f>
        <v>45446.666666666599</v>
      </c>
      <c r="B1365" s="1">
        <f ca="1">IFERROR(__xludf.UNSUPPORTED("""COMPUTED_VALUE"""),62.93)</f>
        <v>62.93</v>
      </c>
      <c r="C1365" s="2">
        <f t="shared" ca="1" si="5"/>
        <v>0</v>
      </c>
    </row>
    <row r="1366" spans="1:3">
      <c r="A1366" s="3">
        <f ca="1">IFERROR(__xludf.UNSUPPORTED("""COMPUTED_VALUE"""),45447.6666666666)</f>
        <v>45447.666666666599</v>
      </c>
      <c r="B1366" s="1">
        <f ca="1">IFERROR(__xludf.UNSUPPORTED("""COMPUTED_VALUE"""),63.94)</f>
        <v>63.94</v>
      </c>
      <c r="C1366" s="2">
        <f t="shared" ca="1" si="5"/>
        <v>1.6049578897187319E-2</v>
      </c>
    </row>
    <row r="1367" spans="1:3">
      <c r="A1367" s="3">
        <f ca="1">IFERROR(__xludf.UNSUPPORTED("""COMPUTED_VALUE"""),45448.6666666666)</f>
        <v>45448.666666666599</v>
      </c>
      <c r="B1367" s="1">
        <f ca="1">IFERROR(__xludf.UNSUPPORTED("""COMPUTED_VALUE"""),63.92)</f>
        <v>63.92</v>
      </c>
      <c r="C1367" s="2">
        <f t="shared" ca="1" si="5"/>
        <v>-3.127932436658746E-4</v>
      </c>
    </row>
    <row r="1368" spans="1:3">
      <c r="A1368" s="3">
        <f ca="1">IFERROR(__xludf.UNSUPPORTED("""COMPUTED_VALUE"""),45449.6666666666)</f>
        <v>45449.666666666599</v>
      </c>
      <c r="B1368" s="1">
        <f ca="1">IFERROR(__xludf.UNSUPPORTED("""COMPUTED_VALUE"""),64.15)</f>
        <v>64.150000000000006</v>
      </c>
      <c r="C1368" s="2">
        <f t="shared" ca="1" si="5"/>
        <v>3.5982478097622648E-3</v>
      </c>
    </row>
    <row r="1369" spans="1:3">
      <c r="A1369" s="3">
        <f ca="1">IFERROR(__xludf.UNSUPPORTED("""COMPUTED_VALUE"""),45450.6666666666)</f>
        <v>45450.666666666599</v>
      </c>
      <c r="B1369" s="1">
        <f ca="1">IFERROR(__xludf.UNSUPPORTED("""COMPUTED_VALUE"""),63.91)</f>
        <v>63.91</v>
      </c>
      <c r="C1369" s="2">
        <f t="shared" ca="1" si="5"/>
        <v>-3.7412314886985047E-3</v>
      </c>
    </row>
    <row r="1370" spans="1:3">
      <c r="A1370" s="3">
        <f ca="1">IFERROR(__xludf.UNSUPPORTED("""COMPUTED_VALUE"""),45453.6666666666)</f>
        <v>45453.666666666599</v>
      </c>
      <c r="B1370" s="1">
        <f ca="1">IFERROR(__xludf.UNSUPPORTED("""COMPUTED_VALUE"""),63.59)</f>
        <v>63.59</v>
      </c>
      <c r="C1370" s="2">
        <f t="shared" ca="1" si="5"/>
        <v>-5.0070411516193588E-3</v>
      </c>
    </row>
    <row r="1371" spans="1:3">
      <c r="A1371" s="3">
        <f ca="1">IFERROR(__xludf.UNSUPPORTED("""COMPUTED_VALUE"""),45454.6666666666)</f>
        <v>45454.666666666599</v>
      </c>
      <c r="B1371" s="1">
        <f ca="1">IFERROR(__xludf.UNSUPPORTED("""COMPUTED_VALUE"""),63.55)</f>
        <v>63.55</v>
      </c>
      <c r="C1371" s="2">
        <f t="shared" ca="1" si="5"/>
        <v>-6.2902972165444651E-4</v>
      </c>
    </row>
    <row r="1372" spans="1:3">
      <c r="A1372" s="3">
        <f ca="1">IFERROR(__xludf.UNSUPPORTED("""COMPUTED_VALUE"""),45455.6666666666)</f>
        <v>45455.666666666599</v>
      </c>
      <c r="B1372" s="1">
        <f ca="1">IFERROR(__xludf.UNSUPPORTED("""COMPUTED_VALUE"""),62.88)</f>
        <v>62.88</v>
      </c>
      <c r="C1372" s="2">
        <f t="shared" ca="1" si="5"/>
        <v>-1.0542879622344526E-2</v>
      </c>
    </row>
    <row r="1373" spans="1:3">
      <c r="A1373" s="3">
        <f ca="1">IFERROR(__xludf.UNSUPPORTED("""COMPUTED_VALUE"""),45456.6666666666)</f>
        <v>45456.666666666599</v>
      </c>
      <c r="B1373" s="1">
        <f ca="1">IFERROR(__xludf.UNSUPPORTED("""COMPUTED_VALUE"""),62.99)</f>
        <v>62.99</v>
      </c>
      <c r="C1373" s="2">
        <f t="shared" ca="1" si="5"/>
        <v>1.7493638676844693E-3</v>
      </c>
    </row>
    <row r="1374" spans="1:3">
      <c r="A1374" s="3">
        <f ca="1">IFERROR(__xludf.UNSUPPORTED("""COMPUTED_VALUE"""),45457.6666666666)</f>
        <v>45457.666666666599</v>
      </c>
      <c r="B1374" s="1">
        <f ca="1">IFERROR(__xludf.UNSUPPORTED("""COMPUTED_VALUE"""),62.55)</f>
        <v>62.55</v>
      </c>
      <c r="C1374" s="2">
        <f t="shared" ca="1" si="5"/>
        <v>-6.9852357517066963E-3</v>
      </c>
    </row>
    <row r="1375" spans="1:3">
      <c r="A1375" s="3">
        <f ca="1">IFERROR(__xludf.UNSUPPORTED("""COMPUTED_VALUE"""),45460.6666666666)</f>
        <v>45460.666666666599</v>
      </c>
      <c r="B1375" s="1">
        <f ca="1">IFERROR(__xludf.UNSUPPORTED("""COMPUTED_VALUE"""),62.62)</f>
        <v>62.62</v>
      </c>
      <c r="C1375" s="2">
        <f t="shared" ca="1" si="5"/>
        <v>1.1191047162270229E-3</v>
      </c>
    </row>
    <row r="1376" spans="1:3">
      <c r="A1376" s="3">
        <f ca="1">IFERROR(__xludf.UNSUPPORTED("""COMPUTED_VALUE"""),45461.6666666666)</f>
        <v>45461.666666666599</v>
      </c>
      <c r="B1376" s="1">
        <f ca="1">IFERROR(__xludf.UNSUPPORTED("""COMPUTED_VALUE"""),62.63)</f>
        <v>62.63</v>
      </c>
      <c r="C1376" s="2">
        <f t="shared" ca="1" si="5"/>
        <v>1.5969338869378978E-4</v>
      </c>
    </row>
    <row r="1377" spans="1:3">
      <c r="A1377" s="3">
        <f ca="1">IFERROR(__xludf.UNSUPPORTED("""COMPUTED_VALUE"""),45463.6666666666)</f>
        <v>45463.666666666599</v>
      </c>
      <c r="B1377" s="1">
        <f ca="1">IFERROR(__xludf.UNSUPPORTED("""COMPUTED_VALUE"""),62.18)</f>
        <v>62.18</v>
      </c>
      <c r="C1377" s="2">
        <f t="shared" ca="1" si="5"/>
        <v>-7.1850550854223663E-3</v>
      </c>
    </row>
    <row r="1378" spans="1:3">
      <c r="A1378" s="3">
        <f ca="1">IFERROR(__xludf.UNSUPPORTED("""COMPUTED_VALUE"""),45464.6666666666)</f>
        <v>45464.666666666599</v>
      </c>
      <c r="B1378" s="1">
        <f ca="1">IFERROR(__xludf.UNSUPPORTED("""COMPUTED_VALUE"""),62.77)</f>
        <v>62.77</v>
      </c>
      <c r="C1378" s="2">
        <f t="shared" ca="1" si="5"/>
        <v>9.4885815374719101E-3</v>
      </c>
    </row>
    <row r="1379" spans="1:3">
      <c r="A1379" s="3">
        <f ca="1">IFERROR(__xludf.UNSUPPORTED("""COMPUTED_VALUE"""),45467.6666666666)</f>
        <v>45467.666666666599</v>
      </c>
      <c r="B1379" s="1">
        <f ca="1">IFERROR(__xludf.UNSUPPORTED("""COMPUTED_VALUE"""),63.97)</f>
        <v>63.97</v>
      </c>
      <c r="C1379" s="2">
        <f t="shared" ca="1" si="5"/>
        <v>1.9117412776804139E-2</v>
      </c>
    </row>
    <row r="1380" spans="1:3">
      <c r="A1380" s="3">
        <f ca="1">IFERROR(__xludf.UNSUPPORTED("""COMPUTED_VALUE"""),45468.6666666666)</f>
        <v>45468.666666666599</v>
      </c>
      <c r="B1380" s="1">
        <f ca="1">IFERROR(__xludf.UNSUPPORTED("""COMPUTED_VALUE"""),63.84)</f>
        <v>63.84</v>
      </c>
      <c r="C1380" s="2">
        <f t="shared" ca="1" si="5"/>
        <v>-2.0322025949663196E-3</v>
      </c>
    </row>
    <row r="1381" spans="1:3">
      <c r="A1381" s="3">
        <f ca="1">IFERROR(__xludf.UNSUPPORTED("""COMPUTED_VALUE"""),45469.6666666666)</f>
        <v>45469.666666666599</v>
      </c>
      <c r="B1381" s="1">
        <f ca="1">IFERROR(__xludf.UNSUPPORTED("""COMPUTED_VALUE"""),64.05)</f>
        <v>64.05</v>
      </c>
      <c r="C1381" s="2">
        <f t="shared" ca="1" si="5"/>
        <v>3.2894736842104281E-3</v>
      </c>
    </row>
    <row r="1382" spans="1:3">
      <c r="A1382" s="3">
        <f ca="1">IFERROR(__xludf.UNSUPPORTED("""COMPUTED_VALUE"""),45470.6666666666)</f>
        <v>45470.666666666599</v>
      </c>
      <c r="B1382" s="1">
        <f ca="1">IFERROR(__xludf.UNSUPPORTED("""COMPUTED_VALUE"""),63.91)</f>
        <v>63.91</v>
      </c>
      <c r="C1382" s="2">
        <f t="shared" ca="1" si="5"/>
        <v>-2.1857923497267851E-3</v>
      </c>
    </row>
    <row r="1383" spans="1:3">
      <c r="A1383" s="3">
        <f ca="1">IFERROR(__xludf.UNSUPPORTED("""COMPUTED_VALUE"""),45471.6666666666)</f>
        <v>45471.666666666599</v>
      </c>
      <c r="B1383" s="1">
        <f ca="1">IFERROR(__xludf.UNSUPPORTED("""COMPUTED_VALUE"""),63.65)</f>
        <v>63.65</v>
      </c>
      <c r="C1383" s="2">
        <f t="shared" ca="1" si="5"/>
        <v>-4.0682209356907844E-3</v>
      </c>
    </row>
    <row r="1384" spans="1:3">
      <c r="A1384" s="3">
        <f ca="1">IFERROR(__xludf.UNSUPPORTED("""COMPUTED_VALUE"""),45474.6666666666)</f>
        <v>45474.666666666599</v>
      </c>
      <c r="B1384" s="1">
        <f ca="1">IFERROR(__xludf.UNSUPPORTED("""COMPUTED_VALUE"""),63.28)</f>
        <v>63.28</v>
      </c>
      <c r="C1384" s="2">
        <f t="shared" ca="1" si="5"/>
        <v>-5.8130400628436359E-3</v>
      </c>
    </row>
    <row r="1385" spans="1:3">
      <c r="A1385" s="3">
        <f ca="1">IFERROR(__xludf.UNSUPPORTED("""COMPUTED_VALUE"""),45475.6666666666)</f>
        <v>45475.666666666599</v>
      </c>
      <c r="B1385" s="1">
        <f ca="1">IFERROR(__xludf.UNSUPPORTED("""COMPUTED_VALUE"""),63.15)</f>
        <v>63.15</v>
      </c>
      <c r="C1385" s="2">
        <f t="shared" ca="1" si="5"/>
        <v>-2.0543615676359441E-3</v>
      </c>
    </row>
    <row r="1386" spans="1:3">
      <c r="A1386" s="3">
        <f ca="1">IFERROR(__xludf.UNSUPPORTED("""COMPUTED_VALUE"""),45476.5416666666)</f>
        <v>45476.541666666599</v>
      </c>
      <c r="B1386" s="1">
        <f ca="1">IFERROR(__xludf.UNSUPPORTED("""COMPUTED_VALUE"""),63.33)</f>
        <v>63.33</v>
      </c>
      <c r="C1386" s="2">
        <f t="shared" ca="1" si="5"/>
        <v>2.8503562945368125E-3</v>
      </c>
    </row>
    <row r="1387" spans="1:3">
      <c r="A1387" s="3">
        <f ca="1">IFERROR(__xludf.UNSUPPORTED("""COMPUTED_VALUE"""),45478.6666666666)</f>
        <v>45478.666666666599</v>
      </c>
      <c r="B1387" s="1">
        <f ca="1">IFERROR(__xludf.UNSUPPORTED("""COMPUTED_VALUE"""),63.76)</f>
        <v>63.76</v>
      </c>
      <c r="C1387" s="2">
        <f t="shared" ca="1" si="5"/>
        <v>6.7898310437391396E-3</v>
      </c>
    </row>
    <row r="1388" spans="1:3">
      <c r="A1388" s="3">
        <f ca="1">IFERROR(__xludf.UNSUPPORTED("""COMPUTED_VALUE"""),45481.6666666666)</f>
        <v>45481.666666666599</v>
      </c>
      <c r="B1388" s="1">
        <f ca="1">IFERROR(__xludf.UNSUPPORTED("""COMPUTED_VALUE"""),62.96)</f>
        <v>62.96</v>
      </c>
      <c r="C1388" s="2">
        <f t="shared" ca="1" si="5"/>
        <v>-1.2547051442910871E-2</v>
      </c>
    </row>
    <row r="1389" spans="1:3">
      <c r="A1389" s="3">
        <f ca="1">IFERROR(__xludf.UNSUPPORTED("""COMPUTED_VALUE"""),45482.6666666666)</f>
        <v>45482.666666666599</v>
      </c>
      <c r="B1389" s="1">
        <f ca="1">IFERROR(__xludf.UNSUPPORTED("""COMPUTED_VALUE"""),62.69)</f>
        <v>62.69</v>
      </c>
      <c r="C1389" s="2">
        <f t="shared" ca="1" si="5"/>
        <v>-4.2884371029225403E-3</v>
      </c>
    </row>
    <row r="1390" spans="1:3">
      <c r="A1390" s="3">
        <f ca="1">IFERROR(__xludf.UNSUPPORTED("""COMPUTED_VALUE"""),45483.6666666666)</f>
        <v>45483.666666666599</v>
      </c>
      <c r="B1390" s="1">
        <f ca="1">IFERROR(__xludf.UNSUPPORTED("""COMPUTED_VALUE"""),62.83)</f>
        <v>62.83</v>
      </c>
      <c r="C1390" s="2">
        <f t="shared" ca="1" si="5"/>
        <v>2.233211038443142E-3</v>
      </c>
    </row>
    <row r="1391" spans="1:3">
      <c r="A1391" s="3">
        <f ca="1">IFERROR(__xludf.UNSUPPORTED("""COMPUTED_VALUE"""),45484.6666666666)</f>
        <v>45484.666666666599</v>
      </c>
      <c r="B1391" s="1">
        <f ca="1">IFERROR(__xludf.UNSUPPORTED("""COMPUTED_VALUE"""),63.1)</f>
        <v>63.1</v>
      </c>
      <c r="C1391" s="2">
        <f t="shared" ca="1" si="5"/>
        <v>4.2973102021327892E-3</v>
      </c>
    </row>
    <row r="1392" spans="1:3">
      <c r="A1392" s="3">
        <f ca="1">IFERROR(__xludf.UNSUPPORTED("""COMPUTED_VALUE"""),45485.6666666666)</f>
        <v>45485.666666666599</v>
      </c>
      <c r="B1392" s="1">
        <f ca="1">IFERROR(__xludf.UNSUPPORTED("""COMPUTED_VALUE"""),63.7)</f>
        <v>63.7</v>
      </c>
      <c r="C1392" s="2">
        <f t="shared" ca="1" si="5"/>
        <v>9.5087163232963779E-3</v>
      </c>
    </row>
    <row r="1393" spans="1:3">
      <c r="A1393" s="3">
        <f ca="1">IFERROR(__xludf.UNSUPPORTED("""COMPUTED_VALUE"""),45488.6666666666)</f>
        <v>45488.666666666599</v>
      </c>
      <c r="B1393" s="1">
        <f ca="1">IFERROR(__xludf.UNSUPPORTED("""COMPUTED_VALUE"""),63.41)</f>
        <v>63.41</v>
      </c>
      <c r="C1393" s="2">
        <f t="shared" ca="1" si="5"/>
        <v>-4.552590266876079E-3</v>
      </c>
    </row>
    <row r="1394" spans="1:3">
      <c r="A1394" s="3">
        <f ca="1">IFERROR(__xludf.UNSUPPORTED("""COMPUTED_VALUE"""),45489.6666666666)</f>
        <v>45489.666666666599</v>
      </c>
      <c r="B1394" s="1">
        <f ca="1">IFERROR(__xludf.UNSUPPORTED("""COMPUTED_VALUE"""),64.27)</f>
        <v>64.27</v>
      </c>
      <c r="C1394" s="2">
        <f t="shared" ca="1" si="5"/>
        <v>1.356252956946853E-2</v>
      </c>
    </row>
    <row r="1395" spans="1:3">
      <c r="A1395" s="3">
        <f ca="1">IFERROR(__xludf.UNSUPPORTED("""COMPUTED_VALUE"""),45490.6666666666)</f>
        <v>45490.666666666599</v>
      </c>
      <c r="B1395" s="1">
        <f ca="1">IFERROR(__xludf.UNSUPPORTED("""COMPUTED_VALUE"""),65.21)</f>
        <v>65.209999999999994</v>
      </c>
      <c r="C1395" s="2">
        <f t="shared" ca="1" si="5"/>
        <v>1.4625797417146379E-2</v>
      </c>
    </row>
    <row r="1396" spans="1:3">
      <c r="A1396" s="3">
        <f ca="1">IFERROR(__xludf.UNSUPPORTED("""COMPUTED_VALUE"""),45491.6666666666)</f>
        <v>45491.666666666599</v>
      </c>
      <c r="B1396" s="1">
        <f ca="1">IFERROR(__xludf.UNSUPPORTED("""COMPUTED_VALUE"""),65.19)</f>
        <v>65.19</v>
      </c>
      <c r="C1396" s="2">
        <f t="shared" ca="1" si="5"/>
        <v>-3.0670142616157065E-4</v>
      </c>
    </row>
    <row r="1397" spans="1:3">
      <c r="A1397" s="3">
        <f ca="1">IFERROR(__xludf.UNSUPPORTED("""COMPUTED_VALUE"""),45492.6666666666)</f>
        <v>45492.666666666599</v>
      </c>
      <c r="B1397" s="1">
        <f ca="1">IFERROR(__xludf.UNSUPPORTED("""COMPUTED_VALUE"""),65.29)</f>
        <v>65.290000000000006</v>
      </c>
      <c r="C1397" s="2">
        <f t="shared" ca="1" si="5"/>
        <v>1.5339776039271136E-3</v>
      </c>
    </row>
    <row r="1398" spans="1:3">
      <c r="A1398" s="3">
        <f ca="1">IFERROR(__xludf.UNSUPPORTED("""COMPUTED_VALUE"""),45495.6666666666)</f>
        <v>45495.666666666599</v>
      </c>
      <c r="B1398" s="1">
        <f ca="1">IFERROR(__xludf.UNSUPPORTED("""COMPUTED_VALUE"""),64.77)</f>
        <v>64.77</v>
      </c>
      <c r="C1398" s="2">
        <f t="shared" ca="1" si="5"/>
        <v>-7.9644662276000949E-3</v>
      </c>
    </row>
    <row r="1399" spans="1:3">
      <c r="A1399" s="3">
        <f ca="1">IFERROR(__xludf.UNSUPPORTED("""COMPUTED_VALUE"""),45496.6666666666)</f>
        <v>45496.666666666599</v>
      </c>
      <c r="B1399" s="1">
        <f ca="1">IFERROR(__xludf.UNSUPPORTED("""COMPUTED_VALUE"""),64.96)</f>
        <v>64.959999999999994</v>
      </c>
      <c r="C1399" s="2">
        <f t="shared" ca="1" si="5"/>
        <v>2.9334568473058167E-3</v>
      </c>
    </row>
    <row r="1400" spans="1:3">
      <c r="A1400" s="3">
        <f ca="1">IFERROR(__xludf.UNSUPPORTED("""COMPUTED_VALUE"""),45497.6666666666)</f>
        <v>45497.666666666599</v>
      </c>
      <c r="B1400" s="1">
        <f ca="1">IFERROR(__xludf.UNSUPPORTED("""COMPUTED_VALUE"""),65.81)</f>
        <v>65.81</v>
      </c>
      <c r="C1400" s="2">
        <f t="shared" ca="1" si="5"/>
        <v>1.3084975369458261E-2</v>
      </c>
    </row>
    <row r="1401" spans="1:3">
      <c r="A1401" s="3">
        <f ca="1">IFERROR(__xludf.UNSUPPORTED("""COMPUTED_VALUE"""),45498.6666666666)</f>
        <v>45498.666666666599</v>
      </c>
      <c r="B1401" s="1">
        <f ca="1">IFERROR(__xludf.UNSUPPORTED("""COMPUTED_VALUE"""),66.07)</f>
        <v>66.069999999999993</v>
      </c>
      <c r="C1401" s="2">
        <f t="shared" ca="1" si="5"/>
        <v>3.95076736058336E-3</v>
      </c>
    </row>
    <row r="1402" spans="1:3">
      <c r="A1402" s="3">
        <f ca="1">IFERROR(__xludf.UNSUPPORTED("""COMPUTED_VALUE"""),45499.6666666666)</f>
        <v>45499.666666666599</v>
      </c>
      <c r="B1402" s="1">
        <f ca="1">IFERROR(__xludf.UNSUPPORTED("""COMPUTED_VALUE"""),67.05)</f>
        <v>67.05</v>
      </c>
      <c r="C1402" s="2">
        <f t="shared" ca="1" si="5"/>
        <v>1.4832753140608508E-2</v>
      </c>
    </row>
    <row r="1403" spans="1:3">
      <c r="A1403" s="3">
        <f ca="1">IFERROR(__xludf.UNSUPPORTED("""COMPUTED_VALUE"""),45502.6666666666)</f>
        <v>45502.666666666599</v>
      </c>
      <c r="B1403" s="1">
        <f ca="1">IFERROR(__xludf.UNSUPPORTED("""COMPUTED_VALUE"""),66.83)</f>
        <v>66.83</v>
      </c>
      <c r="C1403" s="2">
        <f t="shared" ca="1" si="5"/>
        <v>-3.2811334824757476E-3</v>
      </c>
    </row>
    <row r="1404" spans="1:3">
      <c r="A1404" s="3">
        <f ca="1">IFERROR(__xludf.UNSUPPORTED("""COMPUTED_VALUE"""),45503.6666666666)</f>
        <v>45503.666666666599</v>
      </c>
      <c r="B1404" s="1">
        <f ca="1">IFERROR(__xludf.UNSUPPORTED("""COMPUTED_VALUE"""),67.68)</f>
        <v>67.680000000000007</v>
      </c>
      <c r="C1404" s="2">
        <f t="shared" ca="1" si="5"/>
        <v>1.2718838844830294E-2</v>
      </c>
    </row>
    <row r="1405" spans="1:3">
      <c r="A1405" s="3">
        <f ca="1">IFERROR(__xludf.UNSUPPORTED("""COMPUTED_VALUE"""),45504.6666666666)</f>
        <v>45504.666666666599</v>
      </c>
      <c r="B1405" s="1">
        <f ca="1">IFERROR(__xludf.UNSUPPORTED("""COMPUTED_VALUE"""),66.74)</f>
        <v>66.739999999999995</v>
      </c>
      <c r="C1405" s="2">
        <f t="shared" ca="1" si="5"/>
        <v>-1.3888888888889063E-2</v>
      </c>
    </row>
    <row r="1406" spans="1:3">
      <c r="A1406" s="3">
        <f ca="1">IFERROR(__xludf.UNSUPPORTED("""COMPUTED_VALUE"""),45505.6666666666)</f>
        <v>45505.666666666599</v>
      </c>
      <c r="B1406" s="1">
        <f ca="1">IFERROR(__xludf.UNSUPPORTED("""COMPUTED_VALUE"""),67.96)</f>
        <v>67.959999999999994</v>
      </c>
      <c r="C1406" s="2">
        <f t="shared" ca="1" si="5"/>
        <v>1.8279892118669448E-2</v>
      </c>
    </row>
    <row r="1407" spans="1:3">
      <c r="A1407" s="3">
        <f ca="1">IFERROR(__xludf.UNSUPPORTED("""COMPUTED_VALUE"""),45506.6666666666)</f>
        <v>45506.666666666599</v>
      </c>
      <c r="B1407" s="1">
        <f ca="1">IFERROR(__xludf.UNSUPPORTED("""COMPUTED_VALUE"""),69.33)</f>
        <v>69.33</v>
      </c>
      <c r="C1407" s="2">
        <f t="shared" ca="1" si="5"/>
        <v>2.0158917010005956E-2</v>
      </c>
    </row>
    <row r="1408" spans="1:3">
      <c r="A1408" s="3">
        <f ca="1">IFERROR(__xludf.UNSUPPORTED("""COMPUTED_VALUE"""),45509.6666666666)</f>
        <v>45509.666666666599</v>
      </c>
      <c r="B1408" s="1">
        <f ca="1">IFERROR(__xludf.UNSUPPORTED("""COMPUTED_VALUE"""),68.1)</f>
        <v>68.099999999999994</v>
      </c>
      <c r="C1408" s="2">
        <f t="shared" ca="1" si="5"/>
        <v>-1.7741237559498111E-2</v>
      </c>
    </row>
    <row r="1409" spans="1:3">
      <c r="A1409" s="3">
        <f ca="1">IFERROR(__xludf.UNSUPPORTED("""COMPUTED_VALUE"""),45510.6666666666)</f>
        <v>45510.666666666599</v>
      </c>
      <c r="B1409" s="1">
        <f ca="1">IFERROR(__xludf.UNSUPPORTED("""COMPUTED_VALUE"""),68.05)</f>
        <v>68.05</v>
      </c>
      <c r="C1409" s="2">
        <f t="shared" ca="1" si="5"/>
        <v>-7.3421439060201413E-4</v>
      </c>
    </row>
    <row r="1410" spans="1:3">
      <c r="A1410" s="3">
        <f ca="1">IFERROR(__xludf.UNSUPPORTED("""COMPUTED_VALUE"""),45511.6666666666)</f>
        <v>45511.666666666599</v>
      </c>
      <c r="B1410" s="1">
        <f ca="1">IFERROR(__xludf.UNSUPPORTED("""COMPUTED_VALUE"""),68.46)</f>
        <v>68.459999999999994</v>
      </c>
      <c r="C1410" s="2">
        <f t="shared" ca="1" si="5"/>
        <v>6.0249816311535136E-3</v>
      </c>
    </row>
    <row r="1411" spans="1:3">
      <c r="A1411" s="3">
        <f ca="1">IFERROR(__xludf.UNSUPPORTED("""COMPUTED_VALUE"""),45512.6666666666)</f>
        <v>45512.666666666599</v>
      </c>
      <c r="B1411" s="1">
        <f ca="1">IFERROR(__xludf.UNSUPPORTED("""COMPUTED_VALUE"""),68.73)</f>
        <v>68.73</v>
      </c>
      <c r="C1411" s="2">
        <f t="shared" ca="1" si="5"/>
        <v>3.9439088518844617E-3</v>
      </c>
    </row>
    <row r="1412" spans="1:3">
      <c r="A1412" s="3">
        <f ca="1">IFERROR(__xludf.UNSUPPORTED("""COMPUTED_VALUE"""),45513.6666666666)</f>
        <v>45513.666666666599</v>
      </c>
      <c r="B1412" s="1">
        <f ca="1">IFERROR(__xludf.UNSUPPORTED("""COMPUTED_VALUE"""),68.68)</f>
        <v>68.680000000000007</v>
      </c>
      <c r="C1412" s="2">
        <f t="shared" ca="1" si="5"/>
        <v>-7.274843590862382E-4</v>
      </c>
    </row>
    <row r="1413" spans="1:3">
      <c r="A1413" s="3">
        <f ca="1">IFERROR(__xludf.UNSUPPORTED("""COMPUTED_VALUE"""),45516.6666666666)</f>
        <v>45516.666666666599</v>
      </c>
      <c r="B1413" s="1">
        <f ca="1">IFERROR(__xludf.UNSUPPORTED("""COMPUTED_VALUE"""),68.17)</f>
        <v>68.17</v>
      </c>
      <c r="C1413" s="2">
        <f t="shared" ca="1" si="5"/>
        <v>-7.4257425742574991E-3</v>
      </c>
    </row>
    <row r="1414" spans="1:3">
      <c r="A1414" s="3">
        <f ca="1">IFERROR(__xludf.UNSUPPORTED("""COMPUTED_VALUE"""),45517.6666666666)</f>
        <v>45517.666666666599</v>
      </c>
      <c r="B1414" s="1">
        <f ca="1">IFERROR(__xludf.UNSUPPORTED("""COMPUTED_VALUE"""),68.46)</f>
        <v>68.459999999999994</v>
      </c>
      <c r="C1414" s="2">
        <f t="shared" ca="1" si="5"/>
        <v>4.2540707055888517E-3</v>
      </c>
    </row>
    <row r="1415" spans="1:3">
      <c r="A1415" s="3">
        <f ca="1">IFERROR(__xludf.UNSUPPORTED("""COMPUTED_VALUE"""),45518.6666666666)</f>
        <v>45518.666666666599</v>
      </c>
      <c r="B1415" s="1">
        <f ca="1">IFERROR(__xludf.UNSUPPORTED("""COMPUTED_VALUE"""),68.58)</f>
        <v>68.58</v>
      </c>
      <c r="C1415" s="2">
        <f t="shared" ca="1" si="5"/>
        <v>1.7528483786153164E-3</v>
      </c>
    </row>
    <row r="1416" spans="1:3">
      <c r="A1416" s="3">
        <f ca="1">IFERROR(__xludf.UNSUPPORTED("""COMPUTED_VALUE"""),45519.6666666666)</f>
        <v>45519.666666666599</v>
      </c>
      <c r="B1416" s="1">
        <f ca="1">IFERROR(__xludf.UNSUPPORTED("""COMPUTED_VALUE"""),68.65)</f>
        <v>68.650000000000006</v>
      </c>
      <c r="C1416" s="2">
        <f t="shared" ca="1" si="5"/>
        <v>1.0207057451153017E-3</v>
      </c>
    </row>
    <row r="1417" spans="1:3">
      <c r="A1417" s="3">
        <f ca="1">IFERROR(__xludf.UNSUPPORTED("""COMPUTED_VALUE"""),45520.6666666666)</f>
        <v>45520.666666666599</v>
      </c>
      <c r="B1417" s="1">
        <f ca="1">IFERROR(__xludf.UNSUPPORTED("""COMPUTED_VALUE"""),69.18)</f>
        <v>69.180000000000007</v>
      </c>
      <c r="C1417" s="2">
        <f t="shared" ca="1" si="5"/>
        <v>7.7203204661325728E-3</v>
      </c>
    </row>
    <row r="1418" spans="1:3">
      <c r="A1418" s="3">
        <f ca="1">IFERROR(__xludf.UNSUPPORTED("""COMPUTED_VALUE"""),45523.6666666666)</f>
        <v>45523.666666666599</v>
      </c>
      <c r="B1418" s="1">
        <f ca="1">IFERROR(__xludf.UNSUPPORTED("""COMPUTED_VALUE"""),68.98)</f>
        <v>68.98</v>
      </c>
      <c r="C1418" s="2">
        <f t="shared" ca="1" si="5"/>
        <v>-2.8910089621278232E-3</v>
      </c>
    </row>
    <row r="1419" spans="1:3">
      <c r="A1419" s="3">
        <f ca="1">IFERROR(__xludf.UNSUPPORTED("""COMPUTED_VALUE"""),45524.6666666666)</f>
        <v>45524.666666666599</v>
      </c>
      <c r="B1419" s="1">
        <f ca="1">IFERROR(__xludf.UNSUPPORTED("""COMPUTED_VALUE"""),69.38)</f>
        <v>69.38</v>
      </c>
      <c r="C1419" s="2">
        <f t="shared" ca="1" si="5"/>
        <v>5.7987822557261735E-3</v>
      </c>
    </row>
    <row r="1420" spans="1:3">
      <c r="A1420" s="3">
        <f ca="1">IFERROR(__xludf.UNSUPPORTED("""COMPUTED_VALUE"""),45525.6666666666)</f>
        <v>45525.666666666599</v>
      </c>
      <c r="B1420" s="1">
        <f ca="1">IFERROR(__xludf.UNSUPPORTED("""COMPUTED_VALUE"""),69.57)</f>
        <v>69.569999999999993</v>
      </c>
      <c r="C1420" s="2">
        <f t="shared" ca="1" si="5"/>
        <v>2.7385413663879757E-3</v>
      </c>
    </row>
    <row r="1421" spans="1:3">
      <c r="A1421" s="3">
        <f ca="1">IFERROR(__xludf.UNSUPPORTED("""COMPUTED_VALUE"""),45526.6666666666)</f>
        <v>45526.666666666599</v>
      </c>
      <c r="B1421" s="1">
        <f ca="1">IFERROR(__xludf.UNSUPPORTED("""COMPUTED_VALUE"""),69.33)</f>
        <v>69.33</v>
      </c>
      <c r="C1421" s="2">
        <f t="shared" ca="1" si="5"/>
        <v>-3.4497628288054465E-3</v>
      </c>
    </row>
    <row r="1422" spans="1:3">
      <c r="A1422" s="3">
        <f ca="1">IFERROR(__xludf.UNSUPPORTED("""COMPUTED_VALUE"""),45527.6666666666)</f>
        <v>45527.666666666599</v>
      </c>
      <c r="B1422" s="1">
        <f ca="1">IFERROR(__xludf.UNSUPPORTED("""COMPUTED_VALUE"""),69.79)</f>
        <v>69.790000000000006</v>
      </c>
      <c r="C1422" s="2">
        <f t="shared" ca="1" si="5"/>
        <v>6.6349343718449154E-3</v>
      </c>
    </row>
    <row r="1423" spans="1:3">
      <c r="A1423" s="3">
        <f ca="1">IFERROR(__xludf.UNSUPPORTED("""COMPUTED_VALUE"""),45530.6666666666)</f>
        <v>45530.666666666599</v>
      </c>
      <c r="B1423" s="1">
        <f ca="1">IFERROR(__xludf.UNSUPPORTED("""COMPUTED_VALUE"""),70.84)</f>
        <v>70.84</v>
      </c>
      <c r="C1423" s="2">
        <f t="shared" ca="1" si="5"/>
        <v>1.5045135406218614E-2</v>
      </c>
    </row>
    <row r="1424" spans="1:3">
      <c r="A1424" s="3">
        <f ca="1">IFERROR(__xludf.UNSUPPORTED("""COMPUTED_VALUE"""),45531.6666666666)</f>
        <v>45531.666666666599</v>
      </c>
      <c r="B1424" s="1">
        <f ca="1">IFERROR(__xludf.UNSUPPORTED("""COMPUTED_VALUE"""),71.5)</f>
        <v>71.5</v>
      </c>
      <c r="C1424" s="2">
        <f t="shared" ca="1" si="5"/>
        <v>9.3167701863353554E-3</v>
      </c>
    </row>
    <row r="1425" spans="1:3">
      <c r="A1425" s="3">
        <f ca="1">IFERROR(__xludf.UNSUPPORTED("""COMPUTED_VALUE"""),45532.6666666666)</f>
        <v>45532.666666666599</v>
      </c>
      <c r="B1425" s="1">
        <f ca="1">IFERROR(__xludf.UNSUPPORTED("""COMPUTED_VALUE"""),71.75)</f>
        <v>71.75</v>
      </c>
      <c r="C1425" s="2">
        <f t="shared" ca="1" si="5"/>
        <v>3.4965034965034965E-3</v>
      </c>
    </row>
    <row r="1426" spans="1:3">
      <c r="A1426" s="3">
        <f ca="1">IFERROR(__xludf.UNSUPPORTED("""COMPUTED_VALUE"""),45533.6666666666)</f>
        <v>45533.666666666599</v>
      </c>
      <c r="B1426" s="1">
        <f ca="1">IFERROR(__xludf.UNSUPPORTED("""COMPUTED_VALUE"""),72.05)</f>
        <v>72.05</v>
      </c>
      <c r="C1426" s="2">
        <f t="shared" ca="1" si="5"/>
        <v>4.1811846689895071E-3</v>
      </c>
    </row>
    <row r="1427" spans="1:3">
      <c r="A1427" s="3">
        <f ca="1">IFERROR(__xludf.UNSUPPORTED("""COMPUTED_VALUE"""),45534.6666666666)</f>
        <v>45534.666666666599</v>
      </c>
      <c r="B1427" s="1">
        <f ca="1">IFERROR(__xludf.UNSUPPORTED("""COMPUTED_VALUE"""),72.47)</f>
        <v>72.47</v>
      </c>
      <c r="C1427" s="2">
        <f t="shared" ca="1" si="5"/>
        <v>5.8292852185982194E-3</v>
      </c>
    </row>
    <row r="1428" spans="1:3">
      <c r="A1428" s="3">
        <f ca="1">IFERROR(__xludf.UNSUPPORTED("""COMPUTED_VALUE"""),45538.6666666666)</f>
        <v>45538.666666666599</v>
      </c>
      <c r="B1428" s="1">
        <f ca="1">IFERROR(__xludf.UNSUPPORTED("""COMPUTED_VALUE"""),73.01)</f>
        <v>73.010000000000005</v>
      </c>
      <c r="C1428" s="2">
        <f t="shared" ca="1" si="5"/>
        <v>7.4513591831103388E-3</v>
      </c>
    </row>
    <row r="1429" spans="1:3">
      <c r="A1429" s="3">
        <f ca="1">IFERROR(__xludf.UNSUPPORTED("""COMPUTED_VALUE"""),45539.6666666666)</f>
        <v>45539.666666666599</v>
      </c>
      <c r="B1429" s="1">
        <f ca="1">IFERROR(__xludf.UNSUPPORTED("""COMPUTED_VALUE"""),72.56)</f>
        <v>72.56</v>
      </c>
      <c r="C1429" s="2">
        <f t="shared" ca="1" si="5"/>
        <v>-6.1635392411998743E-3</v>
      </c>
    </row>
    <row r="1430" spans="1:3">
      <c r="A1430" s="3">
        <f ca="1">IFERROR(__xludf.UNSUPPORTED("""COMPUTED_VALUE"""),45540.6666666666)</f>
        <v>45540.666666666599</v>
      </c>
      <c r="B1430" s="1">
        <f ca="1">IFERROR(__xludf.UNSUPPORTED("""COMPUTED_VALUE"""),71.17)</f>
        <v>71.17</v>
      </c>
      <c r="C1430" s="2">
        <f t="shared" ca="1" si="5"/>
        <v>-1.9156560088202875E-2</v>
      </c>
    </row>
    <row r="1431" spans="1:3">
      <c r="A1431" s="3">
        <f ca="1">IFERROR(__xludf.UNSUPPORTED("""COMPUTED_VALUE"""),45541.6666666666)</f>
        <v>45541.666666666599</v>
      </c>
      <c r="B1431" s="1">
        <f ca="1">IFERROR(__xludf.UNSUPPORTED("""COMPUTED_VALUE"""),71.14)</f>
        <v>71.14</v>
      </c>
      <c r="C1431" s="2">
        <f t="shared" ca="1" si="5"/>
        <v>-4.2152592384433237E-4</v>
      </c>
    </row>
    <row r="1432" spans="1:3">
      <c r="A1432" s="3">
        <f ca="1">IFERROR(__xludf.UNSUPPORTED("""COMPUTED_VALUE"""),45544.6666666666)</f>
        <v>45544.666666666599</v>
      </c>
      <c r="B1432" s="1">
        <f ca="1">IFERROR(__xludf.UNSUPPORTED("""COMPUTED_VALUE"""),71.85)</f>
        <v>71.849999999999994</v>
      </c>
      <c r="C1432" s="2">
        <f t="shared" ca="1" si="5"/>
        <v>9.9803204947989006E-3</v>
      </c>
    </row>
    <row r="1433" spans="1:3">
      <c r="A1433" s="3">
        <f ca="1">IFERROR(__xludf.UNSUPPORTED("""COMPUTED_VALUE"""),45545.6666666666)</f>
        <v>45545.666666666599</v>
      </c>
      <c r="B1433" s="1">
        <f ca="1">IFERROR(__xludf.UNSUPPORTED("""COMPUTED_VALUE"""),71.55)</f>
        <v>71.55</v>
      </c>
      <c r="C1433" s="2">
        <f t="shared" ca="1" si="5"/>
        <v>-4.1753653444676015E-3</v>
      </c>
    </row>
    <row r="1434" spans="1:3">
      <c r="A1434" s="3">
        <f ca="1">IFERROR(__xludf.UNSUPPORTED("""COMPUTED_VALUE"""),45546.6666666666)</f>
        <v>45546.666666666599</v>
      </c>
      <c r="B1434" s="1">
        <f ca="1">IFERROR(__xludf.UNSUPPORTED("""COMPUTED_VALUE"""),71.08)</f>
        <v>71.08</v>
      </c>
      <c r="C1434" s="2">
        <f t="shared" ca="1" si="5"/>
        <v>-6.5688329839273078E-3</v>
      </c>
    </row>
    <row r="1435" spans="1:3">
      <c r="A1435" s="3">
        <f ca="1">IFERROR(__xludf.UNSUPPORTED("""COMPUTED_VALUE"""),45547.6666666666)</f>
        <v>45547.666666666599</v>
      </c>
      <c r="B1435" s="1">
        <f ca="1">IFERROR(__xludf.UNSUPPORTED("""COMPUTED_VALUE"""),71.23)</f>
        <v>71.23</v>
      </c>
      <c r="C1435" s="2">
        <f t="shared" ca="1" si="5"/>
        <v>2.1102982554868557E-3</v>
      </c>
    </row>
    <row r="1436" spans="1:3">
      <c r="A1436" s="3">
        <f ca="1">IFERROR(__xludf.UNSUPPORTED("""COMPUTED_VALUE"""),45548.6666666666)</f>
        <v>45548.666666666599</v>
      </c>
      <c r="B1436" s="1">
        <f ca="1">IFERROR(__xludf.UNSUPPORTED("""COMPUTED_VALUE"""),71.41)</f>
        <v>71.41</v>
      </c>
      <c r="C1436" s="2">
        <f t="shared" ca="1" si="5"/>
        <v>2.5270251298609098E-3</v>
      </c>
    </row>
    <row r="1437" spans="1:3">
      <c r="A1437" s="3">
        <f ca="1">IFERROR(__xludf.UNSUPPORTED("""COMPUTED_VALUE"""),45551.6666666666)</f>
        <v>45551.666666666599</v>
      </c>
      <c r="B1437" s="1">
        <f ca="1">IFERROR(__xludf.UNSUPPORTED("""COMPUTED_VALUE"""),72.1)</f>
        <v>72.099999999999994</v>
      </c>
      <c r="C1437" s="2">
        <f t="shared" ca="1" si="5"/>
        <v>9.6625122531857968E-3</v>
      </c>
    </row>
    <row r="1438" spans="1:3">
      <c r="A1438" s="3">
        <f ca="1">IFERROR(__xludf.UNSUPPORTED("""COMPUTED_VALUE"""),45552.6666666666)</f>
        <v>45552.666666666599</v>
      </c>
      <c r="B1438" s="1">
        <f ca="1">IFERROR(__xludf.UNSUPPORTED("""COMPUTED_VALUE"""),71.8)</f>
        <v>71.8</v>
      </c>
      <c r="C1438" s="2">
        <f t="shared" ca="1" si="5"/>
        <v>-4.160887656033248E-3</v>
      </c>
    </row>
    <row r="1439" spans="1:3">
      <c r="A1439" s="3">
        <f ca="1">IFERROR(__xludf.UNSUPPORTED("""COMPUTED_VALUE"""),45553.6666666666)</f>
        <v>45553.666666666599</v>
      </c>
      <c r="B1439" s="1">
        <f ca="1">IFERROR(__xludf.UNSUPPORTED("""COMPUTED_VALUE"""),71.75)</f>
        <v>71.75</v>
      </c>
      <c r="C1439" s="2">
        <f t="shared" ca="1" si="5"/>
        <v>-6.9637883008352589E-4</v>
      </c>
    </row>
    <row r="1440" spans="1:3">
      <c r="A1440" s="3">
        <f ca="1">IFERROR(__xludf.UNSUPPORTED("""COMPUTED_VALUE"""),45554.6666666666)</f>
        <v>45554.666666666599</v>
      </c>
      <c r="B1440" s="1">
        <f ca="1">IFERROR(__xludf.UNSUPPORTED("""COMPUTED_VALUE"""),70.62)</f>
        <v>70.62</v>
      </c>
      <c r="C1440" s="2">
        <f t="shared" ca="1" si="5"/>
        <v>-1.5749128919860564E-2</v>
      </c>
    </row>
    <row r="1441" spans="1:3">
      <c r="A1441" s="3">
        <f ca="1">IFERROR(__xludf.UNSUPPORTED("""COMPUTED_VALUE"""),45555.6666666666)</f>
        <v>45555.666666666599</v>
      </c>
      <c r="B1441" s="1">
        <f ca="1">IFERROR(__xludf.UNSUPPORTED("""COMPUTED_VALUE"""),71.64)</f>
        <v>71.64</v>
      </c>
      <c r="C1441" s="2">
        <f t="shared" ca="1" si="5"/>
        <v>1.4443500424808778E-2</v>
      </c>
    </row>
    <row r="1442" spans="1:3">
      <c r="A1442" s="3">
        <f ca="1">IFERROR(__xludf.UNSUPPORTED("""COMPUTED_VALUE"""),45558.6666666666)</f>
        <v>45558.666666666599</v>
      </c>
      <c r="B1442" s="1">
        <f ca="1">IFERROR(__xludf.UNSUPPORTED("""COMPUTED_VALUE"""),71.73)</f>
        <v>71.73</v>
      </c>
      <c r="C1442" s="2">
        <f t="shared" ca="1" si="5"/>
        <v>1.2562814070352234E-3</v>
      </c>
    </row>
    <row r="1443" spans="1:3">
      <c r="A1443" s="3">
        <f ca="1">IFERROR(__xludf.UNSUPPORTED("""COMPUTED_VALUE"""),45559.6666666666)</f>
        <v>45559.666666666599</v>
      </c>
      <c r="B1443" s="1">
        <f ca="1">IFERROR(__xludf.UNSUPPORTED("""COMPUTED_VALUE"""),71.33)</f>
        <v>71.33</v>
      </c>
      <c r="C1443" s="2">
        <f t="shared" ca="1" si="5"/>
        <v>-5.576467307960486E-3</v>
      </c>
    </row>
    <row r="1444" spans="1:3">
      <c r="A1444" s="3">
        <f ca="1">IFERROR(__xludf.UNSUPPORTED("""COMPUTED_VALUE"""),45560.6666666666)</f>
        <v>45560.666666666599</v>
      </c>
      <c r="B1444" s="1">
        <f ca="1">IFERROR(__xludf.UNSUPPORTED("""COMPUTED_VALUE"""),71.45)</f>
        <v>71.45</v>
      </c>
      <c r="C1444" s="2">
        <f t="shared" ca="1" si="5"/>
        <v>1.682321603813326E-3</v>
      </c>
    </row>
    <row r="1445" spans="1:3">
      <c r="A1445" s="3">
        <f ca="1">IFERROR(__xludf.UNSUPPORTED("""COMPUTED_VALUE"""),45561.6666666666)</f>
        <v>45561.666666666599</v>
      </c>
      <c r="B1445" s="1">
        <f ca="1">IFERROR(__xludf.UNSUPPORTED("""COMPUTED_VALUE"""),71.4)</f>
        <v>71.400000000000006</v>
      </c>
      <c r="C1445" s="2">
        <f t="shared" ca="1" si="5"/>
        <v>-6.9979006298106583E-4</v>
      </c>
    </row>
    <row r="1446" spans="1:3">
      <c r="A1446" s="3">
        <f ca="1">IFERROR(__xludf.UNSUPPORTED("""COMPUTED_VALUE"""),45562.6666666666)</f>
        <v>45562.666666666599</v>
      </c>
      <c r="B1446" s="1">
        <f ca="1">IFERROR(__xludf.UNSUPPORTED("""COMPUTED_VALUE"""),71.79)</f>
        <v>71.790000000000006</v>
      </c>
      <c r="C1446" s="2">
        <f t="shared" ca="1" si="5"/>
        <v>5.4621848739495873E-3</v>
      </c>
    </row>
    <row r="1447" spans="1:3">
      <c r="A1447" s="3">
        <f ca="1">IFERROR(__xludf.UNSUPPORTED("""COMPUTED_VALUE"""),45565.6666666666)</f>
        <v>45565.666666666599</v>
      </c>
      <c r="B1447" s="1">
        <f ca="1">IFERROR(__xludf.UNSUPPORTED("""COMPUTED_VALUE"""),71.86)</f>
        <v>71.86</v>
      </c>
      <c r="C1447" s="2">
        <f t="shared" ca="1" si="5"/>
        <v>9.7506616520397227E-4</v>
      </c>
    </row>
    <row r="1448" spans="1:3">
      <c r="A1448" s="3">
        <f ca="1">IFERROR(__xludf.UNSUPPORTED("""COMPUTED_VALUE"""),45566.6666666666)</f>
        <v>45566.666666666599</v>
      </c>
      <c r="B1448" s="1">
        <f ca="1">IFERROR(__xludf.UNSUPPORTED("""COMPUTED_VALUE"""),71.71)</f>
        <v>71.709999999999994</v>
      </c>
      <c r="C1448" s="2">
        <f t="shared" ca="1" si="5"/>
        <v>-2.0873921514055899E-3</v>
      </c>
    </row>
    <row r="1449" spans="1:3">
      <c r="A1449" s="3">
        <f ca="1">IFERROR(__xludf.UNSUPPORTED("""COMPUTED_VALUE"""),45567.6666666666)</f>
        <v>45567.666666666599</v>
      </c>
      <c r="B1449" s="1">
        <f ca="1">IFERROR(__xludf.UNSUPPORTED("""COMPUTED_VALUE"""),71.01)</f>
        <v>71.010000000000005</v>
      </c>
      <c r="C1449" s="2">
        <f t="shared" ca="1" si="5"/>
        <v>-9.7615395342349563E-3</v>
      </c>
    </row>
    <row r="1450" spans="1:3">
      <c r="A1450" s="3">
        <f ca="1">IFERROR(__xludf.UNSUPPORTED("""COMPUTED_VALUE"""),45568.6666666666)</f>
        <v>45568.666666666599</v>
      </c>
      <c r="B1450" s="1">
        <f ca="1">IFERROR(__xludf.UNSUPPORTED("""COMPUTED_VALUE"""),70.52)</f>
        <v>70.52</v>
      </c>
      <c r="C1450" s="2">
        <f t="shared" ca="1" si="5"/>
        <v>-6.9004365582313624E-3</v>
      </c>
    </row>
    <row r="1451" spans="1:3">
      <c r="A1451" s="3">
        <f ca="1">IFERROR(__xludf.UNSUPPORTED("""COMPUTED_VALUE"""),45569.6666666666)</f>
        <v>45569.666666666599</v>
      </c>
      <c r="B1451" s="1">
        <f ca="1">IFERROR(__xludf.UNSUPPORTED("""COMPUTED_VALUE"""),70.17)</f>
        <v>70.17</v>
      </c>
      <c r="C1451" s="2">
        <f t="shared" ca="1" si="5"/>
        <v>-4.963131026659023E-3</v>
      </c>
    </row>
    <row r="1452" spans="1:3">
      <c r="A1452" s="3">
        <f ca="1">IFERROR(__xludf.UNSUPPORTED("""COMPUTED_VALUE"""),45572.6666666666)</f>
        <v>45572.666666666599</v>
      </c>
      <c r="B1452" s="1">
        <f ca="1">IFERROR(__xludf.UNSUPPORTED("""COMPUTED_VALUE"""),69.01)</f>
        <v>69.010000000000005</v>
      </c>
      <c r="C1452" s="2">
        <f t="shared" ca="1" si="5"/>
        <v>-1.6531281174290959E-2</v>
      </c>
    </row>
    <row r="1453" spans="1:3">
      <c r="A1453" s="3">
        <f ca="1">IFERROR(__xludf.UNSUPPORTED("""COMPUTED_VALUE"""),45573.6666666666)</f>
        <v>45573.666666666599</v>
      </c>
      <c r="B1453" s="1">
        <f ca="1">IFERROR(__xludf.UNSUPPORTED("""COMPUTED_VALUE"""),69.18)</f>
        <v>69.180000000000007</v>
      </c>
      <c r="C1453" s="2">
        <f t="shared" ca="1" si="5"/>
        <v>2.4634110998406275E-3</v>
      </c>
    </row>
    <row r="1454" spans="1:3">
      <c r="A1454" s="3">
        <f ca="1">IFERROR(__xludf.UNSUPPORTED("""COMPUTED_VALUE"""),45574.6666666666)</f>
        <v>45574.666666666599</v>
      </c>
      <c r="B1454" s="1">
        <f ca="1">IFERROR(__xludf.UNSUPPORTED("""COMPUTED_VALUE"""),69.57)</f>
        <v>69.569999999999993</v>
      </c>
      <c r="C1454" s="2">
        <f t="shared" ca="1" si="5"/>
        <v>5.6374674761489781E-3</v>
      </c>
    </row>
    <row r="1455" spans="1:3">
      <c r="A1455" s="3">
        <f ca="1">IFERROR(__xludf.UNSUPPORTED("""COMPUTED_VALUE"""),45575.6666666666)</f>
        <v>45575.666666666599</v>
      </c>
      <c r="B1455" s="1">
        <f ca="1">IFERROR(__xludf.UNSUPPORTED("""COMPUTED_VALUE"""),69.25)</f>
        <v>69.25</v>
      </c>
      <c r="C1455" s="2">
        <f t="shared" ca="1" si="5"/>
        <v>-4.5996837717405953E-3</v>
      </c>
    </row>
    <row r="1456" spans="1:3">
      <c r="A1456" s="3">
        <f ca="1">IFERROR(__xludf.UNSUPPORTED("""COMPUTED_VALUE"""),45576.6666666666)</f>
        <v>45576.666666666599</v>
      </c>
      <c r="B1456" s="1">
        <f ca="1">IFERROR(__xludf.UNSUPPORTED("""COMPUTED_VALUE"""),69.57)</f>
        <v>69.569999999999993</v>
      </c>
      <c r="C1456" s="2">
        <f t="shared" ca="1" si="5"/>
        <v>4.6209386281587462E-3</v>
      </c>
    </row>
    <row r="1457" spans="1:3">
      <c r="A1457" s="3">
        <f ca="1">IFERROR(__xludf.UNSUPPORTED("""COMPUTED_VALUE"""),45579.6666666666)</f>
        <v>45579.666666666599</v>
      </c>
      <c r="B1457" s="1">
        <f ca="1">IFERROR(__xludf.UNSUPPORTED("""COMPUTED_VALUE"""),70.34)</f>
        <v>70.34</v>
      </c>
      <c r="C1457" s="2">
        <f t="shared" ca="1" si="5"/>
        <v>1.106798907575119E-2</v>
      </c>
    </row>
    <row r="1458" spans="1:3">
      <c r="A1458" s="3">
        <f ca="1">IFERROR(__xludf.UNSUPPORTED("""COMPUTED_VALUE"""),45580.6666666666)</f>
        <v>45580.666666666599</v>
      </c>
      <c r="B1458" s="1">
        <f ca="1">IFERROR(__xludf.UNSUPPORTED("""COMPUTED_VALUE"""),70.34)</f>
        <v>70.34</v>
      </c>
      <c r="C1458" s="2">
        <f t="shared" ca="1" si="5"/>
        <v>0</v>
      </c>
    </row>
    <row r="1459" spans="1:3">
      <c r="A1459" s="3">
        <f ca="1">IFERROR(__xludf.UNSUPPORTED("""COMPUTED_VALUE"""),45581.6666666666)</f>
        <v>45581.666666666599</v>
      </c>
      <c r="B1459" s="1">
        <f ca="1">IFERROR(__xludf.UNSUPPORTED("""COMPUTED_VALUE"""),70.57)</f>
        <v>70.569999999999993</v>
      </c>
      <c r="C1459" s="2">
        <f t="shared" ca="1" si="5"/>
        <v>3.2698322433891065E-3</v>
      </c>
    </row>
    <row r="1460" spans="1:3">
      <c r="A1460" s="3">
        <f ca="1">IFERROR(__xludf.UNSUPPORTED("""COMPUTED_VALUE"""),45582.6666666666)</f>
        <v>45582.666666666599</v>
      </c>
      <c r="B1460" s="1">
        <f ca="1">IFERROR(__xludf.UNSUPPORTED("""COMPUTED_VALUE"""),69.9)</f>
        <v>69.900000000000006</v>
      </c>
      <c r="C1460" s="2">
        <f t="shared" ca="1" si="5"/>
        <v>-9.4941193141559813E-3</v>
      </c>
    </row>
    <row r="1461" spans="1:3">
      <c r="A1461" s="3">
        <f ca="1">IFERROR(__xludf.UNSUPPORTED("""COMPUTED_VALUE"""),45583.6666666666)</f>
        <v>45583.666666666599</v>
      </c>
      <c r="B1461" s="1">
        <f ca="1">IFERROR(__xludf.UNSUPPORTED("""COMPUTED_VALUE"""),70.44)</f>
        <v>70.44</v>
      </c>
      <c r="C1461" s="2">
        <f t="shared" ca="1" si="5"/>
        <v>7.7253218884119025E-3</v>
      </c>
    </row>
    <row r="1462" spans="1:3">
      <c r="A1462" s="3">
        <f ca="1">IFERROR(__xludf.UNSUPPORTED("""COMPUTED_VALUE"""),45586.6666666666)</f>
        <v>45586.666666666599</v>
      </c>
      <c r="B1462" s="1">
        <f ca="1">IFERROR(__xludf.UNSUPPORTED("""COMPUTED_VALUE"""),69.45)</f>
        <v>69.45</v>
      </c>
      <c r="C1462" s="2">
        <f t="shared" ca="1" si="5"/>
        <v>-1.4054514480408786E-2</v>
      </c>
    </row>
    <row r="1463" spans="1:3">
      <c r="A1463" s="3">
        <f ca="1">IFERROR(__xludf.UNSUPPORTED("""COMPUTED_VALUE"""),45587.6666666666)</f>
        <v>45587.666666666599</v>
      </c>
      <c r="B1463" s="1">
        <f ca="1">IFERROR(__xludf.UNSUPPORTED("""COMPUTED_VALUE"""),69.45)</f>
        <v>69.45</v>
      </c>
      <c r="C1463" s="2">
        <f t="shared" ca="1" si="5"/>
        <v>0</v>
      </c>
    </row>
    <row r="1464" spans="1:3">
      <c r="A1464" s="3">
        <f ca="1">IFERROR(__xludf.UNSUPPORTED("""COMPUTED_VALUE"""),45588.6666666666)</f>
        <v>45588.666666666599</v>
      </c>
      <c r="B1464" s="1">
        <f ca="1">IFERROR(__xludf.UNSUPPORTED("""COMPUTED_VALUE"""),68.01)</f>
        <v>68.010000000000005</v>
      </c>
      <c r="C1464" s="2">
        <f t="shared" ca="1" si="5"/>
        <v>-2.073434125269975E-2</v>
      </c>
    </row>
    <row r="1465" spans="1:3">
      <c r="A1465" s="3">
        <f ca="1">IFERROR(__xludf.UNSUPPORTED("""COMPUTED_VALUE"""),45589.6666666666)</f>
        <v>45589.666666666599</v>
      </c>
      <c r="B1465" s="1">
        <f ca="1">IFERROR(__xludf.UNSUPPORTED("""COMPUTED_VALUE"""),67.3)</f>
        <v>67.3</v>
      </c>
      <c r="C1465" s="2">
        <f t="shared" ca="1" si="5"/>
        <v>-1.0439641229231111E-2</v>
      </c>
    </row>
    <row r="1466" spans="1:3">
      <c r="A1466" s="3">
        <f ca="1">IFERROR(__xludf.UNSUPPORTED("""COMPUTED_VALUE"""),45590.6666666666)</f>
        <v>45590.666666666599</v>
      </c>
      <c r="B1466" s="1">
        <f ca="1">IFERROR(__xludf.UNSUPPORTED("""COMPUTED_VALUE"""),66.92)</f>
        <v>66.92</v>
      </c>
      <c r="C1466" s="2">
        <f t="shared" ca="1" si="5"/>
        <v>-5.6463595839523839E-3</v>
      </c>
    </row>
    <row r="1467" spans="1:3">
      <c r="A1467" s="3">
        <f ca="1">IFERROR(__xludf.UNSUPPORTED("""COMPUTED_VALUE"""),45593.6666666666)</f>
        <v>45593.666666666599</v>
      </c>
      <c r="B1467" s="1">
        <f ca="1">IFERROR(__xludf.UNSUPPORTED("""COMPUTED_VALUE"""),66.67)</f>
        <v>66.67</v>
      </c>
      <c r="C1467" s="2">
        <f t="shared" ca="1" si="5"/>
        <v>-3.7358039450089658E-3</v>
      </c>
    </row>
    <row r="1468" spans="1:3">
      <c r="A1468" s="3">
        <f ca="1">IFERROR(__xludf.UNSUPPORTED("""COMPUTED_VALUE"""),45594.6666666666)</f>
        <v>45594.666666666599</v>
      </c>
      <c r="B1468" s="1">
        <f ca="1">IFERROR(__xludf.UNSUPPORTED("""COMPUTED_VALUE"""),65.56)</f>
        <v>65.56</v>
      </c>
      <c r="C1468" s="2">
        <f t="shared" ca="1" si="5"/>
        <v>-1.6649167541622909E-2</v>
      </c>
    </row>
    <row r="1469" spans="1:3">
      <c r="A1469" s="3">
        <f ca="1">IFERROR(__xludf.UNSUPPORTED("""COMPUTED_VALUE"""),45595.6666666666)</f>
        <v>45595.666666666599</v>
      </c>
      <c r="B1469" s="1">
        <f ca="1">IFERROR(__xludf.UNSUPPORTED("""COMPUTED_VALUE"""),65.92)</f>
        <v>65.92</v>
      </c>
      <c r="C1469" s="2">
        <f t="shared" ca="1" si="5"/>
        <v>5.491153142159845E-3</v>
      </c>
    </row>
    <row r="1470" spans="1:3">
      <c r="A1470" s="3">
        <f ca="1">IFERROR(__xludf.UNSUPPORTED("""COMPUTED_VALUE"""),45596.6666666666)</f>
        <v>45596.666666666599</v>
      </c>
      <c r="B1470" s="1">
        <f ca="1">IFERROR(__xludf.UNSUPPORTED("""COMPUTED_VALUE"""),65.31)</f>
        <v>65.31</v>
      </c>
      <c r="C1470" s="2">
        <f t="shared" ca="1" si="5"/>
        <v>-9.2536407766990198E-3</v>
      </c>
    </row>
    <row r="1471" spans="1:3">
      <c r="A1471" s="3">
        <f ca="1">IFERROR(__xludf.UNSUPPORTED("""COMPUTED_VALUE"""),45597.6666666666)</f>
        <v>45597.666666666599</v>
      </c>
      <c r="B1471" s="1">
        <f ca="1">IFERROR(__xludf.UNSUPPORTED("""COMPUTED_VALUE"""),65.01)</f>
        <v>65.010000000000005</v>
      </c>
      <c r="C1471" s="2">
        <f t="shared" ca="1" si="5"/>
        <v>-4.593477262287508E-3</v>
      </c>
    </row>
    <row r="1472" spans="1:3">
      <c r="A1472" s="3">
        <f ca="1">IFERROR(__xludf.UNSUPPORTED("""COMPUTED_VALUE"""),45600.6666666666)</f>
        <v>45600.666666666599</v>
      </c>
      <c r="B1472" s="1">
        <f ca="1">IFERROR(__xludf.UNSUPPORTED("""COMPUTED_VALUE"""),65.11)</f>
        <v>65.11</v>
      </c>
      <c r="C1472" s="2">
        <f t="shared" ca="1" si="5"/>
        <v>1.5382248884786081E-3</v>
      </c>
    </row>
    <row r="1473" spans="1:3">
      <c r="A1473" s="3">
        <f ca="1">IFERROR(__xludf.UNSUPPORTED("""COMPUTED_VALUE"""),45601.6666666666)</f>
        <v>45601.666666666599</v>
      </c>
      <c r="B1473" s="1">
        <f ca="1">IFERROR(__xludf.UNSUPPORTED("""COMPUTED_VALUE"""),65.37)</f>
        <v>65.37</v>
      </c>
      <c r="C1473" s="2">
        <f t="shared" ca="1" si="5"/>
        <v>3.9932422054984656E-3</v>
      </c>
    </row>
    <row r="1474" spans="1:3">
      <c r="A1474" s="3">
        <f ca="1">IFERROR(__xludf.UNSUPPORTED("""COMPUTED_VALUE"""),45602.6666666666)</f>
        <v>45602.666666666599</v>
      </c>
      <c r="B1474" s="1">
        <f ca="1">IFERROR(__xludf.UNSUPPORTED("""COMPUTED_VALUE"""),63.7)</f>
        <v>63.7</v>
      </c>
      <c r="C1474" s="2">
        <f t="shared" ca="1" si="5"/>
        <v>-2.554688695120088E-2</v>
      </c>
    </row>
    <row r="1475" spans="1:3">
      <c r="A1475" s="3">
        <f ca="1">IFERROR(__xludf.UNSUPPORTED("""COMPUTED_VALUE"""),45603.6666666666)</f>
        <v>45603.666666666599</v>
      </c>
      <c r="B1475" s="1">
        <f ca="1">IFERROR(__xludf.UNSUPPORTED("""COMPUTED_VALUE"""),63.66)</f>
        <v>63.66</v>
      </c>
      <c r="C1475" s="2">
        <f t="shared" ca="1" si="5"/>
        <v>-6.2794348508644036E-4</v>
      </c>
    </row>
    <row r="1476" spans="1:3">
      <c r="A1476" s="3">
        <f ca="1">IFERROR(__xludf.UNSUPPORTED("""COMPUTED_VALUE"""),45604.6666666666)</f>
        <v>45604.666666666599</v>
      </c>
      <c r="B1476" s="1">
        <f ca="1">IFERROR(__xludf.UNSUPPORTED("""COMPUTED_VALUE"""),63.92)</f>
        <v>63.92</v>
      </c>
      <c r="C1476" s="2">
        <f t="shared" ca="1" si="5"/>
        <v>4.0841972981464835E-3</v>
      </c>
    </row>
    <row r="1477" spans="1:3">
      <c r="A1477" s="3">
        <f ca="1">IFERROR(__xludf.UNSUPPORTED("""COMPUTED_VALUE"""),45607.6666666666)</f>
        <v>45607.666666666599</v>
      </c>
      <c r="B1477" s="1">
        <f ca="1">IFERROR(__xludf.UNSUPPORTED("""COMPUTED_VALUE"""),63.36)</f>
        <v>63.36</v>
      </c>
      <c r="C1477" s="2">
        <f t="shared" ca="1" si="5"/>
        <v>-8.7609511889862688E-3</v>
      </c>
    </row>
    <row r="1478" spans="1:3">
      <c r="A1478" s="3">
        <f ca="1">IFERROR(__xludf.UNSUPPORTED("""COMPUTED_VALUE"""),45608.6666666666)</f>
        <v>45608.666666666599</v>
      </c>
      <c r="B1478" s="1">
        <f ca="1">IFERROR(__xludf.UNSUPPORTED("""COMPUTED_VALUE"""),63.2)</f>
        <v>63.2</v>
      </c>
      <c r="C1478" s="2">
        <f t="shared" ca="1" si="5"/>
        <v>-2.5252525252524713E-3</v>
      </c>
    </row>
    <row r="1479" spans="1:3">
      <c r="A1479" s="3">
        <f ca="1">IFERROR(__xludf.UNSUPPORTED("""COMPUTED_VALUE"""),45609.6666666666)</f>
        <v>45609.666666666599</v>
      </c>
      <c r="B1479" s="1">
        <f ca="1">IFERROR(__xludf.UNSUPPORTED("""COMPUTED_VALUE"""),63)</f>
        <v>63</v>
      </c>
      <c r="C1479" s="2">
        <f t="shared" ca="1" si="5"/>
        <v>-3.1645569620253611E-3</v>
      </c>
    </row>
    <row r="1480" spans="1:3">
      <c r="A1480" s="3">
        <f ca="1">IFERROR(__xludf.UNSUPPORTED("""COMPUTED_VALUE"""),45610.6666666666)</f>
        <v>45610.666666666599</v>
      </c>
      <c r="B1480" s="1">
        <f ca="1">IFERROR(__xludf.UNSUPPORTED("""COMPUTED_VALUE"""),62.55)</f>
        <v>62.55</v>
      </c>
      <c r="C1480" s="2">
        <f t="shared" ca="1" si="5"/>
        <v>-7.1428571428571877E-3</v>
      </c>
    </row>
    <row r="1481" spans="1:3">
      <c r="A1481" s="3">
        <f ca="1">IFERROR(__xludf.UNSUPPORTED("""COMPUTED_VALUE"""),45611.6666666666)</f>
        <v>45611.666666666599</v>
      </c>
      <c r="B1481" s="1">
        <f ca="1">IFERROR(__xludf.UNSUPPORTED("""COMPUTED_VALUE"""),61.74)</f>
        <v>61.74</v>
      </c>
      <c r="C1481" s="2">
        <f t="shared" ca="1" si="5"/>
        <v>-1.2949640287769707E-2</v>
      </c>
    </row>
    <row r="1482" spans="1:3">
      <c r="A1482" s="3">
        <f ca="1">IFERROR(__xludf.UNSUPPORTED("""COMPUTED_VALUE"""),45614.6666666666)</f>
        <v>45614.666666666599</v>
      </c>
      <c r="B1482" s="1">
        <f ca="1">IFERROR(__xludf.UNSUPPORTED("""COMPUTED_VALUE"""),61.86)</f>
        <v>61.86</v>
      </c>
      <c r="C1482" s="2">
        <f t="shared" ca="1" si="5"/>
        <v>1.9436345966957797E-3</v>
      </c>
    </row>
    <row r="1483" spans="1:3">
      <c r="A1483" s="3">
        <f ca="1">IFERROR(__xludf.UNSUPPORTED("""COMPUTED_VALUE"""),45615.6666666666)</f>
        <v>45615.666666666599</v>
      </c>
      <c r="B1483" s="1">
        <f ca="1">IFERROR(__xludf.UNSUPPORTED("""COMPUTED_VALUE"""),62.59)</f>
        <v>62.59</v>
      </c>
      <c r="C1483" s="2">
        <f t="shared" ca="1" si="5"/>
        <v>1.1800840607824183E-2</v>
      </c>
    </row>
    <row r="1484" spans="1:3">
      <c r="A1484" s="3">
        <f ca="1">IFERROR(__xludf.UNSUPPORTED("""COMPUTED_VALUE"""),45616.6666666666)</f>
        <v>45616.666666666599</v>
      </c>
      <c r="B1484" s="1">
        <f ca="1">IFERROR(__xludf.UNSUPPORTED("""COMPUTED_VALUE"""),62.99)</f>
        <v>62.99</v>
      </c>
      <c r="C1484" s="2">
        <f t="shared" ca="1" si="5"/>
        <v>6.3907972519571584E-3</v>
      </c>
    </row>
    <row r="1485" spans="1:3">
      <c r="A1485" s="3">
        <f ca="1">IFERROR(__xludf.UNSUPPORTED("""COMPUTED_VALUE"""),45617.6666666666)</f>
        <v>45617.666666666599</v>
      </c>
      <c r="B1485" s="1">
        <f ca="1">IFERROR(__xludf.UNSUPPORTED("""COMPUTED_VALUE"""),63.76)</f>
        <v>63.76</v>
      </c>
      <c r="C1485" s="2">
        <f t="shared" ca="1" si="5"/>
        <v>1.2224162565486522E-2</v>
      </c>
    </row>
    <row r="1486" spans="1:3">
      <c r="A1486" s="3">
        <f ca="1">IFERROR(__xludf.UNSUPPORTED("""COMPUTED_VALUE"""),45618.6666666666)</f>
        <v>45618.666666666599</v>
      </c>
      <c r="B1486" s="1">
        <f ca="1">IFERROR(__xludf.UNSUPPORTED("""COMPUTED_VALUE"""),63.92)</f>
        <v>63.92</v>
      </c>
      <c r="C1486" s="2">
        <f t="shared" ca="1" si="5"/>
        <v>2.5094102885822411E-3</v>
      </c>
    </row>
    <row r="1487" spans="1:3">
      <c r="A1487" s="3">
        <f ca="1">IFERROR(__xludf.UNSUPPORTED("""COMPUTED_VALUE"""),45621.6666666666)</f>
        <v>45621.666666666599</v>
      </c>
      <c r="B1487" s="1">
        <f ca="1">IFERROR(__xludf.UNSUPPORTED("""COMPUTED_VALUE"""),64.38)</f>
        <v>64.38</v>
      </c>
      <c r="C1487" s="2">
        <f t="shared" ca="1" si="5"/>
        <v>7.1964956195243075E-3</v>
      </c>
    </row>
    <row r="1488" spans="1:3">
      <c r="A1488" s="3">
        <f ca="1">IFERROR(__xludf.UNSUPPORTED("""COMPUTED_VALUE"""),45622.6666666666)</f>
        <v>45622.666666666599</v>
      </c>
      <c r="B1488" s="1">
        <f ca="1">IFERROR(__xludf.UNSUPPORTED("""COMPUTED_VALUE"""),64.55)</f>
        <v>64.55</v>
      </c>
      <c r="C1488" s="2">
        <f t="shared" ca="1" si="5"/>
        <v>2.6405716060888739E-3</v>
      </c>
    </row>
    <row r="1489" spans="1:3">
      <c r="A1489" s="3">
        <f ca="1">IFERROR(__xludf.UNSUPPORTED("""COMPUTED_VALUE"""),45623.6666666666)</f>
        <v>45623.666666666599</v>
      </c>
      <c r="B1489" s="1">
        <f ca="1">IFERROR(__xludf.UNSUPPORTED("""COMPUTED_VALUE"""),64.43)</f>
        <v>64.430000000000007</v>
      </c>
      <c r="C1489" s="2">
        <f t="shared" ca="1" si="5"/>
        <v>-1.8590240123933439E-3</v>
      </c>
    </row>
    <row r="1490" spans="1:3">
      <c r="A1490" s="3">
        <f ca="1">IFERROR(__xludf.UNSUPPORTED("""COMPUTED_VALUE"""),45625.5416666666)</f>
        <v>45625.541666666599</v>
      </c>
      <c r="B1490" s="1">
        <f ca="1">IFERROR(__xludf.UNSUPPORTED("""COMPUTED_VALUE"""),64.08)</f>
        <v>64.08</v>
      </c>
      <c r="C1490" s="2">
        <f t="shared" ca="1" si="5"/>
        <v>-5.4322520564955533E-3</v>
      </c>
    </row>
    <row r="1491" spans="1:3">
      <c r="A1491" s="3">
        <f ca="1">IFERROR(__xludf.UNSUPPORTED("""COMPUTED_VALUE"""),45628.6666666666)</f>
        <v>45628.666666666599</v>
      </c>
      <c r="B1491" s="1">
        <f ca="1">IFERROR(__xludf.UNSUPPORTED("""COMPUTED_VALUE"""),63.65)</f>
        <v>63.65</v>
      </c>
      <c r="C1491" s="2">
        <f t="shared" ca="1" si="5"/>
        <v>-6.7103620474406947E-3</v>
      </c>
    </row>
    <row r="1492" spans="1:3">
      <c r="A1492" s="3">
        <f ca="1">IFERROR(__xludf.UNSUPPORTED("""COMPUTED_VALUE"""),45629.6666666666)</f>
        <v>45629.666666666599</v>
      </c>
      <c r="B1492" s="1">
        <f ca="1">IFERROR(__xludf.UNSUPPORTED("""COMPUTED_VALUE"""),63.52)</f>
        <v>63.52</v>
      </c>
      <c r="C1492" s="2">
        <f t="shared" ca="1" si="5"/>
        <v>-2.0424194815395987E-3</v>
      </c>
    </row>
    <row r="1493" spans="1:3">
      <c r="A1493" s="3">
        <f ca="1">IFERROR(__xludf.UNSUPPORTED("""COMPUTED_VALUE"""),45630.6666666666)</f>
        <v>45630.666666666599</v>
      </c>
      <c r="B1493" s="1">
        <f ca="1">IFERROR(__xludf.UNSUPPORTED("""COMPUTED_VALUE"""),62.21)</f>
        <v>62.21</v>
      </c>
      <c r="C1493" s="2">
        <f t="shared" ca="1" si="5"/>
        <v>-2.0623425692695249E-2</v>
      </c>
    </row>
    <row r="1494" spans="1:3">
      <c r="A1494" s="3">
        <f ca="1">IFERROR(__xludf.UNSUPPORTED("""COMPUTED_VALUE"""),45631.6666666666)</f>
        <v>45631.666666666599</v>
      </c>
      <c r="B1494" s="1">
        <f ca="1">IFERROR(__xludf.UNSUPPORTED("""COMPUTED_VALUE"""),62.92)</f>
        <v>62.92</v>
      </c>
      <c r="C1494" s="2">
        <f t="shared" ca="1" si="5"/>
        <v>1.1412956116380017E-2</v>
      </c>
    </row>
    <row r="1495" spans="1:3">
      <c r="A1495" s="3">
        <f ca="1">IFERROR(__xludf.UNSUPPORTED("""COMPUTED_VALUE"""),45632.6666666666)</f>
        <v>45632.666666666599</v>
      </c>
      <c r="B1495" s="1">
        <f ca="1">IFERROR(__xludf.UNSUPPORTED("""COMPUTED_VALUE"""),62.53)</f>
        <v>62.53</v>
      </c>
      <c r="C1495" s="2">
        <f t="shared" ca="1" si="5"/>
        <v>-6.1983471074380254E-3</v>
      </c>
    </row>
    <row r="1496" spans="1:3">
      <c r="A1496" s="3">
        <f ca="1">IFERROR(__xludf.UNSUPPORTED("""COMPUTED_VALUE"""),45635.6666666666)</f>
        <v>45635.666666666599</v>
      </c>
      <c r="B1496" s="1">
        <f ca="1">IFERROR(__xludf.UNSUPPORTED("""COMPUTED_VALUE"""),62.6)</f>
        <v>62.6</v>
      </c>
      <c r="C1496" s="2">
        <f t="shared" ca="1" si="5"/>
        <v>1.1194626579242009E-3</v>
      </c>
    </row>
    <row r="1497" spans="1:3">
      <c r="A1497" s="3">
        <f ca="1">IFERROR(__xludf.UNSUPPORTED("""COMPUTED_VALUE"""),45636.6666666666)</f>
        <v>45636.666666666599</v>
      </c>
      <c r="B1497" s="1">
        <f ca="1">IFERROR(__xludf.UNSUPPORTED("""COMPUTED_VALUE"""),62.91)</f>
        <v>62.91</v>
      </c>
      <c r="C1497" s="2">
        <f t="shared" ca="1" si="5"/>
        <v>4.9520766773162167E-3</v>
      </c>
    </row>
    <row r="1498" spans="1:3">
      <c r="A1498" s="3">
        <f ca="1">IFERROR(__xludf.UNSUPPORTED("""COMPUTED_VALUE"""),45637.6666666666)</f>
        <v>45637.666666666599</v>
      </c>
      <c r="B1498" s="1">
        <f ca="1">IFERROR(__xludf.UNSUPPORTED("""COMPUTED_VALUE"""),62.64)</f>
        <v>62.64</v>
      </c>
      <c r="C1498" s="2">
        <f t="shared" ca="1" si="5"/>
        <v>-4.2918454935621684E-3</v>
      </c>
    </row>
    <row r="1499" spans="1:3">
      <c r="A1499" s="3">
        <f ca="1">IFERROR(__xludf.UNSUPPORTED("""COMPUTED_VALUE"""),45638.6666666666)</f>
        <v>45638.666666666599</v>
      </c>
      <c r="B1499" s="1">
        <f ca="1">IFERROR(__xludf.UNSUPPORTED("""COMPUTED_VALUE"""),63.84)</f>
        <v>63.84</v>
      </c>
      <c r="C1499" s="2">
        <f t="shared" ca="1" si="5"/>
        <v>1.9157088122605408E-2</v>
      </c>
    </row>
    <row r="1500" spans="1:3">
      <c r="A1500" s="3">
        <f ca="1">IFERROR(__xludf.UNSUPPORTED("""COMPUTED_VALUE"""),45639.6666666666)</f>
        <v>45639.666666666599</v>
      </c>
      <c r="B1500" s="1">
        <f ca="1">IFERROR(__xludf.UNSUPPORTED("""COMPUTED_VALUE"""),63.12)</f>
        <v>63.12</v>
      </c>
      <c r="C1500" s="2">
        <f t="shared" ca="1" si="5"/>
        <v>-1.1278195488721898E-2</v>
      </c>
    </row>
    <row r="1501" spans="1:3">
      <c r="A1501" s="3">
        <f ca="1">IFERROR(__xludf.UNSUPPORTED("""COMPUTED_VALUE"""),45642.6666666666)</f>
        <v>45642.666666666599</v>
      </c>
      <c r="B1501" s="1">
        <f ca="1">IFERROR(__xludf.UNSUPPORTED("""COMPUTED_VALUE"""),62.55)</f>
        <v>62.55</v>
      </c>
      <c r="C1501" s="2">
        <f t="shared" ca="1" si="5"/>
        <v>-9.0304182509505747E-3</v>
      </c>
    </row>
    <row r="1502" spans="1:3">
      <c r="A1502" s="3">
        <f ca="1">IFERROR(__xludf.UNSUPPORTED("""COMPUTED_VALUE"""),45643.6666666666)</f>
        <v>45643.666666666599</v>
      </c>
      <c r="B1502" s="1">
        <f ca="1">IFERROR(__xludf.UNSUPPORTED("""COMPUTED_VALUE"""),63.4)</f>
        <v>63.4</v>
      </c>
      <c r="C1502" s="2">
        <f t="shared" ca="1" si="5"/>
        <v>1.358912869704239E-2</v>
      </c>
    </row>
    <row r="1503" spans="1:3">
      <c r="A1503" s="3">
        <f ca="1">IFERROR(__xludf.UNSUPPORTED("""COMPUTED_VALUE"""),45644.6666666666)</f>
        <v>45644.666666666599</v>
      </c>
      <c r="B1503" s="1">
        <f ca="1">IFERROR(__xludf.UNSUPPORTED("""COMPUTED_VALUE"""),62.85)</f>
        <v>62.85</v>
      </c>
      <c r="C1503" s="2">
        <f t="shared" ca="1" si="5"/>
        <v>-8.675078864353267E-3</v>
      </c>
    </row>
    <row r="1504" spans="1:3">
      <c r="A1504" s="3">
        <f ca="1">IFERROR(__xludf.UNSUPPORTED("""COMPUTED_VALUE"""),45645.6666666666)</f>
        <v>45645.666666666599</v>
      </c>
      <c r="B1504" s="1">
        <f ca="1">IFERROR(__xludf.UNSUPPORTED("""COMPUTED_VALUE"""),62.45)</f>
        <v>62.45</v>
      </c>
      <c r="C1504" s="2">
        <f t="shared" ca="1" si="5"/>
        <v>-6.3643595863166038E-3</v>
      </c>
    </row>
    <row r="1505" spans="1:3">
      <c r="A1505" s="3">
        <f ca="1">IFERROR(__xludf.UNSUPPORTED("""COMPUTED_VALUE"""),45646.6666666666)</f>
        <v>45646.666666666599</v>
      </c>
      <c r="B1505" s="1">
        <f ca="1">IFERROR(__xludf.UNSUPPORTED("""COMPUTED_VALUE"""),62.55)</f>
        <v>62.55</v>
      </c>
      <c r="C1505" s="2">
        <f t="shared" ca="1" si="5"/>
        <v>1.6012810248197647E-3</v>
      </c>
    </row>
    <row r="1506" spans="1:3">
      <c r="A1506" s="3">
        <f ca="1">IFERROR(__xludf.UNSUPPORTED("""COMPUTED_VALUE"""),45649.6666666666)</f>
        <v>45649.666666666599</v>
      </c>
      <c r="B1506" s="1">
        <f ca="1">IFERROR(__xludf.UNSUPPORTED("""COMPUTED_VALUE"""),62.38)</f>
        <v>62.38</v>
      </c>
      <c r="C1506" s="2">
        <f t="shared" ca="1" si="5"/>
        <v>-2.7178257394083871E-3</v>
      </c>
    </row>
    <row r="1507" spans="1:3">
      <c r="A1507" s="3">
        <f ca="1">IFERROR(__xludf.UNSUPPORTED("""COMPUTED_VALUE"""),45650.5416666666)</f>
        <v>45650.541666666599</v>
      </c>
      <c r="B1507" s="1">
        <f ca="1">IFERROR(__xludf.UNSUPPORTED("""COMPUTED_VALUE"""),62.84)</f>
        <v>62.84</v>
      </c>
      <c r="C1507" s="2">
        <f t="shared" ca="1" si="5"/>
        <v>7.3741583840974808E-3</v>
      </c>
    </row>
    <row r="1508" spans="1:3">
      <c r="A1508" s="3">
        <f ca="1">IFERROR(__xludf.UNSUPPORTED("""COMPUTED_VALUE"""),45652.6666666666)</f>
        <v>45652.666666666599</v>
      </c>
      <c r="B1508" s="1">
        <f ca="1">IFERROR(__xludf.UNSUPPORTED("""COMPUTED_VALUE"""),62.57)</f>
        <v>62.57</v>
      </c>
      <c r="C1508" s="2">
        <f t="shared" ca="1" si="5"/>
        <v>-4.2966263526416793E-3</v>
      </c>
    </row>
    <row r="1509" spans="1:3">
      <c r="A1509" s="3">
        <f ca="1">IFERROR(__xludf.UNSUPPORTED("""COMPUTED_VALUE"""),45653.6666666666)</f>
        <v>45653.666666666599</v>
      </c>
      <c r="B1509" s="1">
        <f ca="1">IFERROR(__xludf.UNSUPPORTED("""COMPUTED_VALUE"""),62.45)</f>
        <v>62.45</v>
      </c>
      <c r="C1509" s="2">
        <f t="shared" ca="1" si="5"/>
        <v>-1.9178520057535151E-3</v>
      </c>
    </row>
    <row r="1510" spans="1:3">
      <c r="A1510" s="3">
        <f ca="1">IFERROR(__xludf.UNSUPPORTED("""COMPUTED_VALUE"""),45656.6666666666)</f>
        <v>45656.666666666599</v>
      </c>
      <c r="B1510" s="1">
        <f ca="1">IFERROR(__xludf.UNSUPPORTED("""COMPUTED_VALUE"""),62.03)</f>
        <v>62.03</v>
      </c>
      <c r="C1510" s="2">
        <f t="shared" ca="1" si="5"/>
        <v>-6.7253803042434217E-3</v>
      </c>
    </row>
    <row r="1511" spans="1:3">
      <c r="A1511" s="3">
        <f ca="1">IFERROR(__xludf.UNSUPPORTED("""COMPUTED_VALUE"""),45657.6666666666)</f>
        <v>45657.666666666599</v>
      </c>
      <c r="B1511" s="1">
        <f ca="1">IFERROR(__xludf.UNSUPPORTED("""COMPUTED_VALUE"""),62.26)</f>
        <v>62.26</v>
      </c>
      <c r="C1511" s="2">
        <f t="shared" ca="1" si="5"/>
        <v>3.7078832822827158E-3</v>
      </c>
    </row>
    <row r="1512" spans="1:3">
      <c r="A1512" s="3">
        <f ca="1">IFERROR(__xludf.UNSUPPORTED("""COMPUTED_VALUE"""),45659.6666666666)</f>
        <v>45659.666666666599</v>
      </c>
      <c r="B1512" s="1">
        <f ca="1">IFERROR(__xludf.UNSUPPORTED("""COMPUTED_VALUE"""),61.84)</f>
        <v>61.84</v>
      </c>
      <c r="C1512" s="2">
        <f t="shared" ca="1" si="5"/>
        <v>-6.7459042724059524E-3</v>
      </c>
    </row>
    <row r="1513" spans="1:3">
      <c r="A1513" s="3">
        <f ca="1">IFERROR(__xludf.UNSUPPORTED("""COMPUTED_VALUE"""),45660.6666666666)</f>
        <v>45660.666666666599</v>
      </c>
      <c r="B1513" s="1">
        <f ca="1">IFERROR(__xludf.UNSUPPORTED("""COMPUTED_VALUE"""),61.75)</f>
        <v>61.75</v>
      </c>
      <c r="C1513" s="2">
        <f t="shared" ca="1" si="5"/>
        <v>-1.4553686934023838E-3</v>
      </c>
    </row>
    <row r="1514" spans="1:3">
      <c r="A1514" s="3">
        <f ca="1">IFERROR(__xludf.UNSUPPORTED("""COMPUTED_VALUE"""),45663.6666666666)</f>
        <v>45663.666666666599</v>
      </c>
      <c r="B1514" s="1">
        <f ca="1">IFERROR(__xludf.UNSUPPORTED("""COMPUTED_VALUE"""),60.81)</f>
        <v>60.81</v>
      </c>
      <c r="C1514" s="2">
        <f t="shared" ca="1" si="5"/>
        <v>-1.5222672064777291E-2</v>
      </c>
    </row>
    <row r="1515" spans="1:3">
      <c r="A1515" s="3">
        <f ca="1">IFERROR(__xludf.UNSUPPORTED("""COMPUTED_VALUE"""),45664.6666666666)</f>
        <v>45664.666666666599</v>
      </c>
      <c r="B1515" s="1">
        <f ca="1">IFERROR(__xludf.UNSUPPORTED("""COMPUTED_VALUE"""),60.84)</f>
        <v>60.84</v>
      </c>
      <c r="C1515" s="2">
        <f t="shared" ca="1" si="5"/>
        <v>4.9333991119883468E-4</v>
      </c>
    </row>
    <row r="1516" spans="1:3">
      <c r="A1516" s="3">
        <f ca="1">IFERROR(__xludf.UNSUPPORTED("""COMPUTED_VALUE"""),45665.6666666666)</f>
        <v>45665.666666666599</v>
      </c>
      <c r="B1516" s="1">
        <f ca="1">IFERROR(__xludf.UNSUPPORTED("""COMPUTED_VALUE"""),61.71)</f>
        <v>61.71</v>
      </c>
      <c r="C1516" s="2">
        <f t="shared" ca="1" si="5"/>
        <v>1.429980276134118E-2</v>
      </c>
    </row>
    <row r="1517" spans="1:3">
      <c r="A1517" s="3">
        <f ca="1">IFERROR(__xludf.UNSUPPORTED("""COMPUTED_VALUE"""),45667.6666666666)</f>
        <v>45667.666666666599</v>
      </c>
      <c r="B1517" s="1">
        <f ca="1">IFERROR(__xludf.UNSUPPORTED("""COMPUTED_VALUE"""),61.07)</f>
        <v>61.07</v>
      </c>
      <c r="C1517" s="2">
        <f t="shared" ca="1" si="5"/>
        <v>-1.0371090584994337E-2</v>
      </c>
    </row>
    <row r="1518" spans="1:3">
      <c r="A1518" s="3">
        <f ca="1">IFERROR(__xludf.UNSUPPORTED("""COMPUTED_VALUE"""),45670.6666666666)</f>
        <v>45670.666666666599</v>
      </c>
      <c r="B1518" s="1">
        <f ca="1">IFERROR(__xludf.UNSUPPORTED("""COMPUTED_VALUE"""),61.65)</f>
        <v>61.65</v>
      </c>
      <c r="C1518" s="2">
        <f t="shared" ca="1" si="5"/>
        <v>9.4972981824135959E-3</v>
      </c>
    </row>
    <row r="1519" spans="1:3">
      <c r="A1519" s="3">
        <f ca="1">IFERROR(__xludf.UNSUPPORTED("""COMPUTED_VALUE"""),45671.6666666666)</f>
        <v>45671.666666666599</v>
      </c>
      <c r="B1519" s="1">
        <f ca="1">IFERROR(__xludf.UNSUPPORTED("""COMPUTED_VALUE"""),62.04)</f>
        <v>62.04</v>
      </c>
      <c r="C1519" s="2">
        <f t="shared" ca="1" si="5"/>
        <v>6.3260340632603504E-3</v>
      </c>
    </row>
    <row r="1520" spans="1:3">
      <c r="A1520" s="3">
        <f ca="1">IFERROR(__xludf.UNSUPPORTED("""COMPUTED_VALUE"""),45672.6666666666)</f>
        <v>45672.666666666599</v>
      </c>
      <c r="B1520" s="1">
        <f ca="1">IFERROR(__xludf.UNSUPPORTED("""COMPUTED_VALUE"""),61.77)</f>
        <v>61.77</v>
      </c>
      <c r="C1520" s="2">
        <f t="shared" ca="1" si="5"/>
        <v>-4.3520309477755644E-3</v>
      </c>
    </row>
    <row r="1521" spans="1:3">
      <c r="A1521" s="3">
        <f ca="1">IFERROR(__xludf.UNSUPPORTED("""COMPUTED_VALUE"""),45673.6666666666)</f>
        <v>45673.666666666599</v>
      </c>
      <c r="B1521" s="1">
        <f ca="1">IFERROR(__xludf.UNSUPPORTED("""COMPUTED_VALUE"""),62.25)</f>
        <v>62.25</v>
      </c>
      <c r="C1521" s="2">
        <f t="shared" ca="1" si="5"/>
        <v>7.7707625060708576E-3</v>
      </c>
    </row>
    <row r="1522" spans="1:3">
      <c r="A1522" s="3">
        <f ca="1">IFERROR(__xludf.UNSUPPORTED("""COMPUTED_VALUE"""),45674.6666666666)</f>
        <v>45674.666666666599</v>
      </c>
      <c r="B1522" s="1">
        <f ca="1">IFERROR(__xludf.UNSUPPORTED("""COMPUTED_VALUE"""),62.71)</f>
        <v>62.71</v>
      </c>
      <c r="C1522" s="2">
        <f t="shared" ca="1" si="5"/>
        <v>7.3895582329317408E-3</v>
      </c>
    </row>
    <row r="1523" spans="1:3">
      <c r="A1523" s="3">
        <f ca="1">IFERROR(__xludf.UNSUPPORTED("""COMPUTED_VALUE"""),45678.6666666666)</f>
        <v>45678.666666666599</v>
      </c>
      <c r="B1523" s="1">
        <f ca="1">IFERROR(__xludf.UNSUPPORTED("""COMPUTED_VALUE"""),62.42)</f>
        <v>62.42</v>
      </c>
      <c r="C1523" s="2">
        <f t="shared" ca="1" si="5"/>
        <v>-4.6244618083240178E-3</v>
      </c>
    </row>
    <row r="1524" spans="1:3">
      <c r="A1524" s="3">
        <f ca="1">IFERROR(__xludf.UNSUPPORTED("""COMPUTED_VALUE"""),45679.6666666666)</f>
        <v>45679.666666666599</v>
      </c>
      <c r="B1524" s="1">
        <f ca="1">IFERROR(__xludf.UNSUPPORTED("""COMPUTED_VALUE"""),61.78)</f>
        <v>61.78</v>
      </c>
      <c r="C1524" s="2">
        <f t="shared" ca="1" si="5"/>
        <v>-1.0253123998718368E-2</v>
      </c>
    </row>
    <row r="1525" spans="1:3">
      <c r="A1525" s="3">
        <f ca="1">IFERROR(__xludf.UNSUPPORTED("""COMPUTED_VALUE"""),45680.6666666666)</f>
        <v>45680.666666666599</v>
      </c>
      <c r="B1525" s="1">
        <f ca="1">IFERROR(__xludf.UNSUPPORTED("""COMPUTED_VALUE"""),61.53)</f>
        <v>61.53</v>
      </c>
      <c r="C1525" s="2">
        <f t="shared" ca="1" si="5"/>
        <v>-4.046617028164454E-3</v>
      </c>
    </row>
    <row r="1526" spans="1:3">
      <c r="A1526" s="3">
        <f ca="1">IFERROR(__xludf.UNSUPPORTED("""COMPUTED_VALUE"""),45681.6666666666)</f>
        <v>45681.666666666599</v>
      </c>
      <c r="B1526" s="1">
        <f ca="1">IFERROR(__xludf.UNSUPPORTED("""COMPUTED_VALUE"""),61.92)</f>
        <v>61.92</v>
      </c>
      <c r="C1526" s="2">
        <f t="shared" ca="1" si="5"/>
        <v>6.3383715260848456E-3</v>
      </c>
    </row>
    <row r="1527" spans="1:3">
      <c r="A1527" s="3">
        <f ca="1">IFERROR(__xludf.UNSUPPORTED("""COMPUTED_VALUE"""),45684.6666666666)</f>
        <v>45684.666666666599</v>
      </c>
      <c r="B1527" s="1">
        <f ca="1">IFERROR(__xludf.UNSUPPORTED("""COMPUTED_VALUE"""),63.87)</f>
        <v>63.87</v>
      </c>
      <c r="C1527" s="2">
        <f t="shared" ca="1" si="5"/>
        <v>3.1492248062015435E-2</v>
      </c>
    </row>
    <row r="1528" spans="1:3">
      <c r="A1528" s="3">
        <f ca="1">IFERROR(__xludf.UNSUPPORTED("""COMPUTED_VALUE"""),45685.6666666666)</f>
        <v>45685.666666666599</v>
      </c>
      <c r="B1528" s="1">
        <f ca="1">IFERROR(__xludf.UNSUPPORTED("""COMPUTED_VALUE"""),62.36)</f>
        <v>62.36</v>
      </c>
      <c r="C1528" s="2">
        <f t="shared" ca="1" si="5"/>
        <v>-2.3641772350086084E-2</v>
      </c>
    </row>
    <row r="1529" spans="1:3">
      <c r="A1529" s="3">
        <f ca="1">IFERROR(__xludf.UNSUPPORTED("""COMPUTED_VALUE"""),45686.6666666666)</f>
        <v>45686.666666666599</v>
      </c>
      <c r="B1529" s="1">
        <f ca="1">IFERROR(__xludf.UNSUPPORTED("""COMPUTED_VALUE"""),62.83)</f>
        <v>62.83</v>
      </c>
      <c r="C1529" s="2">
        <f t="shared" ca="1" si="5"/>
        <v>7.5368826170622016E-3</v>
      </c>
    </row>
    <row r="1530" spans="1:3">
      <c r="A1530" s="3">
        <f ca="1">IFERROR(__xludf.UNSUPPORTED("""COMPUTED_VALUE"""),45687.6666666666)</f>
        <v>45687.666666666599</v>
      </c>
      <c r="B1530" s="1">
        <f ca="1">IFERROR(__xludf.UNSUPPORTED("""COMPUTED_VALUE"""),64.05)</f>
        <v>64.05</v>
      </c>
      <c r="C1530" s="2">
        <f t="shared" ca="1" si="5"/>
        <v>1.9417475728155321E-2</v>
      </c>
    </row>
    <row r="1531" spans="1:3">
      <c r="A1531" s="3">
        <f ca="1">IFERROR(__xludf.UNSUPPORTED("""COMPUTED_VALUE"""),45688.6666666666)</f>
        <v>45688.666666666599</v>
      </c>
      <c r="B1531" s="1">
        <f ca="1">IFERROR(__xludf.UNSUPPORTED("""COMPUTED_VALUE"""),63.48)</f>
        <v>63.48</v>
      </c>
      <c r="C1531" s="2">
        <f t="shared" ca="1" si="5"/>
        <v>-8.8992974238875922E-3</v>
      </c>
    </row>
    <row r="1532" spans="1:3">
      <c r="A1532" s="3">
        <f ca="1">IFERROR(__xludf.UNSUPPORTED("""COMPUTED_VALUE"""),45691.6666666666)</f>
        <v>45691.666666666599</v>
      </c>
      <c r="B1532" s="1">
        <f ca="1">IFERROR(__xludf.UNSUPPORTED("""COMPUTED_VALUE"""),63.35)</f>
        <v>63.35</v>
      </c>
      <c r="C1532" s="2">
        <f t="shared" ca="1" si="5"/>
        <v>-2.0478890989287248E-3</v>
      </c>
    </row>
    <row r="1533" spans="1:3">
      <c r="A1533" s="3">
        <f ca="1">IFERROR(__xludf.UNSUPPORTED("""COMPUTED_VALUE"""),45692.6666666666)</f>
        <v>45692.666666666599</v>
      </c>
      <c r="B1533" s="1">
        <f ca="1">IFERROR(__xludf.UNSUPPORTED("""COMPUTED_VALUE"""),62.67)</f>
        <v>62.67</v>
      </c>
      <c r="C1533" s="2">
        <f t="shared" ref="C1533:C1772" ca="1" si="6">(B1533-B1532)/B1532</f>
        <v>-1.0734017363851614E-2</v>
      </c>
    </row>
    <row r="1534" spans="1:3">
      <c r="A1534" s="3">
        <f ca="1">IFERROR(__xludf.UNSUPPORTED("""COMPUTED_VALUE"""),45693.6666666666)</f>
        <v>45693.666666666599</v>
      </c>
      <c r="B1534" s="1">
        <f ca="1">IFERROR(__xludf.UNSUPPORTED("""COMPUTED_VALUE"""),63.12)</f>
        <v>63.12</v>
      </c>
      <c r="C1534" s="2">
        <f t="shared" ca="1" si="6"/>
        <v>7.1804691239826983E-3</v>
      </c>
    </row>
    <row r="1535" spans="1:3">
      <c r="A1535" s="3">
        <f ca="1">IFERROR(__xludf.UNSUPPORTED("""COMPUTED_VALUE"""),45694.6666666666)</f>
        <v>45694.666666666599</v>
      </c>
      <c r="B1535" s="1">
        <f ca="1">IFERROR(__xludf.UNSUPPORTED("""COMPUTED_VALUE"""),63.36)</f>
        <v>63.36</v>
      </c>
      <c r="C1535" s="2">
        <f t="shared" ca="1" si="6"/>
        <v>3.8022813688213244E-3</v>
      </c>
    </row>
    <row r="1536" spans="1:3">
      <c r="A1536" s="3">
        <f ca="1">IFERROR(__xludf.UNSUPPORTED("""COMPUTED_VALUE"""),45695.6666666666)</f>
        <v>45695.666666666599</v>
      </c>
      <c r="B1536" s="1">
        <f ca="1">IFERROR(__xludf.UNSUPPORTED("""COMPUTED_VALUE"""),63.84)</f>
        <v>63.84</v>
      </c>
      <c r="C1536" s="2">
        <f t="shared" ca="1" si="6"/>
        <v>7.5757575757576384E-3</v>
      </c>
    </row>
    <row r="1537" spans="1:3">
      <c r="A1537" s="3">
        <f ca="1">IFERROR(__xludf.UNSUPPORTED("""COMPUTED_VALUE"""),45698.6666666666)</f>
        <v>45698.666666666599</v>
      </c>
      <c r="B1537" s="1">
        <f ca="1">IFERROR(__xludf.UNSUPPORTED("""COMPUTED_VALUE"""),64.55)</f>
        <v>64.55</v>
      </c>
      <c r="C1537" s="2">
        <f t="shared" ca="1" si="6"/>
        <v>1.1121553884711682E-2</v>
      </c>
    </row>
    <row r="1538" spans="1:3">
      <c r="A1538" s="3">
        <f ca="1">IFERROR(__xludf.UNSUPPORTED("""COMPUTED_VALUE"""),45699.6666666666)</f>
        <v>45699.666666666599</v>
      </c>
      <c r="B1538" s="1">
        <f ca="1">IFERROR(__xludf.UNSUPPORTED("""COMPUTED_VALUE"""),67.6)</f>
        <v>67.599999999999994</v>
      </c>
      <c r="C1538" s="2">
        <f t="shared" ca="1" si="6"/>
        <v>4.7250193648334583E-2</v>
      </c>
    </row>
    <row r="1539" spans="1:3">
      <c r="A1539" s="3">
        <f ca="1">IFERROR(__xludf.UNSUPPORTED("""COMPUTED_VALUE"""),45700.6666666666)</f>
        <v>45700.666666666599</v>
      </c>
      <c r="B1539" s="1">
        <f ca="1">IFERROR(__xludf.UNSUPPORTED("""COMPUTED_VALUE"""),68.71)</f>
        <v>68.709999999999994</v>
      </c>
      <c r="C1539" s="2">
        <f t="shared" ca="1" si="6"/>
        <v>1.6420118343195258E-2</v>
      </c>
    </row>
    <row r="1540" spans="1:3">
      <c r="A1540" s="3">
        <f ca="1">IFERROR(__xludf.UNSUPPORTED("""COMPUTED_VALUE"""),45701.6666666666)</f>
        <v>45701.666666666599</v>
      </c>
      <c r="B1540" s="1">
        <f ca="1">IFERROR(__xludf.UNSUPPORTED("""COMPUTED_VALUE"""),69.5)</f>
        <v>69.5</v>
      </c>
      <c r="C1540" s="2">
        <f t="shared" ca="1" si="6"/>
        <v>1.1497598602823553E-2</v>
      </c>
    </row>
    <row r="1541" spans="1:3">
      <c r="A1541" s="3">
        <f ca="1">IFERROR(__xludf.UNSUPPORTED("""COMPUTED_VALUE"""),45702.6666666666)</f>
        <v>45702.666666666599</v>
      </c>
      <c r="B1541" s="1">
        <f ca="1">IFERROR(__xludf.UNSUPPORTED("""COMPUTED_VALUE"""),68.87)</f>
        <v>68.87</v>
      </c>
      <c r="C1541" s="2">
        <f t="shared" ca="1" si="6"/>
        <v>-9.0647482014387833E-3</v>
      </c>
    </row>
    <row r="1542" spans="1:3">
      <c r="A1542" s="3">
        <f ca="1">IFERROR(__xludf.UNSUPPORTED("""COMPUTED_VALUE"""),45706.6666666666)</f>
        <v>45706.666666666599</v>
      </c>
      <c r="B1542" s="1">
        <f ca="1">IFERROR(__xludf.UNSUPPORTED("""COMPUTED_VALUE"""),69.05)</f>
        <v>69.05</v>
      </c>
      <c r="C1542" s="2">
        <f t="shared" ca="1" si="6"/>
        <v>2.613619863510855E-3</v>
      </c>
    </row>
    <row r="1543" spans="1:3">
      <c r="A1543" s="3">
        <f ca="1">IFERROR(__xludf.UNSUPPORTED("""COMPUTED_VALUE"""),45707.6666666666)</f>
        <v>45707.666666666599</v>
      </c>
      <c r="B1543" s="1">
        <f ca="1">IFERROR(__xludf.UNSUPPORTED("""COMPUTED_VALUE"""),70.07)</f>
        <v>70.069999999999993</v>
      </c>
      <c r="C1543" s="2">
        <f t="shared" ca="1" si="6"/>
        <v>1.4771904417089008E-2</v>
      </c>
    </row>
    <row r="1544" spans="1:3">
      <c r="A1544" s="3">
        <f ca="1">IFERROR(__xludf.UNSUPPORTED("""COMPUTED_VALUE"""),45708.6666666666)</f>
        <v>45708.666666666599</v>
      </c>
      <c r="B1544" s="1">
        <f ca="1">IFERROR(__xludf.UNSUPPORTED("""COMPUTED_VALUE"""),70.04)</f>
        <v>70.040000000000006</v>
      </c>
      <c r="C1544" s="2">
        <f t="shared" ca="1" si="6"/>
        <v>-4.2814328528595591E-4</v>
      </c>
    </row>
    <row r="1545" spans="1:3">
      <c r="A1545" s="3">
        <f ca="1">IFERROR(__xludf.UNSUPPORTED("""COMPUTED_VALUE"""),45709.6666666666)</f>
        <v>45709.666666666599</v>
      </c>
      <c r="B1545" s="1">
        <f ca="1">IFERROR(__xludf.UNSUPPORTED("""COMPUTED_VALUE"""),71.35)</f>
        <v>71.349999999999994</v>
      </c>
      <c r="C1545" s="2">
        <f t="shared" ca="1" si="6"/>
        <v>1.870359794403181E-2</v>
      </c>
    </row>
    <row r="1546" spans="1:3">
      <c r="A1546" s="3">
        <f ca="1">IFERROR(__xludf.UNSUPPORTED("""COMPUTED_VALUE"""),45712.6666666666)</f>
        <v>45712.666666666599</v>
      </c>
      <c r="B1546" s="1">
        <f ca="1">IFERROR(__xludf.UNSUPPORTED("""COMPUTED_VALUE"""),70.59)</f>
        <v>70.59</v>
      </c>
      <c r="C1546" s="2">
        <f t="shared" ca="1" si="6"/>
        <v>-1.0651716888577309E-2</v>
      </c>
    </row>
    <row r="1547" spans="1:3">
      <c r="A1547" s="3">
        <f ca="1">IFERROR(__xludf.UNSUPPORTED("""COMPUTED_VALUE"""),45713.6666666666)</f>
        <v>45713.666666666599</v>
      </c>
      <c r="B1547" s="1">
        <f ca="1">IFERROR(__xludf.UNSUPPORTED("""COMPUTED_VALUE"""),71.49)</f>
        <v>71.489999999999995</v>
      </c>
      <c r="C1547" s="2">
        <f t="shared" ca="1" si="6"/>
        <v>1.274968125796843E-2</v>
      </c>
    </row>
    <row r="1548" spans="1:3">
      <c r="A1548" s="3">
        <f ca="1">IFERROR(__xludf.UNSUPPORTED("""COMPUTED_VALUE"""),45714.6666666666)</f>
        <v>45714.666666666599</v>
      </c>
      <c r="B1548" s="1">
        <f ca="1">IFERROR(__xludf.UNSUPPORTED("""COMPUTED_VALUE"""),70.8)</f>
        <v>70.8</v>
      </c>
      <c r="C1548" s="2">
        <f t="shared" ca="1" si="6"/>
        <v>-9.6516995383969482E-3</v>
      </c>
    </row>
    <row r="1549" spans="1:3">
      <c r="A1549" s="3">
        <f ca="1">IFERROR(__xludf.UNSUPPORTED("""COMPUTED_VALUE"""),45715.6666666666)</f>
        <v>45715.666666666599</v>
      </c>
      <c r="B1549" s="1">
        <f ca="1">IFERROR(__xludf.UNSUPPORTED("""COMPUTED_VALUE"""),70.87)</f>
        <v>70.87</v>
      </c>
      <c r="C1549" s="2">
        <f t="shared" ca="1" si="6"/>
        <v>9.8870056497185588E-4</v>
      </c>
    </row>
    <row r="1550" spans="1:3">
      <c r="A1550" s="3">
        <f ca="1">IFERROR(__xludf.UNSUPPORTED("""COMPUTED_VALUE"""),45716.6666666666)</f>
        <v>45716.666666666599</v>
      </c>
      <c r="B1550" s="1">
        <f ca="1">IFERROR(__xludf.UNSUPPORTED("""COMPUTED_VALUE"""),71.21)</f>
        <v>71.209999999999994</v>
      </c>
      <c r="C1550" s="2">
        <f t="shared" ca="1" si="6"/>
        <v>4.7975165796527329E-3</v>
      </c>
    </row>
    <row r="1551" spans="1:3">
      <c r="A1551" s="3">
        <f ca="1">IFERROR(__xludf.UNSUPPORTED("""COMPUTED_VALUE"""),45719.6666666666)</f>
        <v>45719.666666666599</v>
      </c>
      <c r="B1551" s="1">
        <f ca="1">IFERROR(__xludf.UNSUPPORTED("""COMPUTED_VALUE"""),72.32)</f>
        <v>72.319999999999993</v>
      </c>
      <c r="C1551" s="2">
        <f t="shared" ca="1" si="6"/>
        <v>1.5587698356972329E-2</v>
      </c>
    </row>
    <row r="1552" spans="1:3">
      <c r="A1552" s="3">
        <f ca="1">IFERROR(__xludf.UNSUPPORTED("""COMPUTED_VALUE"""),45720.6666666666)</f>
        <v>45720.666666666599</v>
      </c>
      <c r="B1552" s="1">
        <f ca="1">IFERROR(__xludf.UNSUPPORTED("""COMPUTED_VALUE"""),70.19)</f>
        <v>70.19</v>
      </c>
      <c r="C1552" s="2">
        <f t="shared" ca="1" si="6"/>
        <v>-2.9452433628318522E-2</v>
      </c>
    </row>
    <row r="1553" spans="1:3">
      <c r="A1553" s="3">
        <f ca="1">IFERROR(__xludf.UNSUPPORTED("""COMPUTED_VALUE"""),45721.6666666666)</f>
        <v>45721.666666666599</v>
      </c>
      <c r="B1553" s="1">
        <f ca="1">IFERROR(__xludf.UNSUPPORTED("""COMPUTED_VALUE"""),70.08)</f>
        <v>70.08</v>
      </c>
      <c r="C1553" s="2">
        <f t="shared" ca="1" si="6"/>
        <v>-1.5671748112266624E-3</v>
      </c>
    </row>
    <row r="1554" spans="1:3">
      <c r="A1554" s="3">
        <f ca="1">IFERROR(__xludf.UNSUPPORTED("""COMPUTED_VALUE"""),45722.6666666666)</f>
        <v>45722.666666666599</v>
      </c>
      <c r="B1554" s="1">
        <f ca="1">IFERROR(__xludf.UNSUPPORTED("""COMPUTED_VALUE"""),70.46)</f>
        <v>70.459999999999994</v>
      </c>
      <c r="C1554" s="2">
        <f t="shared" ca="1" si="6"/>
        <v>5.4223744292236798E-3</v>
      </c>
    </row>
    <row r="1555" spans="1:3">
      <c r="A1555" s="3">
        <f ca="1">IFERROR(__xludf.UNSUPPORTED("""COMPUTED_VALUE"""),45723.6666666666)</f>
        <v>45723.666666666599</v>
      </c>
      <c r="B1555" s="1">
        <f ca="1">IFERROR(__xludf.UNSUPPORTED("""COMPUTED_VALUE"""),71.43)</f>
        <v>71.430000000000007</v>
      </c>
      <c r="C1555" s="2">
        <f t="shared" ca="1" si="6"/>
        <v>1.3766676128299932E-2</v>
      </c>
    </row>
    <row r="1556" spans="1:3">
      <c r="A1556" s="3">
        <f ca="1">IFERROR(__xludf.UNSUPPORTED("""COMPUTED_VALUE"""),45726.6666666666)</f>
        <v>45726.666666666599</v>
      </c>
      <c r="B1556" s="1">
        <f ca="1">IFERROR(__xludf.UNSUPPORTED("""COMPUTED_VALUE"""),71.45)</f>
        <v>71.45</v>
      </c>
      <c r="C1556" s="2">
        <f t="shared" ca="1" si="6"/>
        <v>2.7999440011194205E-4</v>
      </c>
    </row>
    <row r="1557" spans="1:3">
      <c r="A1557" s="3">
        <f ca="1">IFERROR(__xludf.UNSUPPORTED("""COMPUTED_VALUE"""),45727.6666666666)</f>
        <v>45727.666666666599</v>
      </c>
      <c r="B1557" s="1">
        <f ca="1">IFERROR(__xludf.UNSUPPORTED("""COMPUTED_VALUE"""),71.04)</f>
        <v>71.040000000000006</v>
      </c>
      <c r="C1557" s="2">
        <f t="shared" ca="1" si="6"/>
        <v>-5.7382785164450181E-3</v>
      </c>
    </row>
    <row r="1558" spans="1:3">
      <c r="A1558" s="3">
        <f ca="1">IFERROR(__xludf.UNSUPPORTED("""COMPUTED_VALUE"""),45728.6666666666)</f>
        <v>45728.666666666599</v>
      </c>
      <c r="B1558" s="1">
        <f ca="1">IFERROR(__xludf.UNSUPPORTED("""COMPUTED_VALUE"""),69.94)</f>
        <v>69.94</v>
      </c>
      <c r="C1558" s="2">
        <f t="shared" ca="1" si="6"/>
        <v>-1.5484234234234354E-2</v>
      </c>
    </row>
    <row r="1559" spans="1:3">
      <c r="A1559" s="3">
        <f ca="1">IFERROR(__xludf.UNSUPPORTED("""COMPUTED_VALUE"""),45729.6666666666)</f>
        <v>45729.666666666599</v>
      </c>
      <c r="B1559" s="1">
        <f ca="1">IFERROR(__xludf.UNSUPPORTED("""COMPUTED_VALUE"""),69.62)</f>
        <v>69.62</v>
      </c>
      <c r="C1559" s="2">
        <f t="shared" ca="1" si="6"/>
        <v>-4.5753503002572658E-3</v>
      </c>
    </row>
    <row r="1560" spans="1:3">
      <c r="A1560" s="3">
        <f ca="1">IFERROR(__xludf.UNSUPPORTED("""COMPUTED_VALUE"""),45730.6666666666)</f>
        <v>45730.666666666599</v>
      </c>
      <c r="B1560" s="1">
        <f ca="1">IFERROR(__xludf.UNSUPPORTED("""COMPUTED_VALUE"""),69.16)</f>
        <v>69.16</v>
      </c>
      <c r="C1560" s="2">
        <f t="shared" ca="1" si="6"/>
        <v>-6.6072967538064915E-3</v>
      </c>
    </row>
    <row r="1561" spans="1:3">
      <c r="A1561" s="3">
        <f ca="1">IFERROR(__xludf.UNSUPPORTED("""COMPUTED_VALUE"""),45733.6666666666)</f>
        <v>45733.666666666599</v>
      </c>
      <c r="B1561" s="1">
        <f ca="1">IFERROR(__xludf.UNSUPPORTED("""COMPUTED_VALUE"""),70.12)</f>
        <v>70.12</v>
      </c>
      <c r="C1561" s="2">
        <f t="shared" ca="1" si="6"/>
        <v>1.388085598611926E-2</v>
      </c>
    </row>
    <row r="1562" spans="1:3">
      <c r="A1562" s="3">
        <f ca="1">IFERROR(__xludf.UNSUPPORTED("""COMPUTED_VALUE"""),45734.6666666666)</f>
        <v>45734.666666666599</v>
      </c>
      <c r="B1562" s="1">
        <f ca="1">IFERROR(__xludf.UNSUPPORTED("""COMPUTED_VALUE"""),69.38)</f>
        <v>69.38</v>
      </c>
      <c r="C1562" s="2">
        <f t="shared" ca="1" si="6"/>
        <v>-1.0553337136337836E-2</v>
      </c>
    </row>
    <row r="1563" spans="1:3">
      <c r="A1563" s="3">
        <f ca="1">IFERROR(__xludf.UNSUPPORTED("""COMPUTED_VALUE"""),45735.6666666666)</f>
        <v>45735.666666666599</v>
      </c>
      <c r="B1563" s="1">
        <f ca="1">IFERROR(__xludf.UNSUPPORTED("""COMPUTED_VALUE"""),69.28)</f>
        <v>69.28</v>
      </c>
      <c r="C1563" s="2">
        <f t="shared" ca="1" si="6"/>
        <v>-1.4413375612567646E-3</v>
      </c>
    </row>
    <row r="1564" spans="1:3">
      <c r="A1564" s="3">
        <f ca="1">IFERROR(__xludf.UNSUPPORTED("""COMPUTED_VALUE"""),45736.6666666666)</f>
        <v>45736.666666666599</v>
      </c>
      <c r="B1564" s="1">
        <f ca="1">IFERROR(__xludf.UNSUPPORTED("""COMPUTED_VALUE"""),69.71)</f>
        <v>69.709999999999994</v>
      </c>
      <c r="C1564" s="2">
        <f t="shared" ca="1" si="6"/>
        <v>6.206697459584189E-3</v>
      </c>
    </row>
    <row r="1565" spans="1:3">
      <c r="A1565" s="3">
        <f ca="1">IFERROR(__xludf.UNSUPPORTED("""COMPUTED_VALUE"""),45737.6666666666)</f>
        <v>45737.666666666599</v>
      </c>
      <c r="B1565" s="1">
        <f ca="1">IFERROR(__xludf.UNSUPPORTED("""COMPUTED_VALUE"""),68.67)</f>
        <v>68.67</v>
      </c>
      <c r="C1565" s="2">
        <f t="shared" ca="1" si="6"/>
        <v>-1.4918949935446738E-2</v>
      </c>
    </row>
    <row r="1566" spans="1:3">
      <c r="A1566" s="3">
        <f ca="1">IFERROR(__xludf.UNSUPPORTED("""COMPUTED_VALUE"""),45740.6666666666)</f>
        <v>45740.666666666599</v>
      </c>
      <c r="B1566" s="1">
        <f ca="1">IFERROR(__xludf.UNSUPPORTED("""COMPUTED_VALUE"""),68.95)</f>
        <v>68.95</v>
      </c>
      <c r="C1566" s="2">
        <f t="shared" ca="1" si="6"/>
        <v>4.0774719673802411E-3</v>
      </c>
    </row>
    <row r="1567" spans="1:3">
      <c r="A1567" s="3">
        <f ca="1">IFERROR(__xludf.UNSUPPORTED("""COMPUTED_VALUE"""),45741.6666666666)</f>
        <v>45741.666666666599</v>
      </c>
      <c r="B1567" s="1">
        <f ca="1">IFERROR(__xludf.UNSUPPORTED("""COMPUTED_VALUE"""),68.81)</f>
        <v>68.81</v>
      </c>
      <c r="C1567" s="2">
        <f t="shared" ca="1" si="6"/>
        <v>-2.0304568527918865E-3</v>
      </c>
    </row>
    <row r="1568" spans="1:3">
      <c r="A1568" s="3">
        <f ca="1">IFERROR(__xludf.UNSUPPORTED("""COMPUTED_VALUE"""),45742.6666666666)</f>
        <v>45742.666666666599</v>
      </c>
      <c r="B1568" s="1">
        <f ca="1">IFERROR(__xludf.UNSUPPORTED("""COMPUTED_VALUE"""),70.02)</f>
        <v>70.02</v>
      </c>
      <c r="C1568" s="2">
        <f t="shared" ca="1" si="6"/>
        <v>1.7584653393402032E-2</v>
      </c>
    </row>
    <row r="1569" spans="1:3">
      <c r="A1569" s="3">
        <f ca="1">IFERROR(__xludf.UNSUPPORTED("""COMPUTED_VALUE"""),45743.6666666666)</f>
        <v>45743.666666666599</v>
      </c>
      <c r="B1569" s="1">
        <f ca="1">IFERROR(__xludf.UNSUPPORTED("""COMPUTED_VALUE"""),70.74)</f>
        <v>70.739999999999995</v>
      </c>
      <c r="C1569" s="2">
        <f t="shared" ca="1" si="6"/>
        <v>1.028277634961438E-2</v>
      </c>
    </row>
    <row r="1570" spans="1:3">
      <c r="A1570" s="3">
        <f ca="1">IFERROR(__xludf.UNSUPPORTED("""COMPUTED_VALUE"""),45744.6666666666)</f>
        <v>45744.666666666599</v>
      </c>
      <c r="B1570" s="1">
        <f ca="1">IFERROR(__xludf.UNSUPPORTED("""COMPUTED_VALUE"""),70.37)</f>
        <v>70.37</v>
      </c>
      <c r="C1570" s="2">
        <f t="shared" ca="1" si="6"/>
        <v>-5.2304212609554758E-3</v>
      </c>
    </row>
    <row r="1571" spans="1:3">
      <c r="A1571" s="3">
        <f ca="1">IFERROR(__xludf.UNSUPPORTED("""COMPUTED_VALUE"""),45747.6666666666)</f>
        <v>45747.666666666599</v>
      </c>
      <c r="B1571" s="1">
        <f ca="1">IFERROR(__xludf.UNSUPPORTED("""COMPUTED_VALUE"""),71.62)</f>
        <v>71.62</v>
      </c>
      <c r="C1571" s="2">
        <f t="shared" ca="1" si="6"/>
        <v>1.7763251385533606E-2</v>
      </c>
    </row>
    <row r="1572" spans="1:3">
      <c r="A1572" s="3">
        <f ca="1">IFERROR(__xludf.UNSUPPORTED("""COMPUTED_VALUE"""),45748.6666666666)</f>
        <v>45748.666666666599</v>
      </c>
      <c r="B1572" s="1">
        <f ca="1">IFERROR(__xludf.UNSUPPORTED("""COMPUTED_VALUE"""),71.87)</f>
        <v>71.87</v>
      </c>
      <c r="C1572" s="2">
        <f t="shared" ca="1" si="6"/>
        <v>3.4906450712091593E-3</v>
      </c>
    </row>
    <row r="1573" spans="1:3">
      <c r="A1573" s="3">
        <f ca="1">IFERROR(__xludf.UNSUPPORTED("""COMPUTED_VALUE"""),45749.6666666666)</f>
        <v>45749.666666666599</v>
      </c>
      <c r="B1573" s="1">
        <f ca="1">IFERROR(__xludf.UNSUPPORTED("""COMPUTED_VALUE"""),71.33)</f>
        <v>71.33</v>
      </c>
      <c r="C1573" s="2">
        <f t="shared" ca="1" si="6"/>
        <v>-7.5135661611243389E-3</v>
      </c>
    </row>
    <row r="1574" spans="1:3">
      <c r="A1574" s="3">
        <f ca="1">IFERROR(__xludf.UNSUPPORTED("""COMPUTED_VALUE"""),45750.6666666666)</f>
        <v>45750.666666666599</v>
      </c>
      <c r="B1574" s="1">
        <f ca="1">IFERROR(__xludf.UNSUPPORTED("""COMPUTED_VALUE"""),73.18)</f>
        <v>73.180000000000007</v>
      </c>
      <c r="C1574" s="2">
        <f t="shared" ca="1" si="6"/>
        <v>2.5935791392121248E-2</v>
      </c>
    </row>
    <row r="1575" spans="1:3">
      <c r="A1575" s="3">
        <f ca="1">IFERROR(__xludf.UNSUPPORTED("""COMPUTED_VALUE"""),45751.6666666666)</f>
        <v>45751.666666666599</v>
      </c>
      <c r="B1575" s="1">
        <f ca="1">IFERROR(__xludf.UNSUPPORTED("""COMPUTED_VALUE"""),69.93)</f>
        <v>69.930000000000007</v>
      </c>
      <c r="C1575" s="2">
        <f t="shared" ca="1" si="6"/>
        <v>-4.4411041268106036E-2</v>
      </c>
    </row>
    <row r="1576" spans="1:3">
      <c r="A1576" s="3">
        <f ca="1">IFERROR(__xludf.UNSUPPORTED("""COMPUTED_VALUE"""),45754.6666666666)</f>
        <v>45754.666666666599</v>
      </c>
      <c r="B1576" s="1">
        <f ca="1">IFERROR(__xludf.UNSUPPORTED("""COMPUTED_VALUE"""),68.37)</f>
        <v>68.37</v>
      </c>
      <c r="C1576" s="2">
        <f t="shared" ca="1" si="6"/>
        <v>-2.2308022308022337E-2</v>
      </c>
    </row>
    <row r="1577" spans="1:3">
      <c r="A1577" s="3">
        <f ca="1">IFERROR(__xludf.UNSUPPORTED("""COMPUTED_VALUE"""),45755.6666666666)</f>
        <v>45755.666666666599</v>
      </c>
      <c r="B1577" s="1">
        <f ca="1">IFERROR(__xludf.UNSUPPORTED("""COMPUTED_VALUE"""),68.42)</f>
        <v>68.42</v>
      </c>
      <c r="C1577" s="2">
        <f t="shared" ca="1" si="6"/>
        <v>7.3131490419770591E-4</v>
      </c>
    </row>
    <row r="1578" spans="1:3">
      <c r="A1578" s="3">
        <f ca="1">IFERROR(__xludf.UNSUPPORTED("""COMPUTED_VALUE"""),45756.6666666666)</f>
        <v>45756.666666666599</v>
      </c>
      <c r="B1578" s="1">
        <f ca="1">IFERROR(__xludf.UNSUPPORTED("""COMPUTED_VALUE"""),69.95)</f>
        <v>69.95</v>
      </c>
      <c r="C1578" s="2">
        <f t="shared" ca="1" si="6"/>
        <v>2.2361882490499869E-2</v>
      </c>
    </row>
    <row r="1579" spans="1:3">
      <c r="A1579" s="3">
        <f ca="1">IFERROR(__xludf.UNSUPPORTED("""COMPUTED_VALUE"""),45757.6666666666)</f>
        <v>45757.666666666599</v>
      </c>
      <c r="B1579" s="1">
        <f ca="1">IFERROR(__xludf.UNSUPPORTED("""COMPUTED_VALUE"""),70.76)</f>
        <v>70.760000000000005</v>
      </c>
      <c r="C1579" s="2">
        <f t="shared" ca="1" si="6"/>
        <v>1.1579699785561148E-2</v>
      </c>
    </row>
    <row r="1580" spans="1:3">
      <c r="A1580" s="3">
        <f ca="1">IFERROR(__xludf.UNSUPPORTED("""COMPUTED_VALUE"""),45758.6666666666)</f>
        <v>45758.666666666599</v>
      </c>
      <c r="B1580" s="1">
        <f ca="1">IFERROR(__xludf.UNSUPPORTED("""COMPUTED_VALUE"""),71.43)</f>
        <v>71.430000000000007</v>
      </c>
      <c r="C1580" s="2">
        <f t="shared" ca="1" si="6"/>
        <v>9.4686263425664448E-3</v>
      </c>
    </row>
    <row r="1581" spans="1:3">
      <c r="A1581" s="3">
        <f ca="1">IFERROR(__xludf.UNSUPPORTED("""COMPUTED_VALUE"""),45761.6666666666)</f>
        <v>45761.666666666599</v>
      </c>
      <c r="B1581" s="1">
        <f ca="1">IFERROR(__xludf.UNSUPPORTED("""COMPUTED_VALUE"""),72.45)</f>
        <v>72.45</v>
      </c>
      <c r="C1581" s="2">
        <f t="shared" ca="1" si="6"/>
        <v>1.4279714405711829E-2</v>
      </c>
    </row>
    <row r="1582" spans="1:3">
      <c r="A1582" s="3">
        <f ca="1">IFERROR(__xludf.UNSUPPORTED("""COMPUTED_VALUE"""),45762.6666666666)</f>
        <v>45762.666666666599</v>
      </c>
      <c r="B1582" s="1">
        <f ca="1">IFERROR(__xludf.UNSUPPORTED("""COMPUTED_VALUE"""),71.86)</f>
        <v>71.86</v>
      </c>
      <c r="C1582" s="2">
        <f t="shared" ca="1" si="6"/>
        <v>-8.1435472739821036E-3</v>
      </c>
    </row>
    <row r="1583" spans="1:3">
      <c r="A1583" s="3">
        <f ca="1">IFERROR(__xludf.UNSUPPORTED("""COMPUTED_VALUE"""),45763.6666666666)</f>
        <v>45763.666666666599</v>
      </c>
      <c r="B1583" s="1">
        <f ca="1">IFERROR(__xludf.UNSUPPORTED("""COMPUTED_VALUE"""),71.68)</f>
        <v>71.680000000000007</v>
      </c>
      <c r="C1583" s="2">
        <f t="shared" ca="1" si="6"/>
        <v>-2.5048705816865099E-3</v>
      </c>
    </row>
    <row r="1584" spans="1:3">
      <c r="A1584" s="3">
        <f ca="1">IFERROR(__xludf.UNSUPPORTED("""COMPUTED_VALUE"""),45764.6666666666)</f>
        <v>45764.666666666599</v>
      </c>
      <c r="B1584" s="1">
        <f ca="1">IFERROR(__xludf.UNSUPPORTED("""COMPUTED_VALUE"""),73)</f>
        <v>73</v>
      </c>
      <c r="C1584" s="2">
        <f t="shared" ca="1" si="6"/>
        <v>1.8415178571428475E-2</v>
      </c>
    </row>
    <row r="1585" spans="1:3">
      <c r="A1585" s="3">
        <f ca="1">IFERROR(__xludf.UNSUPPORTED("""COMPUTED_VALUE"""),45768.6666666666)</f>
        <v>45768.666666666599</v>
      </c>
      <c r="B1585" s="1">
        <f ca="1">IFERROR(__xludf.UNSUPPORTED("""COMPUTED_VALUE"""),72.77)</f>
        <v>72.77</v>
      </c>
      <c r="C1585" s="2">
        <f t="shared" ca="1" si="6"/>
        <v>-3.1506849315069037E-3</v>
      </c>
    </row>
    <row r="1586" spans="1:3">
      <c r="A1586" s="3">
        <f ca="1">IFERROR(__xludf.UNSUPPORTED("""COMPUTED_VALUE"""),45769.6666666666)</f>
        <v>45769.666666666599</v>
      </c>
      <c r="B1586" s="1">
        <f ca="1">IFERROR(__xludf.UNSUPPORTED("""COMPUTED_VALUE"""),73.9)</f>
        <v>73.900000000000006</v>
      </c>
      <c r="C1586" s="2">
        <f t="shared" ca="1" si="6"/>
        <v>1.5528377078466535E-2</v>
      </c>
    </row>
    <row r="1587" spans="1:3">
      <c r="A1587" s="3">
        <f ca="1">IFERROR(__xludf.UNSUPPORTED("""COMPUTED_VALUE"""),45770.6666666666)</f>
        <v>45770.666666666599</v>
      </c>
      <c r="B1587" s="1">
        <f ca="1">IFERROR(__xludf.UNSUPPORTED("""COMPUTED_VALUE"""),73.3)</f>
        <v>73.3</v>
      </c>
      <c r="C1587" s="2">
        <f t="shared" ca="1" si="6"/>
        <v>-8.1190798376185175E-3</v>
      </c>
    </row>
    <row r="1588" spans="1:3">
      <c r="A1588" s="3">
        <f ca="1">IFERROR(__xludf.UNSUPPORTED("""COMPUTED_VALUE"""),45771.6666666666)</f>
        <v>45771.666666666599</v>
      </c>
      <c r="B1588" s="1">
        <f ca="1">IFERROR(__xludf.UNSUPPORTED("""COMPUTED_VALUE"""),72.52)</f>
        <v>72.52</v>
      </c>
      <c r="C1588" s="2">
        <f t="shared" ca="1" si="6"/>
        <v>-1.0641200545702608E-2</v>
      </c>
    </row>
    <row r="1589" spans="1:3">
      <c r="A1589" s="3">
        <f ca="1">IFERROR(__xludf.UNSUPPORTED("""COMPUTED_VALUE"""),45772.6666666666)</f>
        <v>45772.666666666599</v>
      </c>
      <c r="B1589" s="1">
        <f ca="1">IFERROR(__xludf.UNSUPPORTED("""COMPUTED_VALUE"""),71.91)</f>
        <v>71.91</v>
      </c>
      <c r="C1589" s="2">
        <f t="shared" ca="1" si="6"/>
        <v>-8.4114726971869763E-3</v>
      </c>
    </row>
    <row r="1590" spans="1:3">
      <c r="A1590" s="3">
        <f ca="1">IFERROR(__xludf.UNSUPPORTED("""COMPUTED_VALUE"""),45775.6666666666)</f>
        <v>45775.666666666599</v>
      </c>
      <c r="B1590" s="1">
        <f ca="1">IFERROR(__xludf.UNSUPPORTED("""COMPUTED_VALUE"""),71.79)</f>
        <v>71.790000000000006</v>
      </c>
      <c r="C1590" s="2">
        <f t="shared" ca="1" si="6"/>
        <v>-1.6687526074258149E-3</v>
      </c>
    </row>
    <row r="1591" spans="1:3">
      <c r="A1591" s="3">
        <f ca="1">IFERROR(__xludf.UNSUPPORTED("""COMPUTED_VALUE"""),45776.6666666666)</f>
        <v>45776.666666666599</v>
      </c>
      <c r="B1591" s="1">
        <f ca="1">IFERROR(__xludf.UNSUPPORTED("""COMPUTED_VALUE"""),72.35)</f>
        <v>72.349999999999994</v>
      </c>
      <c r="C1591" s="2">
        <f t="shared" ca="1" si="6"/>
        <v>7.8005293216323723E-3</v>
      </c>
    </row>
    <row r="1592" spans="1:3">
      <c r="A1592" s="3">
        <f ca="1">IFERROR(__xludf.UNSUPPORTED("""COMPUTED_VALUE"""),45777.6666666666)</f>
        <v>45777.666666666599</v>
      </c>
      <c r="B1592" s="1">
        <f ca="1">IFERROR(__xludf.UNSUPPORTED("""COMPUTED_VALUE"""),72.55)</f>
        <v>72.55</v>
      </c>
      <c r="C1592" s="2">
        <f t="shared" ca="1" si="6"/>
        <v>2.7643400138217394E-3</v>
      </c>
    </row>
    <row r="1593" spans="1:3">
      <c r="A1593" s="3">
        <f ca="1">IFERROR(__xludf.UNSUPPORTED("""COMPUTED_VALUE"""),45778.6666666666)</f>
        <v>45778.666666666599</v>
      </c>
      <c r="B1593" s="1">
        <f ca="1">IFERROR(__xludf.UNSUPPORTED("""COMPUTED_VALUE"""),71.29)</f>
        <v>71.290000000000006</v>
      </c>
      <c r="C1593" s="2">
        <f t="shared" ca="1" si="6"/>
        <v>-1.7367332873879957E-2</v>
      </c>
    </row>
    <row r="1594" spans="1:3">
      <c r="A1594" s="3">
        <f ca="1">IFERROR(__xludf.UNSUPPORTED("""COMPUTED_VALUE"""),45779.6666666666)</f>
        <v>45779.666666666599</v>
      </c>
      <c r="B1594" s="1">
        <f ca="1">IFERROR(__xludf.UNSUPPORTED("""COMPUTED_VALUE"""),71.65)</f>
        <v>71.650000000000006</v>
      </c>
      <c r="C1594" s="2">
        <f t="shared" ca="1" si="6"/>
        <v>5.0497966054144959E-3</v>
      </c>
    </row>
    <row r="1595" spans="1:3">
      <c r="A1595" s="3">
        <f ca="1">IFERROR(__xludf.UNSUPPORTED("""COMPUTED_VALUE"""),45782.6666666666)</f>
        <v>45782.666666666599</v>
      </c>
      <c r="B1595" s="1">
        <f ca="1">IFERROR(__xludf.UNSUPPORTED("""COMPUTED_VALUE"""),71.7)</f>
        <v>71.7</v>
      </c>
      <c r="C1595" s="2">
        <f t="shared" ca="1" si="6"/>
        <v>6.9783670621070696E-4</v>
      </c>
    </row>
    <row r="1596" spans="1:3">
      <c r="A1596" s="3">
        <f ca="1">IFERROR(__xludf.UNSUPPORTED("""COMPUTED_VALUE"""),45783.6666666666)</f>
        <v>45783.666666666599</v>
      </c>
      <c r="B1596" s="1">
        <f ca="1">IFERROR(__xludf.UNSUPPORTED("""COMPUTED_VALUE"""),71.72)</f>
        <v>71.72</v>
      </c>
      <c r="C1596" s="2">
        <f t="shared" ca="1" si="6"/>
        <v>2.7894002789394728E-4</v>
      </c>
    </row>
    <row r="1597" spans="1:3">
      <c r="A1597" s="3">
        <f ca="1">IFERROR(__xludf.UNSUPPORTED("""COMPUTED_VALUE"""),45784.6666666666)</f>
        <v>45784.666666666599</v>
      </c>
      <c r="B1597" s="1">
        <f ca="1">IFERROR(__xludf.UNSUPPORTED("""COMPUTED_VALUE"""),72.4)</f>
        <v>72.400000000000006</v>
      </c>
      <c r="C1597" s="2">
        <f t="shared" ca="1" si="6"/>
        <v>9.4813162297825819E-3</v>
      </c>
    </row>
    <row r="1598" spans="1:3">
      <c r="A1598" s="3">
        <f ca="1">IFERROR(__xludf.UNSUPPORTED("""COMPUTED_VALUE"""),45785.6666666666)</f>
        <v>45785.666666666599</v>
      </c>
      <c r="B1598" s="1">
        <f ca="1">IFERROR(__xludf.UNSUPPORTED("""COMPUTED_VALUE"""),71.17)</f>
        <v>71.17</v>
      </c>
      <c r="C1598" s="2">
        <f t="shared" ca="1" si="6"/>
        <v>-1.6988950276243149E-2</v>
      </c>
    </row>
    <row r="1599" spans="1:3">
      <c r="A1599" s="3">
        <f ca="1">IFERROR(__xludf.UNSUPPORTED("""COMPUTED_VALUE"""),45786.6666666666)</f>
        <v>45786.666666666599</v>
      </c>
      <c r="B1599" s="1">
        <f ca="1">IFERROR(__xludf.UNSUPPORTED("""COMPUTED_VALUE"""),70.52)</f>
        <v>70.52</v>
      </c>
      <c r="C1599" s="2">
        <f t="shared" ca="1" si="6"/>
        <v>-9.1330616832936019E-3</v>
      </c>
    </row>
    <row r="1600" spans="1:3">
      <c r="A1600" s="3">
        <f ca="1">IFERROR(__xludf.UNSUPPORTED("""COMPUTED_VALUE"""),45789.6666666666)</f>
        <v>45789.666666666599</v>
      </c>
      <c r="B1600" s="1">
        <f ca="1">IFERROR(__xludf.UNSUPPORTED("""COMPUTED_VALUE"""),69.53)</f>
        <v>69.53</v>
      </c>
      <c r="C1600" s="2">
        <f t="shared" ca="1" si="6"/>
        <v>-1.4038570618264251E-2</v>
      </c>
    </row>
    <row r="1601" spans="1:3">
      <c r="A1601" s="3">
        <f ca="1">IFERROR(__xludf.UNSUPPORTED("""COMPUTED_VALUE"""),45790.6666666666)</f>
        <v>45790.666666666599</v>
      </c>
      <c r="B1601" s="1">
        <f ca="1">IFERROR(__xludf.UNSUPPORTED("""COMPUTED_VALUE"""),68.96)</f>
        <v>68.959999999999994</v>
      </c>
      <c r="C1601" s="2">
        <f t="shared" ca="1" si="6"/>
        <v>-8.1979001869697601E-3</v>
      </c>
    </row>
    <row r="1602" spans="1:3">
      <c r="A1602" s="3">
        <f ca="1">IFERROR(__xludf.UNSUPPORTED("""COMPUTED_VALUE"""),45791.6666666666)</f>
        <v>45791.666666666599</v>
      </c>
      <c r="B1602" s="1">
        <f ca="1">IFERROR(__xludf.UNSUPPORTED("""COMPUTED_VALUE"""),69.16)</f>
        <v>69.16</v>
      </c>
      <c r="C1602" s="2">
        <f t="shared" ca="1" si="6"/>
        <v>2.9002320185615264E-3</v>
      </c>
    </row>
    <row r="1603" spans="1:3">
      <c r="A1603" s="3">
        <f ca="1">IFERROR(__xludf.UNSUPPORTED("""COMPUTED_VALUE"""),45792.6666666666)</f>
        <v>45792.666666666599</v>
      </c>
      <c r="B1603" s="1">
        <f ca="1">IFERROR(__xludf.UNSUPPORTED("""COMPUTED_VALUE"""),71.61)</f>
        <v>71.61</v>
      </c>
      <c r="C1603" s="2">
        <f t="shared" ca="1" si="6"/>
        <v>3.5425101214574942E-2</v>
      </c>
    </row>
    <row r="1604" spans="1:3">
      <c r="A1604" s="3">
        <f ca="1">IFERROR(__xludf.UNSUPPORTED("""COMPUTED_VALUE"""),45793.6666666666)</f>
        <v>45793.666666666599</v>
      </c>
      <c r="B1604" s="1">
        <f ca="1">IFERROR(__xludf.UNSUPPORTED("""COMPUTED_VALUE"""),72)</f>
        <v>72</v>
      </c>
      <c r="C1604" s="2">
        <f t="shared" ca="1" si="6"/>
        <v>5.4461667364893249E-3</v>
      </c>
    </row>
    <row r="1605" spans="1:3">
      <c r="A1605" s="3">
        <f ca="1">IFERROR(__xludf.UNSUPPORTED("""COMPUTED_VALUE"""),45796.6666666666)</f>
        <v>45796.666666666599</v>
      </c>
      <c r="B1605" s="1">
        <f ca="1">IFERROR(__xludf.UNSUPPORTED("""COMPUTED_VALUE"""),71.93)</f>
        <v>71.930000000000007</v>
      </c>
      <c r="C1605" s="2">
        <f t="shared" ca="1" si="6"/>
        <v>-9.7222222222212744E-4</v>
      </c>
    </row>
    <row r="1606" spans="1:3">
      <c r="A1606" s="3">
        <f ca="1">IFERROR(__xludf.UNSUPPORTED("""COMPUTED_VALUE"""),45797.6666666666)</f>
        <v>45797.666666666599</v>
      </c>
      <c r="B1606" s="1">
        <f ca="1">IFERROR(__xludf.UNSUPPORTED("""COMPUTED_VALUE"""),71.69)</f>
        <v>71.69</v>
      </c>
      <c r="C1606" s="2">
        <f t="shared" ca="1" si="6"/>
        <v>-3.3365772278605458E-3</v>
      </c>
    </row>
    <row r="1607" spans="1:3">
      <c r="A1607" s="3">
        <f ca="1">IFERROR(__xludf.UNSUPPORTED("""COMPUTED_VALUE"""),45798.6666666666)</f>
        <v>45798.666666666599</v>
      </c>
      <c r="B1607" s="1">
        <f ca="1">IFERROR(__xludf.UNSUPPORTED("""COMPUTED_VALUE"""),71.85)</f>
        <v>71.849999999999994</v>
      </c>
      <c r="C1607" s="2">
        <f t="shared" ca="1" si="6"/>
        <v>2.2318314967219501E-3</v>
      </c>
    </row>
    <row r="1608" spans="1:3">
      <c r="A1608" s="3">
        <f ca="1">IFERROR(__xludf.UNSUPPORTED("""COMPUTED_VALUE"""),45799.6666666666)</f>
        <v>45799.666666666599</v>
      </c>
      <c r="B1608" s="1">
        <f ca="1">IFERROR(__xludf.UNSUPPORTED("""COMPUTED_VALUE"""),71.85)</f>
        <v>71.849999999999994</v>
      </c>
      <c r="C1608" s="2">
        <f t="shared" ca="1" si="6"/>
        <v>0</v>
      </c>
    </row>
    <row r="1609" spans="1:3">
      <c r="A1609" s="3">
        <f ca="1">IFERROR(__xludf.UNSUPPORTED("""COMPUTED_VALUE"""),45800.6666666666)</f>
        <v>45800.666666666599</v>
      </c>
      <c r="B1609" s="1">
        <f ca="1">IFERROR(__xludf.UNSUPPORTED("""COMPUTED_VALUE"""),71.77)</f>
        <v>71.77</v>
      </c>
      <c r="C1609" s="2">
        <f t="shared" ca="1" si="6"/>
        <v>-1.1134307585246807E-3</v>
      </c>
    </row>
    <row r="1610" spans="1:3">
      <c r="A1610" s="3">
        <f ca="1">IFERROR(__xludf.UNSUPPORTED("""COMPUTED_VALUE"""),45804.6666666666)</f>
        <v>45804.666666666599</v>
      </c>
      <c r="B1610" s="1">
        <f ca="1">IFERROR(__xludf.UNSUPPORTED("""COMPUTED_VALUE"""),71.78)</f>
        <v>71.78</v>
      </c>
      <c r="C1610" s="2">
        <f t="shared" ca="1" si="6"/>
        <v>1.3933398355866122E-4</v>
      </c>
    </row>
    <row r="1611" spans="1:3">
      <c r="A1611" s="3">
        <f ca="1">IFERROR(__xludf.UNSUPPORTED("""COMPUTED_VALUE"""),45805.6666666666)</f>
        <v>45805.666666666599</v>
      </c>
      <c r="B1611" s="1">
        <f ca="1">IFERROR(__xludf.UNSUPPORTED("""COMPUTED_VALUE"""),71.15)</f>
        <v>71.150000000000006</v>
      </c>
      <c r="C1611" s="2">
        <f t="shared" ca="1" si="6"/>
        <v>-8.7768180551685074E-3</v>
      </c>
    </row>
    <row r="1612" spans="1:3">
      <c r="A1612" s="3">
        <f ca="1">IFERROR(__xludf.UNSUPPORTED("""COMPUTED_VALUE"""),45806.6666666666)</f>
        <v>45806.666666666599</v>
      </c>
      <c r="B1612" s="1">
        <f ca="1">IFERROR(__xludf.UNSUPPORTED("""COMPUTED_VALUE"""),71.49)</f>
        <v>71.489999999999995</v>
      </c>
      <c r="C1612" s="2">
        <f t="shared" ca="1" si="6"/>
        <v>4.7786366830637975E-3</v>
      </c>
    </row>
    <row r="1613" spans="1:3">
      <c r="A1613" s="3">
        <f ca="1">IFERROR(__xludf.UNSUPPORTED("""COMPUTED_VALUE"""),45807.6666666666)</f>
        <v>45807.666666666599</v>
      </c>
      <c r="B1613" s="1">
        <f ca="1">IFERROR(__xludf.UNSUPPORTED("""COMPUTED_VALUE"""),72.1)</f>
        <v>72.099999999999994</v>
      </c>
      <c r="C1613" s="2">
        <f t="shared" ca="1" si="6"/>
        <v>8.5326619107567413E-3</v>
      </c>
    </row>
    <row r="1614" spans="1:3">
      <c r="A1614" s="3">
        <f ca="1">IFERROR(__xludf.UNSUPPORTED("""COMPUTED_VALUE"""),45810.6666666666)</f>
        <v>45810.666666666599</v>
      </c>
      <c r="B1614" s="1">
        <f ca="1">IFERROR(__xludf.UNSUPPORTED("""COMPUTED_VALUE"""),72)</f>
        <v>72</v>
      </c>
      <c r="C1614" s="2">
        <f t="shared" ca="1" si="6"/>
        <v>-1.386962552011017E-3</v>
      </c>
    </row>
    <row r="1615" spans="1:3">
      <c r="A1615" s="3">
        <f ca="1">IFERROR(__xludf.UNSUPPORTED("""COMPUTED_VALUE"""),45811.6666666666)</f>
        <v>45811.666666666599</v>
      </c>
      <c r="B1615" s="1">
        <f ca="1">IFERROR(__xludf.UNSUPPORTED("""COMPUTED_VALUE"""),71.16)</f>
        <v>71.16</v>
      </c>
      <c r="C1615" s="2">
        <f t="shared" ca="1" si="6"/>
        <v>-1.1666666666666714E-2</v>
      </c>
    </row>
    <row r="1616" spans="1:3">
      <c r="A1616" s="3">
        <f ca="1">IFERROR(__xludf.UNSUPPORTED("""COMPUTED_VALUE"""),45812.6666666666)</f>
        <v>45812.666666666599</v>
      </c>
      <c r="B1616" s="1">
        <f ca="1">IFERROR(__xludf.UNSUPPORTED("""COMPUTED_VALUE"""),71.37)</f>
        <v>71.37</v>
      </c>
      <c r="C1616" s="2">
        <f t="shared" ca="1" si="6"/>
        <v>2.9510961214166383E-3</v>
      </c>
    </row>
    <row r="1617" spans="1:3">
      <c r="A1617" s="3">
        <f ca="1">IFERROR(__xludf.UNSUPPORTED("""COMPUTED_VALUE"""),45813.6666666666)</f>
        <v>45813.666666666599</v>
      </c>
      <c r="B1617" s="1">
        <f ca="1">IFERROR(__xludf.UNSUPPORTED("""COMPUTED_VALUE"""),70.91)</f>
        <v>70.91</v>
      </c>
      <c r="C1617" s="2">
        <f t="shared" ca="1" si="6"/>
        <v>-6.445285133809835E-3</v>
      </c>
    </row>
    <row r="1618" spans="1:3">
      <c r="A1618" s="3">
        <f ca="1">IFERROR(__xludf.UNSUPPORTED("""COMPUTED_VALUE"""),45814.6666666666)</f>
        <v>45814.666666666599</v>
      </c>
      <c r="B1618" s="1">
        <f ca="1">IFERROR(__xludf.UNSUPPORTED("""COMPUTED_VALUE"""),71.35)</f>
        <v>71.349999999999994</v>
      </c>
      <c r="C1618" s="2">
        <f t="shared" ca="1" si="6"/>
        <v>6.2050486532223628E-3</v>
      </c>
    </row>
    <row r="1619" spans="1:3">
      <c r="A1619" s="3">
        <f ca="1">IFERROR(__xludf.UNSUPPORTED("""COMPUTED_VALUE"""),45817.6666666666)</f>
        <v>45817.666666666599</v>
      </c>
      <c r="B1619" s="1">
        <f ca="1">IFERROR(__xludf.UNSUPPORTED("""COMPUTED_VALUE"""),71.77)</f>
        <v>71.77</v>
      </c>
      <c r="C1619" s="2">
        <f t="shared" ca="1" si="6"/>
        <v>5.8864751226349226E-3</v>
      </c>
    </row>
    <row r="1620" spans="1:3">
      <c r="A1620" s="3">
        <f ca="1">IFERROR(__xludf.UNSUPPORTED("""COMPUTED_VALUE"""),45818.6666666666)</f>
        <v>45818.666666666599</v>
      </c>
      <c r="B1620" s="1">
        <f ca="1">IFERROR(__xludf.UNSUPPORTED("""COMPUTED_VALUE"""),72.35)</f>
        <v>72.349999999999994</v>
      </c>
      <c r="C1620" s="2">
        <f t="shared" ca="1" si="6"/>
        <v>8.081371046398193E-3</v>
      </c>
    </row>
    <row r="1621" spans="1:3">
      <c r="A1621" s="3">
        <f ca="1">IFERROR(__xludf.UNSUPPORTED("""COMPUTED_VALUE"""),45819.6666666666)</f>
        <v>45819.666666666599</v>
      </c>
      <c r="B1621" s="1">
        <f ca="1">IFERROR(__xludf.UNSUPPORTED("""COMPUTED_VALUE"""),72.07)</f>
        <v>72.069999999999993</v>
      </c>
      <c r="C1621" s="2">
        <f t="shared" ca="1" si="6"/>
        <v>-3.8700760193503959E-3</v>
      </c>
    </row>
    <row r="1622" spans="1:3">
      <c r="A1622" s="3">
        <f ca="1">IFERROR(__xludf.UNSUPPORTED("""COMPUTED_VALUE"""),45820.6666666666)</f>
        <v>45820.666666666599</v>
      </c>
      <c r="B1622" s="1">
        <f ca="1">IFERROR(__xludf.UNSUPPORTED("""COMPUTED_VALUE"""),72.24)</f>
        <v>72.239999999999995</v>
      </c>
      <c r="C1622" s="2">
        <f t="shared" ca="1" si="6"/>
        <v>2.3588178160122344E-3</v>
      </c>
    </row>
    <row r="1623" spans="1:3">
      <c r="A1623" s="3">
        <f ca="1">IFERROR(__xludf.UNSUPPORTED("""COMPUTED_VALUE"""),45821.6666666666)</f>
        <v>45821.666666666599</v>
      </c>
      <c r="B1623" s="1">
        <f ca="1">IFERROR(__xludf.UNSUPPORTED("""COMPUTED_VALUE"""),71.02)</f>
        <v>71.02</v>
      </c>
      <c r="C1623" s="2">
        <f t="shared" ca="1" si="6"/>
        <v>-1.6888150609080829E-2</v>
      </c>
    </row>
    <row r="1624" spans="1:3">
      <c r="A1624" s="3">
        <f ca="1">IFERROR(__xludf.UNSUPPORTED("""COMPUTED_VALUE"""),45824.6666666666)</f>
        <v>45824.666666666599</v>
      </c>
      <c r="B1624" s="1">
        <f ca="1">IFERROR(__xludf.UNSUPPORTED("""COMPUTED_VALUE"""),70.52)</f>
        <v>70.52</v>
      </c>
      <c r="C1624" s="2">
        <f t="shared" ca="1" si="6"/>
        <v>-7.0402703463813016E-3</v>
      </c>
    </row>
    <row r="1625" spans="1:3">
      <c r="A1625" s="3">
        <f ca="1">IFERROR(__xludf.UNSUPPORTED("""COMPUTED_VALUE"""),45825.6666666666)</f>
        <v>45825.666666666599</v>
      </c>
      <c r="B1625" s="1">
        <f ca="1">IFERROR(__xludf.UNSUPPORTED("""COMPUTED_VALUE"""),69.62)</f>
        <v>69.62</v>
      </c>
      <c r="C1625" s="2">
        <f t="shared" ca="1" si="6"/>
        <v>-1.2762336925694718E-2</v>
      </c>
    </row>
    <row r="1626" spans="1:3">
      <c r="A1626" s="3">
        <f ca="1">IFERROR(__xludf.UNSUPPORTED("""COMPUTED_VALUE"""),45826.6666666666)</f>
        <v>45826.666666666599</v>
      </c>
      <c r="B1626" s="1">
        <f ca="1">IFERROR(__xludf.UNSUPPORTED("""COMPUTED_VALUE"""),69.21)</f>
        <v>69.209999999999994</v>
      </c>
      <c r="C1626" s="2">
        <f t="shared" ca="1" si="6"/>
        <v>-5.8891123240449698E-3</v>
      </c>
    </row>
    <row r="1627" spans="1:3">
      <c r="A1627" s="3">
        <f ca="1">IFERROR(__xludf.UNSUPPORTED("""COMPUTED_VALUE"""),45828.6666666666)</f>
        <v>45828.666666666599</v>
      </c>
      <c r="B1627" s="1">
        <f ca="1">IFERROR(__xludf.UNSUPPORTED("""COMPUTED_VALUE"""),68.84)</f>
        <v>68.84</v>
      </c>
      <c r="C1627" s="2">
        <f t="shared" ca="1" si="6"/>
        <v>-5.3460482589219819E-3</v>
      </c>
    </row>
    <row r="1628" spans="1:3">
      <c r="A1628" s="3">
        <f ca="1">IFERROR(__xludf.UNSUPPORTED("""COMPUTED_VALUE"""),45831.6666666666)</f>
        <v>45831.666666666599</v>
      </c>
      <c r="B1628" s="1">
        <f ca="1">IFERROR(__xludf.UNSUPPORTED("""COMPUTED_VALUE"""),69.74)</f>
        <v>69.739999999999995</v>
      </c>
      <c r="C1628" s="2">
        <f t="shared" ca="1" si="6"/>
        <v>1.3073794305636134E-2</v>
      </c>
    </row>
    <row r="1629" spans="1:3">
      <c r="A1629" s="3">
        <f ca="1">IFERROR(__xludf.UNSUPPORTED("""COMPUTED_VALUE"""),45832.6666666666)</f>
        <v>45832.666666666599</v>
      </c>
      <c r="B1629" s="1">
        <f ca="1">IFERROR(__xludf.UNSUPPORTED("""COMPUTED_VALUE"""),70.21)</f>
        <v>70.209999999999994</v>
      </c>
      <c r="C1629" s="2">
        <f t="shared" ca="1" si="6"/>
        <v>6.7393174648694995E-3</v>
      </c>
    </row>
    <row r="1630" spans="1:3">
      <c r="A1630" s="3">
        <f ca="1">IFERROR(__xludf.UNSUPPORTED("""COMPUTED_VALUE"""),45833.6666666666)</f>
        <v>45833.666666666599</v>
      </c>
      <c r="B1630" s="1">
        <f ca="1">IFERROR(__xludf.UNSUPPORTED("""COMPUTED_VALUE"""),69.63)</f>
        <v>69.63</v>
      </c>
      <c r="C1630" s="2">
        <f t="shared" ca="1" si="6"/>
        <v>-8.2609314912405404E-3</v>
      </c>
    </row>
    <row r="1631" spans="1:3">
      <c r="A1631" s="3">
        <f ca="1">IFERROR(__xludf.UNSUPPORTED("""COMPUTED_VALUE"""),45834.6666666666)</f>
        <v>45834.666666666599</v>
      </c>
      <c r="B1631" s="1">
        <f ca="1">IFERROR(__xludf.UNSUPPORTED("""COMPUTED_VALUE"""),69.47)</f>
        <v>69.47</v>
      </c>
      <c r="C1631" s="2">
        <f t="shared" ca="1" si="6"/>
        <v>-2.297860117765282E-3</v>
      </c>
    </row>
    <row r="1632" spans="1:3">
      <c r="A1632" s="3">
        <f ca="1">IFERROR(__xludf.UNSUPPORTED("""COMPUTED_VALUE"""),45835.6666666666)</f>
        <v>45835.666666666599</v>
      </c>
      <c r="B1632" s="1">
        <f ca="1">IFERROR(__xludf.UNSUPPORTED("""COMPUTED_VALUE"""),70.33)</f>
        <v>70.33</v>
      </c>
      <c r="C1632" s="2">
        <f t="shared" ca="1" si="6"/>
        <v>1.2379444364473866E-2</v>
      </c>
    </row>
    <row r="1633" spans="1:3">
      <c r="A1633" s="3">
        <f ca="1">IFERROR(__xludf.UNSUPPORTED("""COMPUTED_VALUE"""),45838.6666666666)</f>
        <v>45838.666666666599</v>
      </c>
      <c r="B1633" s="1">
        <f ca="1">IFERROR(__xludf.UNSUPPORTED("""COMPUTED_VALUE"""),70.75)</f>
        <v>70.75</v>
      </c>
      <c r="C1633" s="2">
        <f t="shared" ca="1" si="6"/>
        <v>5.9718470069671792E-3</v>
      </c>
    </row>
    <row r="1634" spans="1:3">
      <c r="A1634" s="3">
        <f ca="1">IFERROR(__xludf.UNSUPPORTED("""COMPUTED_VALUE"""),45839.6666666666)</f>
        <v>45839.666666666599</v>
      </c>
      <c r="B1634" s="1">
        <f ca="1">IFERROR(__xludf.UNSUPPORTED("""COMPUTED_VALUE"""),71.67)</f>
        <v>71.67</v>
      </c>
      <c r="C1634" s="2">
        <f t="shared" ca="1" si="6"/>
        <v>1.3003533568904617E-2</v>
      </c>
    </row>
    <row r="1635" spans="1:3">
      <c r="A1635" s="3">
        <f ca="1">IFERROR(__xludf.UNSUPPORTED("""COMPUTED_VALUE"""),45840.6666666666)</f>
        <v>45840.666666666599</v>
      </c>
      <c r="B1635" s="1">
        <f ca="1">IFERROR(__xludf.UNSUPPORTED("""COMPUTED_VALUE"""),70.91)</f>
        <v>70.91</v>
      </c>
      <c r="C1635" s="2">
        <f t="shared" ca="1" si="6"/>
        <v>-1.060415794614211E-2</v>
      </c>
    </row>
    <row r="1636" spans="1:3">
      <c r="A1636" s="3">
        <f ca="1">IFERROR(__xludf.UNSUPPORTED("""COMPUTED_VALUE"""),45841.5416666666)</f>
        <v>45841.541666666599</v>
      </c>
      <c r="B1636" s="1">
        <f ca="1">IFERROR(__xludf.UNSUPPORTED("""COMPUTED_VALUE"""),71.35)</f>
        <v>71.349999999999994</v>
      </c>
      <c r="C1636" s="2">
        <f t="shared" ca="1" si="6"/>
        <v>6.2050486532223628E-3</v>
      </c>
    </row>
    <row r="1637" spans="1:3">
      <c r="A1637" s="3">
        <f ca="1">IFERROR(__xludf.UNSUPPORTED("""COMPUTED_VALUE"""),45845.6666666666)</f>
        <v>45845.666666666599</v>
      </c>
      <c r="B1637" s="1">
        <f ca="1">IFERROR(__xludf.UNSUPPORTED("""COMPUTED_VALUE"""),71.01)</f>
        <v>71.010000000000005</v>
      </c>
      <c r="C1637" s="2">
        <f t="shared" ca="1" si="6"/>
        <v>-4.7652417659423858E-3</v>
      </c>
    </row>
    <row r="1638" spans="1:3">
      <c r="A1638" s="3">
        <f ca="1">IFERROR(__xludf.UNSUPPORTED("""COMPUTED_VALUE"""),45846.6666666666)</f>
        <v>45846.666666666599</v>
      </c>
      <c r="B1638" s="1">
        <f ca="1">IFERROR(__xludf.UNSUPPORTED("""COMPUTED_VALUE"""),70.24)</f>
        <v>70.239999999999995</v>
      </c>
      <c r="C1638" s="2">
        <f t="shared" ca="1" si="6"/>
        <v>-1.084354316293494E-2</v>
      </c>
    </row>
    <row r="1639" spans="1:3">
      <c r="A1639" s="3">
        <f ca="1">IFERROR(__xludf.UNSUPPORTED("""COMPUTED_VALUE"""),45847.6666666666)</f>
        <v>45847.666666666599</v>
      </c>
      <c r="B1639" s="1">
        <f ca="1">IFERROR(__xludf.UNSUPPORTED("""COMPUTED_VALUE"""),69.48)</f>
        <v>69.48</v>
      </c>
      <c r="C1639" s="2">
        <f t="shared" ca="1" si="6"/>
        <v>-1.0820045558086432E-2</v>
      </c>
    </row>
    <row r="1640" spans="1:3">
      <c r="A1640" s="3">
        <f ca="1">IFERROR(__xludf.UNSUPPORTED("""COMPUTED_VALUE"""),45848.6666666666)</f>
        <v>45848.666666666599</v>
      </c>
      <c r="B1640" s="1">
        <f ca="1">IFERROR(__xludf.UNSUPPORTED("""COMPUTED_VALUE"""),69.77)</f>
        <v>69.77</v>
      </c>
      <c r="C1640" s="2">
        <f t="shared" ca="1" si="6"/>
        <v>4.1738629821530225E-3</v>
      </c>
    </row>
    <row r="1641" spans="1:3">
      <c r="A1641" s="3">
        <f ca="1">IFERROR(__xludf.UNSUPPORTED("""COMPUTED_VALUE"""),45849.6666666666)</f>
        <v>45849.666666666599</v>
      </c>
      <c r="B1641" s="1">
        <f ca="1">IFERROR(__xludf.UNSUPPORTED("""COMPUTED_VALUE"""),69.87)</f>
        <v>69.87</v>
      </c>
      <c r="C1641" s="2">
        <f t="shared" ca="1" si="6"/>
        <v>1.4332807797048665E-3</v>
      </c>
    </row>
    <row r="1642" spans="1:3">
      <c r="A1642" s="3">
        <f ca="1">IFERROR(__xludf.UNSUPPORTED("""COMPUTED_VALUE"""),45852.6666666666)</f>
        <v>45852.666666666599</v>
      </c>
      <c r="B1642" s="1">
        <f ca="1">IFERROR(__xludf.UNSUPPORTED("""COMPUTED_VALUE"""),69.47)</f>
        <v>69.47</v>
      </c>
      <c r="C1642" s="2">
        <f t="shared" ca="1" si="6"/>
        <v>-5.7249177043080818E-3</v>
      </c>
    </row>
    <row r="1643" spans="1:3">
      <c r="A1643" s="3">
        <f ca="1">IFERROR(__xludf.UNSUPPORTED("""COMPUTED_VALUE"""),45853.6666666666)</f>
        <v>45853.666666666599</v>
      </c>
      <c r="B1643" s="1">
        <f ca="1">IFERROR(__xludf.UNSUPPORTED("""COMPUTED_VALUE"""),69.36)</f>
        <v>69.36</v>
      </c>
      <c r="C1643" s="2">
        <f t="shared" ca="1" si="6"/>
        <v>-1.5834173024326967E-3</v>
      </c>
    </row>
    <row r="1644" spans="1:3">
      <c r="A1644" s="3">
        <f ca="1">IFERROR(__xludf.UNSUPPORTED("""COMPUTED_VALUE"""),45854.6666666666)</f>
        <v>45854.666666666599</v>
      </c>
      <c r="B1644" s="1">
        <f ca="1">IFERROR(__xludf.UNSUPPORTED("""COMPUTED_VALUE"""),69.27)</f>
        <v>69.27</v>
      </c>
      <c r="C1644" s="2">
        <f t="shared" ca="1" si="6"/>
        <v>-1.2975778546713294E-3</v>
      </c>
    </row>
    <row r="1645" spans="1:3">
      <c r="A1645" s="3">
        <f ca="1">IFERROR(__xludf.UNSUPPORTED("""COMPUTED_VALUE"""),45855.6666666666)</f>
        <v>45855.666666666599</v>
      </c>
      <c r="B1645" s="1">
        <f ca="1">IFERROR(__xludf.UNSUPPORTED("""COMPUTED_VALUE"""),70.59)</f>
        <v>70.59</v>
      </c>
      <c r="C1645" s="2">
        <f t="shared" ca="1" si="6"/>
        <v>1.9055868341273385E-2</v>
      </c>
    </row>
    <row r="1646" spans="1:3">
      <c r="A1646" s="3">
        <f ca="1">IFERROR(__xludf.UNSUPPORTED("""COMPUTED_VALUE"""),45856.6666666666)</f>
        <v>45856.666666666599</v>
      </c>
      <c r="B1646" s="1">
        <f ca="1">IFERROR(__xludf.UNSUPPORTED("""COMPUTED_VALUE"""),69.85)</f>
        <v>69.849999999999994</v>
      </c>
      <c r="C1646" s="2">
        <f t="shared" ca="1" si="6"/>
        <v>-1.0483071256552047E-2</v>
      </c>
    </row>
    <row r="1647" spans="1:3">
      <c r="A1647" s="3">
        <f ca="1">IFERROR(__xludf.UNSUPPORTED("""COMPUTED_VALUE"""),45859.6666666666)</f>
        <v>45859.666666666599</v>
      </c>
      <c r="B1647" s="1">
        <f ca="1">IFERROR(__xludf.UNSUPPORTED("""COMPUTED_VALUE"""),70.07)</f>
        <v>70.069999999999993</v>
      </c>
      <c r="C1647" s="2">
        <f t="shared" ca="1" si="6"/>
        <v>3.1496062992125823E-3</v>
      </c>
    </row>
    <row r="1648" spans="1:3">
      <c r="A1648" s="3">
        <f ca="1">IFERROR(__xludf.UNSUPPORTED("""COMPUTED_VALUE"""),45860.6666666666)</f>
        <v>45860.666666666599</v>
      </c>
      <c r="B1648" s="1">
        <f ca="1">IFERROR(__xludf.UNSUPPORTED("""COMPUTED_VALUE"""),69.66)</f>
        <v>69.66</v>
      </c>
      <c r="C1648" s="2">
        <f t="shared" ca="1" si="6"/>
        <v>-5.8512915655772315E-3</v>
      </c>
    </row>
    <row r="1649" spans="1:3">
      <c r="A1649" s="3">
        <f ca="1">IFERROR(__xludf.UNSUPPORTED("""COMPUTED_VALUE"""),45861.6666666666)</f>
        <v>45861.666666666599</v>
      </c>
      <c r="B1649" s="1">
        <f ca="1">IFERROR(__xludf.UNSUPPORTED("""COMPUTED_VALUE"""),69.16)</f>
        <v>69.16</v>
      </c>
      <c r="C1649" s="2">
        <f t="shared" ca="1" si="6"/>
        <v>-7.1777203560149296E-3</v>
      </c>
    </row>
    <row r="1650" spans="1:3">
      <c r="A1650" s="3">
        <f ca="1">IFERROR(__xludf.UNSUPPORTED("""COMPUTED_VALUE"""),45862.6666666666)</f>
        <v>45862.666666666599</v>
      </c>
      <c r="B1650" s="1">
        <f ca="1">IFERROR(__xludf.UNSUPPORTED("""COMPUTED_VALUE"""),69.1)</f>
        <v>69.099999999999994</v>
      </c>
      <c r="C1650" s="2">
        <f t="shared" ca="1" si="6"/>
        <v>-8.6755349913247945E-4</v>
      </c>
    </row>
    <row r="1651" spans="1:3">
      <c r="A1651" s="3">
        <f ca="1">IFERROR(__xludf.UNSUPPORTED("""COMPUTED_VALUE"""),45863.6666666666)</f>
        <v>45863.666666666599</v>
      </c>
      <c r="B1651" s="1">
        <f ca="1">IFERROR(__xludf.UNSUPPORTED("""COMPUTED_VALUE"""),69.17)</f>
        <v>69.17</v>
      </c>
      <c r="C1651" s="2">
        <f t="shared" ca="1" si="6"/>
        <v>1.0130246020261563E-3</v>
      </c>
    </row>
    <row r="1652" spans="1:3">
      <c r="A1652" s="3">
        <f ca="1">IFERROR(__xludf.UNSUPPORTED("""COMPUTED_VALUE"""),45866.6666666666)</f>
        <v>45866.666666666599</v>
      </c>
      <c r="B1652" s="1">
        <f ca="1">IFERROR(__xludf.UNSUPPORTED("""COMPUTED_VALUE"""),68.09)</f>
        <v>68.09</v>
      </c>
      <c r="C1652" s="2">
        <f t="shared" ca="1" si="6"/>
        <v>-1.561370536359691E-2</v>
      </c>
    </row>
    <row r="1653" spans="1:3">
      <c r="A1653" s="3">
        <f ca="1">IFERROR(__xludf.UNSUPPORTED("""COMPUTED_VALUE"""),45867.6666666666)</f>
        <v>45867.666666666599</v>
      </c>
      <c r="B1653" s="1">
        <f ca="1">IFERROR(__xludf.UNSUPPORTED("""COMPUTED_VALUE"""),69.38)</f>
        <v>69.38</v>
      </c>
      <c r="C1653" s="2">
        <f t="shared" ca="1" si="6"/>
        <v>1.8945513291232074E-2</v>
      </c>
    </row>
    <row r="1654" spans="1:3">
      <c r="A1654" s="3">
        <f ca="1">IFERROR(__xludf.UNSUPPORTED("""COMPUTED_VALUE"""),45868.6666666666)</f>
        <v>45868.666666666599</v>
      </c>
      <c r="B1654" s="1">
        <f ca="1">IFERROR(__xludf.UNSUPPORTED("""COMPUTED_VALUE"""),68.75)</f>
        <v>68.75</v>
      </c>
      <c r="C1654" s="2">
        <f t="shared" ca="1" si="6"/>
        <v>-9.0804266359180673E-3</v>
      </c>
    </row>
    <row r="1655" spans="1:3">
      <c r="A1655" s="3">
        <f ca="1">IFERROR(__xludf.UNSUPPORTED("""COMPUTED_VALUE"""),45869.6666666666)</f>
        <v>45869.666666666599</v>
      </c>
      <c r="B1655" s="1">
        <f ca="1">IFERROR(__xludf.UNSUPPORTED("""COMPUTED_VALUE"""),67.89)</f>
        <v>67.89</v>
      </c>
      <c r="C1655" s="2">
        <f t="shared" ca="1" si="6"/>
        <v>-1.25090909090909E-2</v>
      </c>
    </row>
    <row r="1656" spans="1:3">
      <c r="A1656" s="3">
        <f ca="1">IFERROR(__xludf.UNSUPPORTED("""COMPUTED_VALUE"""),45870.6666666666)</f>
        <v>45870.666666666599</v>
      </c>
      <c r="B1656" s="1">
        <f ca="1">IFERROR(__xludf.UNSUPPORTED("""COMPUTED_VALUE"""),68.86)</f>
        <v>68.86</v>
      </c>
      <c r="C1656" s="2">
        <f t="shared" ca="1" si="6"/>
        <v>1.4287818529974943E-2</v>
      </c>
    </row>
    <row r="1657" spans="1:3">
      <c r="A1657" s="3">
        <f ca="1">IFERROR(__xludf.UNSUPPORTED("""COMPUTED_VALUE"""),45873.6666666666)</f>
        <v>45873.666666666599</v>
      </c>
      <c r="B1657" s="1">
        <f ca="1">IFERROR(__xludf.UNSUPPORTED("""COMPUTED_VALUE"""),68.96)</f>
        <v>68.959999999999994</v>
      </c>
      <c r="C1657" s="2">
        <f t="shared" ca="1" si="6"/>
        <v>1.4522218995061621E-3</v>
      </c>
    </row>
    <row r="1658" spans="1:3">
      <c r="A1658" s="3">
        <f ca="1">IFERROR(__xludf.UNSUPPORTED("""COMPUTED_VALUE"""),45874.6666666666)</f>
        <v>45874.666666666599</v>
      </c>
      <c r="B1658" s="1">
        <f ca="1">IFERROR(__xludf.UNSUPPORTED("""COMPUTED_VALUE"""),69.05)</f>
        <v>69.05</v>
      </c>
      <c r="C1658" s="2">
        <f t="shared" ca="1" si="6"/>
        <v>1.3051044083527178E-3</v>
      </c>
    </row>
    <row r="1659" spans="1:3">
      <c r="A1659" s="3">
        <f ca="1">IFERROR(__xludf.UNSUPPORTED("""COMPUTED_VALUE"""),45875.6666666666)</f>
        <v>45875.666666666599</v>
      </c>
      <c r="B1659" s="1">
        <f ca="1">IFERROR(__xludf.UNSUPPORTED("""COMPUTED_VALUE"""),69.51)</f>
        <v>69.510000000000005</v>
      </c>
      <c r="C1659" s="2">
        <f t="shared" ca="1" si="6"/>
        <v>6.6618392469226352E-3</v>
      </c>
    </row>
    <row r="1660" spans="1:3">
      <c r="A1660" s="3">
        <f ca="1">IFERROR(__xludf.UNSUPPORTED("""COMPUTED_VALUE"""),45876.6666666666)</f>
        <v>45876.666666666599</v>
      </c>
      <c r="B1660" s="1">
        <f ca="1">IFERROR(__xludf.UNSUPPORTED("""COMPUTED_VALUE"""),70.43)</f>
        <v>70.430000000000007</v>
      </c>
      <c r="C1660" s="2">
        <f t="shared" ca="1" si="6"/>
        <v>1.3235505682635616E-2</v>
      </c>
    </row>
    <row r="1661" spans="1:3">
      <c r="A1661" s="3">
        <f ca="1">IFERROR(__xludf.UNSUPPORTED("""COMPUTED_VALUE"""),45877.6666666666)</f>
        <v>45877.666666666599</v>
      </c>
      <c r="B1661" s="1">
        <f ca="1">IFERROR(__xludf.UNSUPPORTED("""COMPUTED_VALUE"""),70.34)</f>
        <v>70.34</v>
      </c>
      <c r="C1661" s="2">
        <f t="shared" ca="1" si="6"/>
        <v>-1.2778645463581344E-3</v>
      </c>
    </row>
    <row r="1662" spans="1:3">
      <c r="A1662" s="3">
        <f ca="1">IFERROR(__xludf.UNSUPPORTED("""COMPUTED_VALUE"""),45880.6666666666)</f>
        <v>45880.666666666599</v>
      </c>
      <c r="B1662" s="1">
        <f ca="1">IFERROR(__xludf.UNSUPPORTED("""COMPUTED_VALUE"""),70.75)</f>
        <v>70.75</v>
      </c>
      <c r="C1662" s="2">
        <f t="shared" ca="1" si="6"/>
        <v>5.8288313903894877E-3</v>
      </c>
    </row>
    <row r="1663" spans="1:3">
      <c r="A1663" s="3">
        <f ca="1">IFERROR(__xludf.UNSUPPORTED("""COMPUTED_VALUE"""),45881.6666666666)</f>
        <v>45881.666666666599</v>
      </c>
      <c r="B1663" s="1">
        <f ca="1">IFERROR(__xludf.UNSUPPORTED("""COMPUTED_VALUE"""),70.71)</f>
        <v>70.709999999999994</v>
      </c>
      <c r="C1663" s="2">
        <f t="shared" ca="1" si="6"/>
        <v>-5.6537102473507071E-4</v>
      </c>
    </row>
    <row r="1664" spans="1:3">
      <c r="A1664" s="3">
        <f ca="1">IFERROR(__xludf.UNSUPPORTED("""COMPUTED_VALUE"""),45882.6666666666)</f>
        <v>45882.666666666599</v>
      </c>
      <c r="B1664" s="1">
        <f ca="1">IFERROR(__xludf.UNSUPPORTED("""COMPUTED_VALUE"""),70.46)</f>
        <v>70.459999999999994</v>
      </c>
      <c r="C1664" s="2">
        <f t="shared" ca="1" si="6"/>
        <v>-3.535567812190638E-3</v>
      </c>
    </row>
    <row r="1665" spans="1:3">
      <c r="A1665" s="3">
        <f ca="1">IFERROR(__xludf.UNSUPPORTED("""COMPUTED_VALUE"""),45883.6666666666)</f>
        <v>45883.666666666599</v>
      </c>
      <c r="B1665" s="1">
        <f ca="1">IFERROR(__xludf.UNSUPPORTED("""COMPUTED_VALUE"""),69.55)</f>
        <v>69.55</v>
      </c>
      <c r="C1665" s="2">
        <f t="shared" ca="1" si="6"/>
        <v>-1.2915129151291466E-2</v>
      </c>
    </row>
    <row r="1666" spans="1:3">
      <c r="A1666" s="3">
        <f ca="1">IFERROR(__xludf.UNSUPPORTED("""COMPUTED_VALUE"""),45884.6666666666)</f>
        <v>45884.666666666599</v>
      </c>
      <c r="B1666" s="1">
        <f ca="1">IFERROR(__xludf.UNSUPPORTED("""COMPUTED_VALUE"""),69.92)</f>
        <v>69.92</v>
      </c>
      <c r="C1666" s="2">
        <f t="shared" ca="1" si="6"/>
        <v>5.3199137311287503E-3</v>
      </c>
    </row>
    <row r="1667" spans="1:3">
      <c r="A1667" s="3">
        <f ca="1">IFERROR(__xludf.UNSUPPORTED("""COMPUTED_VALUE"""),45887.6666666666)</f>
        <v>45887.666666666599</v>
      </c>
      <c r="B1667" s="1">
        <f ca="1">IFERROR(__xludf.UNSUPPORTED("""COMPUTED_VALUE"""),69.13)</f>
        <v>69.13</v>
      </c>
      <c r="C1667" s="2">
        <f t="shared" ca="1" si="6"/>
        <v>-1.1298627002288418E-2</v>
      </c>
    </row>
    <row r="1668" spans="1:3">
      <c r="A1668" s="3">
        <f ca="1">IFERROR(__xludf.UNSUPPORTED("""COMPUTED_VALUE"""),45888.6666666666)</f>
        <v>45888.666666666599</v>
      </c>
      <c r="B1668" s="1">
        <f ca="1">IFERROR(__xludf.UNSUPPORTED("""COMPUTED_VALUE"""),70.13)</f>
        <v>70.13</v>
      </c>
      <c r="C1668" s="2">
        <f t="shared" ca="1" si="6"/>
        <v>1.4465499783017505E-2</v>
      </c>
    </row>
    <row r="1669" spans="1:3">
      <c r="A1669" s="3">
        <f ca="1">IFERROR(__xludf.UNSUPPORTED("""COMPUTED_VALUE"""),45889.6666666666)</f>
        <v>45889.666666666599</v>
      </c>
      <c r="B1669" s="1">
        <f ca="1">IFERROR(__xludf.UNSUPPORTED("""COMPUTED_VALUE"""),70.7)</f>
        <v>70.7</v>
      </c>
      <c r="C1669" s="2">
        <f t="shared" ca="1" si="6"/>
        <v>8.1277627263654281E-3</v>
      </c>
    </row>
    <row r="1670" spans="1:3">
      <c r="A1670" s="3">
        <f ca="1">IFERROR(__xludf.UNSUPPORTED("""COMPUTED_VALUE"""),45890.6666666666)</f>
        <v>45890.666666666599</v>
      </c>
      <c r="B1670" s="1">
        <f ca="1">IFERROR(__xludf.UNSUPPORTED("""COMPUTED_VALUE"""),70.66)</f>
        <v>70.66</v>
      </c>
      <c r="C1670" s="2">
        <f t="shared" ca="1" si="6"/>
        <v>-5.6577086280065422E-4</v>
      </c>
    </row>
    <row r="1671" spans="1:3">
      <c r="A1671" s="3">
        <f ca="1">IFERROR(__xludf.UNSUPPORTED("""COMPUTED_VALUE"""),45891.6666666666)</f>
        <v>45891.666666666599</v>
      </c>
      <c r="B1671" s="1">
        <f ca="1">IFERROR(__xludf.UNSUPPORTED("""COMPUTED_VALUE"""),70.13)</f>
        <v>70.13</v>
      </c>
      <c r="C1671" s="2">
        <f t="shared" ca="1" si="6"/>
        <v>-7.5007076139258586E-3</v>
      </c>
    </row>
    <row r="1672" spans="1:3">
      <c r="A1672" s="3">
        <f ca="1">IFERROR(__xludf.UNSUPPORTED("""COMPUTED_VALUE"""),45897.6666666666)</f>
        <v>45897.666666666599</v>
      </c>
      <c r="B1672" s="1">
        <f ca="1">IFERROR(__xludf.UNSUPPORTED("""COMPUTED_VALUE"""),68.36)</f>
        <v>68.36</v>
      </c>
      <c r="C1672" s="2">
        <f t="shared" ca="1" si="6"/>
        <v>-2.5238842150292259E-2</v>
      </c>
    </row>
    <row r="1673" spans="1:3">
      <c r="A1673" s="3">
        <f ca="1">IFERROR(__xludf.UNSUPPORTED("""COMPUTED_VALUE"""),45898.6666666666)</f>
        <v>45898.666666666599</v>
      </c>
      <c r="B1673" s="1">
        <f ca="1">IFERROR(__xludf.UNSUPPORTED("""COMPUTED_VALUE"""),68.99)</f>
        <v>68.989999999999995</v>
      </c>
      <c r="C1673" s="2">
        <f t="shared" ca="1" si="6"/>
        <v>9.2159157401988795E-3</v>
      </c>
    </row>
    <row r="1674" spans="1:3">
      <c r="A1674" s="3">
        <f ca="1">IFERROR(__xludf.UNSUPPORTED("""COMPUTED_VALUE"""),45902.6666666666)</f>
        <v>45902.666666666599</v>
      </c>
      <c r="B1674" s="1">
        <f ca="1">IFERROR(__xludf.UNSUPPORTED("""COMPUTED_VALUE"""),69.06)</f>
        <v>69.06</v>
      </c>
      <c r="C1674" s="2">
        <f t="shared" ca="1" si="6"/>
        <v>1.0146398028700882E-3</v>
      </c>
    </row>
    <row r="1675" spans="1:3">
      <c r="A1675" s="3">
        <f ca="1">IFERROR(__xludf.UNSUPPORTED("""COMPUTED_VALUE"""),45903.6666666666)</f>
        <v>45903.666666666599</v>
      </c>
      <c r="B1675" s="1">
        <f ca="1">IFERROR(__xludf.UNSUPPORTED("""COMPUTED_VALUE"""),68.99)</f>
        <v>68.989999999999995</v>
      </c>
      <c r="C1675" s="2">
        <f t="shared" ca="1" si="6"/>
        <v>-1.0136113524472543E-3</v>
      </c>
    </row>
    <row r="1676" spans="1:3">
      <c r="A1676" s="3">
        <f ca="1">IFERROR(__xludf.UNSUPPORTED("""COMPUTED_VALUE"""),45904.6666666666)</f>
        <v>45904.666666666599</v>
      </c>
      <c r="B1676" s="1">
        <f ca="1">IFERROR(__xludf.UNSUPPORTED("""COMPUTED_VALUE"""),68.25)</f>
        <v>68.25</v>
      </c>
      <c r="C1676" s="2">
        <f t="shared" ca="1" si="6"/>
        <v>-1.0726192201768299E-2</v>
      </c>
    </row>
    <row r="1677" spans="1:3">
      <c r="A1677" s="3">
        <f ca="1">IFERROR(__xludf.UNSUPPORTED("""COMPUTED_VALUE"""),45905.6666666666)</f>
        <v>45905.666666666599</v>
      </c>
      <c r="B1677" s="1">
        <f ca="1">IFERROR(__xludf.UNSUPPORTED("""COMPUTED_VALUE"""),67.96)</f>
        <v>67.959999999999994</v>
      </c>
      <c r="C1677" s="2">
        <f t="shared" ca="1" si="6"/>
        <v>-4.249084249084341E-3</v>
      </c>
    </row>
    <row r="1678" spans="1:3">
      <c r="A1678" s="3">
        <f ca="1">IFERROR(__xludf.UNSUPPORTED("""COMPUTED_VALUE"""),45908.6666666666)</f>
        <v>45908.666666666599</v>
      </c>
      <c r="B1678" s="1">
        <f ca="1">IFERROR(__xludf.UNSUPPORTED("""COMPUTED_VALUE"""),67.43)</f>
        <v>67.430000000000007</v>
      </c>
      <c r="C1678" s="2">
        <f t="shared" ca="1" si="6"/>
        <v>-7.7987051206590196E-3</v>
      </c>
    </row>
    <row r="1679" spans="1:3">
      <c r="A1679" s="3">
        <f ca="1">IFERROR(__xludf.UNSUPPORTED("""COMPUTED_VALUE"""),45909.6666666666)</f>
        <v>45909.666666666599</v>
      </c>
      <c r="B1679" s="1">
        <f ca="1">IFERROR(__xludf.UNSUPPORTED("""COMPUTED_VALUE"""),67.86)</f>
        <v>67.86</v>
      </c>
      <c r="C1679" s="2">
        <f t="shared" ca="1" si="6"/>
        <v>6.3769835384842443E-3</v>
      </c>
    </row>
    <row r="1680" spans="1:3">
      <c r="A1680" s="3">
        <f ca="1">IFERROR(__xludf.UNSUPPORTED("""COMPUTED_VALUE"""),45910.6666666666)</f>
        <v>45910.666666666599</v>
      </c>
      <c r="B1680" s="1">
        <f ca="1">IFERROR(__xludf.UNSUPPORTED("""COMPUTED_VALUE"""),67.82)</f>
        <v>67.819999999999993</v>
      </c>
      <c r="C1680" s="2">
        <f t="shared" ca="1" si="6"/>
        <v>-5.894488653110264E-4</v>
      </c>
    </row>
    <row r="1681" spans="1:3">
      <c r="A1681" s="3">
        <f ca="1">IFERROR(__xludf.UNSUPPORTED("""COMPUTED_VALUE"""),45911.6666666666)</f>
        <v>45911.666666666599</v>
      </c>
      <c r="B1681" s="1">
        <f ca="1">IFERROR(__xludf.UNSUPPORTED("""COMPUTED_VALUE"""),67.62)</f>
        <v>67.62</v>
      </c>
      <c r="C1681" s="2">
        <f t="shared" ca="1" si="6"/>
        <v>-2.9489826010024867E-3</v>
      </c>
    </row>
    <row r="1682" spans="1:3">
      <c r="A1682" s="3">
        <f ca="1">IFERROR(__xludf.UNSUPPORTED("""COMPUTED_VALUE"""),45912.6666666666)</f>
        <v>45912.666666666599</v>
      </c>
      <c r="B1682" s="1">
        <f ca="1">IFERROR(__xludf.UNSUPPORTED("""COMPUTED_VALUE"""),67.01)</f>
        <v>67.010000000000005</v>
      </c>
      <c r="C1682" s="2">
        <f t="shared" ca="1" si="6"/>
        <v>-9.0209997042295081E-3</v>
      </c>
    </row>
    <row r="1683" spans="1:3">
      <c r="A1683" s="3">
        <f ca="1">IFERROR(__xludf.UNSUPPORTED("""COMPUTED_VALUE"""),45915.6666666666)</f>
        <v>45915.666666666599</v>
      </c>
      <c r="B1683" s="1">
        <f ca="1">IFERROR(__xludf.UNSUPPORTED("""COMPUTED_VALUE"""),66.21)</f>
        <v>66.209999999999994</v>
      </c>
      <c r="C1683" s="2">
        <f t="shared" ca="1" si="6"/>
        <v>-1.1938516639307735E-2</v>
      </c>
    </row>
    <row r="1684" spans="1:3">
      <c r="A1684" s="3">
        <f ca="1">IFERROR(__xludf.UNSUPPORTED("""COMPUTED_VALUE"""),45916.6666666666)</f>
        <v>45916.666666666599</v>
      </c>
      <c r="B1684" s="1">
        <f ca="1">IFERROR(__xludf.UNSUPPORTED("""COMPUTED_VALUE"""),66.24)</f>
        <v>66.239999999999995</v>
      </c>
      <c r="C1684" s="2">
        <f t="shared" ca="1" si="6"/>
        <v>4.5310376076123152E-4</v>
      </c>
    </row>
    <row r="1685" spans="1:3">
      <c r="A1685" s="3">
        <f ca="1">IFERROR(__xludf.UNSUPPORTED("""COMPUTED_VALUE"""),45917.6666666666)</f>
        <v>45917.666666666599</v>
      </c>
      <c r="B1685" s="1">
        <f ca="1">IFERROR(__xludf.UNSUPPORTED("""COMPUTED_VALUE"""),67.04)</f>
        <v>67.040000000000006</v>
      </c>
      <c r="C1685" s="2">
        <f t="shared" ca="1" si="6"/>
        <v>1.2077294685990511E-2</v>
      </c>
    </row>
    <row r="1686" spans="1:3">
      <c r="A1686" s="3">
        <f ca="1">IFERROR(__xludf.UNSUPPORTED("""COMPUTED_VALUE"""),45918.6666666666)</f>
        <v>45918.666666666599</v>
      </c>
      <c r="B1686" s="1">
        <f ca="1">IFERROR(__xludf.UNSUPPORTED("""COMPUTED_VALUE"""),66.46)</f>
        <v>66.459999999999994</v>
      </c>
      <c r="C1686" s="2">
        <f t="shared" ca="1" si="6"/>
        <v>-8.6515513126493512E-3</v>
      </c>
    </row>
    <row r="1687" spans="1:3">
      <c r="A1687" s="3">
        <f ca="1">IFERROR(__xludf.UNSUPPORTED("""COMPUTED_VALUE"""),45919.6666666666)</f>
        <v>45919.666666666599</v>
      </c>
      <c r="B1687" s="1">
        <f ca="1">IFERROR(__xludf.UNSUPPORTED("""COMPUTED_VALUE"""),66.43)</f>
        <v>66.430000000000007</v>
      </c>
      <c r="C1687" s="2">
        <f t="shared" ca="1" si="6"/>
        <v>-4.5139933794744098E-4</v>
      </c>
    </row>
    <row r="1688" spans="1:3">
      <c r="A1688" s="3">
        <f ca="1">IFERROR(__xludf.UNSUPPORTED("""COMPUTED_VALUE"""),45922.6666666666)</f>
        <v>45922.666666666599</v>
      </c>
      <c r="B1688" s="1">
        <f ca="1">IFERROR(__xludf.UNSUPPORTED("""COMPUTED_VALUE"""),66.21)</f>
        <v>66.209999999999994</v>
      </c>
      <c r="C1688" s="2">
        <f t="shared" ca="1" si="6"/>
        <v>-3.3117567364144671E-3</v>
      </c>
    </row>
    <row r="1689" spans="1:3">
      <c r="A1689" s="3">
        <f ca="1">IFERROR(__xludf.UNSUPPORTED("""COMPUTED_VALUE"""),45923.6666666666)</f>
        <v>45923.666666666599</v>
      </c>
      <c r="B1689" s="1">
        <f ca="1">IFERROR(__xludf.UNSUPPORTED("""COMPUTED_VALUE"""),66.71)</f>
        <v>66.709999999999994</v>
      </c>
      <c r="C1689" s="2">
        <f t="shared" ca="1" si="6"/>
        <v>7.5517293460202395E-3</v>
      </c>
    </row>
    <row r="1690" spans="1:3">
      <c r="A1690" s="3">
        <f ca="1">IFERROR(__xludf.UNSUPPORTED("""COMPUTED_VALUE"""),45924.6666666666)</f>
        <v>45924.666666666599</v>
      </c>
      <c r="B1690" s="1">
        <f ca="1">IFERROR(__xludf.UNSUPPORTED("""COMPUTED_VALUE"""),66.45)</f>
        <v>66.45</v>
      </c>
      <c r="C1690" s="2">
        <f t="shared" ca="1" si="6"/>
        <v>-3.897466646679522E-3</v>
      </c>
    </row>
    <row r="1691" spans="1:3">
      <c r="A1691" s="3">
        <f ca="1">IFERROR(__xludf.UNSUPPORTED("""COMPUTED_VALUE"""),45925.6666666666)</f>
        <v>45925.666666666599</v>
      </c>
      <c r="B1691" s="1">
        <f ca="1">IFERROR(__xludf.UNSUPPORTED("""COMPUTED_VALUE"""),65.98)</f>
        <v>65.98</v>
      </c>
      <c r="C1691" s="2">
        <f t="shared" ca="1" si="6"/>
        <v>-7.0729872084273719E-3</v>
      </c>
    </row>
    <row r="1692" spans="1:3">
      <c r="A1692" s="3">
        <f ca="1">IFERROR(__xludf.UNSUPPORTED("""COMPUTED_VALUE"""),45926.6666666666)</f>
        <v>45926.666666666599</v>
      </c>
      <c r="B1692" s="1">
        <f ca="1">IFERROR(__xludf.UNSUPPORTED("""COMPUTED_VALUE"""),65.67)</f>
        <v>65.67</v>
      </c>
      <c r="C1692" s="2">
        <f t="shared" ca="1" si="6"/>
        <v>-4.6983934525614167E-3</v>
      </c>
    </row>
    <row r="1693" spans="1:3">
      <c r="A1693" s="3">
        <f ca="1">IFERROR(__xludf.UNSUPPORTED("""COMPUTED_VALUE"""),45929.6666666666)</f>
        <v>45929.666666666599</v>
      </c>
      <c r="B1693" s="1">
        <f ca="1">IFERROR(__xludf.UNSUPPORTED("""COMPUTED_VALUE"""),66.04)</f>
        <v>66.040000000000006</v>
      </c>
      <c r="C1693" s="2">
        <f t="shared" ca="1" si="6"/>
        <v>5.6342317648851005E-3</v>
      </c>
    </row>
    <row r="1694" spans="1:3">
      <c r="A1694" s="3">
        <f ca="1">IFERROR(__xludf.UNSUPPORTED("""COMPUTED_VALUE"""),45930.6666666666)</f>
        <v>45930.666666666599</v>
      </c>
      <c r="B1694" s="1">
        <f ca="1">IFERROR(__xludf.UNSUPPORTED("""COMPUTED_VALUE"""),66.32)</f>
        <v>66.319999999999993</v>
      </c>
      <c r="C1694" s="2">
        <f t="shared" ca="1" si="6"/>
        <v>4.2398546335552225E-3</v>
      </c>
    </row>
    <row r="1695" spans="1:3">
      <c r="A1695" s="3">
        <f ca="1">IFERROR(__xludf.UNSUPPORTED("""COMPUTED_VALUE"""),45931.6666666666)</f>
        <v>45931.666666666599</v>
      </c>
      <c r="B1695" s="1">
        <f ca="1">IFERROR(__xludf.UNSUPPORTED("""COMPUTED_VALUE"""),66.78)</f>
        <v>66.78</v>
      </c>
      <c r="C1695" s="2">
        <f t="shared" ca="1" si="6"/>
        <v>6.9360675512667074E-3</v>
      </c>
    </row>
    <row r="1696" spans="1:3">
      <c r="A1696" s="3">
        <f ca="1">IFERROR(__xludf.UNSUPPORTED("""COMPUTED_VALUE"""),45932.6666666666)</f>
        <v>45932.666666666599</v>
      </c>
      <c r="B1696" s="1">
        <f ca="1">IFERROR(__xludf.UNSUPPORTED("""COMPUTED_VALUE"""),66.1)</f>
        <v>66.099999999999994</v>
      </c>
      <c r="C1696" s="2">
        <f t="shared" ca="1" si="6"/>
        <v>-1.0182689427972548E-2</v>
      </c>
    </row>
    <row r="1697" spans="1:3">
      <c r="A1697" s="3">
        <f ca="1">IFERROR(__xludf.UNSUPPORTED("""COMPUTED_VALUE"""),45933.6666666666)</f>
        <v>45933.666666666599</v>
      </c>
      <c r="B1697" s="1">
        <f ca="1">IFERROR(__xludf.UNSUPPORTED("""COMPUTED_VALUE"""),66.65)</f>
        <v>66.650000000000006</v>
      </c>
      <c r="C1697" s="2">
        <f t="shared" ca="1" si="6"/>
        <v>8.3207261724661339E-3</v>
      </c>
    </row>
    <row r="1698" spans="1:3">
      <c r="A1698" s="3">
        <f ca="1">IFERROR(__xludf.UNSUPPORTED("""COMPUTED_VALUE"""),45936.6666666666)</f>
        <v>45936.666666666599</v>
      </c>
      <c r="B1698" s="1">
        <f ca="1">IFERROR(__xludf.UNSUPPORTED("""COMPUTED_VALUE"""),66.1)</f>
        <v>66.099999999999994</v>
      </c>
      <c r="C1698" s="2">
        <f t="shared" ca="1" si="6"/>
        <v>-8.2520630157541085E-3</v>
      </c>
    </row>
    <row r="1699" spans="1:3">
      <c r="A1699" s="3">
        <f ca="1">IFERROR(__xludf.UNSUPPORTED("""COMPUTED_VALUE"""),45937.6666666666)</f>
        <v>45937.666666666599</v>
      </c>
      <c r="B1699" s="1">
        <f ca="1">IFERROR(__xludf.UNSUPPORTED("""COMPUTED_VALUE"""),66.79)</f>
        <v>66.790000000000006</v>
      </c>
      <c r="C1699" s="2">
        <f t="shared" ca="1" si="6"/>
        <v>1.0438729198184751E-2</v>
      </c>
    </row>
    <row r="1700" spans="1:3">
      <c r="A1700" s="3">
        <f ca="1">IFERROR(__xludf.UNSUPPORTED("""COMPUTED_VALUE"""),45938.6666666666)</f>
        <v>45938.666666666599</v>
      </c>
      <c r="B1700" s="1">
        <f ca="1">IFERROR(__xludf.UNSUPPORTED("""COMPUTED_VALUE"""),66.12)</f>
        <v>66.12</v>
      </c>
      <c r="C1700" s="2">
        <f t="shared" ca="1" si="6"/>
        <v>-1.0031441832609697E-2</v>
      </c>
    </row>
    <row r="1701" spans="1:3">
      <c r="A1701" s="3">
        <f ca="1">IFERROR(__xludf.UNSUPPORTED("""COMPUTED_VALUE"""),45939.6666666666)</f>
        <v>45939.666666666599</v>
      </c>
      <c r="B1701" s="1">
        <f ca="1">IFERROR(__xludf.UNSUPPORTED("""COMPUTED_VALUE"""),66.37)</f>
        <v>66.37</v>
      </c>
      <c r="C1701" s="2">
        <f t="shared" ca="1" si="6"/>
        <v>3.7810042347247428E-3</v>
      </c>
    </row>
    <row r="1702" spans="1:3">
      <c r="A1702" s="3">
        <f ca="1">IFERROR(__xludf.UNSUPPORTED("""COMPUTED_VALUE"""),45940.6666666666)</f>
        <v>45940.666666666599</v>
      </c>
      <c r="B1702" s="1">
        <f ca="1">IFERROR(__xludf.UNSUPPORTED("""COMPUTED_VALUE"""),67.04)</f>
        <v>67.040000000000006</v>
      </c>
      <c r="C1702" s="2">
        <f t="shared" ca="1" si="6"/>
        <v>1.0094922404700944E-2</v>
      </c>
    </row>
    <row r="1703" spans="1:3">
      <c r="A1703" s="3">
        <f ca="1">IFERROR(__xludf.UNSUPPORTED("""COMPUTED_VALUE"""),45943.6666666666)</f>
        <v>45943.666666666599</v>
      </c>
      <c r="B1703" s="1">
        <f ca="1">IFERROR(__xludf.UNSUPPORTED("""COMPUTED_VALUE"""),66.8)</f>
        <v>66.8</v>
      </c>
      <c r="C1703" s="2">
        <f t="shared" ca="1" si="6"/>
        <v>-3.5799522673032381E-3</v>
      </c>
    </row>
    <row r="1704" spans="1:3">
      <c r="A1704" s="3">
        <f ca="1">IFERROR(__xludf.UNSUPPORTED("""COMPUTED_VALUE"""),45944.6666666666)</f>
        <v>45944.666666666599</v>
      </c>
      <c r="B1704" s="1">
        <f ca="1">IFERROR(__xludf.UNSUPPORTED("""COMPUTED_VALUE"""),67.51)</f>
        <v>67.510000000000005</v>
      </c>
      <c r="C1704" s="2">
        <f t="shared" ca="1" si="6"/>
        <v>1.0628742514970179E-2</v>
      </c>
    </row>
    <row r="1705" spans="1:3">
      <c r="A1705" s="3">
        <f ca="1">IFERROR(__xludf.UNSUPPORTED("""COMPUTED_VALUE"""),45945.6666666666)</f>
        <v>45945.666666666599</v>
      </c>
      <c r="B1705" s="1">
        <f ca="1">IFERROR(__xludf.UNSUPPORTED("""COMPUTED_VALUE"""),67.08)</f>
        <v>67.08</v>
      </c>
      <c r="C1705" s="2">
        <f t="shared" ca="1" si="6"/>
        <v>-6.3694267515924576E-3</v>
      </c>
    </row>
    <row r="1706" spans="1:3">
      <c r="A1706" s="3">
        <f ca="1">IFERROR(__xludf.UNSUPPORTED("""COMPUTED_VALUE"""),45946.6666666666)</f>
        <v>45946.666666666599</v>
      </c>
      <c r="B1706" s="1">
        <f ca="1">IFERROR(__xludf.UNSUPPORTED("""COMPUTED_VALUE"""),67.59)</f>
        <v>67.59</v>
      </c>
      <c r="C1706" s="2">
        <f t="shared" ca="1" si="6"/>
        <v>7.6028622540251214E-3</v>
      </c>
    </row>
    <row r="1707" spans="1:3">
      <c r="A1707" s="3">
        <f ca="1">IFERROR(__xludf.UNSUPPORTED("""COMPUTED_VALUE"""),45947.6666666666)</f>
        <v>45947.666666666599</v>
      </c>
      <c r="B1707" s="1">
        <f ca="1">IFERROR(__xludf.UNSUPPORTED("""COMPUTED_VALUE"""),68.44)</f>
        <v>68.44</v>
      </c>
      <c r="C1707" s="2">
        <f t="shared" ca="1" si="6"/>
        <v>1.2575824826157631E-2</v>
      </c>
    </row>
    <row r="1708" spans="1:3">
      <c r="A1708" s="3">
        <f ca="1">IFERROR(__xludf.UNSUPPORTED("""COMPUTED_VALUE"""),45950.6666666666)</f>
        <v>45950.666666666599</v>
      </c>
      <c r="B1708" s="1">
        <f ca="1">IFERROR(__xludf.UNSUPPORTED("""COMPUTED_VALUE"""),68.44)</f>
        <v>68.44</v>
      </c>
      <c r="C1708" s="2">
        <f t="shared" ca="1" si="6"/>
        <v>0</v>
      </c>
    </row>
    <row r="1709" spans="1:3">
      <c r="A1709" s="3">
        <f ca="1">IFERROR(__xludf.UNSUPPORTED("""COMPUTED_VALUE"""),45951.6666666666)</f>
        <v>45951.666666666599</v>
      </c>
      <c r="B1709" s="1">
        <f ca="1">IFERROR(__xludf.UNSUPPORTED("""COMPUTED_VALUE"""),71.22)</f>
        <v>71.22</v>
      </c>
      <c r="C1709" s="2">
        <f t="shared" ca="1" si="6"/>
        <v>4.0619520748100546E-2</v>
      </c>
    </row>
    <row r="1710" spans="1:3">
      <c r="A1710" s="3">
        <f ca="1">IFERROR(__xludf.UNSUPPORTED("""COMPUTED_VALUE"""),45952.6666666666)</f>
        <v>45952.666666666599</v>
      </c>
      <c r="B1710" s="1">
        <f ca="1">IFERROR(__xludf.UNSUPPORTED("""COMPUTED_VALUE"""),70.81)</f>
        <v>70.81</v>
      </c>
      <c r="C1710" s="2">
        <f t="shared" ca="1" si="6"/>
        <v>-5.7568098848637542E-3</v>
      </c>
    </row>
    <row r="1711" spans="1:3">
      <c r="A1711" s="3">
        <f ca="1">IFERROR(__xludf.UNSUPPORTED("""COMPUTED_VALUE"""),45953.6666666666)</f>
        <v>45953.666666666599</v>
      </c>
      <c r="B1711" s="1">
        <f ca="1">IFERROR(__xludf.UNSUPPORTED("""COMPUTED_VALUE"""),69.94)</f>
        <v>69.94</v>
      </c>
      <c r="C1711" s="2">
        <f t="shared" ca="1" si="6"/>
        <v>-1.228640022595685E-2</v>
      </c>
    </row>
    <row r="1712" spans="1:3">
      <c r="A1712" s="3">
        <f ca="1">IFERROR(__xludf.UNSUPPORTED("""COMPUTED_VALUE"""),45954.6666666666)</f>
        <v>45954.666666666599</v>
      </c>
      <c r="B1712" s="1">
        <f ca="1">IFERROR(__xludf.UNSUPPORTED("""COMPUTED_VALUE"""),69.71)</f>
        <v>69.709999999999994</v>
      </c>
      <c r="C1712" s="2">
        <f t="shared" ca="1" si="6"/>
        <v>-3.2885330283100368E-3</v>
      </c>
    </row>
    <row r="1713" spans="1:3">
      <c r="A1713" s="3">
        <f ca="1">IFERROR(__xludf.UNSUPPORTED("""COMPUTED_VALUE"""),45957.6666666666)</f>
        <v>45957.666666666599</v>
      </c>
      <c r="B1713" s="1">
        <f ca="1">IFERROR(__xludf.UNSUPPORTED("""COMPUTED_VALUE"""),70.06)</f>
        <v>70.06</v>
      </c>
      <c r="C1713" s="2">
        <f t="shared" ca="1" si="6"/>
        <v>5.020800459044736E-3</v>
      </c>
    </row>
    <row r="1714" spans="1:3">
      <c r="A1714" s="3">
        <f ca="1">IFERROR(__xludf.UNSUPPORTED("""COMPUTED_VALUE"""),45958.6666666666)</f>
        <v>45958.666666666599</v>
      </c>
      <c r="B1714" s="1">
        <f ca="1">IFERROR(__xludf.UNSUPPORTED("""COMPUTED_VALUE"""),70.16)</f>
        <v>70.16</v>
      </c>
      <c r="C1714" s="2">
        <f t="shared" ca="1" si="6"/>
        <v>1.4273479874392565E-3</v>
      </c>
    </row>
    <row r="1715" spans="1:3">
      <c r="A1715" s="3">
        <f ca="1">IFERROR(__xludf.UNSUPPORTED("""COMPUTED_VALUE"""),45959.6666666666)</f>
        <v>45959.666666666599</v>
      </c>
      <c r="B1715" s="1">
        <f ca="1">IFERROR(__xludf.UNSUPPORTED("""COMPUTED_VALUE"""),68.35)</f>
        <v>68.349999999999994</v>
      </c>
      <c r="C1715" s="2">
        <f t="shared" ca="1" si="6"/>
        <v>-2.5798175598631734E-2</v>
      </c>
    </row>
    <row r="1716" spans="1:3">
      <c r="A1716" s="3">
        <f ca="1">IFERROR(__xludf.UNSUPPORTED("""COMPUTED_VALUE"""),45960.6666666666)</f>
        <v>45960.666666666599</v>
      </c>
      <c r="B1716" s="1">
        <f ca="1">IFERROR(__xludf.UNSUPPORTED("""COMPUTED_VALUE"""),68.98)</f>
        <v>68.98</v>
      </c>
      <c r="C1716" s="2">
        <f t="shared" ca="1" si="6"/>
        <v>9.2172640819313777E-3</v>
      </c>
    </row>
    <row r="1717" spans="1:3">
      <c r="A1717" s="3">
        <f ca="1">IFERROR(__xludf.UNSUPPORTED("""COMPUTED_VALUE"""),45961.6666666666)</f>
        <v>45961.666666666599</v>
      </c>
      <c r="B1717" s="1">
        <f ca="1">IFERROR(__xludf.UNSUPPORTED("""COMPUTED_VALUE"""),68.9)</f>
        <v>68.900000000000006</v>
      </c>
      <c r="C1717" s="2">
        <f t="shared" ca="1" si="6"/>
        <v>-1.1597564511452347E-3</v>
      </c>
    </row>
    <row r="1718" spans="1:3">
      <c r="A1718" s="3">
        <f ca="1">IFERROR(__xludf.UNSUPPORTED("""COMPUTED_VALUE"""),45964.6666666666)</f>
        <v>45964.666666666599</v>
      </c>
      <c r="B1718" s="1">
        <f ca="1">IFERROR(__xludf.UNSUPPORTED("""COMPUTED_VALUE"""),67.97)</f>
        <v>67.97</v>
      </c>
      <c r="C1718" s="2">
        <f t="shared" ca="1" si="6"/>
        <v>-1.3497822931785294E-2</v>
      </c>
    </row>
    <row r="1719" spans="1:3">
      <c r="A1719" s="3">
        <f ca="1">IFERROR(__xludf.UNSUPPORTED("""COMPUTED_VALUE"""),45965.6666666666)</f>
        <v>45965.666666666599</v>
      </c>
      <c r="B1719" s="1">
        <f ca="1">IFERROR(__xludf.UNSUPPORTED("""COMPUTED_VALUE"""),68.66)</f>
        <v>68.66</v>
      </c>
      <c r="C1719" s="2">
        <f t="shared" ca="1" si="6"/>
        <v>1.015153744298952E-2</v>
      </c>
    </row>
    <row r="1720" spans="1:3">
      <c r="A1720" s="3">
        <f ca="1">IFERROR(__xludf.UNSUPPORTED("""COMPUTED_VALUE"""),45966.6666666666)</f>
        <v>45966.666666666599</v>
      </c>
      <c r="B1720" s="1">
        <f ca="1">IFERROR(__xludf.UNSUPPORTED("""COMPUTED_VALUE"""),68.51)</f>
        <v>68.510000000000005</v>
      </c>
      <c r="C1720" s="2">
        <f t="shared" ca="1" si="6"/>
        <v>-2.1846781240895934E-3</v>
      </c>
    </row>
    <row r="1721" spans="1:3">
      <c r="A1721" s="3">
        <f ca="1">IFERROR(__xludf.UNSUPPORTED("""COMPUTED_VALUE"""),45967.6666666666)</f>
        <v>45967.666666666599</v>
      </c>
      <c r="B1721" s="1">
        <f ca="1">IFERROR(__xludf.UNSUPPORTED("""COMPUTED_VALUE"""),69.06)</f>
        <v>69.06</v>
      </c>
      <c r="C1721" s="2">
        <f t="shared" ca="1" si="6"/>
        <v>8.0280251058239254E-3</v>
      </c>
    </row>
    <row r="1722" spans="1:3">
      <c r="A1722" s="3">
        <f ca="1">IFERROR(__xludf.UNSUPPORTED("""COMPUTED_VALUE"""),45968.6666666666)</f>
        <v>45968.666666666599</v>
      </c>
      <c r="B1722" s="1">
        <f ca="1">IFERROR(__xludf.UNSUPPORTED("""COMPUTED_VALUE"""),70.55)</f>
        <v>70.55</v>
      </c>
      <c r="C1722" s="2">
        <f t="shared" ca="1" si="6"/>
        <v>2.1575441644946347E-2</v>
      </c>
    </row>
    <row r="1723" spans="1:3">
      <c r="A1723" s="3">
        <f ca="1">IFERROR(__xludf.UNSUPPORTED("""COMPUTED_VALUE"""),45971.6666666666)</f>
        <v>45971.666666666599</v>
      </c>
      <c r="B1723" s="1">
        <f ca="1">IFERROR(__xludf.UNSUPPORTED("""COMPUTED_VALUE"""),70.52)</f>
        <v>70.52</v>
      </c>
      <c r="C1723" s="2">
        <f t="shared" ca="1" si="6"/>
        <v>-4.2523033309711041E-4</v>
      </c>
    </row>
    <row r="1724" spans="1:3">
      <c r="A1724" s="3">
        <f ca="1">IFERROR(__xludf.UNSUPPORTED("""COMPUTED_VALUE"""),45972.6666666666)</f>
        <v>45972.666666666599</v>
      </c>
      <c r="B1724" s="1">
        <f ca="1">IFERROR(__xludf.UNSUPPORTED("""COMPUTED_VALUE"""),71.61)</f>
        <v>71.61</v>
      </c>
      <c r="C1724" s="2">
        <f t="shared" ca="1" si="6"/>
        <v>1.5456608054452687E-2</v>
      </c>
    </row>
    <row r="1725" spans="1:3">
      <c r="A1725" s="3">
        <f ca="1">IFERROR(__xludf.UNSUPPORTED("""COMPUTED_VALUE"""),45973.6666666666)</f>
        <v>45973.666666666599</v>
      </c>
      <c r="B1725" s="1">
        <f ca="1">IFERROR(__xludf.UNSUPPORTED("""COMPUTED_VALUE"""),71.51)</f>
        <v>71.510000000000005</v>
      </c>
      <c r="C1725" s="2">
        <f t="shared" ca="1" si="6"/>
        <v>-1.3964530093561558E-3</v>
      </c>
    </row>
    <row r="1726" spans="1:3">
      <c r="A1726" s="3">
        <f ca="1">IFERROR(__xludf.UNSUPPORTED("""COMPUTED_VALUE"""),45974.6666666666)</f>
        <v>45974.666666666599</v>
      </c>
      <c r="B1726" s="1">
        <f ca="1">IFERROR(__xludf.UNSUPPORTED("""COMPUTED_VALUE"""),71.07)</f>
        <v>71.069999999999993</v>
      </c>
      <c r="C1726" s="2">
        <f t="shared" ca="1" si="6"/>
        <v>-6.152985596420248E-3</v>
      </c>
    </row>
    <row r="1727" spans="1:3">
      <c r="A1727" s="3">
        <f ca="1">IFERROR(__xludf.UNSUPPORTED("""COMPUTED_VALUE"""),45975.6666666666)</f>
        <v>45975.666666666599</v>
      </c>
      <c r="B1727" s="1">
        <f ca="1">IFERROR(__xludf.UNSUPPORTED("""COMPUTED_VALUE"""),71.16)</f>
        <v>71.16</v>
      </c>
      <c r="C1727" s="2">
        <f t="shared" ca="1" si="6"/>
        <v>1.2663571127058311E-3</v>
      </c>
    </row>
    <row r="1728" spans="1:3">
      <c r="A1728" s="3">
        <f ca="1">IFERROR(__xludf.UNSUPPORTED("""COMPUTED_VALUE"""),45978.6666666666)</f>
        <v>45978.666666666599</v>
      </c>
      <c r="B1728" s="1">
        <f ca="1">IFERROR(__xludf.UNSUPPORTED("""COMPUTED_VALUE"""),70.68)</f>
        <v>70.680000000000007</v>
      </c>
      <c r="C1728" s="2">
        <f t="shared" ca="1" si="6"/>
        <v>-6.7453625632376306E-3</v>
      </c>
    </row>
    <row r="1729" spans="1:3">
      <c r="A1729" s="3">
        <f ca="1">IFERROR(__xludf.UNSUPPORTED("""COMPUTED_VALUE"""),45979.6666666666)</f>
        <v>45979.666666666599</v>
      </c>
      <c r="B1729" s="1">
        <f ca="1">IFERROR(__xludf.UNSUPPORTED("""COMPUTED_VALUE"""),71.22)</f>
        <v>71.22</v>
      </c>
      <c r="C1729" s="2">
        <f t="shared" ca="1" si="6"/>
        <v>7.6400679117146573E-3</v>
      </c>
    </row>
    <row r="1730" spans="1:3">
      <c r="A1730" s="3">
        <f ca="1">IFERROR(__xludf.UNSUPPORTED("""COMPUTED_VALUE"""),45980.6666666666)</f>
        <v>45980.666666666599</v>
      </c>
      <c r="B1730" s="1">
        <f ca="1">IFERROR(__xludf.UNSUPPORTED("""COMPUTED_VALUE"""),71.11)</f>
        <v>71.11</v>
      </c>
      <c r="C1730" s="2">
        <f t="shared" ca="1" si="6"/>
        <v>-1.5445099691097927E-3</v>
      </c>
    </row>
    <row r="1731" spans="1:3">
      <c r="A1731" s="3">
        <f ca="1">IFERROR(__xludf.UNSUPPORTED("""COMPUTED_VALUE"""),45981.6666666666)</f>
        <v>45981.666666666599</v>
      </c>
      <c r="B1731" s="1">
        <f ca="1">IFERROR(__xludf.UNSUPPORTED("""COMPUTED_VALUE"""),71.21)</f>
        <v>71.209999999999994</v>
      </c>
      <c r="C1731" s="2">
        <f t="shared" ca="1" si="6"/>
        <v>1.4062719729994982E-3</v>
      </c>
    </row>
    <row r="1732" spans="1:3">
      <c r="A1732" s="3">
        <f ca="1">IFERROR(__xludf.UNSUPPORTED("""COMPUTED_VALUE"""),45982.6666666666)</f>
        <v>45982.666666666599</v>
      </c>
      <c r="B1732" s="1">
        <f ca="1">IFERROR(__xludf.UNSUPPORTED("""COMPUTED_VALUE"""),72.95)</f>
        <v>72.95</v>
      </c>
      <c r="C1732" s="2">
        <f t="shared" ca="1" si="6"/>
        <v>2.4434770397416223E-2</v>
      </c>
    </row>
    <row r="1733" spans="1:3">
      <c r="A1733" s="3">
        <f ca="1">IFERROR(__xludf.UNSUPPORTED("""COMPUTED_VALUE"""),45985.6666666666)</f>
        <v>45985.666666666599</v>
      </c>
      <c r="B1733" s="1">
        <f ca="1">IFERROR(__xludf.UNSUPPORTED("""COMPUTED_VALUE"""),72.59)</f>
        <v>72.59</v>
      </c>
      <c r="C1733" s="2">
        <f t="shared" ca="1" si="6"/>
        <v>-4.9348869088416646E-3</v>
      </c>
    </row>
    <row r="1734" spans="1:3">
      <c r="A1734" s="3">
        <f ca="1">IFERROR(__xludf.UNSUPPORTED("""COMPUTED_VALUE"""),45986.6666666666)</f>
        <v>45986.666666666599</v>
      </c>
      <c r="B1734" s="1">
        <f ca="1">IFERROR(__xludf.UNSUPPORTED("""COMPUTED_VALUE"""),72.61)</f>
        <v>72.61</v>
      </c>
      <c r="C1734" s="2">
        <f t="shared" ca="1" si="6"/>
        <v>2.7552004408315224E-4</v>
      </c>
    </row>
    <row r="1735" spans="1:3">
      <c r="A1735" s="3">
        <f ca="1">IFERROR(__xludf.UNSUPPORTED("""COMPUTED_VALUE"""),45987.6666666666)</f>
        <v>45987.666666666599</v>
      </c>
      <c r="B1735" s="1">
        <f ca="1">IFERROR(__xludf.UNSUPPORTED("""COMPUTED_VALUE"""),72.88)</f>
        <v>72.88</v>
      </c>
      <c r="C1735" s="2">
        <f t="shared" ca="1" si="6"/>
        <v>3.7184960749207549E-3</v>
      </c>
    </row>
    <row r="1736" spans="1:3">
      <c r="A1736" s="3">
        <f ca="1">IFERROR(__xludf.UNSUPPORTED("""COMPUTED_VALUE"""),45989.5416666666)</f>
        <v>45989.541666666599</v>
      </c>
      <c r="B1736" s="1">
        <f ca="1">IFERROR(__xludf.UNSUPPORTED("""COMPUTED_VALUE"""),73.12)</f>
        <v>73.12</v>
      </c>
      <c r="C1736" s="2">
        <f t="shared" ca="1" si="6"/>
        <v>3.293084522502869E-3</v>
      </c>
    </row>
    <row r="1737" spans="1:3">
      <c r="A1737" s="3">
        <f ca="1">IFERROR(__xludf.UNSUPPORTED("""COMPUTED_VALUE"""),45992.6666666666)</f>
        <v>45992.666666666599</v>
      </c>
      <c r="B1737" s="1">
        <f ca="1">IFERROR(__xludf.UNSUPPORTED("""COMPUTED_VALUE"""),71.95)</f>
        <v>71.95</v>
      </c>
      <c r="C1737" s="2">
        <f t="shared" ca="1" si="6"/>
        <v>-1.6001094091903742E-2</v>
      </c>
    </row>
    <row r="1738" spans="1:3">
      <c r="A1738" s="3">
        <f ca="1">IFERROR(__xludf.UNSUPPORTED("""COMPUTED_VALUE"""),45993.6666666666)</f>
        <v>45993.666666666599</v>
      </c>
      <c r="B1738" s="1">
        <f ca="1">IFERROR(__xludf.UNSUPPORTED("""COMPUTED_VALUE"""),70.67)</f>
        <v>70.67</v>
      </c>
      <c r="C1738" s="2">
        <f t="shared" ca="1" si="6"/>
        <v>-1.7790132036136219E-2</v>
      </c>
    </row>
    <row r="1739" spans="1:3">
      <c r="A1739" s="3">
        <f ca="1">IFERROR(__xludf.UNSUPPORTED("""COMPUTED_VALUE"""),45994.6666666666)</f>
        <v>45994.666666666599</v>
      </c>
      <c r="B1739" s="1">
        <f ca="1">IFERROR(__xludf.UNSUPPORTED("""COMPUTED_VALUE"""),70.81)</f>
        <v>70.81</v>
      </c>
      <c r="C1739" s="2">
        <f t="shared" ca="1" si="6"/>
        <v>1.981038630253298E-3</v>
      </c>
    </row>
    <row r="1740" spans="1:3">
      <c r="A1740" s="3">
        <f ca="1">IFERROR(__xludf.UNSUPPORTED("""COMPUTED_VALUE"""),45995.6666666666)</f>
        <v>45995.666666666599</v>
      </c>
      <c r="B1740" s="1">
        <f ca="1">IFERROR(__xludf.UNSUPPORTED("""COMPUTED_VALUE"""),70.45)</f>
        <v>70.45</v>
      </c>
      <c r="C1740" s="2">
        <f t="shared" ca="1" si="6"/>
        <v>-5.0840276797062484E-3</v>
      </c>
    </row>
    <row r="1741" spans="1:3">
      <c r="A1741" s="3">
        <f ca="1">IFERROR(__xludf.UNSUPPORTED("""COMPUTED_VALUE"""),45996.6666666666)</f>
        <v>45996.666666666599</v>
      </c>
      <c r="B1741" s="1">
        <f ca="1">IFERROR(__xludf.UNSUPPORTED("""COMPUTED_VALUE"""),70)</f>
        <v>70</v>
      </c>
      <c r="C1741" s="2">
        <f t="shared" ca="1" si="6"/>
        <v>-6.3875088715401396E-3</v>
      </c>
    </row>
    <row r="1742" spans="1:3">
      <c r="A1742" s="3">
        <f ca="1">IFERROR(__xludf.UNSUPPORTED("""COMPUTED_VALUE"""),45999.6666666666)</f>
        <v>45999.666666666599</v>
      </c>
      <c r="B1742" s="1">
        <f ca="1">IFERROR(__xludf.UNSUPPORTED("""COMPUTED_VALUE"""),70.25)</f>
        <v>70.25</v>
      </c>
      <c r="C1742" s="2">
        <f t="shared" ca="1" si="6"/>
        <v>3.5714285714285713E-3</v>
      </c>
    </row>
    <row r="1743" spans="1:3">
      <c r="A1743" s="3">
        <f ca="1">IFERROR(__xludf.UNSUPPORTED("""COMPUTED_VALUE"""),46000.6666666666)</f>
        <v>46000.666666666599</v>
      </c>
      <c r="B1743" s="1">
        <f ca="1">IFERROR(__xludf.UNSUPPORTED("""COMPUTED_VALUE"""),70.09)</f>
        <v>70.09</v>
      </c>
      <c r="C1743" s="2">
        <f t="shared" ca="1" si="6"/>
        <v>-2.2775800711743286E-3</v>
      </c>
    </row>
    <row r="1744" spans="1:3">
      <c r="A1744" s="3">
        <f ca="1">IFERROR(__xludf.UNSUPPORTED("""COMPUTED_VALUE"""),46001.6666666666)</f>
        <v>46001.666666666599</v>
      </c>
      <c r="B1744" s="1">
        <f ca="1">IFERROR(__xludf.UNSUPPORTED("""COMPUTED_VALUE"""),70.21)</f>
        <v>70.209999999999994</v>
      </c>
      <c r="C1744" s="2">
        <f t="shared" ca="1" si="6"/>
        <v>1.7120844628333619E-3</v>
      </c>
    </row>
    <row r="1745" spans="1:3">
      <c r="A1745" s="3">
        <f ca="1">IFERROR(__xludf.UNSUPPORTED("""COMPUTED_VALUE"""),46002.6666666666)</f>
        <v>46002.666666666599</v>
      </c>
      <c r="B1745" s="1">
        <f ca="1">IFERROR(__xludf.UNSUPPORTED("""COMPUTED_VALUE"""),69.11)</f>
        <v>69.11</v>
      </c>
      <c r="C1745" s="2">
        <f t="shared" ca="1" si="6"/>
        <v>-1.5667283862697542E-2</v>
      </c>
    </row>
    <row r="1746" spans="1:3">
      <c r="A1746" s="3">
        <f ca="1">IFERROR(__xludf.UNSUPPORTED("""COMPUTED_VALUE"""),46003.6666666666)</f>
        <v>46003.666666666599</v>
      </c>
      <c r="B1746" s="1">
        <f ca="1">IFERROR(__xludf.UNSUPPORTED("""COMPUTED_VALUE"""),70.52)</f>
        <v>70.52</v>
      </c>
      <c r="C1746" s="2">
        <f t="shared" ca="1" si="6"/>
        <v>2.0402257271017171E-2</v>
      </c>
    </row>
    <row r="1747" spans="1:3">
      <c r="A1747" s="3">
        <f ca="1">IFERROR(__xludf.UNSUPPORTED("""COMPUTED_VALUE"""),46006.6666666666)</f>
        <v>46006.666666666599</v>
      </c>
      <c r="B1747" s="1">
        <f ca="1">IFERROR(__xludf.UNSUPPORTED("""COMPUTED_VALUE"""),70.97)</f>
        <v>70.97</v>
      </c>
      <c r="C1747" s="2">
        <f t="shared" ca="1" si="6"/>
        <v>6.3811684628474596E-3</v>
      </c>
    </row>
    <row r="1748" spans="1:3">
      <c r="A1748" s="3">
        <f ca="1">IFERROR(__xludf.UNSUPPORTED("""COMPUTED_VALUE"""),46007.6666666666)</f>
        <v>46007.666666666599</v>
      </c>
      <c r="B1748" s="1">
        <f ca="1">IFERROR(__xludf.UNSUPPORTED("""COMPUTED_VALUE"""),70.37)</f>
        <v>70.37</v>
      </c>
      <c r="C1748" s="2">
        <f t="shared" ca="1" si="6"/>
        <v>-8.4542764548399939E-3</v>
      </c>
    </row>
    <row r="1749" spans="1:3">
      <c r="A1749" s="3">
        <f ca="1">IFERROR(__xludf.UNSUPPORTED("""COMPUTED_VALUE"""),46008.6666666666)</f>
        <v>46008.666666666599</v>
      </c>
      <c r="B1749" s="1">
        <f ca="1">IFERROR(__xludf.UNSUPPORTED("""COMPUTED_VALUE"""),70.67)</f>
        <v>70.67</v>
      </c>
      <c r="C1749" s="2">
        <f t="shared" ca="1" si="6"/>
        <v>4.2631803325280252E-3</v>
      </c>
    </row>
    <row r="1750" spans="1:3">
      <c r="A1750" s="3">
        <f ca="1">IFERROR(__xludf.UNSUPPORTED("""COMPUTED_VALUE"""),46009.6666666666)</f>
        <v>46009.666666666599</v>
      </c>
      <c r="B1750" s="1">
        <f ca="1">IFERROR(__xludf.UNSUPPORTED("""COMPUTED_VALUE"""),70.36)</f>
        <v>70.36</v>
      </c>
      <c r="C1750" s="2">
        <f t="shared" ca="1" si="6"/>
        <v>-4.3865855384180317E-3</v>
      </c>
    </row>
    <row r="1751" spans="1:3">
      <c r="A1751" s="3">
        <f ca="1">IFERROR(__xludf.UNSUPPORTED("""COMPUTED_VALUE"""),46010.6666666666)</f>
        <v>46010.666666666599</v>
      </c>
      <c r="B1751" s="1">
        <f ca="1">IFERROR(__xludf.UNSUPPORTED("""COMPUTED_VALUE"""),70.06)</f>
        <v>70.06</v>
      </c>
      <c r="C1751" s="2">
        <f t="shared" ca="1" si="6"/>
        <v>-4.2637862421830179E-3</v>
      </c>
    </row>
    <row r="1752" spans="1:3">
      <c r="A1752" s="3">
        <f ca="1">IFERROR(__xludf.UNSUPPORTED("""COMPUTED_VALUE"""),46013.6666666666)</f>
        <v>46013.666666666599</v>
      </c>
      <c r="B1752" s="1">
        <f ca="1">IFERROR(__xludf.UNSUPPORTED("""COMPUTED_VALUE"""),70.21)</f>
        <v>70.209999999999994</v>
      </c>
      <c r="C1752" s="2">
        <f t="shared" ca="1" si="6"/>
        <v>2.1410219811588849E-3</v>
      </c>
    </row>
    <row r="1753" spans="1:3">
      <c r="A1753" s="3">
        <f ca="1">IFERROR(__xludf.UNSUPPORTED("""COMPUTED_VALUE"""),46014.6666666666)</f>
        <v>46014.666666666599</v>
      </c>
      <c r="B1753" s="1">
        <f ca="1">IFERROR(__xludf.UNSUPPORTED("""COMPUTED_VALUE"""),69.87)</f>
        <v>69.87</v>
      </c>
      <c r="C1753" s="2">
        <f t="shared" ca="1" si="6"/>
        <v>-4.8426150121063842E-3</v>
      </c>
    </row>
    <row r="1754" spans="1:3">
      <c r="A1754" s="3">
        <f ca="1">IFERROR(__xludf.UNSUPPORTED("""COMPUTED_VALUE"""),46015.5416666666)</f>
        <v>46015.541666666599</v>
      </c>
      <c r="B1754" s="1">
        <f ca="1">IFERROR(__xludf.UNSUPPORTED("""COMPUTED_VALUE"""),70.11)</f>
        <v>70.11</v>
      </c>
      <c r="C1754" s="2">
        <f t="shared" ca="1" si="6"/>
        <v>3.4349506225847268E-3</v>
      </c>
    </row>
    <row r="1755" spans="1:3">
      <c r="A1755" s="3">
        <f ca="1">IFERROR(__xludf.UNSUPPORTED("""COMPUTED_VALUE"""),46017.6666666666)</f>
        <v>46017.666666666599</v>
      </c>
      <c r="B1755" s="1">
        <f ca="1">IFERROR(__xludf.UNSUPPORTED("""COMPUTED_VALUE"""),69.87)</f>
        <v>69.87</v>
      </c>
      <c r="C1755" s="2">
        <f t="shared" ca="1" si="6"/>
        <v>-3.4231921266580359E-3</v>
      </c>
    </row>
    <row r="1756" spans="1:3">
      <c r="A1756" s="3">
        <f ca="1">IFERROR(__xludf.UNSUPPORTED("""COMPUTED_VALUE"""),46020.6666666666)</f>
        <v>46020.666666666599</v>
      </c>
      <c r="B1756" s="1">
        <f ca="1">IFERROR(__xludf.UNSUPPORTED("""COMPUTED_VALUE"""),70.16)</f>
        <v>70.16</v>
      </c>
      <c r="C1756" s="2">
        <f t="shared" ca="1" si="6"/>
        <v>4.1505653356231865E-3</v>
      </c>
    </row>
    <row r="1757" spans="1:3">
      <c r="A1757" s="3">
        <f ca="1">IFERROR(__xludf.UNSUPPORTED("""COMPUTED_VALUE"""),46021.6666666666)</f>
        <v>46021.666666666599</v>
      </c>
      <c r="B1757" s="1">
        <f ca="1">IFERROR(__xludf.UNSUPPORTED("""COMPUTED_VALUE"""),70.07)</f>
        <v>70.069999999999993</v>
      </c>
      <c r="C1757" s="2">
        <f t="shared" ca="1" si="6"/>
        <v>-1.2827822120867077E-3</v>
      </c>
    </row>
    <row r="1758" spans="1:3">
      <c r="A1758" s="3">
        <f ca="1">IFERROR(__xludf.UNSUPPORTED("""COMPUTED_VALUE"""),46022.6666666666)</f>
        <v>46022.666666666599</v>
      </c>
      <c r="B1758" s="1">
        <f ca="1">IFERROR(__xludf.UNSUPPORTED("""COMPUTED_VALUE"""),69.91)</f>
        <v>69.91</v>
      </c>
      <c r="C1758" s="2">
        <f t="shared" ca="1" si="6"/>
        <v>-2.2834308548593777E-3</v>
      </c>
    </row>
    <row r="1759" spans="1:3">
      <c r="A1759" s="3">
        <f ca="1">IFERROR(__xludf.UNSUPPORTED("""COMPUTED_VALUE"""),46024.6666666666)</f>
        <v>46024.666666666599</v>
      </c>
      <c r="B1759" s="1">
        <f ca="1">IFERROR(__xludf.UNSUPPORTED("""COMPUTED_VALUE"""),69.12)</f>
        <v>69.12</v>
      </c>
      <c r="C1759" s="2">
        <f t="shared" ca="1" si="6"/>
        <v>-1.1300243169789616E-2</v>
      </c>
    </row>
    <row r="1760" spans="1:3">
      <c r="A1760" s="3">
        <f ca="1">IFERROR(__xludf.UNSUPPORTED("""COMPUTED_VALUE"""),46027.6666666666)</f>
        <v>46027.666666666599</v>
      </c>
      <c r="B1760" s="1">
        <f ca="1">IFERROR(__xludf.UNSUPPORTED("""COMPUTED_VALUE"""),67.94)</f>
        <v>67.94</v>
      </c>
      <c r="C1760" s="2">
        <f t="shared" ca="1" si="6"/>
        <v>-1.7071759259259356E-2</v>
      </c>
    </row>
    <row r="1761" spans="1:3">
      <c r="A1761" s="3">
        <f ca="1">IFERROR(__xludf.UNSUPPORTED("""COMPUTED_VALUE"""),46028.6666666666)</f>
        <v>46028.666666666599</v>
      </c>
      <c r="B1761" s="1">
        <f ca="1">IFERROR(__xludf.UNSUPPORTED("""COMPUTED_VALUE"""),67.84)</f>
        <v>67.84</v>
      </c>
      <c r="C1761" s="2">
        <f t="shared" ca="1" si="6"/>
        <v>-1.4718869590814589E-3</v>
      </c>
    </row>
    <row r="1762" spans="1:3">
      <c r="A1762" s="3">
        <f ca="1">IFERROR(__xludf.UNSUPPORTED("""COMPUTED_VALUE"""),46029.6666666666)</f>
        <v>46029.666666666599</v>
      </c>
      <c r="B1762" s="1">
        <f ca="1">IFERROR(__xludf.UNSUPPORTED("""COMPUTED_VALUE"""),67.54)</f>
        <v>67.540000000000006</v>
      </c>
      <c r="C1762" s="2">
        <f t="shared" ca="1" si="6"/>
        <v>-4.422169811320713E-3</v>
      </c>
    </row>
    <row r="1763" spans="1:3">
      <c r="A1763" s="3">
        <f ca="1">IFERROR(__xludf.UNSUPPORTED("""COMPUTED_VALUE"""),46030.6666666666)</f>
        <v>46030.666666666599</v>
      </c>
      <c r="B1763" s="1">
        <f ca="1">IFERROR(__xludf.UNSUPPORTED("""COMPUTED_VALUE"""),69.37)</f>
        <v>69.37</v>
      </c>
      <c r="C1763" s="2">
        <f t="shared" ca="1" si="6"/>
        <v>2.709505478235117E-2</v>
      </c>
    </row>
    <row r="1764" spans="1:3">
      <c r="A1764" s="3">
        <f ca="1">IFERROR(__xludf.UNSUPPORTED("""COMPUTED_VALUE"""),46031.6666666666)</f>
        <v>46031.666666666599</v>
      </c>
      <c r="B1764" s="1">
        <f ca="1">IFERROR(__xludf.UNSUPPORTED("""COMPUTED_VALUE"""),70.51)</f>
        <v>70.510000000000005</v>
      </c>
      <c r="C1764" s="2">
        <f t="shared" ca="1" si="6"/>
        <v>1.6433616837249539E-2</v>
      </c>
    </row>
    <row r="1765" spans="1:3">
      <c r="A1765" s="3">
        <f ca="1">IFERROR(__xludf.UNSUPPORTED("""COMPUTED_VALUE"""),46034.6666666666)</f>
        <v>46034.666666666599</v>
      </c>
      <c r="B1765" s="1">
        <f ca="1">IFERROR(__xludf.UNSUPPORTED("""COMPUTED_VALUE"""),70.5)</f>
        <v>70.5</v>
      </c>
      <c r="C1765" s="2">
        <f t="shared" ca="1" si="6"/>
        <v>-1.4182385477244525E-4</v>
      </c>
    </row>
    <row r="1766" spans="1:3">
      <c r="A1766" s="3">
        <f ca="1">IFERROR(__xludf.UNSUPPORTED("""COMPUTED_VALUE"""),46035.6666666666)</f>
        <v>46035.666666666599</v>
      </c>
      <c r="B1766" s="1">
        <f ca="1">IFERROR(__xludf.UNSUPPORTED("""COMPUTED_VALUE"""),71.24)</f>
        <v>71.239999999999995</v>
      </c>
      <c r="C1766" s="2">
        <f t="shared" ca="1" si="6"/>
        <v>1.0496453900709147E-2</v>
      </c>
    </row>
    <row r="1767" spans="1:3">
      <c r="A1767" s="3">
        <f ca="1">IFERROR(__xludf.UNSUPPORTED("""COMPUTED_VALUE"""),46036.6666666666)</f>
        <v>46036.666666666599</v>
      </c>
      <c r="B1767" s="1">
        <f ca="1">IFERROR(__xludf.UNSUPPORTED("""COMPUTED_VALUE"""),71.44)</f>
        <v>71.44</v>
      </c>
      <c r="C1767" s="2">
        <f t="shared" ca="1" si="6"/>
        <v>2.8074115665356943E-3</v>
      </c>
    </row>
    <row r="1768" spans="1:3">
      <c r="A1768" s="3">
        <f ca="1">IFERROR(__xludf.UNSUPPORTED("""COMPUTED_VALUE"""),46037.6666666666)</f>
        <v>46037.666666666599</v>
      </c>
      <c r="B1768" s="1">
        <f ca="1">IFERROR(__xludf.UNSUPPORTED("""COMPUTED_VALUE"""),70.48)</f>
        <v>70.48</v>
      </c>
      <c r="C1768" s="2">
        <f t="shared" ca="1" si="6"/>
        <v>-1.3437849944008871E-2</v>
      </c>
    </row>
    <row r="1769" spans="1:3">
      <c r="A1769" s="3">
        <f ca="1">IFERROR(__xludf.UNSUPPORTED("""COMPUTED_VALUE"""),46038.6666666666)</f>
        <v>46038.666666666599</v>
      </c>
      <c r="B1769" s="1">
        <f ca="1">IFERROR(__xludf.UNSUPPORTED("""COMPUTED_VALUE"""),70.44)</f>
        <v>70.44</v>
      </c>
      <c r="C1769" s="2">
        <f t="shared" ca="1" si="6"/>
        <v>-5.6753688989793203E-4</v>
      </c>
    </row>
    <row r="1770" spans="1:3">
      <c r="A1770" s="3">
        <f ca="1">IFERROR(__xludf.UNSUPPORTED("""COMPUTED_VALUE"""),46042.6666666666)</f>
        <v>46042.666666666599</v>
      </c>
      <c r="B1770" s="1">
        <f ca="1">IFERROR(__xludf.UNSUPPORTED("""COMPUTED_VALUE"""),71.75)</f>
        <v>71.75</v>
      </c>
      <c r="C1770" s="2">
        <f t="shared" ca="1" si="6"/>
        <v>1.8597387847813774E-2</v>
      </c>
    </row>
    <row r="1771" spans="1:3">
      <c r="A1771" s="3">
        <f ca="1">IFERROR(__xludf.UNSUPPORTED("""COMPUTED_VALUE"""),46043.6666666666)</f>
        <v>46043.666666666599</v>
      </c>
      <c r="B1771" s="1">
        <f ca="1">IFERROR(__xludf.UNSUPPORTED("""COMPUTED_VALUE"""),72.01)</f>
        <v>72.010000000000005</v>
      </c>
      <c r="C1771" s="2">
        <f t="shared" ca="1" si="6"/>
        <v>3.6236933797910119E-3</v>
      </c>
    </row>
    <row r="1772" spans="1:3">
      <c r="A1772" s="3">
        <f ca="1">IFERROR(__xludf.UNSUPPORTED("""COMPUTED_VALUE"""),46044.6666666666)</f>
        <v>46044.666666666599</v>
      </c>
      <c r="B1772" s="1">
        <f ca="1">IFERROR(__xludf.UNSUPPORTED("""COMPUTED_VALUE"""),71.87)</f>
        <v>71.87</v>
      </c>
      <c r="C1772" s="2">
        <f t="shared" ca="1" si="6"/>
        <v>-1.9441744202194217E-3</v>
      </c>
    </row>
    <row r="1773" spans="1:3"/>
    <row r="1774" spans="1:3"/>
    <row r="1775" spans="1:3"/>
    <row r="1776" spans="1:3"/>
    <row r="1777"/>
    <row r="1778"/>
    <row r="1779"/>
    <row r="1780"/>
    <row r="1781"/>
    <row r="1782"/>
    <row r="1783"/>
    <row r="1784"/>
    <row r="1785"/>
    <row r="1786"/>
    <row r="1787"/>
    <row r="1788"/>
    <row r="1789"/>
    <row r="1790"/>
    <row r="1791"/>
    <row r="1792"/>
    <row r="1793"/>
    <row r="1794"/>
    <row r="1795"/>
    <row r="1796"/>
    <row r="1797"/>
    <row r="1798"/>
    <row r="1799"/>
    <row r="1800"/>
    <row r="1801"/>
    <row r="1802"/>
    <row r="1803"/>
    <row r="1804"/>
    <row r="1805"/>
    <row r="1806"/>
    <row r="1807"/>
    <row r="1808"/>
    <row r="1809"/>
    <row r="1810"/>
    <row r="1811"/>
    <row r="1812"/>
    <row r="1813"/>
    <row r="1814"/>
    <row r="1815"/>
    <row r="1816"/>
    <row r="1817"/>
    <row r="1818"/>
    <row r="1819"/>
    <row r="1820"/>
    <row r="1821"/>
    <row r="1822"/>
    <row r="1823"/>
    <row r="1824"/>
    <row r="1825"/>
    <row r="1826"/>
    <row r="1827"/>
    <row r="1828"/>
    <row r="1829"/>
    <row r="1830"/>
    <row r="1831"/>
    <row r="1832"/>
    <row r="1833"/>
    <row r="1834"/>
    <row r="1835"/>
    <row r="1836"/>
    <row r="1837"/>
    <row r="1838"/>
    <row r="1839"/>
    <row r="1840"/>
    <row r="1841"/>
    <row r="1842"/>
    <row r="1843"/>
    <row r="1844"/>
    <row r="1845"/>
    <row r="1846"/>
    <row r="1847"/>
    <row r="1848"/>
    <row r="1849"/>
    <row r="1850"/>
    <row r="1851"/>
    <row r="1852"/>
    <row r="1853"/>
    <row r="1854"/>
    <row r="1855"/>
    <row r="1856"/>
    <row r="1857"/>
    <row r="1858"/>
    <row r="1859"/>
    <row r="1860"/>
    <row r="1861"/>
    <row r="1862"/>
    <row r="1863"/>
    <row r="1864"/>
    <row r="1865"/>
    <row r="1866"/>
    <row r="1867"/>
    <row r="1868"/>
    <row r="1869"/>
    <row r="1870"/>
    <row r="1871"/>
    <row r="1872"/>
    <row r="1873"/>
    <row r="1874"/>
    <row r="1875"/>
    <row r="1876"/>
    <row r="1877"/>
    <row r="1878"/>
    <row r="1879"/>
    <row r="1880"/>
    <row r="1881"/>
    <row r="1882"/>
    <row r="1883"/>
    <row r="1884"/>
    <row r="1885"/>
    <row r="1886"/>
    <row r="1887"/>
    <row r="1888"/>
    <row r="1889"/>
    <row r="1890"/>
    <row r="1891"/>
    <row r="1892"/>
    <row r="1893"/>
    <row r="1894"/>
    <row r="1895"/>
    <row r="1896"/>
    <row r="1897"/>
    <row r="1898"/>
    <row r="1899"/>
    <row r="1900"/>
    <row r="1901"/>
    <row r="1902"/>
    <row r="1903"/>
    <row r="1904"/>
    <row r="1905"/>
    <row r="1906"/>
    <row r="1907"/>
    <row r="1908"/>
    <row r="1909"/>
    <row r="1910"/>
    <row r="1911"/>
    <row r="1912"/>
    <row r="1913"/>
    <row r="1914"/>
    <row r="1915"/>
    <row r="1916"/>
    <row r="1917"/>
    <row r="1918"/>
    <row r="1919"/>
    <row r="1920"/>
    <row r="1921"/>
    <row r="1922"/>
    <row r="1923"/>
    <row r="1924"/>
    <row r="1925"/>
    <row r="1926"/>
    <row r="1927"/>
    <row r="1928"/>
    <row r="1929"/>
    <row r="1930"/>
    <row r="1931"/>
    <row r="1932"/>
    <row r="1933"/>
    <row r="1934"/>
    <row r="1935"/>
    <row r="1936"/>
    <row r="1937"/>
    <row r="1938"/>
    <row r="1939"/>
    <row r="1940"/>
    <row r="1941"/>
    <row r="1942"/>
    <row r="1943"/>
    <row r="1944"/>
    <row r="1945"/>
    <row r="1946"/>
    <row r="1947"/>
    <row r="1948"/>
    <row r="1949"/>
    <row r="1950"/>
    <row r="1951"/>
    <row r="1952"/>
    <row r="1953"/>
    <row r="1954"/>
    <row r="1955"/>
    <row r="1956"/>
    <row r="1957"/>
    <row r="1958"/>
    <row r="1959"/>
    <row r="1960"/>
    <row r="1961"/>
    <row r="1962"/>
    <row r="1963"/>
    <row r="1964"/>
    <row r="1965"/>
    <row r="1966"/>
    <row r="1967"/>
    <row r="1968"/>
    <row r="1969"/>
    <row r="1970"/>
    <row r="1971"/>
    <row r="1972"/>
    <row r="1973"/>
    <row r="1974"/>
    <row r="1975"/>
    <row r="1976"/>
    <row r="1977"/>
    <row r="1978"/>
    <row r="1979"/>
    <row r="1980"/>
    <row r="1981"/>
    <row r="1982"/>
    <row r="1983"/>
    <row r="1984"/>
    <row r="1985"/>
    <row r="1986"/>
    <row r="1987"/>
    <row r="1988"/>
    <row r="1989"/>
    <row r="1990"/>
    <row r="1991"/>
    <row r="1992"/>
    <row r="1993"/>
    <row r="1994"/>
    <row r="1995"/>
    <row r="1996"/>
    <row r="1997"/>
    <row r="1998"/>
    <row r="1999"/>
    <row r="2000"/>
    <row r="2001"/>
    <row r="2002"/>
    <row r="2003"/>
    <row r="2004"/>
    <row r="2005"/>
    <row r="2006"/>
    <row r="2007"/>
    <row r="2008"/>
    <row r="2009"/>
    <row r="2010"/>
    <row r="2011"/>
    <row r="2012"/>
    <row r="2013"/>
    <row r="2014"/>
    <row r="2015"/>
    <row r="2016"/>
    <row r="2017"/>
    <row r="2018"/>
    <row r="2019"/>
    <row r="2020"/>
    <row r="2021"/>
    <row r="2022"/>
    <row r="2023"/>
    <row r="2024"/>
    <row r="2025"/>
    <row r="2026"/>
    <row r="2027"/>
    <row r="2028"/>
    <row r="2029"/>
    <row r="2030"/>
    <row r="2031"/>
    <row r="2032"/>
    <row r="2033"/>
    <row r="2034"/>
    <row r="2035"/>
    <row r="2036"/>
    <row r="2037"/>
    <row r="2038"/>
    <row r="2039"/>
    <row r="2040"/>
    <row r="2041"/>
    <row r="2042"/>
    <row r="2043"/>
    <row r="2044"/>
    <row r="2045"/>
    <row r="2046"/>
    <row r="2047"/>
    <row r="2048"/>
    <row r="2049"/>
    <row r="2050"/>
    <row r="2051"/>
    <row r="2052"/>
    <row r="2053"/>
    <row r="2054"/>
    <row r="2055"/>
    <row r="2056"/>
    <row r="2057"/>
    <row r="2058"/>
    <row r="2059"/>
    <row r="2060"/>
    <row r="2061"/>
    <row r="2062"/>
    <row r="2063"/>
    <row r="2064"/>
    <row r="2065"/>
    <row r="2066"/>
    <row r="2067"/>
    <row r="2068"/>
    <row r="2069"/>
    <row r="2070"/>
    <row r="2071"/>
    <row r="2072"/>
    <row r="2073"/>
    <row r="2074"/>
    <row r="2075"/>
    <row r="2076"/>
    <row r="2077"/>
    <row r="2078"/>
    <row r="2079"/>
    <row r="2080"/>
    <row r="2081"/>
    <row r="2082"/>
    <row r="2083"/>
    <row r="2084"/>
    <row r="2085"/>
    <row r="2086"/>
    <row r="2087"/>
    <row r="2088"/>
    <row r="2089"/>
    <row r="2090"/>
    <row r="2091"/>
    <row r="2092"/>
    <row r="2093"/>
    <row r="2094"/>
    <row r="2095"/>
    <row r="2096"/>
    <row r="2097"/>
    <row r="2098"/>
    <row r="2099"/>
    <row r="2100"/>
    <row r="2101"/>
    <row r="2102"/>
    <row r="2103"/>
    <row r="2104"/>
    <row r="2105"/>
    <row r="2106"/>
    <row r="2107"/>
    <row r="2108"/>
    <row r="2109"/>
    <row r="2110"/>
    <row r="2111"/>
    <row r="2112"/>
    <row r="2113"/>
    <row r="2114"/>
    <row r="2115"/>
    <row r="2116"/>
    <row r="2117"/>
    <row r="2118"/>
    <row r="2119"/>
    <row r="2120"/>
    <row r="2121"/>
    <row r="2122"/>
    <row r="2123"/>
    <row r="2124"/>
    <row r="2125"/>
    <row r="2126"/>
    <row r="2127"/>
    <row r="2128"/>
    <row r="2129"/>
    <row r="2130"/>
    <row r="2131"/>
    <row r="2132"/>
    <row r="2133"/>
    <row r="2134"/>
    <row r="2135"/>
    <row r="2136"/>
    <row r="2137"/>
    <row r="2138"/>
    <row r="2139"/>
    <row r="2140"/>
    <row r="2141"/>
    <row r="2142"/>
    <row r="2143"/>
    <row r="2144"/>
    <row r="2145"/>
    <row r="2146"/>
    <row r="2147"/>
    <row r="2148"/>
    <row r="2149"/>
    <row r="2150"/>
    <row r="2151"/>
    <row r="2152"/>
    <row r="2153"/>
    <row r="2154"/>
    <row r="2155"/>
    <row r="2156"/>
    <row r="2157"/>
    <row r="2158"/>
    <row r="2159"/>
    <row r="2160"/>
    <row r="2161"/>
    <row r="2162"/>
    <row r="2163"/>
    <row r="2164"/>
    <row r="2165"/>
    <row r="2166"/>
    <row r="2167"/>
    <row r="2168"/>
    <row r="2169"/>
    <row r="2170"/>
    <row r="2171"/>
    <row r="2172"/>
    <row r="2173"/>
    <row r="2174"/>
    <row r="2175"/>
    <row r="2176"/>
    <row r="2177"/>
    <row r="2178"/>
    <row r="2179"/>
    <row r="2180"/>
    <row r="2181"/>
    <row r="2182"/>
    <row r="2183"/>
    <row r="2184"/>
    <row r="2185"/>
    <row r="2186"/>
    <row r="2187"/>
    <row r="2188"/>
    <row r="2189"/>
    <row r="2190"/>
    <row r="2191"/>
    <row r="2192"/>
    <row r="2193"/>
    <row r="2194"/>
    <row r="2195"/>
    <row r="2196"/>
    <row r="2197"/>
    <row r="2198"/>
    <row r="2199"/>
    <row r="2200"/>
    <row r="2201"/>
    <row r="2202"/>
    <row r="2203"/>
    <row r="2204"/>
    <row r="2205"/>
    <row r="2206"/>
    <row r="2207"/>
    <row r="2208"/>
    <row r="2209"/>
    <row r="2210"/>
    <row r="2211"/>
    <row r="2212"/>
    <row r="2213"/>
    <row r="2214"/>
    <row r="2215"/>
    <row r="2216"/>
    <row r="2217"/>
    <row r="2218"/>
    <row r="2219"/>
    <row r="2220"/>
    <row r="2221"/>
    <row r="2222"/>
    <row r="2223"/>
    <row r="2224"/>
    <row r="2225"/>
    <row r="2226"/>
    <row r="2227"/>
    <row r="2228"/>
    <row r="2229"/>
    <row r="2230"/>
    <row r="2231"/>
    <row r="2232"/>
    <row r="2233"/>
    <row r="2234"/>
    <row r="2235"/>
    <row r="2236"/>
    <row r="2237"/>
    <row r="2238"/>
    <row r="2239"/>
    <row r="2240"/>
    <row r="2241"/>
    <row r="2242"/>
    <row r="2243"/>
    <row r="2244"/>
    <row r="2245"/>
    <row r="2246"/>
    <row r="2247"/>
    <row r="2248"/>
    <row r="2249"/>
    <row r="2250"/>
    <row r="2251"/>
    <row r="2252"/>
    <row r="2253"/>
    <row r="2254"/>
    <row r="2255"/>
    <row r="2256"/>
    <row r="2257"/>
    <row r="2258"/>
    <row r="2259"/>
    <row r="2260"/>
    <row r="2261"/>
    <row r="2262"/>
    <row r="2263"/>
    <row r="2264"/>
    <row r="2265"/>
    <row r="2266"/>
    <row r="2267"/>
    <row r="2268"/>
    <row r="2269"/>
    <row r="2270"/>
    <row r="2271"/>
    <row r="2272"/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H2275"/>
  <sheetViews>
    <sheetView workbookViewId="0"/>
  </sheetViews>
  <sheetFormatPr defaultColWidth="12.5703125" defaultRowHeight="15.75" customHeight="1"/>
  <sheetData>
    <row r="1" spans="1:8">
      <c r="A1" s="1" t="str">
        <f ca="1">IFERROR(__xludf.UNSUPPORTED(GOOGLEFINANCE("SPY", "price", "01/01/2019", "01/22/2026", "DAILY")),"Date")</f>
        <v>Date</v>
      </c>
      <c r="B1" s="1" t="str">
        <f ca="1">IFERROR(__xludf.UNSUPPORTED("""COMPUTED_VALUE"""),"Close")</f>
        <v>Close</v>
      </c>
      <c r="C1" s="1" t="s">
        <v>13</v>
      </c>
      <c r="E1" s="1" t="s">
        <v>14</v>
      </c>
      <c r="F1" s="1" t="s">
        <v>15</v>
      </c>
      <c r="G1" s="2" t="s">
        <v>16</v>
      </c>
      <c r="H1" s="2" t="s">
        <v>17</v>
      </c>
    </row>
    <row r="2" spans="1:8">
      <c r="A2" s="3">
        <f ca="1">IFERROR(__xludf.UNSUPPORTED("""COMPUTED_VALUE"""),43467.6666666666)</f>
        <v>43467.666666666599</v>
      </c>
      <c r="B2" s="1">
        <f ca="1">IFERROR(__xludf.UNSUPPORTED("""COMPUTED_VALUE"""),250.18)</f>
        <v>250.18</v>
      </c>
      <c r="C2" s="2"/>
      <c r="E2" s="2">
        <f ca="1">AVERAGE(C3:C1775)</f>
        <v>6.4941407320854346E-4</v>
      </c>
      <c r="F2" s="2">
        <f ca="1">_xlfn.STDEV.S(C3:C1775)</f>
        <v>1.2465143991054937E-2</v>
      </c>
      <c r="G2" s="2">
        <f ca="1">E2*252</f>
        <v>0.16365234644855295</v>
      </c>
      <c r="H2" s="2">
        <f ca="1">F2*SQRT(252)</f>
        <v>0.19787802634165502</v>
      </c>
    </row>
    <row r="3" spans="1:8">
      <c r="A3" s="3">
        <f ca="1">IFERROR(__xludf.UNSUPPORTED("""COMPUTED_VALUE"""),43468.6666666666)</f>
        <v>43468.666666666599</v>
      </c>
      <c r="B3" s="1">
        <f ca="1">IFERROR(__xludf.UNSUPPORTED("""COMPUTED_VALUE"""),244.21)</f>
        <v>244.21</v>
      </c>
      <c r="C3" s="2">
        <f t="shared" ref="C3:C257" ca="1" si="0">(B3-B2)/B2</f>
        <v>-2.3862818770485246E-2</v>
      </c>
    </row>
    <row r="4" spans="1:8">
      <c r="A4" s="3">
        <f ca="1">IFERROR(__xludf.UNSUPPORTED("""COMPUTED_VALUE"""),43469.6666666666)</f>
        <v>43469.666666666599</v>
      </c>
      <c r="B4" s="1">
        <f ca="1">IFERROR(__xludf.UNSUPPORTED("""COMPUTED_VALUE"""),252.39)</f>
        <v>252.39</v>
      </c>
      <c r="C4" s="2">
        <f t="shared" ca="1" si="0"/>
        <v>3.3495761844314229E-2</v>
      </c>
    </row>
    <row r="5" spans="1:8">
      <c r="A5" s="3">
        <f ca="1">IFERROR(__xludf.UNSUPPORTED("""COMPUTED_VALUE"""),43472.6666666666)</f>
        <v>43472.666666666599</v>
      </c>
      <c r="B5" s="1">
        <f ca="1">IFERROR(__xludf.UNSUPPORTED("""COMPUTED_VALUE"""),254.38)</f>
        <v>254.38</v>
      </c>
      <c r="C5" s="2">
        <f t="shared" ca="1" si="0"/>
        <v>7.8846230040810223E-3</v>
      </c>
    </row>
    <row r="6" spans="1:8">
      <c r="A6" s="3">
        <f ca="1">IFERROR(__xludf.UNSUPPORTED("""COMPUTED_VALUE"""),43473.6666666666)</f>
        <v>43473.666666666599</v>
      </c>
      <c r="B6" s="1">
        <f ca="1">IFERROR(__xludf.UNSUPPORTED("""COMPUTED_VALUE"""),256.77)</f>
        <v>256.77</v>
      </c>
      <c r="C6" s="2">
        <f t="shared" ca="1" si="0"/>
        <v>9.3953927195533707E-3</v>
      </c>
    </row>
    <row r="7" spans="1:8">
      <c r="A7" s="3">
        <f ca="1">IFERROR(__xludf.UNSUPPORTED("""COMPUTED_VALUE"""),43474.6666666666)</f>
        <v>43474.666666666599</v>
      </c>
      <c r="B7" s="1">
        <f ca="1">IFERROR(__xludf.UNSUPPORTED("""COMPUTED_VALUE"""),257.97)</f>
        <v>257.97000000000003</v>
      </c>
      <c r="C7" s="2">
        <f t="shared" ca="1" si="0"/>
        <v>4.6734431592477532E-3</v>
      </c>
    </row>
    <row r="8" spans="1:8">
      <c r="A8" s="3">
        <f ca="1">IFERROR(__xludf.UNSUPPORTED("""COMPUTED_VALUE"""),43475.6666666666)</f>
        <v>43475.666666666599</v>
      </c>
      <c r="B8" s="1">
        <f ca="1">IFERROR(__xludf.UNSUPPORTED("""COMPUTED_VALUE"""),258.88)</f>
        <v>258.88</v>
      </c>
      <c r="C8" s="2">
        <f t="shared" ca="1" si="0"/>
        <v>3.5275419622435478E-3</v>
      </c>
    </row>
    <row r="9" spans="1:8">
      <c r="A9" s="3">
        <f ca="1">IFERROR(__xludf.UNSUPPORTED("""COMPUTED_VALUE"""),43476.6666666666)</f>
        <v>43476.666666666599</v>
      </c>
      <c r="B9" s="1">
        <f ca="1">IFERROR(__xludf.UNSUPPORTED("""COMPUTED_VALUE"""),258.98)</f>
        <v>258.98</v>
      </c>
      <c r="C9" s="2">
        <f t="shared" ca="1" si="0"/>
        <v>3.8627935723123738E-4</v>
      </c>
    </row>
    <row r="10" spans="1:8">
      <c r="A10" s="3">
        <f ca="1">IFERROR(__xludf.UNSUPPORTED("""COMPUTED_VALUE"""),43479.6666666666)</f>
        <v>43479.666666666599</v>
      </c>
      <c r="B10" s="1">
        <f ca="1">IFERROR(__xludf.UNSUPPORTED("""COMPUTED_VALUE"""),257.4)</f>
        <v>257.39999999999998</v>
      </c>
      <c r="C10" s="2">
        <f t="shared" ca="1" si="0"/>
        <v>-6.1008572090510494E-3</v>
      </c>
    </row>
    <row r="11" spans="1:8">
      <c r="A11" s="3">
        <f ca="1">IFERROR(__xludf.UNSUPPORTED("""COMPUTED_VALUE"""),43480.6666666666)</f>
        <v>43480.666666666599</v>
      </c>
      <c r="B11" s="1">
        <f ca="1">IFERROR(__xludf.UNSUPPORTED("""COMPUTED_VALUE"""),260.35)</f>
        <v>260.35000000000002</v>
      </c>
      <c r="C11" s="2">
        <f t="shared" ca="1" si="0"/>
        <v>1.1460761460761639E-2</v>
      </c>
    </row>
    <row r="12" spans="1:8">
      <c r="A12" s="3">
        <f ca="1">IFERROR(__xludf.UNSUPPORTED("""COMPUTED_VALUE"""),43481.6666666666)</f>
        <v>43481.666666666599</v>
      </c>
      <c r="B12" s="1">
        <f ca="1">IFERROR(__xludf.UNSUPPORTED("""COMPUTED_VALUE"""),260.98)</f>
        <v>260.98</v>
      </c>
      <c r="C12" s="2">
        <f t="shared" ca="1" si="0"/>
        <v>2.4198194737852716E-3</v>
      </c>
    </row>
    <row r="13" spans="1:8">
      <c r="A13" s="3">
        <f ca="1">IFERROR(__xludf.UNSUPPORTED("""COMPUTED_VALUE"""),43482.6666666666)</f>
        <v>43482.666666666599</v>
      </c>
      <c r="B13" s="1">
        <f ca="1">IFERROR(__xludf.UNSUPPORTED("""COMPUTED_VALUE"""),262.96)</f>
        <v>262.95999999999998</v>
      </c>
      <c r="C13" s="2">
        <f t="shared" ca="1" si="0"/>
        <v>7.5867882596366053E-3</v>
      </c>
    </row>
    <row r="14" spans="1:8">
      <c r="A14" s="3">
        <f ca="1">IFERROR(__xludf.UNSUPPORTED("""COMPUTED_VALUE"""),43483.6666666666)</f>
        <v>43483.666666666599</v>
      </c>
      <c r="B14" s="1">
        <f ca="1">IFERROR(__xludf.UNSUPPORTED("""COMPUTED_VALUE"""),266.46)</f>
        <v>266.45999999999998</v>
      </c>
      <c r="C14" s="2">
        <f t="shared" ca="1" si="0"/>
        <v>1.3310009126863403E-2</v>
      </c>
    </row>
    <row r="15" spans="1:8">
      <c r="A15" s="3">
        <f ca="1">IFERROR(__xludf.UNSUPPORTED("""COMPUTED_VALUE"""),43487.6666666666)</f>
        <v>43487.666666666599</v>
      </c>
      <c r="B15" s="1">
        <f ca="1">IFERROR(__xludf.UNSUPPORTED("""COMPUTED_VALUE"""),262.86)</f>
        <v>262.86</v>
      </c>
      <c r="C15" s="2">
        <f t="shared" ca="1" si="0"/>
        <v>-1.3510470614726286E-2</v>
      </c>
    </row>
    <row r="16" spans="1:8">
      <c r="A16" s="3">
        <f ca="1">IFERROR(__xludf.UNSUPPORTED("""COMPUTED_VALUE"""),43488.6666666666)</f>
        <v>43488.666666666599</v>
      </c>
      <c r="B16" s="1">
        <f ca="1">IFERROR(__xludf.UNSUPPORTED("""COMPUTED_VALUE"""),263.41)</f>
        <v>263.41000000000003</v>
      </c>
      <c r="C16" s="2">
        <f t="shared" ca="1" si="0"/>
        <v>2.0923685612113342E-3</v>
      </c>
    </row>
    <row r="17" spans="1:3">
      <c r="A17" s="3">
        <f ca="1">IFERROR(__xludf.UNSUPPORTED("""COMPUTED_VALUE"""),43489.6666666666)</f>
        <v>43489.666666666599</v>
      </c>
      <c r="B17" s="1">
        <f ca="1">IFERROR(__xludf.UNSUPPORTED("""COMPUTED_VALUE"""),263.55)</f>
        <v>263.55</v>
      </c>
      <c r="C17" s="2">
        <f t="shared" ca="1" si="0"/>
        <v>5.3149083178309988E-4</v>
      </c>
    </row>
    <row r="18" spans="1:3">
      <c r="A18" s="3">
        <f ca="1">IFERROR(__xludf.UNSUPPORTED("""COMPUTED_VALUE"""),43490.6666666666)</f>
        <v>43490.666666666599</v>
      </c>
      <c r="B18" s="1">
        <f ca="1">IFERROR(__xludf.UNSUPPORTED("""COMPUTED_VALUE"""),265.78)</f>
        <v>265.77999999999997</v>
      </c>
      <c r="C18" s="2">
        <f t="shared" ca="1" si="0"/>
        <v>8.4613925251373987E-3</v>
      </c>
    </row>
    <row r="19" spans="1:3">
      <c r="A19" s="3">
        <f ca="1">IFERROR(__xludf.UNSUPPORTED("""COMPUTED_VALUE"""),43493.6666666666)</f>
        <v>43493.666666666599</v>
      </c>
      <c r="B19" s="1">
        <f ca="1">IFERROR(__xludf.UNSUPPORTED("""COMPUTED_VALUE"""),263.76)</f>
        <v>263.76</v>
      </c>
      <c r="C19" s="2">
        <f t="shared" ca="1" si="0"/>
        <v>-7.6002709007449093E-3</v>
      </c>
    </row>
    <row r="20" spans="1:3">
      <c r="A20" s="3">
        <f ca="1">IFERROR(__xludf.UNSUPPORTED("""COMPUTED_VALUE"""),43494.6666666666)</f>
        <v>43494.666666666599</v>
      </c>
      <c r="B20" s="1">
        <f ca="1">IFERROR(__xludf.UNSUPPORTED("""COMPUTED_VALUE"""),263.41)</f>
        <v>263.41000000000003</v>
      </c>
      <c r="C20" s="2">
        <f t="shared" ca="1" si="0"/>
        <v>-1.3269639065816117E-3</v>
      </c>
    </row>
    <row r="21" spans="1:3">
      <c r="A21" s="3">
        <f ca="1">IFERROR(__xludf.UNSUPPORTED("""COMPUTED_VALUE"""),43495.6666666666)</f>
        <v>43495.666666666599</v>
      </c>
      <c r="B21" s="1">
        <f ca="1">IFERROR(__xludf.UNSUPPORTED("""COMPUTED_VALUE"""),267.58)</f>
        <v>267.58</v>
      </c>
      <c r="C21" s="2">
        <f t="shared" ca="1" si="0"/>
        <v>1.5830834060969433E-2</v>
      </c>
    </row>
    <row r="22" spans="1:3">
      <c r="A22" s="3">
        <f ca="1">IFERROR(__xludf.UNSUPPORTED("""COMPUTED_VALUE"""),43496.6666666666)</f>
        <v>43496.666666666599</v>
      </c>
      <c r="B22" s="1">
        <f ca="1">IFERROR(__xludf.UNSUPPORTED("""COMPUTED_VALUE"""),269.93)</f>
        <v>269.93</v>
      </c>
      <c r="C22" s="2">
        <f t="shared" ca="1" si="0"/>
        <v>8.7824202107781701E-3</v>
      </c>
    </row>
    <row r="23" spans="1:3">
      <c r="A23" s="3">
        <f ca="1">IFERROR(__xludf.UNSUPPORTED("""COMPUTED_VALUE"""),43497.6666666666)</f>
        <v>43497.666666666599</v>
      </c>
      <c r="B23" s="1">
        <f ca="1">IFERROR(__xludf.UNSUPPORTED("""COMPUTED_VALUE"""),270.06)</f>
        <v>270.06</v>
      </c>
      <c r="C23" s="2">
        <f t="shared" ca="1" si="0"/>
        <v>4.8160634238504592E-4</v>
      </c>
    </row>
    <row r="24" spans="1:3">
      <c r="A24" s="3">
        <f ca="1">IFERROR(__xludf.UNSUPPORTED("""COMPUTED_VALUE"""),43500.6666666666)</f>
        <v>43500.666666666599</v>
      </c>
      <c r="B24" s="1">
        <f ca="1">IFERROR(__xludf.UNSUPPORTED("""COMPUTED_VALUE"""),271.96)</f>
        <v>271.95999999999998</v>
      </c>
      <c r="C24" s="2">
        <f t="shared" ca="1" si="0"/>
        <v>7.0354735984595176E-3</v>
      </c>
    </row>
    <row r="25" spans="1:3">
      <c r="A25" s="3">
        <f ca="1">IFERROR(__xludf.UNSUPPORTED("""COMPUTED_VALUE"""),43501.6666666666)</f>
        <v>43501.666666666599</v>
      </c>
      <c r="B25" s="1">
        <f ca="1">IFERROR(__xludf.UNSUPPORTED("""COMPUTED_VALUE"""),273.1)</f>
        <v>273.10000000000002</v>
      </c>
      <c r="C25" s="2">
        <f t="shared" ca="1" si="0"/>
        <v>4.1917929107223246E-3</v>
      </c>
    </row>
    <row r="26" spans="1:3">
      <c r="A26" s="3">
        <f ca="1">IFERROR(__xludf.UNSUPPORTED("""COMPUTED_VALUE"""),43502.6666666666)</f>
        <v>43502.666666666599</v>
      </c>
      <c r="B26" s="1">
        <f ca="1">IFERROR(__xludf.UNSUPPORTED("""COMPUTED_VALUE"""),272.74)</f>
        <v>272.74</v>
      </c>
      <c r="C26" s="2">
        <f t="shared" ca="1" si="0"/>
        <v>-1.318198462101844E-3</v>
      </c>
    </row>
    <row r="27" spans="1:3">
      <c r="A27" s="3">
        <f ca="1">IFERROR(__xludf.UNSUPPORTED("""COMPUTED_VALUE"""),43503.6666666666)</f>
        <v>43503.666666666599</v>
      </c>
      <c r="B27" s="1">
        <f ca="1">IFERROR(__xludf.UNSUPPORTED("""COMPUTED_VALUE"""),270.14)</f>
        <v>270.14</v>
      </c>
      <c r="C27" s="2">
        <f t="shared" ca="1" si="0"/>
        <v>-9.5328884652050409E-3</v>
      </c>
    </row>
    <row r="28" spans="1:3">
      <c r="A28" s="3">
        <f ca="1">IFERROR(__xludf.UNSUPPORTED("""COMPUTED_VALUE"""),43504.6666666666)</f>
        <v>43504.666666666599</v>
      </c>
      <c r="B28" s="1">
        <f ca="1">IFERROR(__xludf.UNSUPPORTED("""COMPUTED_VALUE"""),270.47)</f>
        <v>270.47000000000003</v>
      </c>
      <c r="C28" s="2">
        <f t="shared" ca="1" si="0"/>
        <v>1.2215888058045492E-3</v>
      </c>
    </row>
    <row r="29" spans="1:3">
      <c r="A29" s="3">
        <f ca="1">IFERROR(__xludf.UNSUPPORTED("""COMPUTED_VALUE"""),43507.6666666666)</f>
        <v>43507.666666666599</v>
      </c>
      <c r="B29" s="1">
        <f ca="1">IFERROR(__xludf.UNSUPPORTED("""COMPUTED_VALUE"""),270.62)</f>
        <v>270.62</v>
      </c>
      <c r="C29" s="2">
        <f t="shared" ca="1" si="0"/>
        <v>5.5459015787324745E-4</v>
      </c>
    </row>
    <row r="30" spans="1:3">
      <c r="A30" s="3">
        <f ca="1">IFERROR(__xludf.UNSUPPORTED("""COMPUTED_VALUE"""),43508.6666666666)</f>
        <v>43508.666666666599</v>
      </c>
      <c r="B30" s="1">
        <f ca="1">IFERROR(__xludf.UNSUPPORTED("""COMPUTED_VALUE"""),274.1)</f>
        <v>274.10000000000002</v>
      </c>
      <c r="C30" s="2">
        <f t="shared" ca="1" si="0"/>
        <v>1.2859359988175369E-2</v>
      </c>
    </row>
    <row r="31" spans="1:3">
      <c r="A31" s="3">
        <f ca="1">IFERROR(__xludf.UNSUPPORTED("""COMPUTED_VALUE"""),43509.6666666666)</f>
        <v>43509.666666666599</v>
      </c>
      <c r="B31" s="1">
        <f ca="1">IFERROR(__xludf.UNSUPPORTED("""COMPUTED_VALUE"""),274.99)</f>
        <v>274.99</v>
      </c>
      <c r="C31" s="2">
        <f t="shared" ca="1" si="0"/>
        <v>3.2469901495803949E-3</v>
      </c>
    </row>
    <row r="32" spans="1:3">
      <c r="A32" s="3">
        <f ca="1">IFERROR(__xludf.UNSUPPORTED("""COMPUTED_VALUE"""),43510.6666666666)</f>
        <v>43510.666666666599</v>
      </c>
      <c r="B32" s="1">
        <f ca="1">IFERROR(__xludf.UNSUPPORTED("""COMPUTED_VALUE"""),274.38)</f>
        <v>274.38</v>
      </c>
      <c r="C32" s="2">
        <f t="shared" ca="1" si="0"/>
        <v>-2.2182624822721323E-3</v>
      </c>
    </row>
    <row r="33" spans="1:3">
      <c r="A33" s="3">
        <f ca="1">IFERROR(__xludf.UNSUPPORTED("""COMPUTED_VALUE"""),43511.6666666666)</f>
        <v>43511.666666666599</v>
      </c>
      <c r="B33" s="1">
        <f ca="1">IFERROR(__xludf.UNSUPPORTED("""COMPUTED_VALUE"""),277.37)</f>
        <v>277.37</v>
      </c>
      <c r="C33" s="2">
        <f t="shared" ca="1" si="0"/>
        <v>1.0897295721262516E-2</v>
      </c>
    </row>
    <row r="34" spans="1:3">
      <c r="A34" s="3">
        <f ca="1">IFERROR(__xludf.UNSUPPORTED("""COMPUTED_VALUE"""),43515.6666666666)</f>
        <v>43515.666666666599</v>
      </c>
      <c r="B34" s="1">
        <f ca="1">IFERROR(__xludf.UNSUPPORTED("""COMPUTED_VALUE"""),277.85)</f>
        <v>277.85000000000002</v>
      </c>
      <c r="C34" s="2">
        <f t="shared" ca="1" si="0"/>
        <v>1.7305404333562324E-3</v>
      </c>
    </row>
    <row r="35" spans="1:3">
      <c r="A35" s="3">
        <f ca="1">IFERROR(__xludf.UNSUPPORTED("""COMPUTED_VALUE"""),43516.6666666666)</f>
        <v>43516.666666666599</v>
      </c>
      <c r="B35" s="1">
        <f ca="1">IFERROR(__xludf.UNSUPPORTED("""COMPUTED_VALUE"""),278.41)</f>
        <v>278.41000000000003</v>
      </c>
      <c r="C35" s="2">
        <f t="shared" ca="1" si="0"/>
        <v>2.0154759762461838E-3</v>
      </c>
    </row>
    <row r="36" spans="1:3">
      <c r="A36" s="3">
        <f ca="1">IFERROR(__xludf.UNSUPPORTED("""COMPUTED_VALUE"""),43517.6666666666)</f>
        <v>43517.666666666599</v>
      </c>
      <c r="B36" s="1">
        <f ca="1">IFERROR(__xludf.UNSUPPORTED("""COMPUTED_VALUE"""),277.42)</f>
        <v>277.42</v>
      </c>
      <c r="C36" s="2">
        <f t="shared" ca="1" si="0"/>
        <v>-3.5559067562228692E-3</v>
      </c>
    </row>
    <row r="37" spans="1:3">
      <c r="A37" s="3">
        <f ca="1">IFERROR(__xludf.UNSUPPORTED("""COMPUTED_VALUE"""),43518.6666666666)</f>
        <v>43518.666666666599</v>
      </c>
      <c r="B37" s="1">
        <f ca="1">IFERROR(__xludf.UNSUPPORTED("""COMPUTED_VALUE"""),279.14)</f>
        <v>279.14</v>
      </c>
      <c r="C37" s="2">
        <f t="shared" ca="1" si="0"/>
        <v>6.1999855814287739E-3</v>
      </c>
    </row>
    <row r="38" spans="1:3">
      <c r="A38" s="3">
        <f ca="1">IFERROR(__xludf.UNSUPPORTED("""COMPUTED_VALUE"""),43521.6666666666)</f>
        <v>43521.666666666599</v>
      </c>
      <c r="B38" s="1">
        <f ca="1">IFERROR(__xludf.UNSUPPORTED("""COMPUTED_VALUE"""),279.52)</f>
        <v>279.52</v>
      </c>
      <c r="C38" s="2">
        <f t="shared" ca="1" si="0"/>
        <v>1.3613240667765117E-3</v>
      </c>
    </row>
    <row r="39" spans="1:3">
      <c r="A39" s="3">
        <f ca="1">IFERROR(__xludf.UNSUPPORTED("""COMPUTED_VALUE"""),43522.6666666666)</f>
        <v>43522.666666666599</v>
      </c>
      <c r="B39" s="1">
        <f ca="1">IFERROR(__xludf.UNSUPPORTED("""COMPUTED_VALUE"""),279.32)</f>
        <v>279.32</v>
      </c>
      <c r="C39" s="2">
        <f t="shared" ca="1" si="0"/>
        <v>-7.155123068116365E-4</v>
      </c>
    </row>
    <row r="40" spans="1:3">
      <c r="A40" s="3">
        <f ca="1">IFERROR(__xludf.UNSUPPORTED("""COMPUTED_VALUE"""),43523.6666666666)</f>
        <v>43523.666666666599</v>
      </c>
      <c r="B40" s="1">
        <f ca="1">IFERROR(__xludf.UNSUPPORTED("""COMPUTED_VALUE"""),279.2)</f>
        <v>279.2</v>
      </c>
      <c r="C40" s="2">
        <f t="shared" ca="1" si="0"/>
        <v>-4.2961477874840521E-4</v>
      </c>
    </row>
    <row r="41" spans="1:3">
      <c r="A41" s="3">
        <f ca="1">IFERROR(__xludf.UNSUPPORTED("""COMPUTED_VALUE"""),43524.6666666666)</f>
        <v>43524.666666666599</v>
      </c>
      <c r="B41" s="1">
        <f ca="1">IFERROR(__xludf.UNSUPPORTED("""COMPUTED_VALUE"""),278.68)</f>
        <v>278.68</v>
      </c>
      <c r="C41" s="2">
        <f t="shared" ca="1" si="0"/>
        <v>-1.8624641833810238E-3</v>
      </c>
    </row>
    <row r="42" spans="1:3">
      <c r="A42" s="3">
        <f ca="1">IFERROR(__xludf.UNSUPPORTED("""COMPUTED_VALUE"""),43525.6666666666)</f>
        <v>43525.666666666599</v>
      </c>
      <c r="B42" s="1">
        <f ca="1">IFERROR(__xludf.UNSUPPORTED("""COMPUTED_VALUE"""),280.42)</f>
        <v>280.42</v>
      </c>
      <c r="C42" s="2">
        <f t="shared" ca="1" si="0"/>
        <v>6.2437203961533266E-3</v>
      </c>
    </row>
    <row r="43" spans="1:3">
      <c r="A43" s="3">
        <f ca="1">IFERROR(__xludf.UNSUPPORTED("""COMPUTED_VALUE"""),43528.6666666666)</f>
        <v>43528.666666666599</v>
      </c>
      <c r="B43" s="1">
        <f ca="1">IFERROR(__xludf.UNSUPPORTED("""COMPUTED_VALUE"""),279.4)</f>
        <v>279.39999999999998</v>
      </c>
      <c r="C43" s="2">
        <f t="shared" ca="1" si="0"/>
        <v>-3.6374010412953376E-3</v>
      </c>
    </row>
    <row r="44" spans="1:3">
      <c r="A44" s="3">
        <f ca="1">IFERROR(__xludf.UNSUPPORTED("""COMPUTED_VALUE"""),43529.6666666666)</f>
        <v>43529.666666666599</v>
      </c>
      <c r="B44" s="1">
        <f ca="1">IFERROR(__xludf.UNSUPPORTED("""COMPUTED_VALUE"""),279.02)</f>
        <v>279.02</v>
      </c>
      <c r="C44" s="2">
        <f t="shared" ca="1" si="0"/>
        <v>-1.3600572655690605E-3</v>
      </c>
    </row>
    <row r="45" spans="1:3">
      <c r="A45" s="3">
        <f ca="1">IFERROR(__xludf.UNSUPPORTED("""COMPUTED_VALUE"""),43530.6666666666)</f>
        <v>43530.666666666599</v>
      </c>
      <c r="B45" s="1">
        <f ca="1">IFERROR(__xludf.UNSUPPORTED("""COMPUTED_VALUE"""),277.33)</f>
        <v>277.33</v>
      </c>
      <c r="C45" s="2">
        <f t="shared" ca="1" si="0"/>
        <v>-6.0569134829044436E-3</v>
      </c>
    </row>
    <row r="46" spans="1:3">
      <c r="A46" s="3">
        <f ca="1">IFERROR(__xludf.UNSUPPORTED("""COMPUTED_VALUE"""),43531.6666666666)</f>
        <v>43531.666666666599</v>
      </c>
      <c r="B46" s="1">
        <f ca="1">IFERROR(__xludf.UNSUPPORTED("""COMPUTED_VALUE"""),275.01)</f>
        <v>275.01</v>
      </c>
      <c r="C46" s="2">
        <f t="shared" ca="1" si="0"/>
        <v>-8.3654851620812501E-3</v>
      </c>
    </row>
    <row r="47" spans="1:3">
      <c r="A47" s="3">
        <f ca="1">IFERROR(__xludf.UNSUPPORTED("""COMPUTED_VALUE"""),43532.6666666666)</f>
        <v>43532.666666666599</v>
      </c>
      <c r="B47" s="1">
        <f ca="1">IFERROR(__xludf.UNSUPPORTED("""COMPUTED_VALUE"""),274.46)</f>
        <v>274.45999999999998</v>
      </c>
      <c r="C47" s="2">
        <f t="shared" ca="1" si="0"/>
        <v>-1.9999272753718459E-3</v>
      </c>
    </row>
    <row r="48" spans="1:3">
      <c r="A48" s="3">
        <f ca="1">IFERROR(__xludf.UNSUPPORTED("""COMPUTED_VALUE"""),43535.6666666666)</f>
        <v>43535.666666666599</v>
      </c>
      <c r="B48" s="1">
        <f ca="1">IFERROR(__xludf.UNSUPPORTED("""COMPUTED_VALUE"""),278.44)</f>
        <v>278.44</v>
      </c>
      <c r="C48" s="2">
        <f t="shared" ca="1" si="0"/>
        <v>1.4501202360999849E-2</v>
      </c>
    </row>
    <row r="49" spans="1:3">
      <c r="A49" s="3">
        <f ca="1">IFERROR(__xludf.UNSUPPORTED("""COMPUTED_VALUE"""),43536.6666666666)</f>
        <v>43536.666666666599</v>
      </c>
      <c r="B49" s="1">
        <f ca="1">IFERROR(__xludf.UNSUPPORTED("""COMPUTED_VALUE"""),279.49)</f>
        <v>279.49</v>
      </c>
      <c r="C49" s="2">
        <f t="shared" ca="1" si="0"/>
        <v>3.7710099123689535E-3</v>
      </c>
    </row>
    <row r="50" spans="1:3">
      <c r="A50" s="3">
        <f ca="1">IFERROR(__xludf.UNSUPPORTED("""COMPUTED_VALUE"""),43537.6666666666)</f>
        <v>43537.666666666599</v>
      </c>
      <c r="B50" s="1">
        <f ca="1">IFERROR(__xludf.UNSUPPORTED("""COMPUTED_VALUE"""),281.34)</f>
        <v>281.33999999999997</v>
      </c>
      <c r="C50" s="2">
        <f t="shared" ca="1" si="0"/>
        <v>6.6191992557872049E-3</v>
      </c>
    </row>
    <row r="51" spans="1:3">
      <c r="A51" s="3">
        <f ca="1">IFERROR(__xludf.UNSUPPORTED("""COMPUTED_VALUE"""),43538.6666666666)</f>
        <v>43538.666666666599</v>
      </c>
      <c r="B51" s="1">
        <f ca="1">IFERROR(__xludf.UNSUPPORTED("""COMPUTED_VALUE"""),281.16)</f>
        <v>281.16000000000003</v>
      </c>
      <c r="C51" s="2">
        <f t="shared" ca="1" si="0"/>
        <v>-6.3979526551485746E-4</v>
      </c>
    </row>
    <row r="52" spans="1:3">
      <c r="A52" s="3">
        <f ca="1">IFERROR(__xludf.UNSUPPORTED("""COMPUTED_VALUE"""),43539.6666666666)</f>
        <v>43539.666666666599</v>
      </c>
      <c r="B52" s="1">
        <f ca="1">IFERROR(__xludf.UNSUPPORTED("""COMPUTED_VALUE"""),281.31)</f>
        <v>281.31</v>
      </c>
      <c r="C52" s="2">
        <f t="shared" ca="1" si="0"/>
        <v>5.3350405463073426E-4</v>
      </c>
    </row>
    <row r="53" spans="1:3">
      <c r="A53" s="3">
        <f ca="1">IFERROR(__xludf.UNSUPPORTED("""COMPUTED_VALUE"""),43542.6666666666)</f>
        <v>43542.666666666599</v>
      </c>
      <c r="B53" s="1">
        <f ca="1">IFERROR(__xludf.UNSUPPORTED("""COMPUTED_VALUE"""),282.33)</f>
        <v>282.33</v>
      </c>
      <c r="C53" s="2">
        <f t="shared" ca="1" si="0"/>
        <v>3.6258931427961389E-3</v>
      </c>
    </row>
    <row r="54" spans="1:3">
      <c r="A54" s="3">
        <f ca="1">IFERROR(__xludf.UNSUPPORTED("""COMPUTED_VALUE"""),43543.6666666666)</f>
        <v>43543.666666666599</v>
      </c>
      <c r="B54" s="1">
        <f ca="1">IFERROR(__xludf.UNSUPPORTED("""COMPUTED_VALUE"""),282.4)</f>
        <v>282.39999999999998</v>
      </c>
      <c r="C54" s="2">
        <f t="shared" ca="1" si="0"/>
        <v>2.4793681153257956E-4</v>
      </c>
    </row>
    <row r="55" spans="1:3">
      <c r="A55" s="3">
        <f ca="1">IFERROR(__xludf.UNSUPPORTED("""COMPUTED_VALUE"""),43544.6666666666)</f>
        <v>43544.666666666599</v>
      </c>
      <c r="B55" s="1">
        <f ca="1">IFERROR(__xludf.UNSUPPORTED("""COMPUTED_VALUE"""),281.55)</f>
        <v>281.55</v>
      </c>
      <c r="C55" s="2">
        <f t="shared" ca="1" si="0"/>
        <v>-3.0099150141641856E-3</v>
      </c>
    </row>
    <row r="56" spans="1:3">
      <c r="A56" s="3">
        <f ca="1">IFERROR(__xludf.UNSUPPORTED("""COMPUTED_VALUE"""),43545.6666666666)</f>
        <v>43545.666666666599</v>
      </c>
      <c r="B56" s="1">
        <f ca="1">IFERROR(__xludf.UNSUPPORTED("""COMPUTED_VALUE"""),284.73)</f>
        <v>284.73</v>
      </c>
      <c r="C56" s="2">
        <f t="shared" ca="1" si="0"/>
        <v>1.1294619072988836E-2</v>
      </c>
    </row>
    <row r="57" spans="1:3">
      <c r="A57" s="3">
        <f ca="1">IFERROR(__xludf.UNSUPPORTED("""COMPUTED_VALUE"""),43546.6666666666)</f>
        <v>43546.666666666599</v>
      </c>
      <c r="B57" s="1">
        <f ca="1">IFERROR(__xludf.UNSUPPORTED("""COMPUTED_VALUE"""),279.25)</f>
        <v>279.25</v>
      </c>
      <c r="C57" s="2">
        <f t="shared" ca="1" si="0"/>
        <v>-1.9246303515611345E-2</v>
      </c>
    </row>
    <row r="58" spans="1:3">
      <c r="A58" s="3">
        <f ca="1">IFERROR(__xludf.UNSUPPORTED("""COMPUTED_VALUE"""),43549.6666666666)</f>
        <v>43549.666666666599</v>
      </c>
      <c r="B58" s="1">
        <f ca="1">IFERROR(__xludf.UNSUPPORTED("""COMPUTED_VALUE"""),279.04)</f>
        <v>279.04000000000002</v>
      </c>
      <c r="C58" s="2">
        <f t="shared" ca="1" si="0"/>
        <v>-7.5201432408229015E-4</v>
      </c>
    </row>
    <row r="59" spans="1:3">
      <c r="A59" s="3">
        <f ca="1">IFERROR(__xludf.UNSUPPORTED("""COMPUTED_VALUE"""),43550.6666666666)</f>
        <v>43550.666666666599</v>
      </c>
      <c r="B59" s="1">
        <f ca="1">IFERROR(__xludf.UNSUPPORTED("""COMPUTED_VALUE"""),281.12)</f>
        <v>281.12</v>
      </c>
      <c r="C59" s="2">
        <f t="shared" ca="1" si="0"/>
        <v>7.4541284403669148E-3</v>
      </c>
    </row>
    <row r="60" spans="1:3">
      <c r="A60" s="3">
        <f ca="1">IFERROR(__xludf.UNSUPPORTED("""COMPUTED_VALUE"""),43551.6666666666)</f>
        <v>43551.666666666599</v>
      </c>
      <c r="B60" s="1">
        <f ca="1">IFERROR(__xludf.UNSUPPORTED("""COMPUTED_VALUE"""),279.65)</f>
        <v>279.64999999999998</v>
      </c>
      <c r="C60" s="2">
        <f t="shared" ca="1" si="0"/>
        <v>-5.2290836653387423E-3</v>
      </c>
    </row>
    <row r="61" spans="1:3">
      <c r="A61" s="3">
        <f ca="1">IFERROR(__xludf.UNSUPPORTED("""COMPUTED_VALUE"""),43552.6666666666)</f>
        <v>43552.666666666599</v>
      </c>
      <c r="B61" s="1">
        <f ca="1">IFERROR(__xludf.UNSUPPORTED("""COMPUTED_VALUE"""),280.71)</f>
        <v>280.70999999999998</v>
      </c>
      <c r="C61" s="2">
        <f t="shared" ca="1" si="0"/>
        <v>3.7904523511532355E-3</v>
      </c>
    </row>
    <row r="62" spans="1:3">
      <c r="A62" s="3">
        <f ca="1">IFERROR(__xludf.UNSUPPORTED("""COMPUTED_VALUE"""),43553.6666666666)</f>
        <v>43553.666666666599</v>
      </c>
      <c r="B62" s="1">
        <f ca="1">IFERROR(__xludf.UNSUPPORTED("""COMPUTED_VALUE"""),282.48)</f>
        <v>282.48</v>
      </c>
      <c r="C62" s="2">
        <f t="shared" ca="1" si="0"/>
        <v>6.3054397777066677E-3</v>
      </c>
    </row>
    <row r="63" spans="1:3">
      <c r="A63" s="3">
        <f ca="1">IFERROR(__xludf.UNSUPPORTED("""COMPUTED_VALUE"""),43556.6666666666)</f>
        <v>43556.666666666599</v>
      </c>
      <c r="B63" s="1">
        <f ca="1">IFERROR(__xludf.UNSUPPORTED("""COMPUTED_VALUE"""),285.83)</f>
        <v>285.83</v>
      </c>
      <c r="C63" s="2">
        <f t="shared" ca="1" si="0"/>
        <v>1.1859246672330664E-2</v>
      </c>
    </row>
    <row r="64" spans="1:3">
      <c r="A64" s="3">
        <f ca="1">IFERROR(__xludf.UNSUPPORTED("""COMPUTED_VALUE"""),43557.6666666666)</f>
        <v>43557.666666666599</v>
      </c>
      <c r="B64" s="1">
        <f ca="1">IFERROR(__xludf.UNSUPPORTED("""COMPUTED_VALUE"""),285.97)</f>
        <v>285.97000000000003</v>
      </c>
      <c r="C64" s="2">
        <f t="shared" ca="1" si="0"/>
        <v>4.8980163033986363E-4</v>
      </c>
    </row>
    <row r="65" spans="1:3">
      <c r="A65" s="3">
        <f ca="1">IFERROR(__xludf.UNSUPPORTED("""COMPUTED_VALUE"""),43558.6666666666)</f>
        <v>43558.666666666599</v>
      </c>
      <c r="B65" s="1">
        <f ca="1">IFERROR(__xludf.UNSUPPORTED("""COMPUTED_VALUE"""),286.42)</f>
        <v>286.42</v>
      </c>
      <c r="C65" s="2">
        <f t="shared" ca="1" si="0"/>
        <v>1.5735916354862E-3</v>
      </c>
    </row>
    <row r="66" spans="1:3">
      <c r="A66" s="3">
        <f ca="1">IFERROR(__xludf.UNSUPPORTED("""COMPUTED_VALUE"""),43559.6666666666)</f>
        <v>43559.666666666599</v>
      </c>
      <c r="B66" s="1">
        <f ca="1">IFERROR(__xludf.UNSUPPORTED("""COMPUTED_VALUE"""),287.18)</f>
        <v>287.18</v>
      </c>
      <c r="C66" s="2">
        <f t="shared" ca="1" si="0"/>
        <v>2.6534459884085988E-3</v>
      </c>
    </row>
    <row r="67" spans="1:3">
      <c r="A67" s="3">
        <f ca="1">IFERROR(__xludf.UNSUPPORTED("""COMPUTED_VALUE"""),43560.6666666666)</f>
        <v>43560.666666666599</v>
      </c>
      <c r="B67" s="1">
        <f ca="1">IFERROR(__xludf.UNSUPPORTED("""COMPUTED_VALUE"""),288.57)</f>
        <v>288.57</v>
      </c>
      <c r="C67" s="2">
        <f t="shared" ca="1" si="0"/>
        <v>4.8401699282679374E-3</v>
      </c>
    </row>
    <row r="68" spans="1:3">
      <c r="A68" s="3">
        <f ca="1">IFERROR(__xludf.UNSUPPORTED("""COMPUTED_VALUE"""),43563.6666666666)</f>
        <v>43563.666666666599</v>
      </c>
      <c r="B68" s="1">
        <f ca="1">IFERROR(__xludf.UNSUPPORTED("""COMPUTED_VALUE"""),288.79)</f>
        <v>288.79000000000002</v>
      </c>
      <c r="C68" s="2">
        <f t="shared" ca="1" si="0"/>
        <v>7.6238001178233108E-4</v>
      </c>
    </row>
    <row r="69" spans="1:3">
      <c r="A69" s="3">
        <f ca="1">IFERROR(__xludf.UNSUPPORTED("""COMPUTED_VALUE"""),43564.6666666666)</f>
        <v>43564.666666666599</v>
      </c>
      <c r="B69" s="1">
        <f ca="1">IFERROR(__xludf.UNSUPPORTED("""COMPUTED_VALUE"""),287.31)</f>
        <v>287.31</v>
      </c>
      <c r="C69" s="2">
        <f t="shared" ca="1" si="0"/>
        <v>-5.1248311922158594E-3</v>
      </c>
    </row>
    <row r="70" spans="1:3">
      <c r="A70" s="3">
        <f ca="1">IFERROR(__xludf.UNSUPPORTED("""COMPUTED_VALUE"""),43565.6666666666)</f>
        <v>43565.666666666599</v>
      </c>
      <c r="B70" s="1">
        <f ca="1">IFERROR(__xludf.UNSUPPORTED("""COMPUTED_VALUE"""),288.29)</f>
        <v>288.29000000000002</v>
      </c>
      <c r="C70" s="2">
        <f t="shared" ca="1" si="0"/>
        <v>3.4109498451150959E-3</v>
      </c>
    </row>
    <row r="71" spans="1:3">
      <c r="A71" s="3">
        <f ca="1">IFERROR(__xludf.UNSUPPORTED("""COMPUTED_VALUE"""),43566.6666666666)</f>
        <v>43566.666666666599</v>
      </c>
      <c r="B71" s="1">
        <f ca="1">IFERROR(__xludf.UNSUPPORTED("""COMPUTED_VALUE"""),288.21)</f>
        <v>288.20999999999998</v>
      </c>
      <c r="C71" s="2">
        <f t="shared" ca="1" si="0"/>
        <v>-2.7749835235367482E-4</v>
      </c>
    </row>
    <row r="72" spans="1:3">
      <c r="A72" s="3">
        <f ca="1">IFERROR(__xludf.UNSUPPORTED("""COMPUTED_VALUE"""),43567.6666666666)</f>
        <v>43567.666666666599</v>
      </c>
      <c r="B72" s="1">
        <f ca="1">IFERROR(__xludf.UNSUPPORTED("""COMPUTED_VALUE"""),290.16)</f>
        <v>290.16000000000003</v>
      </c>
      <c r="C72" s="2">
        <f t="shared" ca="1" si="0"/>
        <v>6.7658998646821606E-3</v>
      </c>
    </row>
    <row r="73" spans="1:3">
      <c r="A73" s="3">
        <f ca="1">IFERROR(__xludf.UNSUPPORTED("""COMPUTED_VALUE"""),43570.6666666666)</f>
        <v>43570.666666666599</v>
      </c>
      <c r="B73" s="1">
        <f ca="1">IFERROR(__xludf.UNSUPPORTED("""COMPUTED_VALUE"""),289.97)</f>
        <v>289.97000000000003</v>
      </c>
      <c r="C73" s="2">
        <f t="shared" ca="1" si="0"/>
        <v>-6.5481113868209851E-4</v>
      </c>
    </row>
    <row r="74" spans="1:3">
      <c r="A74" s="3">
        <f ca="1">IFERROR(__xludf.UNSUPPORTED("""COMPUTED_VALUE"""),43571.6666666666)</f>
        <v>43571.666666666599</v>
      </c>
      <c r="B74" s="1">
        <f ca="1">IFERROR(__xludf.UNSUPPORTED("""COMPUTED_VALUE"""),290.16)</f>
        <v>290.16000000000003</v>
      </c>
      <c r="C74" s="2">
        <f t="shared" ca="1" si="0"/>
        <v>6.5524019726177784E-4</v>
      </c>
    </row>
    <row r="75" spans="1:3">
      <c r="A75" s="3">
        <f ca="1">IFERROR(__xludf.UNSUPPORTED("""COMPUTED_VALUE"""),43572.6666666666)</f>
        <v>43572.666666666599</v>
      </c>
      <c r="B75" s="1">
        <f ca="1">IFERROR(__xludf.UNSUPPORTED("""COMPUTED_VALUE"""),289.45)</f>
        <v>289.45</v>
      </c>
      <c r="C75" s="2">
        <f t="shared" ca="1" si="0"/>
        <v>-2.4469258340227332E-3</v>
      </c>
    </row>
    <row r="76" spans="1:3">
      <c r="A76" s="3">
        <f ca="1">IFERROR(__xludf.UNSUPPORTED("""COMPUTED_VALUE"""),43573.6666666666)</f>
        <v>43573.666666666599</v>
      </c>
      <c r="B76" s="1">
        <f ca="1">IFERROR(__xludf.UNSUPPORTED("""COMPUTED_VALUE"""),290.02)</f>
        <v>290.02</v>
      </c>
      <c r="C76" s="2">
        <f t="shared" ca="1" si="0"/>
        <v>1.9692520297114983E-3</v>
      </c>
    </row>
    <row r="77" spans="1:3">
      <c r="A77" s="3">
        <f ca="1">IFERROR(__xludf.UNSUPPORTED("""COMPUTED_VALUE"""),43577.6666666666)</f>
        <v>43577.666666666599</v>
      </c>
      <c r="B77" s="1">
        <f ca="1">IFERROR(__xludf.UNSUPPORTED("""COMPUTED_VALUE"""),290.27)</f>
        <v>290.27</v>
      </c>
      <c r="C77" s="2">
        <f t="shared" ca="1" si="0"/>
        <v>8.620095165850632E-4</v>
      </c>
    </row>
    <row r="78" spans="1:3">
      <c r="A78" s="3">
        <f ca="1">IFERROR(__xludf.UNSUPPORTED("""COMPUTED_VALUE"""),43578.6666666666)</f>
        <v>43578.666666666599</v>
      </c>
      <c r="B78" s="1">
        <f ca="1">IFERROR(__xludf.UNSUPPORTED("""COMPUTED_VALUE"""),292.88)</f>
        <v>292.88</v>
      </c>
      <c r="C78" s="2">
        <f t="shared" ca="1" si="0"/>
        <v>8.9916284838254517E-3</v>
      </c>
    </row>
    <row r="79" spans="1:3">
      <c r="A79" s="3">
        <f ca="1">IFERROR(__xludf.UNSUPPORTED("""COMPUTED_VALUE"""),43579.6666666666)</f>
        <v>43579.666666666599</v>
      </c>
      <c r="B79" s="1">
        <f ca="1">IFERROR(__xludf.UNSUPPORTED("""COMPUTED_VALUE"""),292.23)</f>
        <v>292.23</v>
      </c>
      <c r="C79" s="2">
        <f t="shared" ca="1" si="0"/>
        <v>-2.2193389784211188E-3</v>
      </c>
    </row>
    <row r="80" spans="1:3">
      <c r="A80" s="3">
        <f ca="1">IFERROR(__xludf.UNSUPPORTED("""COMPUTED_VALUE"""),43580.6666666666)</f>
        <v>43580.666666666599</v>
      </c>
      <c r="B80" s="1">
        <f ca="1">IFERROR(__xludf.UNSUPPORTED("""COMPUTED_VALUE"""),292.05)</f>
        <v>292.05</v>
      </c>
      <c r="C80" s="2">
        <f t="shared" ca="1" si="0"/>
        <v>-6.1595318755776893E-4</v>
      </c>
    </row>
    <row r="81" spans="1:3">
      <c r="A81" s="3">
        <f ca="1">IFERROR(__xludf.UNSUPPORTED("""COMPUTED_VALUE"""),43581.6666666666)</f>
        <v>43581.666666666599</v>
      </c>
      <c r="B81" s="1">
        <f ca="1">IFERROR(__xludf.UNSUPPORTED("""COMPUTED_VALUE"""),293.41)</f>
        <v>293.41000000000003</v>
      </c>
      <c r="C81" s="2">
        <f t="shared" ca="1" si="0"/>
        <v>4.6567368601267371E-3</v>
      </c>
    </row>
    <row r="82" spans="1:3">
      <c r="A82" s="3">
        <f ca="1">IFERROR(__xludf.UNSUPPORTED("""COMPUTED_VALUE"""),43584.6666666666)</f>
        <v>43584.666666666599</v>
      </c>
      <c r="B82" s="1">
        <f ca="1">IFERROR(__xludf.UNSUPPORTED("""COMPUTED_VALUE"""),293.87)</f>
        <v>293.87</v>
      </c>
      <c r="C82" s="2">
        <f t="shared" ca="1" si="0"/>
        <v>1.5677720595752684E-3</v>
      </c>
    </row>
    <row r="83" spans="1:3">
      <c r="A83" s="3">
        <f ca="1">IFERROR(__xludf.UNSUPPORTED("""COMPUTED_VALUE"""),43585.6666666666)</f>
        <v>43585.666666666599</v>
      </c>
      <c r="B83" s="1">
        <f ca="1">IFERROR(__xludf.UNSUPPORTED("""COMPUTED_VALUE"""),294.02)</f>
        <v>294.02</v>
      </c>
      <c r="C83" s="2">
        <f t="shared" ca="1" si="0"/>
        <v>5.1042978187626248E-4</v>
      </c>
    </row>
    <row r="84" spans="1:3">
      <c r="A84" s="3">
        <f ca="1">IFERROR(__xludf.UNSUPPORTED("""COMPUTED_VALUE"""),43586.6666666666)</f>
        <v>43586.666666666599</v>
      </c>
      <c r="B84" s="1">
        <f ca="1">IFERROR(__xludf.UNSUPPORTED("""COMPUTED_VALUE"""),291.81)</f>
        <v>291.81</v>
      </c>
      <c r="C84" s="2">
        <f t="shared" ca="1" si="0"/>
        <v>-7.5164954764981281E-3</v>
      </c>
    </row>
    <row r="85" spans="1:3">
      <c r="A85" s="3">
        <f ca="1">IFERROR(__xludf.UNSUPPORTED("""COMPUTED_VALUE"""),43587.6666666666)</f>
        <v>43587.666666666599</v>
      </c>
      <c r="B85" s="1">
        <f ca="1">IFERROR(__xludf.UNSUPPORTED("""COMPUTED_VALUE"""),291.18)</f>
        <v>291.18</v>
      </c>
      <c r="C85" s="2">
        <f t="shared" ca="1" si="0"/>
        <v>-2.1589390356738817E-3</v>
      </c>
    </row>
    <row r="86" spans="1:3">
      <c r="A86" s="3">
        <f ca="1">IFERROR(__xludf.UNSUPPORTED("""COMPUTED_VALUE"""),43588.6666666666)</f>
        <v>43588.666666666599</v>
      </c>
      <c r="B86" s="1">
        <f ca="1">IFERROR(__xludf.UNSUPPORTED("""COMPUTED_VALUE"""),294.03)</f>
        <v>294.02999999999997</v>
      </c>
      <c r="C86" s="2">
        <f t="shared" ca="1" si="0"/>
        <v>9.78776014836172E-3</v>
      </c>
    </row>
    <row r="87" spans="1:3">
      <c r="A87" s="3">
        <f ca="1">IFERROR(__xludf.UNSUPPORTED("""COMPUTED_VALUE"""),43591.6666666666)</f>
        <v>43591.666666666599</v>
      </c>
      <c r="B87" s="1">
        <f ca="1">IFERROR(__xludf.UNSUPPORTED("""COMPUTED_VALUE"""),292.82)</f>
        <v>292.82</v>
      </c>
      <c r="C87" s="2">
        <f t="shared" ca="1" si="0"/>
        <v>-4.1152263374484906E-3</v>
      </c>
    </row>
    <row r="88" spans="1:3">
      <c r="A88" s="3">
        <f ca="1">IFERROR(__xludf.UNSUPPORTED("""COMPUTED_VALUE"""),43592.6666666666)</f>
        <v>43592.666666666599</v>
      </c>
      <c r="B88" s="1">
        <f ca="1">IFERROR(__xludf.UNSUPPORTED("""COMPUTED_VALUE"""),287.93)</f>
        <v>287.93</v>
      </c>
      <c r="C88" s="2">
        <f t="shared" ca="1" si="0"/>
        <v>-1.6699678983675931E-2</v>
      </c>
    </row>
    <row r="89" spans="1:3">
      <c r="A89" s="3">
        <f ca="1">IFERROR(__xludf.UNSUPPORTED("""COMPUTED_VALUE"""),43593.6666666666)</f>
        <v>43593.666666666599</v>
      </c>
      <c r="B89" s="1">
        <f ca="1">IFERROR(__xludf.UNSUPPORTED("""COMPUTED_VALUE"""),287.53)</f>
        <v>287.52999999999997</v>
      </c>
      <c r="C89" s="2">
        <f t="shared" ca="1" si="0"/>
        <v>-1.389226548119453E-3</v>
      </c>
    </row>
    <row r="90" spans="1:3">
      <c r="A90" s="3">
        <f ca="1">IFERROR(__xludf.UNSUPPORTED("""COMPUTED_VALUE"""),43594.6666666666)</f>
        <v>43594.666666666599</v>
      </c>
      <c r="B90" s="1">
        <f ca="1">IFERROR(__xludf.UNSUPPORTED("""COMPUTED_VALUE"""),286.66)</f>
        <v>286.66000000000003</v>
      </c>
      <c r="C90" s="2">
        <f t="shared" ca="1" si="0"/>
        <v>-3.0257712238721101E-3</v>
      </c>
    </row>
    <row r="91" spans="1:3">
      <c r="A91" s="3">
        <f ca="1">IFERROR(__xludf.UNSUPPORTED("""COMPUTED_VALUE"""),43595.6666666666)</f>
        <v>43595.666666666599</v>
      </c>
      <c r="B91" s="1">
        <f ca="1">IFERROR(__xludf.UNSUPPORTED("""COMPUTED_VALUE"""),288.1)</f>
        <v>288.10000000000002</v>
      </c>
      <c r="C91" s="2">
        <f t="shared" ca="1" si="0"/>
        <v>5.0233726365729349E-3</v>
      </c>
    </row>
    <row r="92" spans="1:3">
      <c r="A92" s="3">
        <f ca="1">IFERROR(__xludf.UNSUPPORTED("""COMPUTED_VALUE"""),43598.6666666666)</f>
        <v>43598.666666666599</v>
      </c>
      <c r="B92" s="1">
        <f ca="1">IFERROR(__xludf.UNSUPPORTED("""COMPUTED_VALUE"""),280.86)</f>
        <v>280.86</v>
      </c>
      <c r="C92" s="2">
        <f t="shared" ca="1" si="0"/>
        <v>-2.5130163137799404E-2</v>
      </c>
    </row>
    <row r="93" spans="1:3">
      <c r="A93" s="3">
        <f ca="1">IFERROR(__xludf.UNSUPPORTED("""COMPUTED_VALUE"""),43599.6666666666)</f>
        <v>43599.666666666599</v>
      </c>
      <c r="B93" s="1">
        <f ca="1">IFERROR(__xludf.UNSUPPORTED("""COMPUTED_VALUE"""),283.4)</f>
        <v>283.39999999999998</v>
      </c>
      <c r="C93" s="2">
        <f t="shared" ca="1" si="0"/>
        <v>9.0436516413870387E-3</v>
      </c>
    </row>
    <row r="94" spans="1:3">
      <c r="A94" s="3">
        <f ca="1">IFERROR(__xludf.UNSUPPORTED("""COMPUTED_VALUE"""),43600.6666666666)</f>
        <v>43600.666666666599</v>
      </c>
      <c r="B94" s="1">
        <f ca="1">IFERROR(__xludf.UNSUPPORTED("""COMPUTED_VALUE"""),285.06)</f>
        <v>285.06</v>
      </c>
      <c r="C94" s="2">
        <f t="shared" ca="1" si="0"/>
        <v>5.8574453069866802E-3</v>
      </c>
    </row>
    <row r="95" spans="1:3">
      <c r="A95" s="3">
        <f ca="1">IFERROR(__xludf.UNSUPPORTED("""COMPUTED_VALUE"""),43601.6666666666)</f>
        <v>43601.666666666599</v>
      </c>
      <c r="B95" s="1">
        <f ca="1">IFERROR(__xludf.UNSUPPORTED("""COMPUTED_VALUE"""),287.7)</f>
        <v>287.7</v>
      </c>
      <c r="C95" s="2">
        <f t="shared" ca="1" si="0"/>
        <v>9.2612081667016993E-3</v>
      </c>
    </row>
    <row r="96" spans="1:3">
      <c r="A96" s="3">
        <f ca="1">IFERROR(__xludf.UNSUPPORTED("""COMPUTED_VALUE"""),43602.6666666666)</f>
        <v>43602.666666666599</v>
      </c>
      <c r="B96" s="1">
        <f ca="1">IFERROR(__xludf.UNSUPPORTED("""COMPUTED_VALUE"""),285.84)</f>
        <v>285.83999999999997</v>
      </c>
      <c r="C96" s="2">
        <f t="shared" ca="1" si="0"/>
        <v>-6.4650677789364393E-3</v>
      </c>
    </row>
    <row r="97" spans="1:3">
      <c r="A97" s="3">
        <f ca="1">IFERROR(__xludf.UNSUPPORTED("""COMPUTED_VALUE"""),43605.6666666666)</f>
        <v>43605.666666666599</v>
      </c>
      <c r="B97" s="1">
        <f ca="1">IFERROR(__xludf.UNSUPPORTED("""COMPUTED_VALUE"""),283.95)</f>
        <v>283.95</v>
      </c>
      <c r="C97" s="2">
        <f t="shared" ca="1" si="0"/>
        <v>-6.6120906801007085E-3</v>
      </c>
    </row>
    <row r="98" spans="1:3">
      <c r="A98" s="3">
        <f ca="1">IFERROR(__xludf.UNSUPPORTED("""COMPUTED_VALUE"""),43606.6666666666)</f>
        <v>43606.666666666599</v>
      </c>
      <c r="B98" s="1">
        <f ca="1">IFERROR(__xludf.UNSUPPORTED("""COMPUTED_VALUE"""),286.51)</f>
        <v>286.51</v>
      </c>
      <c r="C98" s="2">
        <f t="shared" ca="1" si="0"/>
        <v>9.015671773199516E-3</v>
      </c>
    </row>
    <row r="99" spans="1:3">
      <c r="A99" s="3">
        <f ca="1">IFERROR(__xludf.UNSUPPORTED("""COMPUTED_VALUE"""),43607.6666666666)</f>
        <v>43607.666666666599</v>
      </c>
      <c r="B99" s="1">
        <f ca="1">IFERROR(__xludf.UNSUPPORTED("""COMPUTED_VALUE"""),285.63)</f>
        <v>285.63</v>
      </c>
      <c r="C99" s="2">
        <f t="shared" ca="1" si="0"/>
        <v>-3.0714460228264124E-3</v>
      </c>
    </row>
    <row r="100" spans="1:3">
      <c r="A100" s="3">
        <f ca="1">IFERROR(__xludf.UNSUPPORTED("""COMPUTED_VALUE"""),43608.6666666666)</f>
        <v>43608.666666666599</v>
      </c>
      <c r="B100" s="1">
        <f ca="1">IFERROR(__xludf.UNSUPPORTED("""COMPUTED_VALUE"""),282.14)</f>
        <v>282.14</v>
      </c>
      <c r="C100" s="2">
        <f t="shared" ca="1" si="0"/>
        <v>-1.2218604488324087E-2</v>
      </c>
    </row>
    <row r="101" spans="1:3">
      <c r="A101" s="3">
        <f ca="1">IFERROR(__xludf.UNSUPPORTED("""COMPUTED_VALUE"""),43609.6666666666)</f>
        <v>43609.666666666599</v>
      </c>
      <c r="B101" s="1">
        <f ca="1">IFERROR(__xludf.UNSUPPORTED("""COMPUTED_VALUE"""),282.78)</f>
        <v>282.77999999999997</v>
      </c>
      <c r="C101" s="2">
        <f t="shared" ca="1" si="0"/>
        <v>2.2683774012900912E-3</v>
      </c>
    </row>
    <row r="102" spans="1:3">
      <c r="A102" s="3">
        <f ca="1">IFERROR(__xludf.UNSUPPORTED("""COMPUTED_VALUE"""),43613.6666666666)</f>
        <v>43613.666666666599</v>
      </c>
      <c r="B102" s="1">
        <f ca="1">IFERROR(__xludf.UNSUPPORTED("""COMPUTED_VALUE"""),280.15)</f>
        <v>280.14999999999998</v>
      </c>
      <c r="C102" s="2">
        <f t="shared" ca="1" si="0"/>
        <v>-9.3005163024258986E-3</v>
      </c>
    </row>
    <row r="103" spans="1:3">
      <c r="A103" s="3">
        <f ca="1">IFERROR(__xludf.UNSUPPORTED("""COMPUTED_VALUE"""),43614.6666666666)</f>
        <v>43614.666666666599</v>
      </c>
      <c r="B103" s="1">
        <f ca="1">IFERROR(__xludf.UNSUPPORTED("""COMPUTED_VALUE"""),278.27)</f>
        <v>278.27</v>
      </c>
      <c r="C103" s="2">
        <f t="shared" ca="1" si="0"/>
        <v>-6.7106907014099432E-3</v>
      </c>
    </row>
    <row r="104" spans="1:3">
      <c r="A104" s="3">
        <f ca="1">IFERROR(__xludf.UNSUPPORTED("""COMPUTED_VALUE"""),43615.6666666666)</f>
        <v>43615.666666666599</v>
      </c>
      <c r="B104" s="1">
        <f ca="1">IFERROR(__xludf.UNSUPPORTED("""COMPUTED_VALUE"""),279.03)</f>
        <v>279.02999999999997</v>
      </c>
      <c r="C104" s="2">
        <f t="shared" ca="1" si="0"/>
        <v>2.7311603837998741E-3</v>
      </c>
    </row>
    <row r="105" spans="1:3">
      <c r="A105" s="3">
        <f ca="1">IFERROR(__xludf.UNSUPPORTED("""COMPUTED_VALUE"""),43616.6666666666)</f>
        <v>43616.666666666599</v>
      </c>
      <c r="B105" s="1">
        <f ca="1">IFERROR(__xludf.UNSUPPORTED("""COMPUTED_VALUE"""),275.27)</f>
        <v>275.27</v>
      </c>
      <c r="C105" s="2">
        <f t="shared" ca="1" si="0"/>
        <v>-1.347525355696517E-2</v>
      </c>
    </row>
    <row r="106" spans="1:3">
      <c r="A106" s="3">
        <f ca="1">IFERROR(__xludf.UNSUPPORTED("""COMPUTED_VALUE"""),43619.6666666666)</f>
        <v>43619.666666666599</v>
      </c>
      <c r="B106" s="1">
        <f ca="1">IFERROR(__xludf.UNSUPPORTED("""COMPUTED_VALUE"""),274.57)</f>
        <v>274.57</v>
      </c>
      <c r="C106" s="2">
        <f t="shared" ca="1" si="0"/>
        <v>-2.5429578232280623E-3</v>
      </c>
    </row>
    <row r="107" spans="1:3">
      <c r="A107" s="3">
        <f ca="1">IFERROR(__xludf.UNSUPPORTED("""COMPUTED_VALUE"""),43620.6666666666)</f>
        <v>43620.666666666599</v>
      </c>
      <c r="B107" s="1">
        <f ca="1">IFERROR(__xludf.UNSUPPORTED("""COMPUTED_VALUE"""),280.53)</f>
        <v>280.52999999999997</v>
      </c>
      <c r="C107" s="2">
        <f t="shared" ca="1" si="0"/>
        <v>2.1706668609097788E-2</v>
      </c>
    </row>
    <row r="108" spans="1:3">
      <c r="A108" s="3">
        <f ca="1">IFERROR(__xludf.UNSUPPORTED("""COMPUTED_VALUE"""),43621.6666666666)</f>
        <v>43621.666666666599</v>
      </c>
      <c r="B108" s="1">
        <f ca="1">IFERROR(__xludf.UNSUPPORTED("""COMPUTED_VALUE"""),282.96)</f>
        <v>282.95999999999998</v>
      </c>
      <c r="C108" s="2">
        <f t="shared" ca="1" si="0"/>
        <v>8.6621751684312093E-3</v>
      </c>
    </row>
    <row r="109" spans="1:3">
      <c r="A109" s="3">
        <f ca="1">IFERROR(__xludf.UNSUPPORTED("""COMPUTED_VALUE"""),43622.6666666666)</f>
        <v>43622.666666666599</v>
      </c>
      <c r="B109" s="1">
        <f ca="1">IFERROR(__xludf.UNSUPPORTED("""COMPUTED_VALUE"""),284.8)</f>
        <v>284.8</v>
      </c>
      <c r="C109" s="2">
        <f t="shared" ca="1" si="0"/>
        <v>6.5026858919989819E-3</v>
      </c>
    </row>
    <row r="110" spans="1:3">
      <c r="A110" s="3">
        <f ca="1">IFERROR(__xludf.UNSUPPORTED("""COMPUTED_VALUE"""),43623.6666666666)</f>
        <v>43623.666666666599</v>
      </c>
      <c r="B110" s="1">
        <f ca="1">IFERROR(__xludf.UNSUPPORTED("""COMPUTED_VALUE"""),287.65)</f>
        <v>287.64999999999998</v>
      </c>
      <c r="C110" s="2">
        <f t="shared" ca="1" si="0"/>
        <v>1.0007022471909993E-2</v>
      </c>
    </row>
    <row r="111" spans="1:3">
      <c r="A111" s="3">
        <f ca="1">IFERROR(__xludf.UNSUPPORTED("""COMPUTED_VALUE"""),43626.6666666666)</f>
        <v>43626.666666666599</v>
      </c>
      <c r="B111" s="1">
        <f ca="1">IFERROR(__xludf.UNSUPPORTED("""COMPUTED_VALUE"""),288.97)</f>
        <v>288.97000000000003</v>
      </c>
      <c r="C111" s="2">
        <f t="shared" ca="1" si="0"/>
        <v>4.5889101338433868E-3</v>
      </c>
    </row>
    <row r="112" spans="1:3">
      <c r="A112" s="3">
        <f ca="1">IFERROR(__xludf.UNSUPPORTED("""COMPUTED_VALUE"""),43627.6666666666)</f>
        <v>43627.666666666599</v>
      </c>
      <c r="B112" s="1">
        <f ca="1">IFERROR(__xludf.UNSUPPORTED("""COMPUTED_VALUE"""),288.9)</f>
        <v>288.89999999999998</v>
      </c>
      <c r="C112" s="2">
        <f t="shared" ca="1" si="0"/>
        <v>-2.4223967885957025E-4</v>
      </c>
    </row>
    <row r="113" spans="1:3">
      <c r="A113" s="3">
        <f ca="1">IFERROR(__xludf.UNSUPPORTED("""COMPUTED_VALUE"""),43628.6666666666)</f>
        <v>43628.666666666599</v>
      </c>
      <c r="B113" s="1">
        <f ca="1">IFERROR(__xludf.UNSUPPORTED("""COMPUTED_VALUE"""),288.39)</f>
        <v>288.39</v>
      </c>
      <c r="C113" s="2">
        <f t="shared" ca="1" si="0"/>
        <v>-1.7653167185877152E-3</v>
      </c>
    </row>
    <row r="114" spans="1:3">
      <c r="A114" s="3">
        <f ca="1">IFERROR(__xludf.UNSUPPORTED("""COMPUTED_VALUE"""),43629.6666666666)</f>
        <v>43629.666666666599</v>
      </c>
      <c r="B114" s="1">
        <f ca="1">IFERROR(__xludf.UNSUPPORTED("""COMPUTED_VALUE"""),289.58)</f>
        <v>289.58</v>
      </c>
      <c r="C114" s="2">
        <f t="shared" ca="1" si="0"/>
        <v>4.1263566697874333E-3</v>
      </c>
    </row>
    <row r="115" spans="1:3">
      <c r="A115" s="3">
        <f ca="1">IFERROR(__xludf.UNSUPPORTED("""COMPUTED_VALUE"""),43630.6666666666)</f>
        <v>43630.666666666599</v>
      </c>
      <c r="B115" s="1">
        <f ca="1">IFERROR(__xludf.UNSUPPORTED("""COMPUTED_VALUE"""),289.26)</f>
        <v>289.26</v>
      </c>
      <c r="C115" s="2">
        <f t="shared" ca="1" si="0"/>
        <v>-1.1050486912079329E-3</v>
      </c>
    </row>
    <row r="116" spans="1:3">
      <c r="A116" s="3">
        <f ca="1">IFERROR(__xludf.UNSUPPORTED("""COMPUTED_VALUE"""),43633.6666666666)</f>
        <v>43633.666666666599</v>
      </c>
      <c r="B116" s="1">
        <f ca="1">IFERROR(__xludf.UNSUPPORTED("""COMPUTED_VALUE"""),289.37)</f>
        <v>289.37</v>
      </c>
      <c r="C116" s="2">
        <f t="shared" ca="1" si="0"/>
        <v>3.8028071631063281E-4</v>
      </c>
    </row>
    <row r="117" spans="1:3">
      <c r="A117" s="3">
        <f ca="1">IFERROR(__xludf.UNSUPPORTED("""COMPUTED_VALUE"""),43634.6666666666)</f>
        <v>43634.666666666599</v>
      </c>
      <c r="B117" s="1">
        <f ca="1">IFERROR(__xludf.UNSUPPORTED("""COMPUTED_VALUE"""),292.4)</f>
        <v>292.39999999999998</v>
      </c>
      <c r="C117" s="2">
        <f t="shared" ca="1" si="0"/>
        <v>1.04710232574212E-2</v>
      </c>
    </row>
    <row r="118" spans="1:3">
      <c r="A118" s="3">
        <f ca="1">IFERROR(__xludf.UNSUPPORTED("""COMPUTED_VALUE"""),43635.6666666666)</f>
        <v>43635.666666666599</v>
      </c>
      <c r="B118" s="1">
        <f ca="1">IFERROR(__xludf.UNSUPPORTED("""COMPUTED_VALUE"""),293.06)</f>
        <v>293.06</v>
      </c>
      <c r="C118" s="2">
        <f t="shared" ca="1" si="0"/>
        <v>2.2571819425445455E-3</v>
      </c>
    </row>
    <row r="119" spans="1:3">
      <c r="A119" s="3">
        <f ca="1">IFERROR(__xludf.UNSUPPORTED("""COMPUTED_VALUE"""),43636.6666666666)</f>
        <v>43636.666666666599</v>
      </c>
      <c r="B119" s="1">
        <f ca="1">IFERROR(__xludf.UNSUPPORTED("""COMPUTED_VALUE"""),295.86)</f>
        <v>295.86</v>
      </c>
      <c r="C119" s="2">
        <f t="shared" ca="1" si="0"/>
        <v>9.5543574694602167E-3</v>
      </c>
    </row>
    <row r="120" spans="1:3">
      <c r="A120" s="3">
        <f ca="1">IFERROR(__xludf.UNSUPPORTED("""COMPUTED_VALUE"""),43637.6666666666)</f>
        <v>43637.666666666599</v>
      </c>
      <c r="B120" s="1">
        <f ca="1">IFERROR(__xludf.UNSUPPORTED("""COMPUTED_VALUE"""),294)</f>
        <v>294</v>
      </c>
      <c r="C120" s="2">
        <f t="shared" ca="1" si="0"/>
        <v>-6.2867572500507453E-3</v>
      </c>
    </row>
    <row r="121" spans="1:3">
      <c r="A121" s="3">
        <f ca="1">IFERROR(__xludf.UNSUPPORTED("""COMPUTED_VALUE"""),43640.6666666666)</f>
        <v>43640.666666666599</v>
      </c>
      <c r="B121" s="1">
        <f ca="1">IFERROR(__xludf.UNSUPPORTED("""COMPUTED_VALUE"""),293.64)</f>
        <v>293.64</v>
      </c>
      <c r="C121" s="2">
        <f t="shared" ca="1" si="0"/>
        <v>-1.2244897959184137E-3</v>
      </c>
    </row>
    <row r="122" spans="1:3">
      <c r="A122" s="3">
        <f ca="1">IFERROR(__xludf.UNSUPPORTED("""COMPUTED_VALUE"""),43641.6666666666)</f>
        <v>43641.666666666599</v>
      </c>
      <c r="B122" s="1">
        <f ca="1">IFERROR(__xludf.UNSUPPORTED("""COMPUTED_VALUE"""),290.76)</f>
        <v>290.76</v>
      </c>
      <c r="C122" s="2">
        <f t="shared" ca="1" si="0"/>
        <v>-9.8079280751940997E-3</v>
      </c>
    </row>
    <row r="123" spans="1:3">
      <c r="A123" s="3">
        <f ca="1">IFERROR(__xludf.UNSUPPORTED("""COMPUTED_VALUE"""),43642.6666666666)</f>
        <v>43642.666666666599</v>
      </c>
      <c r="B123" s="1">
        <f ca="1">IFERROR(__xludf.UNSUPPORTED("""COMPUTED_VALUE"""),290.47)</f>
        <v>290.47000000000003</v>
      </c>
      <c r="C123" s="2">
        <f t="shared" ca="1" si="0"/>
        <v>-9.9738616040708351E-4</v>
      </c>
    </row>
    <row r="124" spans="1:3">
      <c r="A124" s="3">
        <f ca="1">IFERROR(__xludf.UNSUPPORTED("""COMPUTED_VALUE"""),43643.6666666666)</f>
        <v>43643.666666666599</v>
      </c>
      <c r="B124" s="1">
        <f ca="1">IFERROR(__xludf.UNSUPPORTED("""COMPUTED_VALUE"""),291.5)</f>
        <v>291.5</v>
      </c>
      <c r="C124" s="2">
        <f t="shared" ca="1" si="0"/>
        <v>3.545977209350269E-3</v>
      </c>
    </row>
    <row r="125" spans="1:3">
      <c r="A125" s="3">
        <f ca="1">IFERROR(__xludf.UNSUPPORTED("""COMPUTED_VALUE"""),43644.6666666666)</f>
        <v>43644.666666666599</v>
      </c>
      <c r="B125" s="1">
        <f ca="1">IFERROR(__xludf.UNSUPPORTED("""COMPUTED_VALUE"""),293)</f>
        <v>293</v>
      </c>
      <c r="C125" s="2">
        <f t="shared" ca="1" si="0"/>
        <v>5.1457975986277877E-3</v>
      </c>
    </row>
    <row r="126" spans="1:3">
      <c r="A126" s="3">
        <f ca="1">IFERROR(__xludf.UNSUPPORTED("""COMPUTED_VALUE"""),43647.6666666666)</f>
        <v>43647.666666666599</v>
      </c>
      <c r="B126" s="1">
        <f ca="1">IFERROR(__xludf.UNSUPPORTED("""COMPUTED_VALUE"""),295.66)</f>
        <v>295.66000000000003</v>
      </c>
      <c r="C126" s="2">
        <f t="shared" ca="1" si="0"/>
        <v>9.0784982935154437E-3</v>
      </c>
    </row>
    <row r="127" spans="1:3">
      <c r="A127" s="3">
        <f ca="1">IFERROR(__xludf.UNSUPPORTED("""COMPUTED_VALUE"""),43648.6666666666)</f>
        <v>43648.666666666599</v>
      </c>
      <c r="B127" s="1">
        <f ca="1">IFERROR(__xludf.UNSUPPORTED("""COMPUTED_VALUE"""),296.43)</f>
        <v>296.43</v>
      </c>
      <c r="C127" s="2">
        <f t="shared" ca="1" si="0"/>
        <v>2.604342826219244E-3</v>
      </c>
    </row>
    <row r="128" spans="1:3">
      <c r="A128" s="3">
        <f ca="1">IFERROR(__xludf.UNSUPPORTED("""COMPUTED_VALUE"""),43649.5416666666)</f>
        <v>43649.541666666599</v>
      </c>
      <c r="B128" s="1">
        <f ca="1">IFERROR(__xludf.UNSUPPORTED("""COMPUTED_VALUE"""),298.8)</f>
        <v>298.8</v>
      </c>
      <c r="C128" s="2">
        <f t="shared" ca="1" si="0"/>
        <v>7.995142192085837E-3</v>
      </c>
    </row>
    <row r="129" spans="1:3">
      <c r="A129" s="3">
        <f ca="1">IFERROR(__xludf.UNSUPPORTED("""COMPUTED_VALUE"""),43651.6666666666)</f>
        <v>43651.666666666599</v>
      </c>
      <c r="B129" s="1">
        <f ca="1">IFERROR(__xludf.UNSUPPORTED("""COMPUTED_VALUE"""),298.46)</f>
        <v>298.45999999999998</v>
      </c>
      <c r="C129" s="2">
        <f t="shared" ca="1" si="0"/>
        <v>-1.1378848728247383E-3</v>
      </c>
    </row>
    <row r="130" spans="1:3">
      <c r="A130" s="3">
        <f ca="1">IFERROR(__xludf.UNSUPPORTED("""COMPUTED_VALUE"""),43654.6666666666)</f>
        <v>43654.666666666599</v>
      </c>
      <c r="B130" s="1">
        <f ca="1">IFERROR(__xludf.UNSUPPORTED("""COMPUTED_VALUE"""),296.82)</f>
        <v>296.82</v>
      </c>
      <c r="C130" s="2">
        <f t="shared" ca="1" si="0"/>
        <v>-5.4948736849158566E-3</v>
      </c>
    </row>
    <row r="131" spans="1:3">
      <c r="A131" s="3">
        <f ca="1">IFERROR(__xludf.UNSUPPORTED("""COMPUTED_VALUE"""),43655.6666666666)</f>
        <v>43655.666666666599</v>
      </c>
      <c r="B131" s="1">
        <f ca="1">IFERROR(__xludf.UNSUPPORTED("""COMPUTED_VALUE"""),297.19)</f>
        <v>297.19</v>
      </c>
      <c r="C131" s="2">
        <f t="shared" ca="1" si="0"/>
        <v>1.2465467286571139E-3</v>
      </c>
    </row>
    <row r="132" spans="1:3">
      <c r="A132" s="3">
        <f ca="1">IFERROR(__xludf.UNSUPPORTED("""COMPUTED_VALUE"""),43656.6666666666)</f>
        <v>43656.666666666599</v>
      </c>
      <c r="B132" s="1">
        <f ca="1">IFERROR(__xludf.UNSUPPORTED("""COMPUTED_VALUE"""),298.61)</f>
        <v>298.61</v>
      </c>
      <c r="C132" s="2">
        <f t="shared" ca="1" si="0"/>
        <v>4.7780880917931822E-3</v>
      </c>
    </row>
    <row r="133" spans="1:3">
      <c r="A133" s="3">
        <f ca="1">IFERROR(__xludf.UNSUPPORTED("""COMPUTED_VALUE"""),43657.6666666666)</f>
        <v>43657.666666666599</v>
      </c>
      <c r="B133" s="1">
        <f ca="1">IFERROR(__xludf.UNSUPPORTED("""COMPUTED_VALUE"""),299.31)</f>
        <v>299.31</v>
      </c>
      <c r="C133" s="2">
        <f t="shared" ca="1" si="0"/>
        <v>2.3441947690967771E-3</v>
      </c>
    </row>
    <row r="134" spans="1:3">
      <c r="A134" s="3">
        <f ca="1">IFERROR(__xludf.UNSUPPORTED("""COMPUTED_VALUE"""),43658.6666666666)</f>
        <v>43658.666666666599</v>
      </c>
      <c r="B134" s="1">
        <f ca="1">IFERROR(__xludf.UNSUPPORTED("""COMPUTED_VALUE"""),300.65)</f>
        <v>300.64999999999998</v>
      </c>
      <c r="C134" s="2">
        <f t="shared" ca="1" si="0"/>
        <v>4.4769636831378003E-3</v>
      </c>
    </row>
    <row r="135" spans="1:3">
      <c r="A135" s="3">
        <f ca="1">IFERROR(__xludf.UNSUPPORTED("""COMPUTED_VALUE"""),43661.6666666666)</f>
        <v>43661.666666666599</v>
      </c>
      <c r="B135" s="1">
        <f ca="1">IFERROR(__xludf.UNSUPPORTED("""COMPUTED_VALUE"""),300.75)</f>
        <v>300.75</v>
      </c>
      <c r="C135" s="2">
        <f t="shared" ca="1" si="0"/>
        <v>3.3261267254289955E-4</v>
      </c>
    </row>
    <row r="136" spans="1:3">
      <c r="A136" s="3">
        <f ca="1">IFERROR(__xludf.UNSUPPORTED("""COMPUTED_VALUE"""),43662.6666666666)</f>
        <v>43662.666666666599</v>
      </c>
      <c r="B136" s="1">
        <f ca="1">IFERROR(__xludf.UNSUPPORTED("""COMPUTED_VALUE"""),299.71)</f>
        <v>299.70999999999998</v>
      </c>
      <c r="C136" s="2">
        <f t="shared" ca="1" si="0"/>
        <v>-3.458021612635147E-3</v>
      </c>
    </row>
    <row r="137" spans="1:3">
      <c r="A137" s="3">
        <f ca="1">IFERROR(__xludf.UNSUPPORTED("""COMPUTED_VALUE"""),43663.6666666666)</f>
        <v>43663.666666666599</v>
      </c>
      <c r="B137" s="1">
        <f ca="1">IFERROR(__xludf.UNSUPPORTED("""COMPUTED_VALUE"""),297.74)</f>
        <v>297.74</v>
      </c>
      <c r="C137" s="2">
        <f t="shared" ca="1" si="0"/>
        <v>-6.5730205865669163E-3</v>
      </c>
    </row>
    <row r="138" spans="1:3">
      <c r="A138" s="3">
        <f ca="1">IFERROR(__xludf.UNSUPPORTED("""COMPUTED_VALUE"""),43664.6666666666)</f>
        <v>43664.666666666599</v>
      </c>
      <c r="B138" s="1">
        <f ca="1">IFERROR(__xludf.UNSUPPORTED("""COMPUTED_VALUE"""),298.83)</f>
        <v>298.83</v>
      </c>
      <c r="C138" s="2">
        <f t="shared" ca="1" si="0"/>
        <v>3.6609122052796901E-3</v>
      </c>
    </row>
    <row r="139" spans="1:3">
      <c r="A139" s="3">
        <f ca="1">IFERROR(__xludf.UNSUPPORTED("""COMPUTED_VALUE"""),43665.6666666666)</f>
        <v>43665.666666666599</v>
      </c>
      <c r="B139" s="1">
        <f ca="1">IFERROR(__xludf.UNSUPPORTED("""COMPUTED_VALUE"""),297.17)</f>
        <v>297.17</v>
      </c>
      <c r="C139" s="2">
        <f t="shared" ca="1" si="0"/>
        <v>-5.5549978248501429E-3</v>
      </c>
    </row>
    <row r="140" spans="1:3">
      <c r="A140" s="3">
        <f ca="1">IFERROR(__xludf.UNSUPPORTED("""COMPUTED_VALUE"""),43668.6666666666)</f>
        <v>43668.666666666599</v>
      </c>
      <c r="B140" s="1">
        <f ca="1">IFERROR(__xludf.UNSUPPORTED("""COMPUTED_VALUE"""),297.9)</f>
        <v>297.89999999999998</v>
      </c>
      <c r="C140" s="2">
        <f t="shared" ca="1" si="0"/>
        <v>2.4565063768212177E-3</v>
      </c>
    </row>
    <row r="141" spans="1:3">
      <c r="A141" s="3">
        <f ca="1">IFERROR(__xludf.UNSUPPORTED("""COMPUTED_VALUE"""),43669.6666666666)</f>
        <v>43669.666666666599</v>
      </c>
      <c r="B141" s="1">
        <f ca="1">IFERROR(__xludf.UNSUPPORTED("""COMPUTED_VALUE"""),300.03)</f>
        <v>300.02999999999997</v>
      </c>
      <c r="C141" s="2">
        <f t="shared" ca="1" si="0"/>
        <v>7.1500503524672566E-3</v>
      </c>
    </row>
    <row r="142" spans="1:3">
      <c r="A142" s="3">
        <f ca="1">IFERROR(__xludf.UNSUPPORTED("""COMPUTED_VALUE"""),43670.6666666666)</f>
        <v>43670.666666666599</v>
      </c>
      <c r="B142" s="1">
        <f ca="1">IFERROR(__xludf.UNSUPPORTED("""COMPUTED_VALUE"""),301.44)</f>
        <v>301.44</v>
      </c>
      <c r="C142" s="2">
        <f t="shared" ca="1" si="0"/>
        <v>4.6995300469953845E-3</v>
      </c>
    </row>
    <row r="143" spans="1:3">
      <c r="A143" s="3">
        <f ca="1">IFERROR(__xludf.UNSUPPORTED("""COMPUTED_VALUE"""),43671.6666666666)</f>
        <v>43671.666666666599</v>
      </c>
      <c r="B143" s="1">
        <f ca="1">IFERROR(__xludf.UNSUPPORTED("""COMPUTED_VALUE"""),300)</f>
        <v>300</v>
      </c>
      <c r="C143" s="2">
        <f t="shared" ca="1" si="0"/>
        <v>-4.7770700636942604E-3</v>
      </c>
    </row>
    <row r="144" spans="1:3">
      <c r="A144" s="3">
        <f ca="1">IFERROR(__xludf.UNSUPPORTED("""COMPUTED_VALUE"""),43672.6666666666)</f>
        <v>43672.666666666599</v>
      </c>
      <c r="B144" s="1">
        <f ca="1">IFERROR(__xludf.UNSUPPORTED("""COMPUTED_VALUE"""),302.01)</f>
        <v>302.01</v>
      </c>
      <c r="C144" s="2">
        <f t="shared" ca="1" si="0"/>
        <v>6.6999999999999699E-3</v>
      </c>
    </row>
    <row r="145" spans="1:3">
      <c r="A145" s="3">
        <f ca="1">IFERROR(__xludf.UNSUPPORTED("""COMPUTED_VALUE"""),43675.6666666666)</f>
        <v>43675.666666666599</v>
      </c>
      <c r="B145" s="1">
        <f ca="1">IFERROR(__xludf.UNSUPPORTED("""COMPUTED_VALUE"""),301.46)</f>
        <v>301.45999999999998</v>
      </c>
      <c r="C145" s="2">
        <f t="shared" ca="1" si="0"/>
        <v>-1.8211317506043223E-3</v>
      </c>
    </row>
    <row r="146" spans="1:3">
      <c r="A146" s="3">
        <f ca="1">IFERROR(__xludf.UNSUPPORTED("""COMPUTED_VALUE"""),43676.6666666666)</f>
        <v>43676.666666666599</v>
      </c>
      <c r="B146" s="1">
        <f ca="1">IFERROR(__xludf.UNSUPPORTED("""COMPUTED_VALUE"""),300.72)</f>
        <v>300.72000000000003</v>
      </c>
      <c r="C146" s="2">
        <f t="shared" ca="1" si="0"/>
        <v>-2.4547203609100788E-3</v>
      </c>
    </row>
    <row r="147" spans="1:3">
      <c r="A147" s="3">
        <f ca="1">IFERROR(__xludf.UNSUPPORTED("""COMPUTED_VALUE"""),43677.6666666666)</f>
        <v>43677.666666666599</v>
      </c>
      <c r="B147" s="1">
        <f ca="1">IFERROR(__xludf.UNSUPPORTED("""COMPUTED_VALUE"""),297.43)</f>
        <v>297.43</v>
      </c>
      <c r="C147" s="2">
        <f t="shared" ca="1" si="0"/>
        <v>-1.094040968342651E-2</v>
      </c>
    </row>
    <row r="148" spans="1:3">
      <c r="A148" s="3">
        <f ca="1">IFERROR(__xludf.UNSUPPORTED("""COMPUTED_VALUE"""),43678.6666666666)</f>
        <v>43678.666666666599</v>
      </c>
      <c r="B148" s="1">
        <f ca="1">IFERROR(__xludf.UNSUPPORTED("""COMPUTED_VALUE"""),294.84)</f>
        <v>294.83999999999997</v>
      </c>
      <c r="C148" s="2">
        <f t="shared" ca="1" si="0"/>
        <v>-8.7079312779478595E-3</v>
      </c>
    </row>
    <row r="149" spans="1:3">
      <c r="A149" s="3">
        <f ca="1">IFERROR(__xludf.UNSUPPORTED("""COMPUTED_VALUE"""),43679.6666666666)</f>
        <v>43679.666666666599</v>
      </c>
      <c r="B149" s="1">
        <f ca="1">IFERROR(__xludf.UNSUPPORTED("""COMPUTED_VALUE"""),292.62)</f>
        <v>292.62</v>
      </c>
      <c r="C149" s="2">
        <f t="shared" ca="1" si="0"/>
        <v>-7.5295075295074296E-3</v>
      </c>
    </row>
    <row r="150" spans="1:3">
      <c r="A150" s="3">
        <f ca="1">IFERROR(__xludf.UNSUPPORTED("""COMPUTED_VALUE"""),43682.6666666666)</f>
        <v>43682.666666666599</v>
      </c>
      <c r="B150" s="1">
        <f ca="1">IFERROR(__xludf.UNSUPPORTED("""COMPUTED_VALUE"""),283.82)</f>
        <v>283.82</v>
      </c>
      <c r="C150" s="2">
        <f t="shared" ca="1" si="0"/>
        <v>-3.0073132390130583E-2</v>
      </c>
    </row>
    <row r="151" spans="1:3">
      <c r="A151" s="3">
        <f ca="1">IFERROR(__xludf.UNSUPPORTED("""COMPUTED_VALUE"""),43683.6666666666)</f>
        <v>43683.666666666599</v>
      </c>
      <c r="B151" s="1">
        <f ca="1">IFERROR(__xludf.UNSUPPORTED("""COMPUTED_VALUE"""),287.8)</f>
        <v>287.8</v>
      </c>
      <c r="C151" s="2">
        <f t="shared" ca="1" si="0"/>
        <v>1.402297230639144E-2</v>
      </c>
    </row>
    <row r="152" spans="1:3">
      <c r="A152" s="3">
        <f ca="1">IFERROR(__xludf.UNSUPPORTED("""COMPUTED_VALUE"""),43684.6666666666)</f>
        <v>43684.666666666599</v>
      </c>
      <c r="B152" s="1">
        <f ca="1">IFERROR(__xludf.UNSUPPORTED("""COMPUTED_VALUE"""),287.97)</f>
        <v>287.97000000000003</v>
      </c>
      <c r="C152" s="2">
        <f t="shared" ca="1" si="0"/>
        <v>5.9068797776239026E-4</v>
      </c>
    </row>
    <row r="153" spans="1:3">
      <c r="A153" s="3">
        <f ca="1">IFERROR(__xludf.UNSUPPORTED("""COMPUTED_VALUE"""),43685.6666666666)</f>
        <v>43685.666666666599</v>
      </c>
      <c r="B153" s="1">
        <f ca="1">IFERROR(__xludf.UNSUPPORTED("""COMPUTED_VALUE"""),293.62)</f>
        <v>293.62</v>
      </c>
      <c r="C153" s="2">
        <f t="shared" ca="1" si="0"/>
        <v>1.962009931590088E-2</v>
      </c>
    </row>
    <row r="154" spans="1:3">
      <c r="A154" s="3">
        <f ca="1">IFERROR(__xludf.UNSUPPORTED("""COMPUTED_VALUE"""),43686.6666666666)</f>
        <v>43686.666666666599</v>
      </c>
      <c r="B154" s="1">
        <f ca="1">IFERROR(__xludf.UNSUPPORTED("""COMPUTED_VALUE"""),291.62)</f>
        <v>291.62</v>
      </c>
      <c r="C154" s="2">
        <f t="shared" ca="1" si="0"/>
        <v>-6.8115251004699949E-3</v>
      </c>
    </row>
    <row r="155" spans="1:3">
      <c r="A155" s="3">
        <f ca="1">IFERROR(__xludf.UNSUPPORTED("""COMPUTED_VALUE"""),43689.6666666666)</f>
        <v>43689.666666666599</v>
      </c>
      <c r="B155" s="1">
        <f ca="1">IFERROR(__xludf.UNSUPPORTED("""COMPUTED_VALUE"""),288.07)</f>
        <v>288.07</v>
      </c>
      <c r="C155" s="2">
        <f t="shared" ca="1" si="0"/>
        <v>-1.2173376311638472E-2</v>
      </c>
    </row>
    <row r="156" spans="1:3">
      <c r="A156" s="3">
        <f ca="1">IFERROR(__xludf.UNSUPPORTED("""COMPUTED_VALUE"""),43690.6666666666)</f>
        <v>43690.666666666599</v>
      </c>
      <c r="B156" s="1">
        <f ca="1">IFERROR(__xludf.UNSUPPORTED("""COMPUTED_VALUE"""),292.55)</f>
        <v>292.55</v>
      </c>
      <c r="C156" s="2">
        <f t="shared" ca="1" si="0"/>
        <v>1.5551775610094833E-2</v>
      </c>
    </row>
    <row r="157" spans="1:3">
      <c r="A157" s="3">
        <f ca="1">IFERROR(__xludf.UNSUPPORTED("""COMPUTED_VALUE"""),43691.6666666666)</f>
        <v>43691.666666666599</v>
      </c>
      <c r="B157" s="1">
        <f ca="1">IFERROR(__xludf.UNSUPPORTED("""COMPUTED_VALUE"""),283.9)</f>
        <v>283.89999999999998</v>
      </c>
      <c r="C157" s="2">
        <f t="shared" ca="1" si="0"/>
        <v>-2.9567595282857746E-2</v>
      </c>
    </row>
    <row r="158" spans="1:3">
      <c r="A158" s="3">
        <f ca="1">IFERROR(__xludf.UNSUPPORTED("""COMPUTED_VALUE"""),43692.6666666666)</f>
        <v>43692.666666666599</v>
      </c>
      <c r="B158" s="1">
        <f ca="1">IFERROR(__xludf.UNSUPPORTED("""COMPUTED_VALUE"""),284.65)</f>
        <v>284.64999999999998</v>
      </c>
      <c r="C158" s="2">
        <f t="shared" ca="1" si="0"/>
        <v>2.6417752729834452E-3</v>
      </c>
    </row>
    <row r="159" spans="1:3">
      <c r="A159" s="3">
        <f ca="1">IFERROR(__xludf.UNSUPPORTED("""COMPUTED_VALUE"""),43693.6666666666)</f>
        <v>43693.666666666599</v>
      </c>
      <c r="B159" s="1">
        <f ca="1">IFERROR(__xludf.UNSUPPORTED("""COMPUTED_VALUE"""),288.85)</f>
        <v>288.85000000000002</v>
      </c>
      <c r="C159" s="2">
        <f t="shared" ca="1" si="0"/>
        <v>1.4754962234323014E-2</v>
      </c>
    </row>
    <row r="160" spans="1:3">
      <c r="A160" s="3">
        <f ca="1">IFERROR(__xludf.UNSUPPORTED("""COMPUTED_VALUE"""),43696.6666666666)</f>
        <v>43696.666666666599</v>
      </c>
      <c r="B160" s="1">
        <f ca="1">IFERROR(__xludf.UNSUPPORTED("""COMPUTED_VALUE"""),292.33)</f>
        <v>292.33</v>
      </c>
      <c r="C160" s="2">
        <f t="shared" ca="1" si="0"/>
        <v>1.2047775662108226E-2</v>
      </c>
    </row>
    <row r="161" spans="1:3">
      <c r="A161" s="3">
        <f ca="1">IFERROR(__xludf.UNSUPPORTED("""COMPUTED_VALUE"""),43697.6666666666)</f>
        <v>43697.666666666599</v>
      </c>
      <c r="B161" s="1">
        <f ca="1">IFERROR(__xludf.UNSUPPORTED("""COMPUTED_VALUE"""),290.09)</f>
        <v>290.08999999999997</v>
      </c>
      <c r="C161" s="2">
        <f t="shared" ca="1" si="0"/>
        <v>-7.6625731194198653E-3</v>
      </c>
    </row>
    <row r="162" spans="1:3">
      <c r="A162" s="3">
        <f ca="1">IFERROR(__xludf.UNSUPPORTED("""COMPUTED_VALUE"""),43698.6666666666)</f>
        <v>43698.666666666599</v>
      </c>
      <c r="B162" s="1">
        <f ca="1">IFERROR(__xludf.UNSUPPORTED("""COMPUTED_VALUE"""),292.45)</f>
        <v>292.45</v>
      </c>
      <c r="C162" s="2">
        <f t="shared" ca="1" si="0"/>
        <v>8.1354062532318031E-3</v>
      </c>
    </row>
    <row r="163" spans="1:3">
      <c r="A163" s="3">
        <f ca="1">IFERROR(__xludf.UNSUPPORTED("""COMPUTED_VALUE"""),43699.6666666666)</f>
        <v>43699.666666666599</v>
      </c>
      <c r="B163" s="1">
        <f ca="1">IFERROR(__xludf.UNSUPPORTED("""COMPUTED_VALUE"""),292.36)</f>
        <v>292.36</v>
      </c>
      <c r="C163" s="2">
        <f t="shared" ca="1" si="0"/>
        <v>-3.0774491366036924E-4</v>
      </c>
    </row>
    <row r="164" spans="1:3">
      <c r="A164" s="3">
        <f ca="1">IFERROR(__xludf.UNSUPPORTED("""COMPUTED_VALUE"""),43700.6666666666)</f>
        <v>43700.666666666599</v>
      </c>
      <c r="B164" s="1">
        <f ca="1">IFERROR(__xludf.UNSUPPORTED("""COMPUTED_VALUE"""),284.85)</f>
        <v>284.85000000000002</v>
      </c>
      <c r="C164" s="2">
        <f t="shared" ca="1" si="0"/>
        <v>-2.568750855110135E-2</v>
      </c>
    </row>
    <row r="165" spans="1:3">
      <c r="A165" s="3">
        <f ca="1">IFERROR(__xludf.UNSUPPORTED("""COMPUTED_VALUE"""),43703.6666666666)</f>
        <v>43703.666666666599</v>
      </c>
      <c r="B165" s="1">
        <f ca="1">IFERROR(__xludf.UNSUPPORTED("""COMPUTED_VALUE"""),288)</f>
        <v>288</v>
      </c>
      <c r="C165" s="2">
        <f t="shared" ca="1" si="0"/>
        <v>1.1058451816745574E-2</v>
      </c>
    </row>
    <row r="166" spans="1:3">
      <c r="A166" s="3">
        <f ca="1">IFERROR(__xludf.UNSUPPORTED("""COMPUTED_VALUE"""),43704.6666666666)</f>
        <v>43704.666666666599</v>
      </c>
      <c r="B166" s="1">
        <f ca="1">IFERROR(__xludf.UNSUPPORTED("""COMPUTED_VALUE"""),286.87)</f>
        <v>286.87</v>
      </c>
      <c r="C166" s="2">
        <f t="shared" ca="1" si="0"/>
        <v>-3.9236111111110956E-3</v>
      </c>
    </row>
    <row r="167" spans="1:3">
      <c r="A167" s="3">
        <f ca="1">IFERROR(__xludf.UNSUPPORTED("""COMPUTED_VALUE"""),43705.6666666666)</f>
        <v>43705.666666666599</v>
      </c>
      <c r="B167" s="1">
        <f ca="1">IFERROR(__xludf.UNSUPPORTED("""COMPUTED_VALUE"""),288.89)</f>
        <v>288.89</v>
      </c>
      <c r="C167" s="2">
        <f t="shared" ca="1" si="0"/>
        <v>7.0415170634781669E-3</v>
      </c>
    </row>
    <row r="168" spans="1:3">
      <c r="A168" s="3">
        <f ca="1">IFERROR(__xludf.UNSUPPORTED("""COMPUTED_VALUE"""),43706.6666666666)</f>
        <v>43706.666666666599</v>
      </c>
      <c r="B168" s="1">
        <f ca="1">IFERROR(__xludf.UNSUPPORTED("""COMPUTED_VALUE"""),292.58)</f>
        <v>292.58</v>
      </c>
      <c r="C168" s="2">
        <f t="shared" ca="1" si="0"/>
        <v>1.2773027796046931E-2</v>
      </c>
    </row>
    <row r="169" spans="1:3">
      <c r="A169" s="3">
        <f ca="1">IFERROR(__xludf.UNSUPPORTED("""COMPUTED_VALUE"""),43707.6666666666)</f>
        <v>43707.666666666599</v>
      </c>
      <c r="B169" s="1">
        <f ca="1">IFERROR(__xludf.UNSUPPORTED("""COMPUTED_VALUE"""),292.45)</f>
        <v>292.45</v>
      </c>
      <c r="C169" s="2">
        <f t="shared" ca="1" si="0"/>
        <v>-4.4432292022693098E-4</v>
      </c>
    </row>
    <row r="170" spans="1:3">
      <c r="A170" s="3">
        <f ca="1">IFERROR(__xludf.UNSUPPORTED("""COMPUTED_VALUE"""),43711.6666666666)</f>
        <v>43711.666666666599</v>
      </c>
      <c r="B170" s="1">
        <f ca="1">IFERROR(__xludf.UNSUPPORTED("""COMPUTED_VALUE"""),290.74)</f>
        <v>290.74</v>
      </c>
      <c r="C170" s="2">
        <f t="shared" ca="1" si="0"/>
        <v>-5.8471533595485714E-3</v>
      </c>
    </row>
    <row r="171" spans="1:3">
      <c r="A171" s="3">
        <f ca="1">IFERROR(__xludf.UNSUPPORTED("""COMPUTED_VALUE"""),43712.6666666666)</f>
        <v>43712.666666666599</v>
      </c>
      <c r="B171" s="1">
        <f ca="1">IFERROR(__xludf.UNSUPPORTED("""COMPUTED_VALUE"""),294.04)</f>
        <v>294.04000000000002</v>
      </c>
      <c r="C171" s="2">
        <f t="shared" ca="1" si="0"/>
        <v>1.1350347389420139E-2</v>
      </c>
    </row>
    <row r="172" spans="1:3">
      <c r="A172" s="3">
        <f ca="1">IFERROR(__xludf.UNSUPPORTED("""COMPUTED_VALUE"""),43713.6666666666)</f>
        <v>43713.666666666599</v>
      </c>
      <c r="B172" s="1">
        <f ca="1">IFERROR(__xludf.UNSUPPORTED("""COMPUTED_VALUE"""),297.82)</f>
        <v>297.82</v>
      </c>
      <c r="C172" s="2">
        <f t="shared" ca="1" si="0"/>
        <v>1.2855393823969434E-2</v>
      </c>
    </row>
    <row r="173" spans="1:3">
      <c r="A173" s="3">
        <f ca="1">IFERROR(__xludf.UNSUPPORTED("""COMPUTED_VALUE"""),43714.6666666666)</f>
        <v>43714.666666666599</v>
      </c>
      <c r="B173" s="1">
        <f ca="1">IFERROR(__xludf.UNSUPPORTED("""COMPUTED_VALUE"""),298.05)</f>
        <v>298.05</v>
      </c>
      <c r="C173" s="2">
        <f t="shared" ca="1" si="0"/>
        <v>7.7227855751802496E-4</v>
      </c>
    </row>
    <row r="174" spans="1:3">
      <c r="A174" s="3">
        <f ca="1">IFERROR(__xludf.UNSUPPORTED("""COMPUTED_VALUE"""),43717.6666666666)</f>
        <v>43717.666666666599</v>
      </c>
      <c r="B174" s="1">
        <f ca="1">IFERROR(__xludf.UNSUPPORTED("""COMPUTED_VALUE"""),298.2)</f>
        <v>298.2</v>
      </c>
      <c r="C174" s="2">
        <f t="shared" ca="1" si="0"/>
        <v>5.0327126321079432E-4</v>
      </c>
    </row>
    <row r="175" spans="1:3">
      <c r="A175" s="3">
        <f ca="1">IFERROR(__xludf.UNSUPPORTED("""COMPUTED_VALUE"""),43718.6666666666)</f>
        <v>43718.666666666599</v>
      </c>
      <c r="B175" s="1">
        <f ca="1">IFERROR(__xludf.UNSUPPORTED("""COMPUTED_VALUE"""),298.13)</f>
        <v>298.13</v>
      </c>
      <c r="C175" s="2">
        <f t="shared" ca="1" si="0"/>
        <v>-2.3474178403753583E-4</v>
      </c>
    </row>
    <row r="176" spans="1:3">
      <c r="A176" s="3">
        <f ca="1">IFERROR(__xludf.UNSUPPORTED("""COMPUTED_VALUE"""),43719.6666666666)</f>
        <v>43719.666666666599</v>
      </c>
      <c r="B176" s="1">
        <f ca="1">IFERROR(__xludf.UNSUPPORTED("""COMPUTED_VALUE"""),300.25)</f>
        <v>300.25</v>
      </c>
      <c r="C176" s="2">
        <f t="shared" ca="1" si="0"/>
        <v>7.1109918491933204E-3</v>
      </c>
    </row>
    <row r="177" spans="1:3">
      <c r="A177" s="3">
        <f ca="1">IFERROR(__xludf.UNSUPPORTED("""COMPUTED_VALUE"""),43720.6666666666)</f>
        <v>43720.666666666599</v>
      </c>
      <c r="B177" s="1">
        <f ca="1">IFERROR(__xludf.UNSUPPORTED("""COMPUTED_VALUE"""),301.29)</f>
        <v>301.29000000000002</v>
      </c>
      <c r="C177" s="2">
        <f t="shared" ca="1" si="0"/>
        <v>3.463780183180751E-3</v>
      </c>
    </row>
    <row r="178" spans="1:3">
      <c r="A178" s="3">
        <f ca="1">IFERROR(__xludf.UNSUPPORTED("""COMPUTED_VALUE"""),43721.6666666666)</f>
        <v>43721.666666666599</v>
      </c>
      <c r="B178" s="1">
        <f ca="1">IFERROR(__xludf.UNSUPPORTED("""COMPUTED_VALUE"""),301.09)</f>
        <v>301.08999999999997</v>
      </c>
      <c r="C178" s="2">
        <f t="shared" ca="1" si="0"/>
        <v>-6.6381227388909506E-4</v>
      </c>
    </row>
    <row r="179" spans="1:3">
      <c r="A179" s="3">
        <f ca="1">IFERROR(__xludf.UNSUPPORTED("""COMPUTED_VALUE"""),43724.6666666666)</f>
        <v>43724.666666666599</v>
      </c>
      <c r="B179" s="1">
        <f ca="1">IFERROR(__xludf.UNSUPPORTED("""COMPUTED_VALUE"""),300.16)</f>
        <v>300.16000000000003</v>
      </c>
      <c r="C179" s="2">
        <f t="shared" ca="1" si="0"/>
        <v>-3.0887774419607098E-3</v>
      </c>
    </row>
    <row r="180" spans="1:3">
      <c r="A180" s="3">
        <f ca="1">IFERROR(__xludf.UNSUPPORTED("""COMPUTED_VALUE"""),43725.6666666666)</f>
        <v>43725.666666666599</v>
      </c>
      <c r="B180" s="1">
        <f ca="1">IFERROR(__xludf.UNSUPPORTED("""COMPUTED_VALUE"""),300.92)</f>
        <v>300.92</v>
      </c>
      <c r="C180" s="2">
        <f t="shared" ca="1" si="0"/>
        <v>2.5319829424306733E-3</v>
      </c>
    </row>
    <row r="181" spans="1:3">
      <c r="A181" s="3">
        <f ca="1">IFERROR(__xludf.UNSUPPORTED("""COMPUTED_VALUE"""),43726.6666666666)</f>
        <v>43726.666666666599</v>
      </c>
      <c r="B181" s="1">
        <f ca="1">IFERROR(__xludf.UNSUPPORTED("""COMPUTED_VALUE"""),301.1)</f>
        <v>301.10000000000002</v>
      </c>
      <c r="C181" s="2">
        <f t="shared" ca="1" si="0"/>
        <v>5.9816562541541542E-4</v>
      </c>
    </row>
    <row r="182" spans="1:3">
      <c r="A182" s="3">
        <f ca="1">IFERROR(__xludf.UNSUPPORTED("""COMPUTED_VALUE"""),43727.6666666666)</f>
        <v>43727.666666666599</v>
      </c>
      <c r="B182" s="1">
        <f ca="1">IFERROR(__xludf.UNSUPPORTED("""COMPUTED_VALUE"""),301.08)</f>
        <v>301.08</v>
      </c>
      <c r="C182" s="2">
        <f t="shared" ca="1" si="0"/>
        <v>-6.6423115244233316E-5</v>
      </c>
    </row>
    <row r="183" spans="1:3">
      <c r="A183" s="3">
        <f ca="1">IFERROR(__xludf.UNSUPPORTED("""COMPUTED_VALUE"""),43728.6666666666)</f>
        <v>43728.666666666599</v>
      </c>
      <c r="B183" s="1">
        <f ca="1">IFERROR(__xludf.UNSUPPORTED("""COMPUTED_VALUE"""),298.28)</f>
        <v>298.27999999999997</v>
      </c>
      <c r="C183" s="2">
        <f t="shared" ca="1" si="0"/>
        <v>-9.2998538594393897E-3</v>
      </c>
    </row>
    <row r="184" spans="1:3">
      <c r="A184" s="3">
        <f ca="1">IFERROR(__xludf.UNSUPPORTED("""COMPUTED_VALUE"""),43731.6666666666)</f>
        <v>43731.666666666599</v>
      </c>
      <c r="B184" s="1">
        <f ca="1">IFERROR(__xludf.UNSUPPORTED("""COMPUTED_VALUE"""),298.21)</f>
        <v>298.20999999999998</v>
      </c>
      <c r="C184" s="2">
        <f t="shared" ca="1" si="0"/>
        <v>-2.3467882526482896E-4</v>
      </c>
    </row>
    <row r="185" spans="1:3">
      <c r="A185" s="3">
        <f ca="1">IFERROR(__xludf.UNSUPPORTED("""COMPUTED_VALUE"""),43732.6666666666)</f>
        <v>43732.666666666599</v>
      </c>
      <c r="B185" s="1">
        <f ca="1">IFERROR(__xludf.UNSUPPORTED("""COMPUTED_VALUE"""),295.87)</f>
        <v>295.87</v>
      </c>
      <c r="C185" s="2">
        <f t="shared" ca="1" si="0"/>
        <v>-7.8468193554876598E-3</v>
      </c>
    </row>
    <row r="186" spans="1:3">
      <c r="A186" s="3">
        <f ca="1">IFERROR(__xludf.UNSUPPORTED("""COMPUTED_VALUE"""),43733.6666666666)</f>
        <v>43733.666666666599</v>
      </c>
      <c r="B186" s="1">
        <f ca="1">IFERROR(__xludf.UNSUPPORTED("""COMPUTED_VALUE"""),297.62)</f>
        <v>297.62</v>
      </c>
      <c r="C186" s="2">
        <f t="shared" ca="1" si="0"/>
        <v>5.9147598607496533E-3</v>
      </c>
    </row>
    <row r="187" spans="1:3">
      <c r="A187" s="3">
        <f ca="1">IFERROR(__xludf.UNSUPPORTED("""COMPUTED_VALUE"""),43734.6666666666)</f>
        <v>43734.666666666599</v>
      </c>
      <c r="B187" s="1">
        <f ca="1">IFERROR(__xludf.UNSUPPORTED("""COMPUTED_VALUE"""),297)</f>
        <v>297</v>
      </c>
      <c r="C187" s="2">
        <f t="shared" ca="1" si="0"/>
        <v>-2.0831933337813473E-3</v>
      </c>
    </row>
    <row r="188" spans="1:3">
      <c r="A188" s="3">
        <f ca="1">IFERROR(__xludf.UNSUPPORTED("""COMPUTED_VALUE"""),43735.6666666666)</f>
        <v>43735.666666666599</v>
      </c>
      <c r="B188" s="1">
        <f ca="1">IFERROR(__xludf.UNSUPPORTED("""COMPUTED_VALUE"""),295.4)</f>
        <v>295.39999999999998</v>
      </c>
      <c r="C188" s="2">
        <f t="shared" ca="1" si="0"/>
        <v>-5.3872053872054638E-3</v>
      </c>
    </row>
    <row r="189" spans="1:3">
      <c r="A189" s="3">
        <f ca="1">IFERROR(__xludf.UNSUPPORTED("""COMPUTED_VALUE"""),43738.6666666666)</f>
        <v>43738.666666666599</v>
      </c>
      <c r="B189" s="1">
        <f ca="1">IFERROR(__xludf.UNSUPPORTED("""COMPUTED_VALUE"""),296.77)</f>
        <v>296.77</v>
      </c>
      <c r="C189" s="2">
        <f t="shared" ca="1" si="0"/>
        <v>4.637779282329061E-3</v>
      </c>
    </row>
    <row r="190" spans="1:3">
      <c r="A190" s="3">
        <f ca="1">IFERROR(__xludf.UNSUPPORTED("""COMPUTED_VALUE"""),43739.6666666666)</f>
        <v>43739.666666666599</v>
      </c>
      <c r="B190" s="1">
        <f ca="1">IFERROR(__xludf.UNSUPPORTED("""COMPUTED_VALUE"""),293.24)</f>
        <v>293.24</v>
      </c>
      <c r="C190" s="2">
        <f t="shared" ca="1" si="0"/>
        <v>-1.1894733295144297E-2</v>
      </c>
    </row>
    <row r="191" spans="1:3">
      <c r="A191" s="3">
        <f ca="1">IFERROR(__xludf.UNSUPPORTED("""COMPUTED_VALUE"""),43740.6666666666)</f>
        <v>43740.666666666599</v>
      </c>
      <c r="B191" s="1">
        <f ca="1">IFERROR(__xludf.UNSUPPORTED("""COMPUTED_VALUE"""),288.06)</f>
        <v>288.06</v>
      </c>
      <c r="C191" s="2">
        <f t="shared" ca="1" si="0"/>
        <v>-1.7664711499113375E-2</v>
      </c>
    </row>
    <row r="192" spans="1:3">
      <c r="A192" s="3">
        <f ca="1">IFERROR(__xludf.UNSUPPORTED("""COMPUTED_VALUE"""),43741.6666666666)</f>
        <v>43741.666666666599</v>
      </c>
      <c r="B192" s="1">
        <f ca="1">IFERROR(__xludf.UNSUPPORTED("""COMPUTED_VALUE"""),290.42)</f>
        <v>290.42</v>
      </c>
      <c r="C192" s="2">
        <f t="shared" ca="1" si="0"/>
        <v>8.1927376241061368E-3</v>
      </c>
    </row>
    <row r="193" spans="1:3">
      <c r="A193" s="3">
        <f ca="1">IFERROR(__xludf.UNSUPPORTED("""COMPUTED_VALUE"""),43742.6666666666)</f>
        <v>43742.666666666599</v>
      </c>
      <c r="B193" s="1">
        <f ca="1">IFERROR(__xludf.UNSUPPORTED("""COMPUTED_VALUE"""),294.35)</f>
        <v>294.35000000000002</v>
      </c>
      <c r="C193" s="2">
        <f t="shared" ca="1" si="0"/>
        <v>1.3532125886646948E-2</v>
      </c>
    </row>
    <row r="194" spans="1:3">
      <c r="A194" s="3">
        <f ca="1">IFERROR(__xludf.UNSUPPORTED("""COMPUTED_VALUE"""),43745.6666666666)</f>
        <v>43745.666666666599</v>
      </c>
      <c r="B194" s="1">
        <f ca="1">IFERROR(__xludf.UNSUPPORTED("""COMPUTED_VALUE"""),293.08)</f>
        <v>293.08</v>
      </c>
      <c r="C194" s="2">
        <f t="shared" ca="1" si="0"/>
        <v>-4.3145914727366688E-3</v>
      </c>
    </row>
    <row r="195" spans="1:3">
      <c r="A195" s="3">
        <f ca="1">IFERROR(__xludf.UNSUPPORTED("""COMPUTED_VALUE"""),43746.6666666666)</f>
        <v>43746.666666666599</v>
      </c>
      <c r="B195" s="1">
        <f ca="1">IFERROR(__xludf.UNSUPPORTED("""COMPUTED_VALUE"""),288.53)</f>
        <v>288.52999999999997</v>
      </c>
      <c r="C195" s="2">
        <f t="shared" ca="1" si="0"/>
        <v>-1.5524771393476224E-2</v>
      </c>
    </row>
    <row r="196" spans="1:3">
      <c r="A196" s="3">
        <f ca="1">IFERROR(__xludf.UNSUPPORTED("""COMPUTED_VALUE"""),43747.6666666666)</f>
        <v>43747.666666666599</v>
      </c>
      <c r="B196" s="1">
        <f ca="1">IFERROR(__xludf.UNSUPPORTED("""COMPUTED_VALUE"""),291.27)</f>
        <v>291.27</v>
      </c>
      <c r="C196" s="2">
        <f t="shared" ca="1" si="0"/>
        <v>9.4964128513499793E-3</v>
      </c>
    </row>
    <row r="197" spans="1:3">
      <c r="A197" s="3">
        <f ca="1">IFERROR(__xludf.UNSUPPORTED("""COMPUTED_VALUE"""),43748.6666666666)</f>
        <v>43748.666666666599</v>
      </c>
      <c r="B197" s="1">
        <f ca="1">IFERROR(__xludf.UNSUPPORTED("""COMPUTED_VALUE"""),293.24)</f>
        <v>293.24</v>
      </c>
      <c r="C197" s="2">
        <f t="shared" ca="1" si="0"/>
        <v>6.7634840525973407E-3</v>
      </c>
    </row>
    <row r="198" spans="1:3">
      <c r="A198" s="3">
        <f ca="1">IFERROR(__xludf.UNSUPPORTED("""COMPUTED_VALUE"""),43749.6666666666)</f>
        <v>43749.666666666599</v>
      </c>
      <c r="B198" s="1">
        <f ca="1">IFERROR(__xludf.UNSUPPORTED("""COMPUTED_VALUE"""),296.28)</f>
        <v>296.27999999999997</v>
      </c>
      <c r="C198" s="2">
        <f t="shared" ca="1" si="0"/>
        <v>1.0366934933842461E-2</v>
      </c>
    </row>
    <row r="199" spans="1:3">
      <c r="A199" s="3">
        <f ca="1">IFERROR(__xludf.UNSUPPORTED("""COMPUTED_VALUE"""),43752.6666666666)</f>
        <v>43752.666666666599</v>
      </c>
      <c r="B199" s="1">
        <f ca="1">IFERROR(__xludf.UNSUPPORTED("""COMPUTED_VALUE"""),295.95)</f>
        <v>295.95</v>
      </c>
      <c r="C199" s="2">
        <f t="shared" ca="1" si="0"/>
        <v>-1.1138112596192253E-3</v>
      </c>
    </row>
    <row r="200" spans="1:3">
      <c r="A200" s="3">
        <f ca="1">IFERROR(__xludf.UNSUPPORTED("""COMPUTED_VALUE"""),43753.6666666666)</f>
        <v>43753.666666666599</v>
      </c>
      <c r="B200" s="1">
        <f ca="1">IFERROR(__xludf.UNSUPPORTED("""COMPUTED_VALUE"""),298.88)</f>
        <v>298.88</v>
      </c>
      <c r="C200" s="2">
        <f t="shared" ca="1" si="0"/>
        <v>9.9003210001689709E-3</v>
      </c>
    </row>
    <row r="201" spans="1:3">
      <c r="A201" s="3">
        <f ca="1">IFERROR(__xludf.UNSUPPORTED("""COMPUTED_VALUE"""),43754.6666666666)</f>
        <v>43754.666666666599</v>
      </c>
      <c r="B201" s="1">
        <f ca="1">IFERROR(__xludf.UNSUPPORTED("""COMPUTED_VALUE"""),298.4)</f>
        <v>298.39999999999998</v>
      </c>
      <c r="C201" s="2">
        <f t="shared" ca="1" si="0"/>
        <v>-1.6059957173448147E-3</v>
      </c>
    </row>
    <row r="202" spans="1:3">
      <c r="A202" s="3">
        <f ca="1">IFERROR(__xludf.UNSUPPORTED("""COMPUTED_VALUE"""),43755.6666666666)</f>
        <v>43755.666666666599</v>
      </c>
      <c r="B202" s="1">
        <f ca="1">IFERROR(__xludf.UNSUPPORTED("""COMPUTED_VALUE"""),299.28)</f>
        <v>299.27999999999997</v>
      </c>
      <c r="C202" s="2">
        <f t="shared" ca="1" si="0"/>
        <v>2.9490616621983762E-3</v>
      </c>
    </row>
    <row r="203" spans="1:3">
      <c r="A203" s="3">
        <f ca="1">IFERROR(__xludf.UNSUPPORTED("""COMPUTED_VALUE"""),43756.6666666666)</f>
        <v>43756.666666666599</v>
      </c>
      <c r="B203" s="1">
        <f ca="1">IFERROR(__xludf.UNSUPPORTED("""COMPUTED_VALUE"""),297.97)</f>
        <v>297.97000000000003</v>
      </c>
      <c r="C203" s="2">
        <f t="shared" ca="1" si="0"/>
        <v>-4.3771718791765085E-3</v>
      </c>
    </row>
    <row r="204" spans="1:3">
      <c r="A204" s="3">
        <f ca="1">IFERROR(__xludf.UNSUPPORTED("""COMPUTED_VALUE"""),43759.6666666666)</f>
        <v>43759.666666666599</v>
      </c>
      <c r="B204" s="1">
        <f ca="1">IFERROR(__xludf.UNSUPPORTED("""COMPUTED_VALUE"""),299.99)</f>
        <v>299.99</v>
      </c>
      <c r="C204" s="2">
        <f t="shared" ca="1" si="0"/>
        <v>6.7792059603315157E-3</v>
      </c>
    </row>
    <row r="205" spans="1:3">
      <c r="A205" s="3">
        <f ca="1">IFERROR(__xludf.UNSUPPORTED("""COMPUTED_VALUE"""),43760.6666666666)</f>
        <v>43760.666666666599</v>
      </c>
      <c r="B205" s="1">
        <f ca="1">IFERROR(__xludf.UNSUPPORTED("""COMPUTED_VALUE"""),299.01)</f>
        <v>299.01</v>
      </c>
      <c r="C205" s="2">
        <f t="shared" ca="1" si="0"/>
        <v>-3.2667755591853668E-3</v>
      </c>
    </row>
    <row r="206" spans="1:3">
      <c r="A206" s="3">
        <f ca="1">IFERROR(__xludf.UNSUPPORTED("""COMPUTED_VALUE"""),43761.6666666666)</f>
        <v>43761.666666666599</v>
      </c>
      <c r="B206" s="1">
        <f ca="1">IFERROR(__xludf.UNSUPPORTED("""COMPUTED_VALUE"""),299.88)</f>
        <v>299.88</v>
      </c>
      <c r="C206" s="2">
        <f t="shared" ca="1" si="0"/>
        <v>2.9096016855623711E-3</v>
      </c>
    </row>
    <row r="207" spans="1:3">
      <c r="A207" s="3">
        <f ca="1">IFERROR(__xludf.UNSUPPORTED("""COMPUTED_VALUE"""),43762.6666666666)</f>
        <v>43762.666666666599</v>
      </c>
      <c r="B207" s="1">
        <f ca="1">IFERROR(__xludf.UNSUPPORTED("""COMPUTED_VALUE"""),300.37)</f>
        <v>300.37</v>
      </c>
      <c r="C207" s="2">
        <f t="shared" ca="1" si="0"/>
        <v>1.6339869281046056E-3</v>
      </c>
    </row>
    <row r="208" spans="1:3">
      <c r="A208" s="3">
        <f ca="1">IFERROR(__xludf.UNSUPPORTED("""COMPUTED_VALUE"""),43763.6666666666)</f>
        <v>43763.666666666599</v>
      </c>
      <c r="B208" s="1">
        <f ca="1">IFERROR(__xludf.UNSUPPORTED("""COMPUTED_VALUE"""),301.6)</f>
        <v>301.60000000000002</v>
      </c>
      <c r="C208" s="2">
        <f t="shared" ca="1" si="0"/>
        <v>4.0949495622066723E-3</v>
      </c>
    </row>
    <row r="209" spans="1:3">
      <c r="A209" s="3">
        <f ca="1">IFERROR(__xludf.UNSUPPORTED("""COMPUTED_VALUE"""),43766.6666666666)</f>
        <v>43766.666666666599</v>
      </c>
      <c r="B209" s="1">
        <f ca="1">IFERROR(__xludf.UNSUPPORTED("""COMPUTED_VALUE"""),303.3)</f>
        <v>303.3</v>
      </c>
      <c r="C209" s="2">
        <f t="shared" ca="1" si="0"/>
        <v>5.6366047745357705E-3</v>
      </c>
    </row>
    <row r="210" spans="1:3">
      <c r="A210" s="3">
        <f ca="1">IFERROR(__xludf.UNSUPPORTED("""COMPUTED_VALUE"""),43767.6666666666)</f>
        <v>43767.666666666599</v>
      </c>
      <c r="B210" s="1">
        <f ca="1">IFERROR(__xludf.UNSUPPORTED("""COMPUTED_VALUE"""),303.21)</f>
        <v>303.20999999999998</v>
      </c>
      <c r="C210" s="2">
        <f t="shared" ca="1" si="0"/>
        <v>-2.9673590504461533E-4</v>
      </c>
    </row>
    <row r="211" spans="1:3">
      <c r="A211" s="3">
        <f ca="1">IFERROR(__xludf.UNSUPPORTED("""COMPUTED_VALUE"""),43768.6666666666)</f>
        <v>43768.666666666599</v>
      </c>
      <c r="B211" s="1">
        <f ca="1">IFERROR(__xludf.UNSUPPORTED("""COMPUTED_VALUE"""),304.14)</f>
        <v>304.14</v>
      </c>
      <c r="C211" s="2">
        <f t="shared" ca="1" si="0"/>
        <v>3.0671811615712108E-3</v>
      </c>
    </row>
    <row r="212" spans="1:3">
      <c r="A212" s="3">
        <f ca="1">IFERROR(__xludf.UNSUPPORTED("""COMPUTED_VALUE"""),43769.6666666666)</f>
        <v>43769.666666666599</v>
      </c>
      <c r="B212" s="1">
        <f ca="1">IFERROR(__xludf.UNSUPPORTED("""COMPUTED_VALUE"""),303.33)</f>
        <v>303.33</v>
      </c>
      <c r="C212" s="2">
        <f t="shared" ca="1" si="0"/>
        <v>-2.6632471887946415E-3</v>
      </c>
    </row>
    <row r="213" spans="1:3">
      <c r="A213" s="3">
        <f ca="1">IFERROR(__xludf.UNSUPPORTED("""COMPUTED_VALUE"""),43770.6666666666)</f>
        <v>43770.666666666599</v>
      </c>
      <c r="B213" s="1">
        <f ca="1">IFERROR(__xludf.UNSUPPORTED("""COMPUTED_VALUE"""),306.14)</f>
        <v>306.14</v>
      </c>
      <c r="C213" s="2">
        <f t="shared" ca="1" si="0"/>
        <v>9.2638380641545583E-3</v>
      </c>
    </row>
    <row r="214" spans="1:3">
      <c r="A214" s="3">
        <f ca="1">IFERROR(__xludf.UNSUPPORTED("""COMPUTED_VALUE"""),43773.6666666666)</f>
        <v>43773.666666666599</v>
      </c>
      <c r="B214" s="1">
        <f ca="1">IFERROR(__xludf.UNSUPPORTED("""COMPUTED_VALUE"""),307.37)</f>
        <v>307.37</v>
      </c>
      <c r="C214" s="2">
        <f t="shared" ca="1" si="0"/>
        <v>4.0177696478735812E-3</v>
      </c>
    </row>
    <row r="215" spans="1:3">
      <c r="A215" s="3">
        <f ca="1">IFERROR(__xludf.UNSUPPORTED("""COMPUTED_VALUE"""),43774.6666666666)</f>
        <v>43774.666666666599</v>
      </c>
      <c r="B215" s="1">
        <f ca="1">IFERROR(__xludf.UNSUPPORTED("""COMPUTED_VALUE"""),307.03)</f>
        <v>307.02999999999997</v>
      </c>
      <c r="C215" s="2">
        <f t="shared" ca="1" si="0"/>
        <v>-1.1061587012396519E-3</v>
      </c>
    </row>
    <row r="216" spans="1:3">
      <c r="A216" s="3">
        <f ca="1">IFERROR(__xludf.UNSUPPORTED("""COMPUTED_VALUE"""),43775.6666666666)</f>
        <v>43775.666666666599</v>
      </c>
      <c r="B216" s="1">
        <f ca="1">IFERROR(__xludf.UNSUPPORTED("""COMPUTED_VALUE"""),307.1)</f>
        <v>307.10000000000002</v>
      </c>
      <c r="C216" s="2">
        <f t="shared" ca="1" si="0"/>
        <v>2.2799075008973074E-4</v>
      </c>
    </row>
    <row r="217" spans="1:3">
      <c r="A217" s="3">
        <f ca="1">IFERROR(__xludf.UNSUPPORTED("""COMPUTED_VALUE"""),43776.6666666666)</f>
        <v>43776.666666666599</v>
      </c>
      <c r="B217" s="1">
        <f ca="1">IFERROR(__xludf.UNSUPPORTED("""COMPUTED_VALUE"""),308.18)</f>
        <v>308.18</v>
      </c>
      <c r="C217" s="2">
        <f t="shared" ca="1" si="0"/>
        <v>3.5167697818299709E-3</v>
      </c>
    </row>
    <row r="218" spans="1:3">
      <c r="A218" s="3">
        <f ca="1">IFERROR(__xludf.UNSUPPORTED("""COMPUTED_VALUE"""),43777.6666666666)</f>
        <v>43777.666666666599</v>
      </c>
      <c r="B218" s="1">
        <f ca="1">IFERROR(__xludf.UNSUPPORTED("""COMPUTED_VALUE"""),308.94)</f>
        <v>308.94</v>
      </c>
      <c r="C218" s="2">
        <f t="shared" ca="1" si="0"/>
        <v>2.4660912453760495E-3</v>
      </c>
    </row>
    <row r="219" spans="1:3">
      <c r="A219" s="3">
        <f ca="1">IFERROR(__xludf.UNSUPPORTED("""COMPUTED_VALUE"""),43780.6666666666)</f>
        <v>43780.666666666599</v>
      </c>
      <c r="B219" s="1">
        <f ca="1">IFERROR(__xludf.UNSUPPORTED("""COMPUTED_VALUE"""),308.35)</f>
        <v>308.35000000000002</v>
      </c>
      <c r="C219" s="2">
        <f t="shared" ca="1" si="0"/>
        <v>-1.909755939664579E-3</v>
      </c>
    </row>
    <row r="220" spans="1:3">
      <c r="A220" s="3">
        <f ca="1">IFERROR(__xludf.UNSUPPORTED("""COMPUTED_VALUE"""),43781.6666666666)</f>
        <v>43781.666666666599</v>
      </c>
      <c r="B220" s="1">
        <f ca="1">IFERROR(__xludf.UNSUPPORTED("""COMPUTED_VALUE"""),309)</f>
        <v>309</v>
      </c>
      <c r="C220" s="2">
        <f t="shared" ca="1" si="0"/>
        <v>2.1079941624776301E-3</v>
      </c>
    </row>
    <row r="221" spans="1:3">
      <c r="A221" s="3">
        <f ca="1">IFERROR(__xludf.UNSUPPORTED("""COMPUTED_VALUE"""),43782.6666666666)</f>
        <v>43782.666666666599</v>
      </c>
      <c r="B221" s="1">
        <f ca="1">IFERROR(__xludf.UNSUPPORTED("""COMPUTED_VALUE"""),309.1)</f>
        <v>309.10000000000002</v>
      </c>
      <c r="C221" s="2">
        <f t="shared" ca="1" si="0"/>
        <v>3.2362459546932923E-4</v>
      </c>
    </row>
    <row r="222" spans="1:3">
      <c r="A222" s="3">
        <f ca="1">IFERROR(__xludf.UNSUPPORTED("""COMPUTED_VALUE"""),43783.6666666666)</f>
        <v>43783.666666666599</v>
      </c>
      <c r="B222" s="1">
        <f ca="1">IFERROR(__xludf.UNSUPPORTED("""COMPUTED_VALUE"""),309.55)</f>
        <v>309.55</v>
      </c>
      <c r="C222" s="2">
        <f t="shared" ca="1" si="0"/>
        <v>1.4558395341313121E-3</v>
      </c>
    </row>
    <row r="223" spans="1:3">
      <c r="A223" s="3">
        <f ca="1">IFERROR(__xludf.UNSUPPORTED("""COMPUTED_VALUE"""),43784.6666666666)</f>
        <v>43784.666666666599</v>
      </c>
      <c r="B223" s="1">
        <f ca="1">IFERROR(__xludf.UNSUPPORTED("""COMPUTED_VALUE"""),311.79)</f>
        <v>311.79000000000002</v>
      </c>
      <c r="C223" s="2">
        <f t="shared" ca="1" si="0"/>
        <v>7.236310773703793E-3</v>
      </c>
    </row>
    <row r="224" spans="1:3">
      <c r="A224" s="3">
        <f ca="1">IFERROR(__xludf.UNSUPPORTED("""COMPUTED_VALUE"""),43787.6666666666)</f>
        <v>43787.666666666599</v>
      </c>
      <c r="B224" s="1">
        <f ca="1">IFERROR(__xludf.UNSUPPORTED("""COMPUTED_VALUE"""),312.02)</f>
        <v>312.02</v>
      </c>
      <c r="C224" s="2">
        <f t="shared" ca="1" si="0"/>
        <v>7.3767599987158454E-4</v>
      </c>
    </row>
    <row r="225" spans="1:3">
      <c r="A225" s="3">
        <f ca="1">IFERROR(__xludf.UNSUPPORTED("""COMPUTED_VALUE"""),43788.6666666666)</f>
        <v>43788.666666666599</v>
      </c>
      <c r="B225" s="1">
        <f ca="1">IFERROR(__xludf.UNSUPPORTED("""COMPUTED_VALUE"""),311.93)</f>
        <v>311.93</v>
      </c>
      <c r="C225" s="2">
        <f t="shared" ca="1" si="0"/>
        <v>-2.8844304852245048E-4</v>
      </c>
    </row>
    <row r="226" spans="1:3">
      <c r="A226" s="3">
        <f ca="1">IFERROR(__xludf.UNSUPPORTED("""COMPUTED_VALUE"""),43789.6666666666)</f>
        <v>43789.666666666599</v>
      </c>
      <c r="B226" s="1">
        <f ca="1">IFERROR(__xludf.UNSUPPORTED("""COMPUTED_VALUE"""),310.77)</f>
        <v>310.77</v>
      </c>
      <c r="C226" s="2">
        <f t="shared" ca="1" si="0"/>
        <v>-3.7187830603020709E-3</v>
      </c>
    </row>
    <row r="227" spans="1:3">
      <c r="A227" s="3">
        <f ca="1">IFERROR(__xludf.UNSUPPORTED("""COMPUTED_VALUE"""),43790.6666666666)</f>
        <v>43790.666666666599</v>
      </c>
      <c r="B227" s="1">
        <f ca="1">IFERROR(__xludf.UNSUPPORTED("""COMPUTED_VALUE"""),310.27)</f>
        <v>310.27</v>
      </c>
      <c r="C227" s="2">
        <f t="shared" ca="1" si="0"/>
        <v>-1.6089069086462659E-3</v>
      </c>
    </row>
    <row r="228" spans="1:3">
      <c r="A228" s="3">
        <f ca="1">IFERROR(__xludf.UNSUPPORTED("""COMPUTED_VALUE"""),43791.6666666666)</f>
        <v>43791.666666666599</v>
      </c>
      <c r="B228" s="1">
        <f ca="1">IFERROR(__xludf.UNSUPPORTED("""COMPUTED_VALUE"""),310.96)</f>
        <v>310.95999999999998</v>
      </c>
      <c r="C228" s="2">
        <f t="shared" ca="1" si="0"/>
        <v>2.223869532987391E-3</v>
      </c>
    </row>
    <row r="229" spans="1:3">
      <c r="A229" s="3">
        <f ca="1">IFERROR(__xludf.UNSUPPORTED("""COMPUTED_VALUE"""),43794.6666666666)</f>
        <v>43794.666666666599</v>
      </c>
      <c r="B229" s="1">
        <f ca="1">IFERROR(__xludf.UNSUPPORTED("""COMPUTED_VALUE"""),313.37)</f>
        <v>313.37</v>
      </c>
      <c r="C229" s="2">
        <f t="shared" ca="1" si="0"/>
        <v>7.7501929508619278E-3</v>
      </c>
    </row>
    <row r="230" spans="1:3">
      <c r="A230" s="3">
        <f ca="1">IFERROR(__xludf.UNSUPPORTED("""COMPUTED_VALUE"""),43795.6666666666)</f>
        <v>43795.666666666599</v>
      </c>
      <c r="B230" s="1">
        <f ca="1">IFERROR(__xludf.UNSUPPORTED("""COMPUTED_VALUE"""),314.08)</f>
        <v>314.08</v>
      </c>
      <c r="C230" s="2">
        <f t="shared" ca="1" si="0"/>
        <v>2.2656923126016513E-3</v>
      </c>
    </row>
    <row r="231" spans="1:3">
      <c r="A231" s="3">
        <f ca="1">IFERROR(__xludf.UNSUPPORTED("""COMPUTED_VALUE"""),43796.6666666666)</f>
        <v>43796.666666666599</v>
      </c>
      <c r="B231" s="1">
        <f ca="1">IFERROR(__xludf.UNSUPPORTED("""COMPUTED_VALUE"""),315.48)</f>
        <v>315.48</v>
      </c>
      <c r="C231" s="2">
        <f t="shared" ca="1" si="0"/>
        <v>4.4574630667346985E-3</v>
      </c>
    </row>
    <row r="232" spans="1:3">
      <c r="A232" s="3">
        <f ca="1">IFERROR(__xludf.UNSUPPORTED("""COMPUTED_VALUE"""),43798.5416666666)</f>
        <v>43798.541666666599</v>
      </c>
      <c r="B232" s="1">
        <f ca="1">IFERROR(__xludf.UNSUPPORTED("""COMPUTED_VALUE"""),314.31)</f>
        <v>314.31</v>
      </c>
      <c r="C232" s="2">
        <f t="shared" ca="1" si="0"/>
        <v>-3.7086344617725873E-3</v>
      </c>
    </row>
    <row r="233" spans="1:3">
      <c r="A233" s="3">
        <f ca="1">IFERROR(__xludf.UNSUPPORTED("""COMPUTED_VALUE"""),43801.6666666666)</f>
        <v>43801.666666666599</v>
      </c>
      <c r="B233" s="1">
        <f ca="1">IFERROR(__xludf.UNSUPPORTED("""COMPUTED_VALUE"""),311.64)</f>
        <v>311.64</v>
      </c>
      <c r="C233" s="2">
        <f t="shared" ca="1" si="0"/>
        <v>-8.4947981292355194E-3</v>
      </c>
    </row>
    <row r="234" spans="1:3">
      <c r="A234" s="3">
        <f ca="1">IFERROR(__xludf.UNSUPPORTED("""COMPUTED_VALUE"""),43802.6666666666)</f>
        <v>43802.666666666599</v>
      </c>
      <c r="B234" s="1">
        <f ca="1">IFERROR(__xludf.UNSUPPORTED("""COMPUTED_VALUE"""),309.55)</f>
        <v>309.55</v>
      </c>
      <c r="C234" s="2">
        <f t="shared" ca="1" si="0"/>
        <v>-6.7064561673725294E-3</v>
      </c>
    </row>
    <row r="235" spans="1:3">
      <c r="A235" s="3">
        <f ca="1">IFERROR(__xludf.UNSUPPORTED("""COMPUTED_VALUE"""),43803.6666666666)</f>
        <v>43803.666666666599</v>
      </c>
      <c r="B235" s="1">
        <f ca="1">IFERROR(__xludf.UNSUPPORTED("""COMPUTED_VALUE"""),311.46)</f>
        <v>311.45999999999998</v>
      </c>
      <c r="C235" s="2">
        <f t="shared" ca="1" si="0"/>
        <v>6.1702471329348023E-3</v>
      </c>
    </row>
    <row r="236" spans="1:3">
      <c r="A236" s="3">
        <f ca="1">IFERROR(__xludf.UNSUPPORTED("""COMPUTED_VALUE"""),43804.6666666666)</f>
        <v>43804.666666666599</v>
      </c>
      <c r="B236" s="1">
        <f ca="1">IFERROR(__xludf.UNSUPPORTED("""COMPUTED_VALUE"""),312.02)</f>
        <v>312.02</v>
      </c>
      <c r="C236" s="2">
        <f t="shared" ca="1" si="0"/>
        <v>1.7979836897193935E-3</v>
      </c>
    </row>
    <row r="237" spans="1:3">
      <c r="A237" s="3">
        <f ca="1">IFERROR(__xludf.UNSUPPORTED("""COMPUTED_VALUE"""),43805.6666666666)</f>
        <v>43805.666666666599</v>
      </c>
      <c r="B237" s="1">
        <f ca="1">IFERROR(__xludf.UNSUPPORTED("""COMPUTED_VALUE"""),314.87)</f>
        <v>314.87</v>
      </c>
      <c r="C237" s="2">
        <f t="shared" ca="1" si="0"/>
        <v>9.1340298698802096E-3</v>
      </c>
    </row>
    <row r="238" spans="1:3">
      <c r="A238" s="3">
        <f ca="1">IFERROR(__xludf.UNSUPPORTED("""COMPUTED_VALUE"""),43808.6666666666)</f>
        <v>43808.666666666599</v>
      </c>
      <c r="B238" s="1">
        <f ca="1">IFERROR(__xludf.UNSUPPORTED("""COMPUTED_VALUE"""),313.88)</f>
        <v>313.88</v>
      </c>
      <c r="C238" s="2">
        <f t="shared" ca="1" si="0"/>
        <v>-3.1441547305237371E-3</v>
      </c>
    </row>
    <row r="239" spans="1:3">
      <c r="A239" s="3">
        <f ca="1">IFERROR(__xludf.UNSUPPORTED("""COMPUTED_VALUE"""),43809.6666666666)</f>
        <v>43809.666666666599</v>
      </c>
      <c r="B239" s="1">
        <f ca="1">IFERROR(__xludf.UNSUPPORTED("""COMPUTED_VALUE"""),313.53)</f>
        <v>313.52999999999997</v>
      </c>
      <c r="C239" s="2">
        <f t="shared" ca="1" si="0"/>
        <v>-1.1150758251561831E-3</v>
      </c>
    </row>
    <row r="240" spans="1:3">
      <c r="A240" s="3">
        <f ca="1">IFERROR(__xludf.UNSUPPORTED("""COMPUTED_VALUE"""),43810.6666666666)</f>
        <v>43810.666666666599</v>
      </c>
      <c r="B240" s="1">
        <f ca="1">IFERROR(__xludf.UNSUPPORTED("""COMPUTED_VALUE"""),314.42)</f>
        <v>314.42</v>
      </c>
      <c r="C240" s="2">
        <f t="shared" ca="1" si="0"/>
        <v>2.8386438299366672E-3</v>
      </c>
    </row>
    <row r="241" spans="1:3">
      <c r="A241" s="3">
        <f ca="1">IFERROR(__xludf.UNSUPPORTED("""COMPUTED_VALUE"""),43811.6666666666)</f>
        <v>43811.666666666599</v>
      </c>
      <c r="B241" s="1">
        <f ca="1">IFERROR(__xludf.UNSUPPORTED("""COMPUTED_VALUE"""),317.13)</f>
        <v>317.13</v>
      </c>
      <c r="C241" s="2">
        <f t="shared" ca="1" si="0"/>
        <v>8.6190445900387359E-3</v>
      </c>
    </row>
    <row r="242" spans="1:3">
      <c r="A242" s="3">
        <f ca="1">IFERROR(__xludf.UNSUPPORTED("""COMPUTED_VALUE"""),43812.6666666666)</f>
        <v>43812.666666666599</v>
      </c>
      <c r="B242" s="1">
        <f ca="1">IFERROR(__xludf.UNSUPPORTED("""COMPUTED_VALUE"""),317.32)</f>
        <v>317.32</v>
      </c>
      <c r="C242" s="2">
        <f t="shared" ca="1" si="0"/>
        <v>5.9912338788508724E-4</v>
      </c>
    </row>
    <row r="243" spans="1:3">
      <c r="A243" s="3">
        <f ca="1">IFERROR(__xludf.UNSUPPORTED("""COMPUTED_VALUE"""),43815.6666666666)</f>
        <v>43815.666666666599</v>
      </c>
      <c r="B243" s="1">
        <f ca="1">IFERROR(__xludf.UNSUPPORTED("""COMPUTED_VALUE"""),319.5)</f>
        <v>319.5</v>
      </c>
      <c r="C243" s="2">
        <f t="shared" ca="1" si="0"/>
        <v>6.8700365561578432E-3</v>
      </c>
    </row>
    <row r="244" spans="1:3">
      <c r="A244" s="3">
        <f ca="1">IFERROR(__xludf.UNSUPPORTED("""COMPUTED_VALUE"""),43816.6666666666)</f>
        <v>43816.666666666599</v>
      </c>
      <c r="B244" s="1">
        <f ca="1">IFERROR(__xludf.UNSUPPORTED("""COMPUTED_VALUE"""),319.57)</f>
        <v>319.57</v>
      </c>
      <c r="C244" s="2">
        <f t="shared" ca="1" si="0"/>
        <v>2.1909233176836676E-4</v>
      </c>
    </row>
    <row r="245" spans="1:3">
      <c r="A245" s="3">
        <f ca="1">IFERROR(__xludf.UNSUPPORTED("""COMPUTED_VALUE"""),43817.6666666666)</f>
        <v>43817.666666666599</v>
      </c>
      <c r="B245" s="1">
        <f ca="1">IFERROR(__xludf.UNSUPPORTED("""COMPUTED_VALUE"""),319.59)</f>
        <v>319.58999999999997</v>
      </c>
      <c r="C245" s="2">
        <f t="shared" ca="1" si="0"/>
        <v>6.2584097380798611E-5</v>
      </c>
    </row>
    <row r="246" spans="1:3">
      <c r="A246" s="3">
        <f ca="1">IFERROR(__xludf.UNSUPPORTED("""COMPUTED_VALUE"""),43818.6666666666)</f>
        <v>43818.666666666599</v>
      </c>
      <c r="B246" s="1">
        <f ca="1">IFERROR(__xludf.UNSUPPORTED("""COMPUTED_VALUE"""),320.9)</f>
        <v>320.89999999999998</v>
      </c>
      <c r="C246" s="2">
        <f t="shared" ca="1" si="0"/>
        <v>4.0990018461153424E-3</v>
      </c>
    </row>
    <row r="247" spans="1:3">
      <c r="A247" s="3">
        <f ca="1">IFERROR(__xludf.UNSUPPORTED("""COMPUTED_VALUE"""),43819.6666666666)</f>
        <v>43819.666666666599</v>
      </c>
      <c r="B247" s="1">
        <f ca="1">IFERROR(__xludf.UNSUPPORTED("""COMPUTED_VALUE"""),320.73)</f>
        <v>320.73</v>
      </c>
      <c r="C247" s="2">
        <f t="shared" ca="1" si="0"/>
        <v>-5.2976004985964191E-4</v>
      </c>
    </row>
    <row r="248" spans="1:3">
      <c r="A248" s="3">
        <f ca="1">IFERROR(__xludf.UNSUPPORTED("""COMPUTED_VALUE"""),43822.6666666666)</f>
        <v>43822.666666666599</v>
      </c>
      <c r="B248" s="1">
        <f ca="1">IFERROR(__xludf.UNSUPPORTED("""COMPUTED_VALUE"""),321.22)</f>
        <v>321.22000000000003</v>
      </c>
      <c r="C248" s="2">
        <f t="shared" ca="1" si="0"/>
        <v>1.5277647865806411E-3</v>
      </c>
    </row>
    <row r="249" spans="1:3">
      <c r="A249" s="3">
        <f ca="1">IFERROR(__xludf.UNSUPPORTED("""COMPUTED_VALUE"""),43823.5416666666)</f>
        <v>43823.541666666599</v>
      </c>
      <c r="B249" s="1">
        <f ca="1">IFERROR(__xludf.UNSUPPORTED("""COMPUTED_VALUE"""),321.23)</f>
        <v>321.23</v>
      </c>
      <c r="C249" s="2">
        <f t="shared" ca="1" si="0"/>
        <v>3.1131311873454034E-5</v>
      </c>
    </row>
    <row r="250" spans="1:3">
      <c r="A250" s="3">
        <f ca="1">IFERROR(__xludf.UNSUPPORTED("""COMPUTED_VALUE"""),43825.6666666666)</f>
        <v>43825.666666666599</v>
      </c>
      <c r="B250" s="1">
        <f ca="1">IFERROR(__xludf.UNSUPPORTED("""COMPUTED_VALUE"""),322.94)</f>
        <v>322.94</v>
      </c>
      <c r="C250" s="2">
        <f t="shared" ca="1" si="0"/>
        <v>5.323288609407526E-3</v>
      </c>
    </row>
    <row r="251" spans="1:3">
      <c r="A251" s="3">
        <f ca="1">IFERROR(__xludf.UNSUPPORTED("""COMPUTED_VALUE"""),43826.6666666666)</f>
        <v>43826.666666666599</v>
      </c>
      <c r="B251" s="1">
        <f ca="1">IFERROR(__xludf.UNSUPPORTED("""COMPUTED_VALUE"""),322.86)</f>
        <v>322.86</v>
      </c>
      <c r="C251" s="2">
        <f t="shared" ca="1" si="0"/>
        <v>-2.4772403542448778E-4</v>
      </c>
    </row>
    <row r="252" spans="1:3">
      <c r="A252" s="3">
        <f ca="1">IFERROR(__xludf.UNSUPPORTED("""COMPUTED_VALUE"""),43829.6666666666)</f>
        <v>43829.666666666599</v>
      </c>
      <c r="B252" s="1">
        <f ca="1">IFERROR(__xludf.UNSUPPORTED("""COMPUTED_VALUE"""),321.08)</f>
        <v>321.08</v>
      </c>
      <c r="C252" s="2">
        <f t="shared" ca="1" si="0"/>
        <v>-5.5132255466766693E-3</v>
      </c>
    </row>
    <row r="253" spans="1:3">
      <c r="A253" s="3">
        <f ca="1">IFERROR(__xludf.UNSUPPORTED("""COMPUTED_VALUE"""),43830.6666666666)</f>
        <v>43830.666666666599</v>
      </c>
      <c r="B253" s="1">
        <f ca="1">IFERROR(__xludf.UNSUPPORTED("""COMPUTED_VALUE"""),321.86)</f>
        <v>321.86</v>
      </c>
      <c r="C253" s="2">
        <f t="shared" ca="1" si="0"/>
        <v>2.4293011087580343E-3</v>
      </c>
    </row>
    <row r="254" spans="1:3">
      <c r="A254" s="3">
        <f ca="1">IFERROR(__xludf.UNSUPPORTED("""COMPUTED_VALUE"""),43832.6666666666)</f>
        <v>43832.666666666599</v>
      </c>
      <c r="B254" s="1">
        <f ca="1">IFERROR(__xludf.UNSUPPORTED("""COMPUTED_VALUE"""),324.87)</f>
        <v>324.87</v>
      </c>
      <c r="C254" s="2">
        <f t="shared" ca="1" si="0"/>
        <v>9.3518921270117159E-3</v>
      </c>
    </row>
    <row r="255" spans="1:3">
      <c r="A255" s="3">
        <f ca="1">IFERROR(__xludf.UNSUPPORTED("""COMPUTED_VALUE"""),43833.6666666666)</f>
        <v>43833.666666666599</v>
      </c>
      <c r="B255" s="1">
        <f ca="1">IFERROR(__xludf.UNSUPPORTED("""COMPUTED_VALUE"""),322.41)</f>
        <v>322.41000000000003</v>
      </c>
      <c r="C255" s="2">
        <f t="shared" ca="1" si="0"/>
        <v>-7.572259673099946E-3</v>
      </c>
    </row>
    <row r="256" spans="1:3">
      <c r="A256" s="3">
        <f ca="1">IFERROR(__xludf.UNSUPPORTED("""COMPUTED_VALUE"""),43836.6666666666)</f>
        <v>43836.666666666599</v>
      </c>
      <c r="B256" s="1">
        <f ca="1">IFERROR(__xludf.UNSUPPORTED("""COMPUTED_VALUE"""),323.64)</f>
        <v>323.64</v>
      </c>
      <c r="C256" s="2">
        <f t="shared" ca="1" si="0"/>
        <v>3.8150181445983722E-3</v>
      </c>
    </row>
    <row r="257" spans="1:3">
      <c r="A257" s="3">
        <f ca="1">IFERROR(__xludf.UNSUPPORTED("""COMPUTED_VALUE"""),43837.6666666666)</f>
        <v>43837.666666666599</v>
      </c>
      <c r="B257" s="1">
        <f ca="1">IFERROR(__xludf.UNSUPPORTED("""COMPUTED_VALUE"""),322.73)</f>
        <v>322.73</v>
      </c>
      <c r="C257" s="2">
        <f t="shared" ca="1" si="0"/>
        <v>-2.8117661599306892E-3</v>
      </c>
    </row>
    <row r="258" spans="1:3">
      <c r="A258" s="3">
        <f ca="1">IFERROR(__xludf.UNSUPPORTED("""COMPUTED_VALUE"""),43838.6666666666)</f>
        <v>43838.666666666599</v>
      </c>
      <c r="B258" s="1">
        <f ca="1">IFERROR(__xludf.UNSUPPORTED("""COMPUTED_VALUE"""),324.45)</f>
        <v>324.45</v>
      </c>
      <c r="C258" s="2">
        <f t="shared" ref="C258:C512" ca="1" si="1">(B258-B257)/B257</f>
        <v>5.3295324264864448E-3</v>
      </c>
    </row>
    <row r="259" spans="1:3">
      <c r="A259" s="3">
        <f ca="1">IFERROR(__xludf.UNSUPPORTED("""COMPUTED_VALUE"""),43839.6666666666)</f>
        <v>43839.666666666599</v>
      </c>
      <c r="B259" s="1">
        <f ca="1">IFERROR(__xludf.UNSUPPORTED("""COMPUTED_VALUE"""),326.65)</f>
        <v>326.64999999999998</v>
      </c>
      <c r="C259" s="2">
        <f t="shared" ca="1" si="1"/>
        <v>6.7807058098319885E-3</v>
      </c>
    </row>
    <row r="260" spans="1:3">
      <c r="A260" s="3">
        <f ca="1">IFERROR(__xludf.UNSUPPORTED("""COMPUTED_VALUE"""),43840.6666666666)</f>
        <v>43840.666666666599</v>
      </c>
      <c r="B260" s="1">
        <f ca="1">IFERROR(__xludf.UNSUPPORTED("""COMPUTED_VALUE"""),325.71)</f>
        <v>325.70999999999998</v>
      </c>
      <c r="C260" s="2">
        <f t="shared" ca="1" si="1"/>
        <v>-2.8776978417266118E-3</v>
      </c>
    </row>
    <row r="261" spans="1:3">
      <c r="A261" s="3">
        <f ca="1">IFERROR(__xludf.UNSUPPORTED("""COMPUTED_VALUE"""),43843.6666666666)</f>
        <v>43843.666666666599</v>
      </c>
      <c r="B261" s="1">
        <f ca="1">IFERROR(__xludf.UNSUPPORTED("""COMPUTED_VALUE"""),327.95)</f>
        <v>327.95</v>
      </c>
      <c r="C261" s="2">
        <f t="shared" ca="1" si="1"/>
        <v>6.8772834730281823E-3</v>
      </c>
    </row>
    <row r="262" spans="1:3">
      <c r="A262" s="3">
        <f ca="1">IFERROR(__xludf.UNSUPPORTED("""COMPUTED_VALUE"""),43844.6666666666)</f>
        <v>43844.666666666599</v>
      </c>
      <c r="B262" s="1">
        <f ca="1">IFERROR(__xludf.UNSUPPORTED("""COMPUTED_VALUE"""),327.45)</f>
        <v>327.45</v>
      </c>
      <c r="C262" s="2">
        <f t="shared" ca="1" si="1"/>
        <v>-1.5246226558926666E-3</v>
      </c>
    </row>
    <row r="263" spans="1:3">
      <c r="A263" s="3">
        <f ca="1">IFERROR(__xludf.UNSUPPORTED("""COMPUTED_VALUE"""),43845.6666666666)</f>
        <v>43845.666666666599</v>
      </c>
      <c r="B263" s="1">
        <f ca="1">IFERROR(__xludf.UNSUPPORTED("""COMPUTED_VALUE"""),328.19)</f>
        <v>328.19</v>
      </c>
      <c r="C263" s="2">
        <f t="shared" ca="1" si="1"/>
        <v>2.2598870056497453E-3</v>
      </c>
    </row>
    <row r="264" spans="1:3">
      <c r="A264" s="3">
        <f ca="1">IFERROR(__xludf.UNSUPPORTED("""COMPUTED_VALUE"""),43846.6666666666)</f>
        <v>43846.666666666599</v>
      </c>
      <c r="B264" s="1">
        <f ca="1">IFERROR(__xludf.UNSUPPORTED("""COMPUTED_VALUE"""),330.92)</f>
        <v>330.92</v>
      </c>
      <c r="C264" s="2">
        <f t="shared" ca="1" si="1"/>
        <v>8.3183521740455776E-3</v>
      </c>
    </row>
    <row r="265" spans="1:3">
      <c r="A265" s="3">
        <f ca="1">IFERROR(__xludf.UNSUPPORTED("""COMPUTED_VALUE"""),43847.6666666666)</f>
        <v>43847.666666666599</v>
      </c>
      <c r="B265" s="1">
        <f ca="1">IFERROR(__xludf.UNSUPPORTED("""COMPUTED_VALUE"""),331.95)</f>
        <v>331.95</v>
      </c>
      <c r="C265" s="2">
        <f t="shared" ca="1" si="1"/>
        <v>3.1125347516015129E-3</v>
      </c>
    </row>
    <row r="266" spans="1:3">
      <c r="A266" s="3">
        <f ca="1">IFERROR(__xludf.UNSUPPORTED("""COMPUTED_VALUE"""),43851.6666666666)</f>
        <v>43851.666666666599</v>
      </c>
      <c r="B266" s="1">
        <f ca="1">IFERROR(__xludf.UNSUPPORTED("""COMPUTED_VALUE"""),331.3)</f>
        <v>331.3</v>
      </c>
      <c r="C266" s="2">
        <f t="shared" ca="1" si="1"/>
        <v>-1.9581262238288215E-3</v>
      </c>
    </row>
    <row r="267" spans="1:3">
      <c r="A267" s="3">
        <f ca="1">IFERROR(__xludf.UNSUPPORTED("""COMPUTED_VALUE"""),43852.6666666666)</f>
        <v>43852.666666666599</v>
      </c>
      <c r="B267" s="1">
        <f ca="1">IFERROR(__xludf.UNSUPPORTED("""COMPUTED_VALUE"""),331.34)</f>
        <v>331.34</v>
      </c>
      <c r="C267" s="2">
        <f t="shared" ca="1" si="1"/>
        <v>1.2073649260478001E-4</v>
      </c>
    </row>
    <row r="268" spans="1:3">
      <c r="A268" s="3">
        <f ca="1">IFERROR(__xludf.UNSUPPORTED("""COMPUTED_VALUE"""),43853.6666666666)</f>
        <v>43853.666666666599</v>
      </c>
      <c r="B268" s="1">
        <f ca="1">IFERROR(__xludf.UNSUPPORTED("""COMPUTED_VALUE"""),331.72)</f>
        <v>331.72</v>
      </c>
      <c r="C268" s="2">
        <f t="shared" ca="1" si="1"/>
        <v>1.1468582121085661E-3</v>
      </c>
    </row>
    <row r="269" spans="1:3">
      <c r="A269" s="3">
        <f ca="1">IFERROR(__xludf.UNSUPPORTED("""COMPUTED_VALUE"""),43854.6666666666)</f>
        <v>43854.666666666599</v>
      </c>
      <c r="B269" s="1">
        <f ca="1">IFERROR(__xludf.UNSUPPORTED("""COMPUTED_VALUE"""),328.77)</f>
        <v>328.77</v>
      </c>
      <c r="C269" s="2">
        <f t="shared" ca="1" si="1"/>
        <v>-8.8930423248524213E-3</v>
      </c>
    </row>
    <row r="270" spans="1:3">
      <c r="A270" s="3">
        <f ca="1">IFERROR(__xludf.UNSUPPORTED("""COMPUTED_VALUE"""),43857.6666666666)</f>
        <v>43857.666666666599</v>
      </c>
      <c r="B270" s="1">
        <f ca="1">IFERROR(__xludf.UNSUPPORTED("""COMPUTED_VALUE"""),323.5)</f>
        <v>323.5</v>
      </c>
      <c r="C270" s="2">
        <f t="shared" ca="1" si="1"/>
        <v>-1.6029443075706366E-2</v>
      </c>
    </row>
    <row r="271" spans="1:3">
      <c r="A271" s="3">
        <f ca="1">IFERROR(__xludf.UNSUPPORTED("""COMPUTED_VALUE"""),43858.6666666666)</f>
        <v>43858.666666666599</v>
      </c>
      <c r="B271" s="1">
        <f ca="1">IFERROR(__xludf.UNSUPPORTED("""COMPUTED_VALUE"""),326.89)</f>
        <v>326.89</v>
      </c>
      <c r="C271" s="2">
        <f t="shared" ca="1" si="1"/>
        <v>1.0479134466769664E-2</v>
      </c>
    </row>
    <row r="272" spans="1:3">
      <c r="A272" s="3">
        <f ca="1">IFERROR(__xludf.UNSUPPORTED("""COMPUTED_VALUE"""),43859.6666666666)</f>
        <v>43859.666666666599</v>
      </c>
      <c r="B272" s="1">
        <f ca="1">IFERROR(__xludf.UNSUPPORTED("""COMPUTED_VALUE"""),326.62)</f>
        <v>326.62</v>
      </c>
      <c r="C272" s="2">
        <f t="shared" ca="1" si="1"/>
        <v>-8.2596592125785994E-4</v>
      </c>
    </row>
    <row r="273" spans="1:3">
      <c r="A273" s="3">
        <f ca="1">IFERROR(__xludf.UNSUPPORTED("""COMPUTED_VALUE"""),43860.6666666666)</f>
        <v>43860.666666666599</v>
      </c>
      <c r="B273" s="1">
        <f ca="1">IFERROR(__xludf.UNSUPPORTED("""COMPUTED_VALUE"""),327.68)</f>
        <v>327.68</v>
      </c>
      <c r="C273" s="2">
        <f t="shared" ca="1" si="1"/>
        <v>3.2453615822668615E-3</v>
      </c>
    </row>
    <row r="274" spans="1:3">
      <c r="A274" s="3">
        <f ca="1">IFERROR(__xludf.UNSUPPORTED("""COMPUTED_VALUE"""),43861.6666666666)</f>
        <v>43861.666666666599</v>
      </c>
      <c r="B274" s="1">
        <f ca="1">IFERROR(__xludf.UNSUPPORTED("""COMPUTED_VALUE"""),321.73)</f>
        <v>321.73</v>
      </c>
      <c r="C274" s="2">
        <f t="shared" ca="1" si="1"/>
        <v>-1.8157958984374965E-2</v>
      </c>
    </row>
    <row r="275" spans="1:3">
      <c r="A275" s="3">
        <f ca="1">IFERROR(__xludf.UNSUPPORTED("""COMPUTED_VALUE"""),43864.6666666666)</f>
        <v>43864.666666666599</v>
      </c>
      <c r="B275" s="1">
        <f ca="1">IFERROR(__xludf.UNSUPPORTED("""COMPUTED_VALUE"""),324.12)</f>
        <v>324.12</v>
      </c>
      <c r="C275" s="2">
        <f t="shared" ca="1" si="1"/>
        <v>7.428589189693178E-3</v>
      </c>
    </row>
    <row r="276" spans="1:3">
      <c r="A276" s="3">
        <f ca="1">IFERROR(__xludf.UNSUPPORTED("""COMPUTED_VALUE"""),43865.6666666666)</f>
        <v>43865.666666666599</v>
      </c>
      <c r="B276" s="1">
        <f ca="1">IFERROR(__xludf.UNSUPPORTED("""COMPUTED_VALUE"""),329.06)</f>
        <v>329.06</v>
      </c>
      <c r="C276" s="2">
        <f t="shared" ca="1" si="1"/>
        <v>1.5241268665926193E-2</v>
      </c>
    </row>
    <row r="277" spans="1:3">
      <c r="A277" s="3">
        <f ca="1">IFERROR(__xludf.UNSUPPORTED("""COMPUTED_VALUE"""),43866.6666666666)</f>
        <v>43866.666666666599</v>
      </c>
      <c r="B277" s="1">
        <f ca="1">IFERROR(__xludf.UNSUPPORTED("""COMPUTED_VALUE"""),332.86)</f>
        <v>332.86</v>
      </c>
      <c r="C277" s="2">
        <f t="shared" ca="1" si="1"/>
        <v>1.1548045949067075E-2</v>
      </c>
    </row>
    <row r="278" spans="1:3">
      <c r="A278" s="3">
        <f ca="1">IFERROR(__xludf.UNSUPPORTED("""COMPUTED_VALUE"""),43867.6666666666)</f>
        <v>43867.666666666599</v>
      </c>
      <c r="B278" s="1">
        <f ca="1">IFERROR(__xludf.UNSUPPORTED("""COMPUTED_VALUE"""),333.98)</f>
        <v>333.98</v>
      </c>
      <c r="C278" s="2">
        <f t="shared" ca="1" si="1"/>
        <v>3.3647779847383419E-3</v>
      </c>
    </row>
    <row r="279" spans="1:3">
      <c r="A279" s="3">
        <f ca="1">IFERROR(__xludf.UNSUPPORTED("""COMPUTED_VALUE"""),43868.6666666666)</f>
        <v>43868.666666666599</v>
      </c>
      <c r="B279" s="1">
        <f ca="1">IFERROR(__xludf.UNSUPPORTED("""COMPUTED_VALUE"""),332.2)</f>
        <v>332.2</v>
      </c>
      <c r="C279" s="2">
        <f t="shared" ca="1" si="1"/>
        <v>-5.3296604587101904E-3</v>
      </c>
    </row>
    <row r="280" spans="1:3">
      <c r="A280" s="3">
        <f ca="1">IFERROR(__xludf.UNSUPPORTED("""COMPUTED_VALUE"""),43871.6666666666)</f>
        <v>43871.666666666599</v>
      </c>
      <c r="B280" s="1">
        <f ca="1">IFERROR(__xludf.UNSUPPORTED("""COMPUTED_VALUE"""),334.68)</f>
        <v>334.68</v>
      </c>
      <c r="C280" s="2">
        <f t="shared" ca="1" si="1"/>
        <v>7.4653822998194405E-3</v>
      </c>
    </row>
    <row r="281" spans="1:3">
      <c r="A281" s="3">
        <f ca="1">IFERROR(__xludf.UNSUPPORTED("""COMPUTED_VALUE"""),43872.6666666666)</f>
        <v>43872.666666666599</v>
      </c>
      <c r="B281" s="1">
        <f ca="1">IFERROR(__xludf.UNSUPPORTED("""COMPUTED_VALUE"""),335.26)</f>
        <v>335.26</v>
      </c>
      <c r="C281" s="2">
        <f t="shared" ca="1" si="1"/>
        <v>1.7329986853112946E-3</v>
      </c>
    </row>
    <row r="282" spans="1:3">
      <c r="A282" s="3">
        <f ca="1">IFERROR(__xludf.UNSUPPORTED("""COMPUTED_VALUE"""),43873.6666666666)</f>
        <v>43873.666666666599</v>
      </c>
      <c r="B282" s="1">
        <f ca="1">IFERROR(__xludf.UNSUPPORTED("""COMPUTED_VALUE"""),337.42)</f>
        <v>337.42</v>
      </c>
      <c r="C282" s="2">
        <f t="shared" ca="1" si="1"/>
        <v>6.4427608423313996E-3</v>
      </c>
    </row>
    <row r="283" spans="1:3">
      <c r="A283" s="3">
        <f ca="1">IFERROR(__xludf.UNSUPPORTED("""COMPUTED_VALUE"""),43874.6666666666)</f>
        <v>43874.666666666599</v>
      </c>
      <c r="B283" s="1">
        <f ca="1">IFERROR(__xludf.UNSUPPORTED("""COMPUTED_VALUE"""),337.06)</f>
        <v>337.06</v>
      </c>
      <c r="C283" s="2">
        <f t="shared" ca="1" si="1"/>
        <v>-1.0669195661194169E-3</v>
      </c>
    </row>
    <row r="284" spans="1:3">
      <c r="A284" s="3">
        <f ca="1">IFERROR(__xludf.UNSUPPORTED("""COMPUTED_VALUE"""),43875.6666666666)</f>
        <v>43875.666666666599</v>
      </c>
      <c r="B284" s="1">
        <f ca="1">IFERROR(__xludf.UNSUPPORTED("""COMPUTED_VALUE"""),337.6)</f>
        <v>337.6</v>
      </c>
      <c r="C284" s="2">
        <f t="shared" ca="1" si="1"/>
        <v>1.6020886489053001E-3</v>
      </c>
    </row>
    <row r="285" spans="1:3">
      <c r="A285" s="3">
        <f ca="1">IFERROR(__xludf.UNSUPPORTED("""COMPUTED_VALUE"""),43879.6666666666)</f>
        <v>43879.666666666599</v>
      </c>
      <c r="B285" s="1">
        <f ca="1">IFERROR(__xludf.UNSUPPORTED("""COMPUTED_VALUE"""),336.73)</f>
        <v>336.73</v>
      </c>
      <c r="C285" s="2">
        <f t="shared" ca="1" si="1"/>
        <v>-2.5770142180094918E-3</v>
      </c>
    </row>
    <row r="286" spans="1:3">
      <c r="A286" s="3">
        <f ca="1">IFERROR(__xludf.UNSUPPORTED("""COMPUTED_VALUE"""),43880.6666666666)</f>
        <v>43880.666666666599</v>
      </c>
      <c r="B286" s="1">
        <f ca="1">IFERROR(__xludf.UNSUPPORTED("""COMPUTED_VALUE"""),338.34)</f>
        <v>338.34</v>
      </c>
      <c r="C286" s="2">
        <f t="shared" ca="1" si="1"/>
        <v>4.7812787693402928E-3</v>
      </c>
    </row>
    <row r="287" spans="1:3">
      <c r="A287" s="3">
        <f ca="1">IFERROR(__xludf.UNSUPPORTED("""COMPUTED_VALUE"""),43881.6666666666)</f>
        <v>43881.666666666599</v>
      </c>
      <c r="B287" s="1">
        <f ca="1">IFERROR(__xludf.UNSUPPORTED("""COMPUTED_VALUE"""),336.95)</f>
        <v>336.95</v>
      </c>
      <c r="C287" s="2">
        <f t="shared" ca="1" si="1"/>
        <v>-4.108293432641681E-3</v>
      </c>
    </row>
    <row r="288" spans="1:3">
      <c r="A288" s="3">
        <f ca="1">IFERROR(__xludf.UNSUPPORTED("""COMPUTED_VALUE"""),43882.6666666666)</f>
        <v>43882.666666666599</v>
      </c>
      <c r="B288" s="1">
        <f ca="1">IFERROR(__xludf.UNSUPPORTED("""COMPUTED_VALUE"""),333.48)</f>
        <v>333.48</v>
      </c>
      <c r="C288" s="2">
        <f t="shared" ca="1" si="1"/>
        <v>-1.0298263837364506E-2</v>
      </c>
    </row>
    <row r="289" spans="1:3">
      <c r="A289" s="3">
        <f ca="1">IFERROR(__xludf.UNSUPPORTED("""COMPUTED_VALUE"""),43885.6666666666)</f>
        <v>43885.666666666599</v>
      </c>
      <c r="B289" s="1">
        <f ca="1">IFERROR(__xludf.UNSUPPORTED("""COMPUTED_VALUE"""),322.42)</f>
        <v>322.42</v>
      </c>
      <c r="C289" s="2">
        <f t="shared" ca="1" si="1"/>
        <v>-3.316540722082284E-2</v>
      </c>
    </row>
    <row r="290" spans="1:3">
      <c r="A290" s="3">
        <f ca="1">IFERROR(__xludf.UNSUPPORTED("""COMPUTED_VALUE"""),43886.6666666666)</f>
        <v>43886.666666666599</v>
      </c>
      <c r="B290" s="1">
        <f ca="1">IFERROR(__xludf.UNSUPPORTED("""COMPUTED_VALUE"""),312.65)</f>
        <v>312.64999999999998</v>
      </c>
      <c r="C290" s="2">
        <f t="shared" ca="1" si="1"/>
        <v>-3.0302090441039757E-2</v>
      </c>
    </row>
    <row r="291" spans="1:3">
      <c r="A291" s="3">
        <f ca="1">IFERROR(__xludf.UNSUPPORTED("""COMPUTED_VALUE"""),43887.6666666666)</f>
        <v>43887.666666666599</v>
      </c>
      <c r="B291" s="1">
        <f ca="1">IFERROR(__xludf.UNSUPPORTED("""COMPUTED_VALUE"""),311.5)</f>
        <v>311.5</v>
      </c>
      <c r="C291" s="2">
        <f t="shared" ca="1" si="1"/>
        <v>-3.6782344474651442E-3</v>
      </c>
    </row>
    <row r="292" spans="1:3">
      <c r="A292" s="3">
        <f ca="1">IFERROR(__xludf.UNSUPPORTED("""COMPUTED_VALUE"""),43888.6666666666)</f>
        <v>43888.666666666599</v>
      </c>
      <c r="B292" s="1">
        <f ca="1">IFERROR(__xludf.UNSUPPORTED("""COMPUTED_VALUE"""),297.51)</f>
        <v>297.51</v>
      </c>
      <c r="C292" s="2">
        <f t="shared" ca="1" si="1"/>
        <v>-4.4911717495987186E-2</v>
      </c>
    </row>
    <row r="293" spans="1:3">
      <c r="A293" s="3">
        <f ca="1">IFERROR(__xludf.UNSUPPORTED("""COMPUTED_VALUE"""),43889.6666666666)</f>
        <v>43889.666666666599</v>
      </c>
      <c r="B293" s="1">
        <f ca="1">IFERROR(__xludf.UNSUPPORTED("""COMPUTED_VALUE"""),296.26)</f>
        <v>296.26</v>
      </c>
      <c r="C293" s="2">
        <f t="shared" ca="1" si="1"/>
        <v>-4.2015394440523008E-3</v>
      </c>
    </row>
    <row r="294" spans="1:3">
      <c r="A294" s="3">
        <f ca="1">IFERROR(__xludf.UNSUPPORTED("""COMPUTED_VALUE"""),43892.6666666666)</f>
        <v>43892.666666666599</v>
      </c>
      <c r="B294" s="1">
        <f ca="1">IFERROR(__xludf.UNSUPPORTED("""COMPUTED_VALUE"""),309.09)</f>
        <v>309.08999999999997</v>
      </c>
      <c r="C294" s="2">
        <f t="shared" ca="1" si="1"/>
        <v>4.3306555052993939E-2</v>
      </c>
    </row>
    <row r="295" spans="1:3">
      <c r="A295" s="3">
        <f ca="1">IFERROR(__xludf.UNSUPPORTED("""COMPUTED_VALUE"""),43893.6666666666)</f>
        <v>43893.666666666599</v>
      </c>
      <c r="B295" s="1">
        <f ca="1">IFERROR(__xludf.UNSUPPORTED("""COMPUTED_VALUE"""),300.24)</f>
        <v>300.24</v>
      </c>
      <c r="C295" s="2">
        <f t="shared" ca="1" si="1"/>
        <v>-2.8632437154226816E-2</v>
      </c>
    </row>
    <row r="296" spans="1:3">
      <c r="A296" s="3">
        <f ca="1">IFERROR(__xludf.UNSUPPORTED("""COMPUTED_VALUE"""),43894.6666666666)</f>
        <v>43894.666666666599</v>
      </c>
      <c r="B296" s="1">
        <f ca="1">IFERROR(__xludf.UNSUPPORTED("""COMPUTED_VALUE"""),312.86)</f>
        <v>312.86</v>
      </c>
      <c r="C296" s="2">
        <f t="shared" ca="1" si="1"/>
        <v>4.2033040234479097E-2</v>
      </c>
    </row>
    <row r="297" spans="1:3">
      <c r="A297" s="3">
        <f ca="1">IFERROR(__xludf.UNSUPPORTED("""COMPUTED_VALUE"""),43895.6666666666)</f>
        <v>43895.666666666599</v>
      </c>
      <c r="B297" s="1">
        <f ca="1">IFERROR(__xludf.UNSUPPORTED("""COMPUTED_VALUE"""),302.46)</f>
        <v>302.45999999999998</v>
      </c>
      <c r="C297" s="2">
        <f t="shared" ca="1" si="1"/>
        <v>-3.3241705555200514E-2</v>
      </c>
    </row>
    <row r="298" spans="1:3">
      <c r="A298" s="3">
        <f ca="1">IFERROR(__xludf.UNSUPPORTED("""COMPUTED_VALUE"""),43896.6666666666)</f>
        <v>43896.666666666599</v>
      </c>
      <c r="B298" s="1">
        <f ca="1">IFERROR(__xludf.UNSUPPORTED("""COMPUTED_VALUE"""),297.46)</f>
        <v>297.45999999999998</v>
      </c>
      <c r="C298" s="2">
        <f t="shared" ca="1" si="1"/>
        <v>-1.6531111551940755E-2</v>
      </c>
    </row>
    <row r="299" spans="1:3">
      <c r="A299" s="3">
        <f ca="1">IFERROR(__xludf.UNSUPPORTED("""COMPUTED_VALUE"""),43899.6666666666)</f>
        <v>43899.666666666599</v>
      </c>
      <c r="B299" s="1">
        <f ca="1">IFERROR(__xludf.UNSUPPORTED("""COMPUTED_VALUE"""),274.23)</f>
        <v>274.23</v>
      </c>
      <c r="C299" s="2">
        <f t="shared" ca="1" si="1"/>
        <v>-7.8094533718819206E-2</v>
      </c>
    </row>
    <row r="300" spans="1:3">
      <c r="A300" s="3">
        <f ca="1">IFERROR(__xludf.UNSUPPORTED("""COMPUTED_VALUE"""),43900.6666666666)</f>
        <v>43900.666666666599</v>
      </c>
      <c r="B300" s="1">
        <f ca="1">IFERROR(__xludf.UNSUPPORTED("""COMPUTED_VALUE"""),288.42)</f>
        <v>288.42</v>
      </c>
      <c r="C300" s="2">
        <f t="shared" ca="1" si="1"/>
        <v>5.1744885679903721E-2</v>
      </c>
    </row>
    <row r="301" spans="1:3">
      <c r="A301" s="3">
        <f ca="1">IFERROR(__xludf.UNSUPPORTED("""COMPUTED_VALUE"""),43901.6666666666)</f>
        <v>43901.666666666599</v>
      </c>
      <c r="B301" s="1">
        <f ca="1">IFERROR(__xludf.UNSUPPORTED("""COMPUTED_VALUE"""),274.36)</f>
        <v>274.36</v>
      </c>
      <c r="C301" s="2">
        <f t="shared" ca="1" si="1"/>
        <v>-4.8748353096179191E-2</v>
      </c>
    </row>
    <row r="302" spans="1:3">
      <c r="A302" s="3">
        <f ca="1">IFERROR(__xludf.UNSUPPORTED("""COMPUTED_VALUE"""),43902.6666666666)</f>
        <v>43902.666666666599</v>
      </c>
      <c r="B302" s="1">
        <f ca="1">IFERROR(__xludf.UNSUPPORTED("""COMPUTED_VALUE"""),248.11)</f>
        <v>248.11</v>
      </c>
      <c r="C302" s="2">
        <f t="shared" ca="1" si="1"/>
        <v>-9.5677212421635807E-2</v>
      </c>
    </row>
    <row r="303" spans="1:3">
      <c r="A303" s="3">
        <f ca="1">IFERROR(__xludf.UNSUPPORTED("""COMPUTED_VALUE"""),43903.6666666666)</f>
        <v>43903.666666666599</v>
      </c>
      <c r="B303" s="1">
        <f ca="1">IFERROR(__xludf.UNSUPPORTED("""COMPUTED_VALUE"""),269.32)</f>
        <v>269.32</v>
      </c>
      <c r="C303" s="2">
        <f t="shared" ca="1" si="1"/>
        <v>8.5486276248438103E-2</v>
      </c>
    </row>
    <row r="304" spans="1:3">
      <c r="A304" s="3">
        <f ca="1">IFERROR(__xludf.UNSUPPORTED("""COMPUTED_VALUE"""),43906.6666666666)</f>
        <v>43906.666666666599</v>
      </c>
      <c r="B304" s="1">
        <f ca="1">IFERROR(__xludf.UNSUPPORTED("""COMPUTED_VALUE"""),239.85)</f>
        <v>239.85</v>
      </c>
      <c r="C304" s="2">
        <f t="shared" ca="1" si="1"/>
        <v>-0.1094237338482103</v>
      </c>
    </row>
    <row r="305" spans="1:3">
      <c r="A305" s="3">
        <f ca="1">IFERROR(__xludf.UNSUPPORTED("""COMPUTED_VALUE"""),43907.6666666666)</f>
        <v>43907.666666666599</v>
      </c>
      <c r="B305" s="1">
        <f ca="1">IFERROR(__xludf.UNSUPPORTED("""COMPUTED_VALUE"""),252.8)</f>
        <v>252.8</v>
      </c>
      <c r="C305" s="2">
        <f t="shared" ca="1" si="1"/>
        <v>5.399207838232236E-2</v>
      </c>
    </row>
    <row r="306" spans="1:3">
      <c r="A306" s="3">
        <f ca="1">IFERROR(__xludf.UNSUPPORTED("""COMPUTED_VALUE"""),43908.6666666666)</f>
        <v>43908.666666666599</v>
      </c>
      <c r="B306" s="1">
        <f ca="1">IFERROR(__xludf.UNSUPPORTED("""COMPUTED_VALUE"""),240)</f>
        <v>240</v>
      </c>
      <c r="C306" s="2">
        <f t="shared" ca="1" si="1"/>
        <v>-5.0632911392405104E-2</v>
      </c>
    </row>
    <row r="307" spans="1:3">
      <c r="A307" s="3">
        <f ca="1">IFERROR(__xludf.UNSUPPORTED("""COMPUTED_VALUE"""),43909.6666666666)</f>
        <v>43909.666666666599</v>
      </c>
      <c r="B307" s="1">
        <f ca="1">IFERROR(__xludf.UNSUPPORTED("""COMPUTED_VALUE"""),240.51)</f>
        <v>240.51</v>
      </c>
      <c r="C307" s="2">
        <f t="shared" ca="1" si="1"/>
        <v>2.124999999999962E-3</v>
      </c>
    </row>
    <row r="308" spans="1:3">
      <c r="A308" s="3">
        <f ca="1">IFERROR(__xludf.UNSUPPORTED("""COMPUTED_VALUE"""),43910.6666666666)</f>
        <v>43910.666666666599</v>
      </c>
      <c r="B308" s="1">
        <f ca="1">IFERROR(__xludf.UNSUPPORTED("""COMPUTED_VALUE"""),228.8)</f>
        <v>228.8</v>
      </c>
      <c r="C308" s="2">
        <f t="shared" ca="1" si="1"/>
        <v>-4.8688204232672158E-2</v>
      </c>
    </row>
    <row r="309" spans="1:3">
      <c r="A309" s="3">
        <f ca="1">IFERROR(__xludf.UNSUPPORTED("""COMPUTED_VALUE"""),43913.6666666666)</f>
        <v>43913.666666666599</v>
      </c>
      <c r="B309" s="1">
        <f ca="1">IFERROR(__xludf.UNSUPPORTED("""COMPUTED_VALUE"""),222.95)</f>
        <v>222.95</v>
      </c>
      <c r="C309" s="2">
        <f t="shared" ca="1" si="1"/>
        <v>-2.5568181818181917E-2</v>
      </c>
    </row>
    <row r="310" spans="1:3">
      <c r="A310" s="3">
        <f ca="1">IFERROR(__xludf.UNSUPPORTED("""COMPUTED_VALUE"""),43914.6666666666)</f>
        <v>43914.666666666599</v>
      </c>
      <c r="B310" s="1">
        <f ca="1">IFERROR(__xludf.UNSUPPORTED("""COMPUTED_VALUE"""),243.15)</f>
        <v>243.15</v>
      </c>
      <c r="C310" s="2">
        <f t="shared" ca="1" si="1"/>
        <v>9.060327427674375E-2</v>
      </c>
    </row>
    <row r="311" spans="1:3">
      <c r="A311" s="3">
        <f ca="1">IFERROR(__xludf.UNSUPPORTED("""COMPUTED_VALUE"""),43915.6666666666)</f>
        <v>43915.666666666599</v>
      </c>
      <c r="B311" s="1">
        <f ca="1">IFERROR(__xludf.UNSUPPORTED("""COMPUTED_VALUE"""),246.79)</f>
        <v>246.79</v>
      </c>
      <c r="C311" s="2">
        <f t="shared" ca="1" si="1"/>
        <v>1.4970183014599984E-2</v>
      </c>
    </row>
    <row r="312" spans="1:3">
      <c r="A312" s="3">
        <f ca="1">IFERROR(__xludf.UNSUPPORTED("""COMPUTED_VALUE"""),43916.6666666666)</f>
        <v>43916.666666666599</v>
      </c>
      <c r="B312" s="1">
        <f ca="1">IFERROR(__xludf.UNSUPPORTED("""COMPUTED_VALUE"""),261.2)</f>
        <v>261.2</v>
      </c>
      <c r="C312" s="2">
        <f t="shared" ca="1" si="1"/>
        <v>5.8389724056890462E-2</v>
      </c>
    </row>
    <row r="313" spans="1:3">
      <c r="A313" s="3">
        <f ca="1">IFERROR(__xludf.UNSUPPORTED("""COMPUTED_VALUE"""),43917.6666666666)</f>
        <v>43917.666666666599</v>
      </c>
      <c r="B313" s="1">
        <f ca="1">IFERROR(__xludf.UNSUPPORTED("""COMPUTED_VALUE"""),253.42)</f>
        <v>253.42</v>
      </c>
      <c r="C313" s="2">
        <f t="shared" ca="1" si="1"/>
        <v>-2.9785604900459423E-2</v>
      </c>
    </row>
    <row r="314" spans="1:3">
      <c r="A314" s="3">
        <f ca="1">IFERROR(__xludf.UNSUPPORTED("""COMPUTED_VALUE"""),43920.6666666666)</f>
        <v>43920.666666666599</v>
      </c>
      <c r="B314" s="1">
        <f ca="1">IFERROR(__xludf.UNSUPPORTED("""COMPUTED_VALUE"""),261.65)</f>
        <v>261.64999999999998</v>
      </c>
      <c r="C314" s="2">
        <f t="shared" ca="1" si="1"/>
        <v>3.2475731986425657E-2</v>
      </c>
    </row>
    <row r="315" spans="1:3">
      <c r="A315" s="3">
        <f ca="1">IFERROR(__xludf.UNSUPPORTED("""COMPUTED_VALUE"""),43921.6666666666)</f>
        <v>43921.666666666599</v>
      </c>
      <c r="B315" s="1">
        <f ca="1">IFERROR(__xludf.UNSUPPORTED("""COMPUTED_VALUE"""),257.75)</f>
        <v>257.75</v>
      </c>
      <c r="C315" s="2">
        <f t="shared" ca="1" si="1"/>
        <v>-1.4905407987769835E-2</v>
      </c>
    </row>
    <row r="316" spans="1:3">
      <c r="A316" s="3">
        <f ca="1">IFERROR(__xludf.UNSUPPORTED("""COMPUTED_VALUE"""),43922.6666666666)</f>
        <v>43922.666666666599</v>
      </c>
      <c r="B316" s="1">
        <f ca="1">IFERROR(__xludf.UNSUPPORTED("""COMPUTED_VALUE"""),246.15)</f>
        <v>246.15</v>
      </c>
      <c r="C316" s="2">
        <f t="shared" ca="1" si="1"/>
        <v>-4.5004849660523739E-2</v>
      </c>
    </row>
    <row r="317" spans="1:3">
      <c r="A317" s="3">
        <f ca="1">IFERROR(__xludf.UNSUPPORTED("""COMPUTED_VALUE"""),43923.6666666666)</f>
        <v>43923.666666666599</v>
      </c>
      <c r="B317" s="1">
        <f ca="1">IFERROR(__xludf.UNSUPPORTED("""COMPUTED_VALUE"""),251.83)</f>
        <v>251.83</v>
      </c>
      <c r="C317" s="2">
        <f t="shared" ca="1" si="1"/>
        <v>2.307536055250866E-2</v>
      </c>
    </row>
    <row r="318" spans="1:3">
      <c r="A318" s="3">
        <f ca="1">IFERROR(__xludf.UNSUPPORTED("""COMPUTED_VALUE"""),43924.6666666666)</f>
        <v>43924.666666666599</v>
      </c>
      <c r="B318" s="1">
        <f ca="1">IFERROR(__xludf.UNSUPPORTED("""COMPUTED_VALUE"""),248.19)</f>
        <v>248.19</v>
      </c>
      <c r="C318" s="2">
        <f t="shared" ca="1" si="1"/>
        <v>-1.445419529047379E-2</v>
      </c>
    </row>
    <row r="319" spans="1:3">
      <c r="A319" s="3">
        <f ca="1">IFERROR(__xludf.UNSUPPORTED("""COMPUTED_VALUE"""),43927.6666666666)</f>
        <v>43927.666666666599</v>
      </c>
      <c r="B319" s="1">
        <f ca="1">IFERROR(__xludf.UNSUPPORTED("""COMPUTED_VALUE"""),264.86)</f>
        <v>264.86</v>
      </c>
      <c r="C319" s="2">
        <f t="shared" ca="1" si="1"/>
        <v>6.7166283895402787E-2</v>
      </c>
    </row>
    <row r="320" spans="1:3">
      <c r="A320" s="3">
        <f ca="1">IFERROR(__xludf.UNSUPPORTED("""COMPUTED_VALUE"""),43928.6666666666)</f>
        <v>43928.666666666599</v>
      </c>
      <c r="B320" s="1">
        <f ca="1">IFERROR(__xludf.UNSUPPORTED("""COMPUTED_VALUE"""),265.13)</f>
        <v>265.13</v>
      </c>
      <c r="C320" s="2">
        <f t="shared" ca="1" si="1"/>
        <v>1.0194064788944415E-3</v>
      </c>
    </row>
    <row r="321" spans="1:3">
      <c r="A321" s="3">
        <f ca="1">IFERROR(__xludf.UNSUPPORTED("""COMPUTED_VALUE"""),43929.6666666666)</f>
        <v>43929.666666666599</v>
      </c>
      <c r="B321" s="1">
        <f ca="1">IFERROR(__xludf.UNSUPPORTED("""COMPUTED_VALUE"""),274.03)</f>
        <v>274.02999999999997</v>
      </c>
      <c r="C321" s="2">
        <f t="shared" ca="1" si="1"/>
        <v>3.3568438124693463E-2</v>
      </c>
    </row>
    <row r="322" spans="1:3">
      <c r="A322" s="3">
        <f ca="1">IFERROR(__xludf.UNSUPPORTED("""COMPUTED_VALUE"""),43930.6666666666)</f>
        <v>43930.666666666599</v>
      </c>
      <c r="B322" s="1">
        <f ca="1">IFERROR(__xludf.UNSUPPORTED("""COMPUTED_VALUE"""),278.2)</f>
        <v>278.2</v>
      </c>
      <c r="C322" s="2">
        <f t="shared" ca="1" si="1"/>
        <v>1.5217311973141686E-2</v>
      </c>
    </row>
    <row r="323" spans="1:3">
      <c r="A323" s="3">
        <f ca="1">IFERROR(__xludf.UNSUPPORTED("""COMPUTED_VALUE"""),43934.6666666666)</f>
        <v>43934.666666666599</v>
      </c>
      <c r="B323" s="1">
        <f ca="1">IFERROR(__xludf.UNSUPPORTED("""COMPUTED_VALUE"""),275.66)</f>
        <v>275.66000000000003</v>
      </c>
      <c r="C323" s="2">
        <f t="shared" ca="1" si="1"/>
        <v>-9.1301222142342337E-3</v>
      </c>
    </row>
    <row r="324" spans="1:3">
      <c r="A324" s="3">
        <f ca="1">IFERROR(__xludf.UNSUPPORTED("""COMPUTED_VALUE"""),43935.6666666666)</f>
        <v>43935.666666666599</v>
      </c>
      <c r="B324" s="1">
        <f ca="1">IFERROR(__xludf.UNSUPPORTED("""COMPUTED_VALUE"""),283.79)</f>
        <v>283.79000000000002</v>
      </c>
      <c r="C324" s="2">
        <f t="shared" ca="1" si="1"/>
        <v>2.9492853515199865E-2</v>
      </c>
    </row>
    <row r="325" spans="1:3">
      <c r="A325" s="3">
        <f ca="1">IFERROR(__xludf.UNSUPPORTED("""COMPUTED_VALUE"""),43936.6666666666)</f>
        <v>43936.666666666599</v>
      </c>
      <c r="B325" s="1">
        <f ca="1">IFERROR(__xludf.UNSUPPORTED("""COMPUTED_VALUE"""),277.76)</f>
        <v>277.76</v>
      </c>
      <c r="C325" s="2">
        <f t="shared" ca="1" si="1"/>
        <v>-2.124810599386881E-2</v>
      </c>
    </row>
    <row r="326" spans="1:3">
      <c r="A326" s="3">
        <f ca="1">IFERROR(__xludf.UNSUPPORTED("""COMPUTED_VALUE"""),43937.6666666666)</f>
        <v>43937.666666666599</v>
      </c>
      <c r="B326" s="1">
        <f ca="1">IFERROR(__xludf.UNSUPPORTED("""COMPUTED_VALUE"""),279.1)</f>
        <v>279.10000000000002</v>
      </c>
      <c r="C326" s="2">
        <f t="shared" ca="1" si="1"/>
        <v>4.8243087557604831E-3</v>
      </c>
    </row>
    <row r="327" spans="1:3">
      <c r="A327" s="3">
        <f ca="1">IFERROR(__xludf.UNSUPPORTED("""COMPUTED_VALUE"""),43938.6666666666)</f>
        <v>43938.666666666599</v>
      </c>
      <c r="B327" s="1">
        <f ca="1">IFERROR(__xludf.UNSUPPORTED("""COMPUTED_VALUE"""),286.64)</f>
        <v>286.64</v>
      </c>
      <c r="C327" s="2">
        <f t="shared" ca="1" si="1"/>
        <v>2.7015406664277902E-2</v>
      </c>
    </row>
    <row r="328" spans="1:3">
      <c r="A328" s="3">
        <f ca="1">IFERROR(__xludf.UNSUPPORTED("""COMPUTED_VALUE"""),43941.6666666666)</f>
        <v>43941.666666666599</v>
      </c>
      <c r="B328" s="1">
        <f ca="1">IFERROR(__xludf.UNSUPPORTED("""COMPUTED_VALUE"""),281.59)</f>
        <v>281.58999999999997</v>
      </c>
      <c r="C328" s="2">
        <f t="shared" ca="1" si="1"/>
        <v>-1.7617917945855471E-2</v>
      </c>
    </row>
    <row r="329" spans="1:3">
      <c r="A329" s="3">
        <f ca="1">IFERROR(__xludf.UNSUPPORTED("""COMPUTED_VALUE"""),43942.6666666666)</f>
        <v>43942.666666666599</v>
      </c>
      <c r="B329" s="1">
        <f ca="1">IFERROR(__xludf.UNSUPPORTED("""COMPUTED_VALUE"""),273.04)</f>
        <v>273.04000000000002</v>
      </c>
      <c r="C329" s="2">
        <f t="shared" ca="1" si="1"/>
        <v>-3.0363294151070547E-2</v>
      </c>
    </row>
    <row r="330" spans="1:3">
      <c r="A330" s="3">
        <f ca="1">IFERROR(__xludf.UNSUPPORTED("""COMPUTED_VALUE"""),43943.6666666666)</f>
        <v>43943.666666666599</v>
      </c>
      <c r="B330" s="1">
        <f ca="1">IFERROR(__xludf.UNSUPPORTED("""COMPUTED_VALUE"""),279.1)</f>
        <v>279.10000000000002</v>
      </c>
      <c r="C330" s="2">
        <f t="shared" ca="1" si="1"/>
        <v>2.2194550249047765E-2</v>
      </c>
    </row>
    <row r="331" spans="1:3">
      <c r="A331" s="3">
        <f ca="1">IFERROR(__xludf.UNSUPPORTED("""COMPUTED_VALUE"""),43944.6666666666)</f>
        <v>43944.666666666599</v>
      </c>
      <c r="B331" s="1">
        <f ca="1">IFERROR(__xludf.UNSUPPORTED("""COMPUTED_VALUE"""),279.08)</f>
        <v>279.08</v>
      </c>
      <c r="C331" s="2">
        <f t="shared" ca="1" si="1"/>
        <v>-7.1658903618913118E-5</v>
      </c>
    </row>
    <row r="332" spans="1:3">
      <c r="A332" s="3">
        <f ca="1">IFERROR(__xludf.UNSUPPORTED("""COMPUTED_VALUE"""),43945.6666666666)</f>
        <v>43945.666666666599</v>
      </c>
      <c r="B332" s="1">
        <f ca="1">IFERROR(__xludf.UNSUPPORTED("""COMPUTED_VALUE"""),282.97)</f>
        <v>282.97000000000003</v>
      </c>
      <c r="C332" s="2">
        <f t="shared" ca="1" si="1"/>
        <v>1.3938655582628792E-2</v>
      </c>
    </row>
    <row r="333" spans="1:3">
      <c r="A333" s="3">
        <f ca="1">IFERROR(__xludf.UNSUPPORTED("""COMPUTED_VALUE"""),43948.6666666666)</f>
        <v>43948.666666666599</v>
      </c>
      <c r="B333" s="1">
        <f ca="1">IFERROR(__xludf.UNSUPPORTED("""COMPUTED_VALUE"""),287.05)</f>
        <v>287.05</v>
      </c>
      <c r="C333" s="2">
        <f t="shared" ca="1" si="1"/>
        <v>1.4418489592536254E-2</v>
      </c>
    </row>
    <row r="334" spans="1:3">
      <c r="A334" s="3">
        <f ca="1">IFERROR(__xludf.UNSUPPORTED("""COMPUTED_VALUE"""),43949.6666666666)</f>
        <v>43949.666666666599</v>
      </c>
      <c r="B334" s="1">
        <f ca="1">IFERROR(__xludf.UNSUPPORTED("""COMPUTED_VALUE"""),285.73)</f>
        <v>285.73</v>
      </c>
      <c r="C334" s="2">
        <f t="shared" ca="1" si="1"/>
        <v>-4.5985020031353184E-3</v>
      </c>
    </row>
    <row r="335" spans="1:3">
      <c r="A335" s="3">
        <f ca="1">IFERROR(__xludf.UNSUPPORTED("""COMPUTED_VALUE"""),43950.6666666666)</f>
        <v>43950.666666666599</v>
      </c>
      <c r="B335" s="1">
        <f ca="1">IFERROR(__xludf.UNSUPPORTED("""COMPUTED_VALUE"""),293.21)</f>
        <v>293.20999999999998</v>
      </c>
      <c r="C335" s="2">
        <f t="shared" ca="1" si="1"/>
        <v>2.6178560179190007E-2</v>
      </c>
    </row>
    <row r="336" spans="1:3">
      <c r="A336" s="3">
        <f ca="1">IFERROR(__xludf.UNSUPPORTED("""COMPUTED_VALUE"""),43951.6666666666)</f>
        <v>43951.666666666599</v>
      </c>
      <c r="B336" s="1">
        <f ca="1">IFERROR(__xludf.UNSUPPORTED("""COMPUTED_VALUE"""),290.48)</f>
        <v>290.48</v>
      </c>
      <c r="C336" s="2">
        <f t="shared" ca="1" si="1"/>
        <v>-9.3107329217965336E-3</v>
      </c>
    </row>
    <row r="337" spans="1:3">
      <c r="A337" s="3">
        <f ca="1">IFERROR(__xludf.UNSUPPORTED("""COMPUTED_VALUE"""),43952.6666666666)</f>
        <v>43952.666666666599</v>
      </c>
      <c r="B337" s="1">
        <f ca="1">IFERROR(__xludf.UNSUPPORTED("""COMPUTED_VALUE"""),282.79)</f>
        <v>282.79000000000002</v>
      </c>
      <c r="C337" s="2">
        <f t="shared" ca="1" si="1"/>
        <v>-2.6473423299366555E-2</v>
      </c>
    </row>
    <row r="338" spans="1:3">
      <c r="A338" s="3">
        <f ca="1">IFERROR(__xludf.UNSUPPORTED("""COMPUTED_VALUE"""),43955.6666666666)</f>
        <v>43955.666666666599</v>
      </c>
      <c r="B338" s="1">
        <f ca="1">IFERROR(__xludf.UNSUPPORTED("""COMPUTED_VALUE"""),283.57)</f>
        <v>283.57</v>
      </c>
      <c r="C338" s="2">
        <f t="shared" ca="1" si="1"/>
        <v>2.758230489055386E-3</v>
      </c>
    </row>
    <row r="339" spans="1:3">
      <c r="A339" s="3">
        <f ca="1">IFERROR(__xludf.UNSUPPORTED("""COMPUTED_VALUE"""),43956.6666666666)</f>
        <v>43956.666666666599</v>
      </c>
      <c r="B339" s="1">
        <f ca="1">IFERROR(__xludf.UNSUPPORTED("""COMPUTED_VALUE"""),286.19)</f>
        <v>286.19</v>
      </c>
      <c r="C339" s="2">
        <f t="shared" ca="1" si="1"/>
        <v>9.2393412561272512E-3</v>
      </c>
    </row>
    <row r="340" spans="1:3">
      <c r="A340" s="3">
        <f ca="1">IFERROR(__xludf.UNSUPPORTED("""COMPUTED_VALUE"""),43957.6666666666)</f>
        <v>43957.666666666599</v>
      </c>
      <c r="B340" s="1">
        <f ca="1">IFERROR(__xludf.UNSUPPORTED("""COMPUTED_VALUE"""),284.25)</f>
        <v>284.25</v>
      </c>
      <c r="C340" s="2">
        <f t="shared" ca="1" si="1"/>
        <v>-6.7787134421188645E-3</v>
      </c>
    </row>
    <row r="341" spans="1:3">
      <c r="A341" s="3">
        <f ca="1">IFERROR(__xludf.UNSUPPORTED("""COMPUTED_VALUE"""),43958.6666666666)</f>
        <v>43958.666666666599</v>
      </c>
      <c r="B341" s="1">
        <f ca="1">IFERROR(__xludf.UNSUPPORTED("""COMPUTED_VALUE"""),287.68)</f>
        <v>287.68</v>
      </c>
      <c r="C341" s="2">
        <f t="shared" ca="1" si="1"/>
        <v>1.2066842568161854E-2</v>
      </c>
    </row>
    <row r="342" spans="1:3">
      <c r="A342" s="3">
        <f ca="1">IFERROR(__xludf.UNSUPPORTED("""COMPUTED_VALUE"""),43959.6666666666)</f>
        <v>43959.666666666599</v>
      </c>
      <c r="B342" s="1">
        <f ca="1">IFERROR(__xludf.UNSUPPORTED("""COMPUTED_VALUE"""),292.44)</f>
        <v>292.44</v>
      </c>
      <c r="C342" s="2">
        <f t="shared" ca="1" si="1"/>
        <v>1.6546162402669602E-2</v>
      </c>
    </row>
    <row r="343" spans="1:3">
      <c r="A343" s="3">
        <f ca="1">IFERROR(__xludf.UNSUPPORTED("""COMPUTED_VALUE"""),43962.6666666666)</f>
        <v>43962.666666666599</v>
      </c>
      <c r="B343" s="1">
        <f ca="1">IFERROR(__xludf.UNSUPPORTED("""COMPUTED_VALUE"""),292.5)</f>
        <v>292.5</v>
      </c>
      <c r="C343" s="2">
        <f t="shared" ca="1" si="1"/>
        <v>2.0517029134182148E-4</v>
      </c>
    </row>
    <row r="344" spans="1:3">
      <c r="A344" s="3">
        <f ca="1">IFERROR(__xludf.UNSUPPORTED("""COMPUTED_VALUE"""),43963.6666666666)</f>
        <v>43963.666666666599</v>
      </c>
      <c r="B344" s="1">
        <f ca="1">IFERROR(__xludf.UNSUPPORTED("""COMPUTED_VALUE"""),286.67)</f>
        <v>286.67</v>
      </c>
      <c r="C344" s="2">
        <f t="shared" ca="1" si="1"/>
        <v>-1.9931623931623878E-2</v>
      </c>
    </row>
    <row r="345" spans="1:3">
      <c r="A345" s="3">
        <f ca="1">IFERROR(__xludf.UNSUPPORTED("""COMPUTED_VALUE"""),43964.6666666666)</f>
        <v>43964.666666666599</v>
      </c>
      <c r="B345" s="1">
        <f ca="1">IFERROR(__xludf.UNSUPPORTED("""COMPUTED_VALUE"""),281.6)</f>
        <v>281.60000000000002</v>
      </c>
      <c r="C345" s="2">
        <f t="shared" ca="1" si="1"/>
        <v>-1.7685840862315529E-2</v>
      </c>
    </row>
    <row r="346" spans="1:3">
      <c r="A346" s="3">
        <f ca="1">IFERROR(__xludf.UNSUPPORTED("""COMPUTED_VALUE"""),43965.6666666666)</f>
        <v>43965.666666666599</v>
      </c>
      <c r="B346" s="1">
        <f ca="1">IFERROR(__xludf.UNSUPPORTED("""COMPUTED_VALUE"""),284.97)</f>
        <v>284.97000000000003</v>
      </c>
      <c r="C346" s="2">
        <f t="shared" ca="1" si="1"/>
        <v>1.196732954545456E-2</v>
      </c>
    </row>
    <row r="347" spans="1:3">
      <c r="A347" s="3">
        <f ca="1">IFERROR(__xludf.UNSUPPORTED("""COMPUTED_VALUE"""),43966.6666666666)</f>
        <v>43966.666666666599</v>
      </c>
      <c r="B347" s="1">
        <f ca="1">IFERROR(__xludf.UNSUPPORTED("""COMPUTED_VALUE"""),286.28)</f>
        <v>286.27999999999997</v>
      </c>
      <c r="C347" s="2">
        <f t="shared" ca="1" si="1"/>
        <v>4.5969751201878984E-3</v>
      </c>
    </row>
    <row r="348" spans="1:3">
      <c r="A348" s="3">
        <f ca="1">IFERROR(__xludf.UNSUPPORTED("""COMPUTED_VALUE"""),43969.6666666666)</f>
        <v>43969.666666666599</v>
      </c>
      <c r="B348" s="1">
        <f ca="1">IFERROR(__xludf.UNSUPPORTED("""COMPUTED_VALUE"""),295)</f>
        <v>295</v>
      </c>
      <c r="C348" s="2">
        <f t="shared" ca="1" si="1"/>
        <v>3.0459689814168047E-2</v>
      </c>
    </row>
    <row r="349" spans="1:3">
      <c r="A349" s="3">
        <f ca="1">IFERROR(__xludf.UNSUPPORTED("""COMPUTED_VALUE"""),43970.6666666666)</f>
        <v>43970.666666666599</v>
      </c>
      <c r="B349" s="1">
        <f ca="1">IFERROR(__xludf.UNSUPPORTED("""COMPUTED_VALUE"""),291.97)</f>
        <v>291.97000000000003</v>
      </c>
      <c r="C349" s="2">
        <f t="shared" ca="1" si="1"/>
        <v>-1.0271186440677874E-2</v>
      </c>
    </row>
    <row r="350" spans="1:3">
      <c r="A350" s="3">
        <f ca="1">IFERROR(__xludf.UNSUPPORTED("""COMPUTED_VALUE"""),43971.6666666666)</f>
        <v>43971.666666666599</v>
      </c>
      <c r="B350" s="1">
        <f ca="1">IFERROR(__xludf.UNSUPPORTED("""COMPUTED_VALUE"""),296.93)</f>
        <v>296.93</v>
      </c>
      <c r="C350" s="2">
        <f t="shared" ca="1" si="1"/>
        <v>1.6988046717128402E-2</v>
      </c>
    </row>
    <row r="351" spans="1:3">
      <c r="A351" s="3">
        <f ca="1">IFERROR(__xludf.UNSUPPORTED("""COMPUTED_VALUE"""),43972.6666666666)</f>
        <v>43972.666666666599</v>
      </c>
      <c r="B351" s="1">
        <f ca="1">IFERROR(__xludf.UNSUPPORTED("""COMPUTED_VALUE"""),294.88)</f>
        <v>294.88</v>
      </c>
      <c r="C351" s="2">
        <f t="shared" ca="1" si="1"/>
        <v>-6.9039841039976136E-3</v>
      </c>
    </row>
    <row r="352" spans="1:3">
      <c r="A352" s="3">
        <f ca="1">IFERROR(__xludf.UNSUPPORTED("""COMPUTED_VALUE"""),43973.6666666666)</f>
        <v>43973.666666666599</v>
      </c>
      <c r="B352" s="1">
        <f ca="1">IFERROR(__xludf.UNSUPPORTED("""COMPUTED_VALUE"""),295.44)</f>
        <v>295.44</v>
      </c>
      <c r="C352" s="2">
        <f t="shared" ca="1" si="1"/>
        <v>1.8990775908844352E-3</v>
      </c>
    </row>
    <row r="353" spans="1:3">
      <c r="A353" s="3">
        <f ca="1">IFERROR(__xludf.UNSUPPORTED("""COMPUTED_VALUE"""),43977.6666666666)</f>
        <v>43977.666666666599</v>
      </c>
      <c r="B353" s="1">
        <f ca="1">IFERROR(__xludf.UNSUPPORTED("""COMPUTED_VALUE"""),299.08)</f>
        <v>299.08</v>
      </c>
      <c r="C353" s="2">
        <f t="shared" ca="1" si="1"/>
        <v>1.2320606552937945E-2</v>
      </c>
    </row>
    <row r="354" spans="1:3">
      <c r="A354" s="3">
        <f ca="1">IFERROR(__xludf.UNSUPPORTED("""COMPUTED_VALUE"""),43978.6666666666)</f>
        <v>43978.666666666599</v>
      </c>
      <c r="B354" s="1">
        <f ca="1">IFERROR(__xludf.UNSUPPORTED("""COMPUTED_VALUE"""),303.53)</f>
        <v>303.52999999999997</v>
      </c>
      <c r="C354" s="2">
        <f t="shared" ca="1" si="1"/>
        <v>1.487896215059512E-2</v>
      </c>
    </row>
    <row r="355" spans="1:3">
      <c r="A355" s="3">
        <f ca="1">IFERROR(__xludf.UNSUPPORTED("""COMPUTED_VALUE"""),43979.6666666666)</f>
        <v>43979.666666666599</v>
      </c>
      <c r="B355" s="1">
        <f ca="1">IFERROR(__xludf.UNSUPPORTED("""COMPUTED_VALUE"""),302.97)</f>
        <v>302.97000000000003</v>
      </c>
      <c r="C355" s="2">
        <f t="shared" ca="1" si="1"/>
        <v>-1.8449576648105475E-3</v>
      </c>
    </row>
    <row r="356" spans="1:3">
      <c r="A356" s="3">
        <f ca="1">IFERROR(__xludf.UNSUPPORTED("""COMPUTED_VALUE"""),43980.6666666666)</f>
        <v>43980.666666666599</v>
      </c>
      <c r="B356" s="1">
        <f ca="1">IFERROR(__xludf.UNSUPPORTED("""COMPUTED_VALUE"""),304.32)</f>
        <v>304.32</v>
      </c>
      <c r="C356" s="2">
        <f t="shared" ca="1" si="1"/>
        <v>4.4558867214574572E-3</v>
      </c>
    </row>
    <row r="357" spans="1:3">
      <c r="A357" s="3">
        <f ca="1">IFERROR(__xludf.UNSUPPORTED("""COMPUTED_VALUE"""),43983.6666666666)</f>
        <v>43983.666666666599</v>
      </c>
      <c r="B357" s="1">
        <f ca="1">IFERROR(__xludf.UNSUPPORTED("""COMPUTED_VALUE"""),305.55)</f>
        <v>305.55</v>
      </c>
      <c r="C357" s="2">
        <f t="shared" ca="1" si="1"/>
        <v>4.0417981072555804E-3</v>
      </c>
    </row>
    <row r="358" spans="1:3">
      <c r="A358" s="3">
        <f ca="1">IFERROR(__xludf.UNSUPPORTED("""COMPUTED_VALUE"""),43984.6666666666)</f>
        <v>43984.666666666599</v>
      </c>
      <c r="B358" s="1">
        <f ca="1">IFERROR(__xludf.UNSUPPORTED("""COMPUTED_VALUE"""),308.08)</f>
        <v>308.08</v>
      </c>
      <c r="C358" s="2">
        <f t="shared" ca="1" si="1"/>
        <v>8.2801505481916952E-3</v>
      </c>
    </row>
    <row r="359" spans="1:3">
      <c r="A359" s="3">
        <f ca="1">IFERROR(__xludf.UNSUPPORTED("""COMPUTED_VALUE"""),43985.6666666666)</f>
        <v>43985.666666666599</v>
      </c>
      <c r="B359" s="1">
        <f ca="1">IFERROR(__xludf.UNSUPPORTED("""COMPUTED_VALUE"""),312.18)</f>
        <v>312.18</v>
      </c>
      <c r="C359" s="2">
        <f t="shared" ca="1" si="1"/>
        <v>1.3308231628148608E-2</v>
      </c>
    </row>
    <row r="360" spans="1:3">
      <c r="A360" s="3">
        <f ca="1">IFERROR(__xludf.UNSUPPORTED("""COMPUTED_VALUE"""),43986.6666666666)</f>
        <v>43986.666666666599</v>
      </c>
      <c r="B360" s="1">
        <f ca="1">IFERROR(__xludf.UNSUPPORTED("""COMPUTED_VALUE"""),311.36)</f>
        <v>311.36</v>
      </c>
      <c r="C360" s="2">
        <f t="shared" ca="1" si="1"/>
        <v>-2.6266897302837889E-3</v>
      </c>
    </row>
    <row r="361" spans="1:3">
      <c r="A361" s="3">
        <f ca="1">IFERROR(__xludf.UNSUPPORTED("""COMPUTED_VALUE"""),43987.6666666666)</f>
        <v>43987.666666666599</v>
      </c>
      <c r="B361" s="1">
        <f ca="1">IFERROR(__xludf.UNSUPPORTED("""COMPUTED_VALUE"""),319.34)</f>
        <v>319.33999999999997</v>
      </c>
      <c r="C361" s="2">
        <f t="shared" ca="1" si="1"/>
        <v>2.5629496402877573E-2</v>
      </c>
    </row>
    <row r="362" spans="1:3">
      <c r="A362" s="3">
        <f ca="1">IFERROR(__xludf.UNSUPPORTED("""COMPUTED_VALUE"""),43990.6666666666)</f>
        <v>43990.666666666599</v>
      </c>
      <c r="B362" s="1">
        <f ca="1">IFERROR(__xludf.UNSUPPORTED("""COMPUTED_VALUE"""),323.2)</f>
        <v>323.2</v>
      </c>
      <c r="C362" s="2">
        <f t="shared" ca="1" si="1"/>
        <v>1.208743032504545E-2</v>
      </c>
    </row>
    <row r="363" spans="1:3">
      <c r="A363" s="3">
        <f ca="1">IFERROR(__xludf.UNSUPPORTED("""COMPUTED_VALUE"""),43991.6666666666)</f>
        <v>43991.666666666599</v>
      </c>
      <c r="B363" s="1">
        <f ca="1">IFERROR(__xludf.UNSUPPORTED("""COMPUTED_VALUE"""),320.79)</f>
        <v>320.79000000000002</v>
      </c>
      <c r="C363" s="2">
        <f t="shared" ca="1" si="1"/>
        <v>-7.4566831683167334E-3</v>
      </c>
    </row>
    <row r="364" spans="1:3">
      <c r="A364" s="3">
        <f ca="1">IFERROR(__xludf.UNSUPPORTED("""COMPUTED_VALUE"""),43992.6666666666)</f>
        <v>43992.666666666599</v>
      </c>
      <c r="B364" s="1">
        <f ca="1">IFERROR(__xludf.UNSUPPORTED("""COMPUTED_VALUE"""),319)</f>
        <v>319</v>
      </c>
      <c r="C364" s="2">
        <f t="shared" ca="1" si="1"/>
        <v>-5.5799744381059896E-3</v>
      </c>
    </row>
    <row r="365" spans="1:3">
      <c r="A365" s="3">
        <f ca="1">IFERROR(__xludf.UNSUPPORTED("""COMPUTED_VALUE"""),43993.6666666666)</f>
        <v>43993.666666666599</v>
      </c>
      <c r="B365" s="1">
        <f ca="1">IFERROR(__xludf.UNSUPPORTED("""COMPUTED_VALUE"""),300.61)</f>
        <v>300.61</v>
      </c>
      <c r="C365" s="2">
        <f t="shared" ca="1" si="1"/>
        <v>-5.7648902821316572E-2</v>
      </c>
    </row>
    <row r="366" spans="1:3">
      <c r="A366" s="3">
        <f ca="1">IFERROR(__xludf.UNSUPPORTED("""COMPUTED_VALUE"""),43994.6666666666)</f>
        <v>43994.666666666599</v>
      </c>
      <c r="B366" s="1">
        <f ca="1">IFERROR(__xludf.UNSUPPORTED("""COMPUTED_VALUE"""),304.21)</f>
        <v>304.20999999999998</v>
      </c>
      <c r="C366" s="2">
        <f t="shared" ca="1" si="1"/>
        <v>1.1975649512657482E-2</v>
      </c>
    </row>
    <row r="367" spans="1:3">
      <c r="A367" s="3">
        <f ca="1">IFERROR(__xludf.UNSUPPORTED("""COMPUTED_VALUE"""),43997.6666666666)</f>
        <v>43997.666666666599</v>
      </c>
      <c r="B367" s="1">
        <f ca="1">IFERROR(__xludf.UNSUPPORTED("""COMPUTED_VALUE"""),307.05)</f>
        <v>307.05</v>
      </c>
      <c r="C367" s="2">
        <f t="shared" ca="1" si="1"/>
        <v>9.3356562900628916E-3</v>
      </c>
    </row>
    <row r="368" spans="1:3">
      <c r="A368" s="3">
        <f ca="1">IFERROR(__xludf.UNSUPPORTED("""COMPUTED_VALUE"""),43998.6666666666)</f>
        <v>43998.666666666599</v>
      </c>
      <c r="B368" s="1">
        <f ca="1">IFERROR(__xludf.UNSUPPORTED("""COMPUTED_VALUE"""),312.96)</f>
        <v>312.95999999999998</v>
      </c>
      <c r="C368" s="2">
        <f t="shared" ca="1" si="1"/>
        <v>1.9247679531020901E-2</v>
      </c>
    </row>
    <row r="369" spans="1:3">
      <c r="A369" s="3">
        <f ca="1">IFERROR(__xludf.UNSUPPORTED("""COMPUTED_VALUE"""),43999.6666666666)</f>
        <v>43999.666666666599</v>
      </c>
      <c r="B369" s="1">
        <f ca="1">IFERROR(__xludf.UNSUPPORTED("""COMPUTED_VALUE"""),311.66)</f>
        <v>311.66000000000003</v>
      </c>
      <c r="C369" s="2">
        <f t="shared" ca="1" si="1"/>
        <v>-4.153885480572452E-3</v>
      </c>
    </row>
    <row r="370" spans="1:3">
      <c r="A370" s="3">
        <f ca="1">IFERROR(__xludf.UNSUPPORTED("""COMPUTED_VALUE"""),44000.6666666666)</f>
        <v>44000.666666666599</v>
      </c>
      <c r="B370" s="1">
        <f ca="1">IFERROR(__xludf.UNSUPPORTED("""COMPUTED_VALUE"""),311.78)</f>
        <v>311.77999999999997</v>
      </c>
      <c r="C370" s="2">
        <f t="shared" ca="1" si="1"/>
        <v>3.8503497400997145E-4</v>
      </c>
    </row>
    <row r="371" spans="1:3">
      <c r="A371" s="3">
        <f ca="1">IFERROR(__xludf.UNSUPPORTED("""COMPUTED_VALUE"""),44001.6666666666)</f>
        <v>44001.666666666599</v>
      </c>
      <c r="B371" s="1">
        <f ca="1">IFERROR(__xludf.UNSUPPORTED("""COMPUTED_VALUE"""),308.64)</f>
        <v>308.64</v>
      </c>
      <c r="C371" s="2">
        <f t="shared" ca="1" si="1"/>
        <v>-1.0071204054140697E-2</v>
      </c>
    </row>
    <row r="372" spans="1:3">
      <c r="A372" s="3">
        <f ca="1">IFERROR(__xludf.UNSUPPORTED("""COMPUTED_VALUE"""),44004.6666666666)</f>
        <v>44004.666666666599</v>
      </c>
      <c r="B372" s="1">
        <f ca="1">IFERROR(__xludf.UNSUPPORTED("""COMPUTED_VALUE"""),310.62)</f>
        <v>310.62</v>
      </c>
      <c r="C372" s="2">
        <f t="shared" ca="1" si="1"/>
        <v>6.4152410575428276E-3</v>
      </c>
    </row>
    <row r="373" spans="1:3">
      <c r="A373" s="3">
        <f ca="1">IFERROR(__xludf.UNSUPPORTED("""COMPUTED_VALUE"""),44005.6666666666)</f>
        <v>44005.666666666599</v>
      </c>
      <c r="B373" s="1">
        <f ca="1">IFERROR(__xludf.UNSUPPORTED("""COMPUTED_VALUE"""),312.05)</f>
        <v>312.05</v>
      </c>
      <c r="C373" s="2">
        <f t="shared" ca="1" si="1"/>
        <v>4.6036958341381974E-3</v>
      </c>
    </row>
    <row r="374" spans="1:3">
      <c r="A374" s="3">
        <f ca="1">IFERROR(__xludf.UNSUPPORTED("""COMPUTED_VALUE"""),44006.6666666666)</f>
        <v>44006.666666666599</v>
      </c>
      <c r="B374" s="1">
        <f ca="1">IFERROR(__xludf.UNSUPPORTED("""COMPUTED_VALUE"""),304.09)</f>
        <v>304.08999999999997</v>
      </c>
      <c r="C374" s="2">
        <f t="shared" ca="1" si="1"/>
        <v>-2.5508732574907982E-2</v>
      </c>
    </row>
    <row r="375" spans="1:3">
      <c r="A375" s="3">
        <f ca="1">IFERROR(__xludf.UNSUPPORTED("""COMPUTED_VALUE"""),44007.6666666666)</f>
        <v>44007.666666666599</v>
      </c>
      <c r="B375" s="1">
        <f ca="1">IFERROR(__xludf.UNSUPPORTED("""COMPUTED_VALUE"""),307.35)</f>
        <v>307.35000000000002</v>
      </c>
      <c r="C375" s="2">
        <f t="shared" ca="1" si="1"/>
        <v>1.0720510375218021E-2</v>
      </c>
    </row>
    <row r="376" spans="1:3">
      <c r="A376" s="3">
        <f ca="1">IFERROR(__xludf.UNSUPPORTED("""COMPUTED_VALUE"""),44008.6666666666)</f>
        <v>44008.666666666599</v>
      </c>
      <c r="B376" s="1">
        <f ca="1">IFERROR(__xludf.UNSUPPORTED("""COMPUTED_VALUE"""),300.05)</f>
        <v>300.05</v>
      </c>
      <c r="C376" s="2">
        <f t="shared" ca="1" si="1"/>
        <v>-2.3751423458597726E-2</v>
      </c>
    </row>
    <row r="377" spans="1:3">
      <c r="A377" s="3">
        <f ca="1">IFERROR(__xludf.UNSUPPORTED("""COMPUTED_VALUE"""),44011.6666666666)</f>
        <v>44011.666666666599</v>
      </c>
      <c r="B377" s="1">
        <f ca="1">IFERROR(__xludf.UNSUPPORTED("""COMPUTED_VALUE"""),304.46)</f>
        <v>304.45999999999998</v>
      </c>
      <c r="C377" s="2">
        <f t="shared" ca="1" si="1"/>
        <v>1.4697550408265182E-2</v>
      </c>
    </row>
    <row r="378" spans="1:3">
      <c r="A378" s="3">
        <f ca="1">IFERROR(__xludf.UNSUPPORTED("""COMPUTED_VALUE"""),44012.6666666666)</f>
        <v>44012.666666666599</v>
      </c>
      <c r="B378" s="1">
        <f ca="1">IFERROR(__xludf.UNSUPPORTED("""COMPUTED_VALUE"""),308.36)</f>
        <v>308.36</v>
      </c>
      <c r="C378" s="2">
        <f t="shared" ca="1" si="1"/>
        <v>1.280956447480797E-2</v>
      </c>
    </row>
    <row r="379" spans="1:3">
      <c r="A379" s="3">
        <f ca="1">IFERROR(__xludf.UNSUPPORTED("""COMPUTED_VALUE"""),44013.6666666666)</f>
        <v>44013.666666666599</v>
      </c>
      <c r="B379" s="1">
        <f ca="1">IFERROR(__xludf.UNSUPPORTED("""COMPUTED_VALUE"""),310.52)</f>
        <v>310.52</v>
      </c>
      <c r="C379" s="2">
        <f t="shared" ca="1" si="1"/>
        <v>7.0047995849006617E-3</v>
      </c>
    </row>
    <row r="380" spans="1:3">
      <c r="A380" s="3">
        <f ca="1">IFERROR(__xludf.UNSUPPORTED("""COMPUTED_VALUE"""),44014.6666666666)</f>
        <v>44014.666666666599</v>
      </c>
      <c r="B380" s="1">
        <f ca="1">IFERROR(__xludf.UNSUPPORTED("""COMPUTED_VALUE"""),312.23)</f>
        <v>312.23</v>
      </c>
      <c r="C380" s="2">
        <f t="shared" ca="1" si="1"/>
        <v>5.5068916655933156E-3</v>
      </c>
    </row>
    <row r="381" spans="1:3">
      <c r="A381" s="3">
        <f ca="1">IFERROR(__xludf.UNSUPPORTED("""COMPUTED_VALUE"""),44018.6666666666)</f>
        <v>44018.666666666599</v>
      </c>
      <c r="B381" s="1">
        <f ca="1">IFERROR(__xludf.UNSUPPORTED("""COMPUTED_VALUE"""),317.05)</f>
        <v>317.05</v>
      </c>
      <c r="C381" s="2">
        <f t="shared" ca="1" si="1"/>
        <v>1.543733785991094E-2</v>
      </c>
    </row>
    <row r="382" spans="1:3">
      <c r="A382" s="3">
        <f ca="1">IFERROR(__xludf.UNSUPPORTED("""COMPUTED_VALUE"""),44019.6666666666)</f>
        <v>44019.666666666599</v>
      </c>
      <c r="B382" s="1">
        <f ca="1">IFERROR(__xludf.UNSUPPORTED("""COMPUTED_VALUE"""),313.78)</f>
        <v>313.77999999999997</v>
      </c>
      <c r="C382" s="2">
        <f t="shared" ca="1" si="1"/>
        <v>-1.0313830626084335E-2</v>
      </c>
    </row>
    <row r="383" spans="1:3">
      <c r="A383" s="3">
        <f ca="1">IFERROR(__xludf.UNSUPPORTED("""COMPUTED_VALUE"""),44020.6666666666)</f>
        <v>44020.666666666599</v>
      </c>
      <c r="B383" s="1">
        <f ca="1">IFERROR(__xludf.UNSUPPORTED("""COMPUTED_VALUE"""),316.18)</f>
        <v>316.18</v>
      </c>
      <c r="C383" s="2">
        <f t="shared" ca="1" si="1"/>
        <v>7.6486710434063177E-3</v>
      </c>
    </row>
    <row r="384" spans="1:3">
      <c r="A384" s="3">
        <f ca="1">IFERROR(__xludf.UNSUPPORTED("""COMPUTED_VALUE"""),44021.6666666666)</f>
        <v>44021.666666666599</v>
      </c>
      <c r="B384" s="1">
        <f ca="1">IFERROR(__xludf.UNSUPPORTED("""COMPUTED_VALUE"""),314.38)</f>
        <v>314.38</v>
      </c>
      <c r="C384" s="2">
        <f t="shared" ca="1" si="1"/>
        <v>-5.6929597064963354E-3</v>
      </c>
    </row>
    <row r="385" spans="1:3">
      <c r="A385" s="3">
        <f ca="1">IFERROR(__xludf.UNSUPPORTED("""COMPUTED_VALUE"""),44022.6666666666)</f>
        <v>44022.666666666599</v>
      </c>
      <c r="B385" s="1">
        <f ca="1">IFERROR(__xludf.UNSUPPORTED("""COMPUTED_VALUE"""),317.59)</f>
        <v>317.58999999999997</v>
      </c>
      <c r="C385" s="2">
        <f t="shared" ca="1" si="1"/>
        <v>1.0210573191678795E-2</v>
      </c>
    </row>
    <row r="386" spans="1:3">
      <c r="A386" s="3">
        <f ca="1">IFERROR(__xludf.UNSUPPORTED("""COMPUTED_VALUE"""),44025.6666666666)</f>
        <v>44025.666666666599</v>
      </c>
      <c r="B386" s="1">
        <f ca="1">IFERROR(__xludf.UNSUPPORTED("""COMPUTED_VALUE"""),314.84)</f>
        <v>314.83999999999997</v>
      </c>
      <c r="C386" s="2">
        <f t="shared" ca="1" si="1"/>
        <v>-8.6589628136906089E-3</v>
      </c>
    </row>
    <row r="387" spans="1:3">
      <c r="A387" s="3">
        <f ca="1">IFERROR(__xludf.UNSUPPORTED("""COMPUTED_VALUE"""),44026.6666666666)</f>
        <v>44026.666666666599</v>
      </c>
      <c r="B387" s="1">
        <f ca="1">IFERROR(__xludf.UNSUPPORTED("""COMPUTED_VALUE"""),318.92)</f>
        <v>318.92</v>
      </c>
      <c r="C387" s="2">
        <f t="shared" ca="1" si="1"/>
        <v>1.2958963282937497E-2</v>
      </c>
    </row>
    <row r="388" spans="1:3">
      <c r="A388" s="3">
        <f ca="1">IFERROR(__xludf.UNSUPPORTED("""COMPUTED_VALUE"""),44027.6666666666)</f>
        <v>44027.666666666599</v>
      </c>
      <c r="B388" s="1">
        <f ca="1">IFERROR(__xludf.UNSUPPORTED("""COMPUTED_VALUE"""),321.85)</f>
        <v>321.85000000000002</v>
      </c>
      <c r="C388" s="2">
        <f t="shared" ca="1" si="1"/>
        <v>9.1872569923491989E-3</v>
      </c>
    </row>
    <row r="389" spans="1:3">
      <c r="A389" s="3">
        <f ca="1">IFERROR(__xludf.UNSUPPORTED("""COMPUTED_VALUE"""),44028.6666666666)</f>
        <v>44028.666666666599</v>
      </c>
      <c r="B389" s="1">
        <f ca="1">IFERROR(__xludf.UNSUPPORTED("""COMPUTED_VALUE"""),320.79)</f>
        <v>320.79000000000002</v>
      </c>
      <c r="C389" s="2">
        <f t="shared" ca="1" si="1"/>
        <v>-3.2934596861892255E-3</v>
      </c>
    </row>
    <row r="390" spans="1:3">
      <c r="A390" s="3">
        <f ca="1">IFERROR(__xludf.UNSUPPORTED("""COMPUTED_VALUE"""),44029.6666666666)</f>
        <v>44029.666666666599</v>
      </c>
      <c r="B390" s="1">
        <f ca="1">IFERROR(__xludf.UNSUPPORTED("""COMPUTED_VALUE"""),321.72)</f>
        <v>321.72000000000003</v>
      </c>
      <c r="C390" s="2">
        <f t="shared" ca="1" si="1"/>
        <v>2.8990928644908095E-3</v>
      </c>
    </row>
    <row r="391" spans="1:3">
      <c r="A391" s="3">
        <f ca="1">IFERROR(__xludf.UNSUPPORTED("""COMPUTED_VALUE"""),44032.6666666666)</f>
        <v>44032.666666666599</v>
      </c>
      <c r="B391" s="1">
        <f ca="1">IFERROR(__xludf.UNSUPPORTED("""COMPUTED_VALUE"""),324.32)</f>
        <v>324.32</v>
      </c>
      <c r="C391" s="2">
        <f t="shared" ca="1" si="1"/>
        <v>8.0815616063656774E-3</v>
      </c>
    </row>
    <row r="392" spans="1:3">
      <c r="A392" s="3">
        <f ca="1">IFERROR(__xludf.UNSUPPORTED("""COMPUTED_VALUE"""),44033.6666666666)</f>
        <v>44033.666666666599</v>
      </c>
      <c r="B392" s="1">
        <f ca="1">IFERROR(__xludf.UNSUPPORTED("""COMPUTED_VALUE"""),325.01)</f>
        <v>325.01</v>
      </c>
      <c r="C392" s="2">
        <f t="shared" ca="1" si="1"/>
        <v>2.1275283670448872E-3</v>
      </c>
    </row>
    <row r="393" spans="1:3">
      <c r="A393" s="3">
        <f ca="1">IFERROR(__xludf.UNSUPPORTED("""COMPUTED_VALUE"""),44034.6666666666)</f>
        <v>44034.666666666599</v>
      </c>
      <c r="B393" s="1">
        <f ca="1">IFERROR(__xludf.UNSUPPORTED("""COMPUTED_VALUE"""),326.86)</f>
        <v>326.86</v>
      </c>
      <c r="C393" s="2">
        <f t="shared" ca="1" si="1"/>
        <v>5.6921325497677694E-3</v>
      </c>
    </row>
    <row r="394" spans="1:3">
      <c r="A394" s="3">
        <f ca="1">IFERROR(__xludf.UNSUPPORTED("""COMPUTED_VALUE"""),44035.6666666666)</f>
        <v>44035.666666666599</v>
      </c>
      <c r="B394" s="1">
        <f ca="1">IFERROR(__xludf.UNSUPPORTED("""COMPUTED_VALUE"""),322.96)</f>
        <v>322.95999999999998</v>
      </c>
      <c r="C394" s="2">
        <f t="shared" ca="1" si="1"/>
        <v>-1.1931713883620002E-2</v>
      </c>
    </row>
    <row r="395" spans="1:3">
      <c r="A395" s="3">
        <f ca="1">IFERROR(__xludf.UNSUPPORTED("""COMPUTED_VALUE"""),44036.6666666666)</f>
        <v>44036.666666666599</v>
      </c>
      <c r="B395" s="1">
        <f ca="1">IFERROR(__xludf.UNSUPPORTED("""COMPUTED_VALUE"""),320.88)</f>
        <v>320.88</v>
      </c>
      <c r="C395" s="2">
        <f t="shared" ca="1" si="1"/>
        <v>-6.4404260589546207E-3</v>
      </c>
    </row>
    <row r="396" spans="1:3">
      <c r="A396" s="3">
        <f ca="1">IFERROR(__xludf.UNSUPPORTED("""COMPUTED_VALUE"""),44039.6666666666)</f>
        <v>44039.666666666599</v>
      </c>
      <c r="B396" s="1">
        <f ca="1">IFERROR(__xludf.UNSUPPORTED("""COMPUTED_VALUE"""),323.22)</f>
        <v>323.22000000000003</v>
      </c>
      <c r="C396" s="2">
        <f t="shared" ca="1" si="1"/>
        <v>7.2924457741212661E-3</v>
      </c>
    </row>
    <row r="397" spans="1:3">
      <c r="A397" s="3">
        <f ca="1">IFERROR(__xludf.UNSUPPORTED("""COMPUTED_VALUE"""),44040.6666666666)</f>
        <v>44040.666666666599</v>
      </c>
      <c r="B397" s="1">
        <f ca="1">IFERROR(__xludf.UNSUPPORTED("""COMPUTED_VALUE"""),321.17)</f>
        <v>321.17</v>
      </c>
      <c r="C397" s="2">
        <f t="shared" ca="1" si="1"/>
        <v>-6.3424293051172927E-3</v>
      </c>
    </row>
    <row r="398" spans="1:3">
      <c r="A398" s="3">
        <f ca="1">IFERROR(__xludf.UNSUPPORTED("""COMPUTED_VALUE"""),44041.6666666666)</f>
        <v>44041.666666666599</v>
      </c>
      <c r="B398" s="1">
        <f ca="1">IFERROR(__xludf.UNSUPPORTED("""COMPUTED_VALUE"""),325.12)</f>
        <v>325.12</v>
      </c>
      <c r="C398" s="2">
        <f t="shared" ca="1" si="1"/>
        <v>1.2298782576205711E-2</v>
      </c>
    </row>
    <row r="399" spans="1:3">
      <c r="A399" s="3">
        <f ca="1">IFERROR(__xludf.UNSUPPORTED("""COMPUTED_VALUE"""),44042.6666666666)</f>
        <v>44042.666666666599</v>
      </c>
      <c r="B399" s="1">
        <f ca="1">IFERROR(__xludf.UNSUPPORTED("""COMPUTED_VALUE"""),323.96)</f>
        <v>323.95999999999998</v>
      </c>
      <c r="C399" s="2">
        <f t="shared" ca="1" si="1"/>
        <v>-3.5679133858268486E-3</v>
      </c>
    </row>
    <row r="400" spans="1:3">
      <c r="A400" s="3">
        <f ca="1">IFERROR(__xludf.UNSUPPORTED("""COMPUTED_VALUE"""),44043.6666666666)</f>
        <v>44043.666666666599</v>
      </c>
      <c r="B400" s="1">
        <f ca="1">IFERROR(__xludf.UNSUPPORTED("""COMPUTED_VALUE"""),326.52)</f>
        <v>326.52</v>
      </c>
      <c r="C400" s="2">
        <f t="shared" ca="1" si="1"/>
        <v>7.9022101494011683E-3</v>
      </c>
    </row>
    <row r="401" spans="1:3">
      <c r="A401" s="3">
        <f ca="1">IFERROR(__xludf.UNSUPPORTED("""COMPUTED_VALUE"""),44046.6666666666)</f>
        <v>44046.666666666599</v>
      </c>
      <c r="B401" s="1">
        <f ca="1">IFERROR(__xludf.UNSUPPORTED("""COMPUTED_VALUE"""),328.79)</f>
        <v>328.79</v>
      </c>
      <c r="C401" s="2">
        <f t="shared" ca="1" si="1"/>
        <v>6.9521009432807757E-3</v>
      </c>
    </row>
    <row r="402" spans="1:3">
      <c r="A402" s="3">
        <f ca="1">IFERROR(__xludf.UNSUPPORTED("""COMPUTED_VALUE"""),44047.6666666666)</f>
        <v>44047.666666666599</v>
      </c>
      <c r="B402" s="1">
        <f ca="1">IFERROR(__xludf.UNSUPPORTED("""COMPUTED_VALUE"""),330.06)</f>
        <v>330.06</v>
      </c>
      <c r="C402" s="2">
        <f t="shared" ca="1" si="1"/>
        <v>3.8626478907508796E-3</v>
      </c>
    </row>
    <row r="403" spans="1:3">
      <c r="A403" s="3">
        <f ca="1">IFERROR(__xludf.UNSUPPORTED("""COMPUTED_VALUE"""),44048.6666666666)</f>
        <v>44048.666666666599</v>
      </c>
      <c r="B403" s="1">
        <f ca="1">IFERROR(__xludf.UNSUPPORTED("""COMPUTED_VALUE"""),332.11)</f>
        <v>332.11</v>
      </c>
      <c r="C403" s="2">
        <f t="shared" ca="1" si="1"/>
        <v>6.2109919408592723E-3</v>
      </c>
    </row>
    <row r="404" spans="1:3">
      <c r="A404" s="3">
        <f ca="1">IFERROR(__xludf.UNSUPPORTED("""COMPUTED_VALUE"""),44049.6666666666)</f>
        <v>44049.666666666599</v>
      </c>
      <c r="B404" s="1">
        <f ca="1">IFERROR(__xludf.UNSUPPORTED("""COMPUTED_VALUE"""),334.33)</f>
        <v>334.33</v>
      </c>
      <c r="C404" s="2">
        <f t="shared" ca="1" si="1"/>
        <v>6.6845322332961081E-3</v>
      </c>
    </row>
    <row r="405" spans="1:3">
      <c r="A405" s="3">
        <f ca="1">IFERROR(__xludf.UNSUPPORTED("""COMPUTED_VALUE"""),44050.6666666666)</f>
        <v>44050.666666666599</v>
      </c>
      <c r="B405" s="1">
        <f ca="1">IFERROR(__xludf.UNSUPPORTED("""COMPUTED_VALUE"""),334.57)</f>
        <v>334.57</v>
      </c>
      <c r="C405" s="2">
        <f t="shared" ca="1" si="1"/>
        <v>7.1785361768315469E-4</v>
      </c>
    </row>
    <row r="406" spans="1:3">
      <c r="A406" s="3">
        <f ca="1">IFERROR(__xludf.UNSUPPORTED("""COMPUTED_VALUE"""),44053.6666666666)</f>
        <v>44053.666666666599</v>
      </c>
      <c r="B406" s="1">
        <f ca="1">IFERROR(__xludf.UNSUPPORTED("""COMPUTED_VALUE"""),335.57)</f>
        <v>335.57</v>
      </c>
      <c r="C406" s="2">
        <f t="shared" ca="1" si="1"/>
        <v>2.9889111396718174E-3</v>
      </c>
    </row>
    <row r="407" spans="1:3">
      <c r="A407" s="3">
        <f ca="1">IFERROR(__xludf.UNSUPPORTED("""COMPUTED_VALUE"""),44054.6666666666)</f>
        <v>44054.666666666599</v>
      </c>
      <c r="B407" s="1">
        <f ca="1">IFERROR(__xludf.UNSUPPORTED("""COMPUTED_VALUE"""),332.8)</f>
        <v>332.8</v>
      </c>
      <c r="C407" s="2">
        <f t="shared" ca="1" si="1"/>
        <v>-8.2546115564561245E-3</v>
      </c>
    </row>
    <row r="408" spans="1:3">
      <c r="A408" s="3">
        <f ca="1">IFERROR(__xludf.UNSUPPORTED("""COMPUTED_VALUE"""),44055.6666666666)</f>
        <v>44055.666666666599</v>
      </c>
      <c r="B408" s="1">
        <f ca="1">IFERROR(__xludf.UNSUPPORTED("""COMPUTED_VALUE"""),337.44)</f>
        <v>337.44</v>
      </c>
      <c r="C408" s="2">
        <f t="shared" ca="1" si="1"/>
        <v>1.3942307692307651E-2</v>
      </c>
    </row>
    <row r="409" spans="1:3">
      <c r="A409" s="3">
        <f ca="1">IFERROR(__xludf.UNSUPPORTED("""COMPUTED_VALUE"""),44056.6666666666)</f>
        <v>44056.666666666599</v>
      </c>
      <c r="B409" s="1">
        <f ca="1">IFERROR(__xludf.UNSUPPORTED("""COMPUTED_VALUE"""),336.83)</f>
        <v>336.83</v>
      </c>
      <c r="C409" s="2">
        <f t="shared" ca="1" si="1"/>
        <v>-1.8077287814130324E-3</v>
      </c>
    </row>
    <row r="410" spans="1:3">
      <c r="A410" s="3">
        <f ca="1">IFERROR(__xludf.UNSUPPORTED("""COMPUTED_VALUE"""),44057.6666666666)</f>
        <v>44057.666666666599</v>
      </c>
      <c r="B410" s="1">
        <f ca="1">IFERROR(__xludf.UNSUPPORTED("""COMPUTED_VALUE"""),336.84)</f>
        <v>336.84</v>
      </c>
      <c r="C410" s="2">
        <f t="shared" ca="1" si="1"/>
        <v>2.9688566932847149E-5</v>
      </c>
    </row>
    <row r="411" spans="1:3">
      <c r="A411" s="3">
        <f ca="1">IFERROR(__xludf.UNSUPPORTED("""COMPUTED_VALUE"""),44060.6666666666)</f>
        <v>44060.666666666599</v>
      </c>
      <c r="B411" s="1">
        <f ca="1">IFERROR(__xludf.UNSUPPORTED("""COMPUTED_VALUE"""),337.91)</f>
        <v>337.91</v>
      </c>
      <c r="C411" s="2">
        <f t="shared" ca="1" si="1"/>
        <v>3.176582353639859E-3</v>
      </c>
    </row>
    <row r="412" spans="1:3">
      <c r="A412" s="3">
        <f ca="1">IFERROR(__xludf.UNSUPPORTED("""COMPUTED_VALUE"""),44061.6666666666)</f>
        <v>44061.666666666599</v>
      </c>
      <c r="B412" s="1">
        <f ca="1">IFERROR(__xludf.UNSUPPORTED("""COMPUTED_VALUE"""),338.64)</f>
        <v>338.64</v>
      </c>
      <c r="C412" s="2">
        <f t="shared" ca="1" si="1"/>
        <v>2.1603385516852456E-3</v>
      </c>
    </row>
    <row r="413" spans="1:3">
      <c r="A413" s="3">
        <f ca="1">IFERROR(__xludf.UNSUPPORTED("""COMPUTED_VALUE"""),44062.6666666666)</f>
        <v>44062.666666666599</v>
      </c>
      <c r="B413" s="1">
        <f ca="1">IFERROR(__xludf.UNSUPPORTED("""COMPUTED_VALUE"""),337.23)</f>
        <v>337.23</v>
      </c>
      <c r="C413" s="2">
        <f t="shared" ca="1" si="1"/>
        <v>-4.1637136782422873E-3</v>
      </c>
    </row>
    <row r="414" spans="1:3">
      <c r="A414" s="3">
        <f ca="1">IFERROR(__xludf.UNSUPPORTED("""COMPUTED_VALUE"""),44063.6666666666)</f>
        <v>44063.666666666599</v>
      </c>
      <c r="B414" s="1">
        <f ca="1">IFERROR(__xludf.UNSUPPORTED("""COMPUTED_VALUE"""),338.28)</f>
        <v>338.28</v>
      </c>
      <c r="C414" s="2">
        <f t="shared" ca="1" si="1"/>
        <v>3.1136019927051404E-3</v>
      </c>
    </row>
    <row r="415" spans="1:3">
      <c r="A415" s="3">
        <f ca="1">IFERROR(__xludf.UNSUPPORTED("""COMPUTED_VALUE"""),44064.6666666666)</f>
        <v>44064.666666666599</v>
      </c>
      <c r="B415" s="1">
        <f ca="1">IFERROR(__xludf.UNSUPPORTED("""COMPUTED_VALUE"""),339.48)</f>
        <v>339.48</v>
      </c>
      <c r="C415" s="2">
        <f t="shared" ca="1" si="1"/>
        <v>3.5473572188720751E-3</v>
      </c>
    </row>
    <row r="416" spans="1:3">
      <c r="A416" s="3">
        <f ca="1">IFERROR(__xludf.UNSUPPORTED("""COMPUTED_VALUE"""),44067.6666666666)</f>
        <v>44067.666666666599</v>
      </c>
      <c r="B416" s="1">
        <f ca="1">IFERROR(__xludf.UNSUPPORTED("""COMPUTED_VALUE"""),342.92)</f>
        <v>342.92</v>
      </c>
      <c r="C416" s="2">
        <f t="shared" ca="1" si="1"/>
        <v>1.013314480970896E-2</v>
      </c>
    </row>
    <row r="417" spans="1:3">
      <c r="A417" s="3">
        <f ca="1">IFERROR(__xludf.UNSUPPORTED("""COMPUTED_VALUE"""),44068.6666666666)</f>
        <v>44068.666666666599</v>
      </c>
      <c r="B417" s="1">
        <f ca="1">IFERROR(__xludf.UNSUPPORTED("""COMPUTED_VALUE"""),344.12)</f>
        <v>344.12</v>
      </c>
      <c r="C417" s="2">
        <f t="shared" ca="1" si="1"/>
        <v>3.4993584509506255E-3</v>
      </c>
    </row>
    <row r="418" spans="1:3">
      <c r="A418" s="3">
        <f ca="1">IFERROR(__xludf.UNSUPPORTED("""COMPUTED_VALUE"""),44069.6666666666)</f>
        <v>44069.666666666599</v>
      </c>
      <c r="B418" s="1">
        <f ca="1">IFERROR(__xludf.UNSUPPORTED("""COMPUTED_VALUE"""),347.57)</f>
        <v>347.57</v>
      </c>
      <c r="C418" s="2">
        <f t="shared" ca="1" si="1"/>
        <v>1.0025572474718088E-2</v>
      </c>
    </row>
    <row r="419" spans="1:3">
      <c r="A419" s="3">
        <f ca="1">IFERROR(__xludf.UNSUPPORTED("""COMPUTED_VALUE"""),44070.6666666666)</f>
        <v>44070.666666666599</v>
      </c>
      <c r="B419" s="1">
        <f ca="1">IFERROR(__xludf.UNSUPPORTED("""COMPUTED_VALUE"""),348.33)</f>
        <v>348.33</v>
      </c>
      <c r="C419" s="2">
        <f t="shared" ca="1" si="1"/>
        <v>2.1866098915326146E-3</v>
      </c>
    </row>
    <row r="420" spans="1:3">
      <c r="A420" s="3">
        <f ca="1">IFERROR(__xludf.UNSUPPORTED("""COMPUTED_VALUE"""),44071.6666666666)</f>
        <v>44071.666666666599</v>
      </c>
      <c r="B420" s="1">
        <f ca="1">IFERROR(__xludf.UNSUPPORTED("""COMPUTED_VALUE"""),350.58)</f>
        <v>350.58</v>
      </c>
      <c r="C420" s="2">
        <f t="shared" ca="1" si="1"/>
        <v>6.4593919559038848E-3</v>
      </c>
    </row>
    <row r="421" spans="1:3">
      <c r="A421" s="3">
        <f ca="1">IFERROR(__xludf.UNSUPPORTED("""COMPUTED_VALUE"""),44074.6666666666)</f>
        <v>44074.666666666599</v>
      </c>
      <c r="B421" s="1">
        <f ca="1">IFERROR(__xludf.UNSUPPORTED("""COMPUTED_VALUE"""),349.31)</f>
        <v>349.31</v>
      </c>
      <c r="C421" s="2">
        <f t="shared" ca="1" si="1"/>
        <v>-3.6225683153630608E-3</v>
      </c>
    </row>
    <row r="422" spans="1:3">
      <c r="A422" s="3">
        <f ca="1">IFERROR(__xludf.UNSUPPORTED("""COMPUTED_VALUE"""),44075.6666666666)</f>
        <v>44075.666666666599</v>
      </c>
      <c r="B422" s="1">
        <f ca="1">IFERROR(__xludf.UNSUPPORTED("""COMPUTED_VALUE"""),352.6)</f>
        <v>352.6</v>
      </c>
      <c r="C422" s="2">
        <f t="shared" ca="1" si="1"/>
        <v>9.4185680341244745E-3</v>
      </c>
    </row>
    <row r="423" spans="1:3">
      <c r="A423" s="3">
        <f ca="1">IFERROR(__xludf.UNSUPPORTED("""COMPUTED_VALUE"""),44076.6666666666)</f>
        <v>44076.666666666599</v>
      </c>
      <c r="B423" s="1">
        <f ca="1">IFERROR(__xludf.UNSUPPORTED("""COMPUTED_VALUE"""),357.7)</f>
        <v>357.7</v>
      </c>
      <c r="C423" s="2">
        <f t="shared" ca="1" si="1"/>
        <v>1.4463981849120719E-2</v>
      </c>
    </row>
    <row r="424" spans="1:3">
      <c r="A424" s="3">
        <f ca="1">IFERROR(__xludf.UNSUPPORTED("""COMPUTED_VALUE"""),44077.6666666666)</f>
        <v>44077.666666666599</v>
      </c>
      <c r="B424" s="1">
        <f ca="1">IFERROR(__xludf.UNSUPPORTED("""COMPUTED_VALUE"""),345.39)</f>
        <v>345.39</v>
      </c>
      <c r="C424" s="2">
        <f t="shared" ca="1" si="1"/>
        <v>-3.4414313670673755E-2</v>
      </c>
    </row>
    <row r="425" spans="1:3">
      <c r="A425" s="3">
        <f ca="1">IFERROR(__xludf.UNSUPPORTED("""COMPUTED_VALUE"""),44078.6666666666)</f>
        <v>44078.666666666599</v>
      </c>
      <c r="B425" s="1">
        <f ca="1">IFERROR(__xludf.UNSUPPORTED("""COMPUTED_VALUE"""),342.57)</f>
        <v>342.57</v>
      </c>
      <c r="C425" s="2">
        <f t="shared" ca="1" si="1"/>
        <v>-8.1646834013723423E-3</v>
      </c>
    </row>
    <row r="426" spans="1:3">
      <c r="A426" s="3">
        <f ca="1">IFERROR(__xludf.UNSUPPORTED("""COMPUTED_VALUE"""),44082.6666666666)</f>
        <v>44082.666666666599</v>
      </c>
      <c r="B426" s="1">
        <f ca="1">IFERROR(__xludf.UNSUPPORTED("""COMPUTED_VALUE"""),333.21)</f>
        <v>333.21</v>
      </c>
      <c r="C426" s="2">
        <f t="shared" ca="1" si="1"/>
        <v>-2.7322882914440884E-2</v>
      </c>
    </row>
    <row r="427" spans="1:3">
      <c r="A427" s="3">
        <f ca="1">IFERROR(__xludf.UNSUPPORTED("""COMPUTED_VALUE"""),44083.6666666666)</f>
        <v>44083.666666666599</v>
      </c>
      <c r="B427" s="1">
        <f ca="1">IFERROR(__xludf.UNSUPPORTED("""COMPUTED_VALUE"""),339.79)</f>
        <v>339.79</v>
      </c>
      <c r="C427" s="2">
        <f t="shared" ca="1" si="1"/>
        <v>1.9747306503406385E-2</v>
      </c>
    </row>
    <row r="428" spans="1:3">
      <c r="A428" s="3">
        <f ca="1">IFERROR(__xludf.UNSUPPORTED("""COMPUTED_VALUE"""),44084.6666666666)</f>
        <v>44084.666666666599</v>
      </c>
      <c r="B428" s="1">
        <f ca="1">IFERROR(__xludf.UNSUPPORTED("""COMPUTED_VALUE"""),333.89)</f>
        <v>333.89</v>
      </c>
      <c r="C428" s="2">
        <f t="shared" ca="1" si="1"/>
        <v>-1.7363665793578485E-2</v>
      </c>
    </row>
    <row r="429" spans="1:3">
      <c r="A429" s="3">
        <f ca="1">IFERROR(__xludf.UNSUPPORTED("""COMPUTED_VALUE"""),44085.6666666666)</f>
        <v>44085.666666666599</v>
      </c>
      <c r="B429" s="1">
        <f ca="1">IFERROR(__xludf.UNSUPPORTED("""COMPUTED_VALUE"""),334.06)</f>
        <v>334.06</v>
      </c>
      <c r="C429" s="2">
        <f t="shared" ca="1" si="1"/>
        <v>5.0914971996770175E-4</v>
      </c>
    </row>
    <row r="430" spans="1:3">
      <c r="A430" s="3">
        <f ca="1">IFERROR(__xludf.UNSUPPORTED("""COMPUTED_VALUE"""),44088.6666666666)</f>
        <v>44088.666666666599</v>
      </c>
      <c r="B430" s="1">
        <f ca="1">IFERROR(__xludf.UNSUPPORTED("""COMPUTED_VALUE"""),338.46)</f>
        <v>338.46</v>
      </c>
      <c r="C430" s="2">
        <f t="shared" ca="1" si="1"/>
        <v>1.3171286595222346E-2</v>
      </c>
    </row>
    <row r="431" spans="1:3">
      <c r="A431" s="3">
        <f ca="1">IFERROR(__xludf.UNSUPPORTED("""COMPUTED_VALUE"""),44089.6666666666)</f>
        <v>44089.666666666599</v>
      </c>
      <c r="B431" s="1">
        <f ca="1">IFERROR(__xludf.UNSUPPORTED("""COMPUTED_VALUE"""),340.17)</f>
        <v>340.17</v>
      </c>
      <c r="C431" s="2">
        <f t="shared" ca="1" si="1"/>
        <v>5.0522956922532548E-3</v>
      </c>
    </row>
    <row r="432" spans="1:3">
      <c r="A432" s="3">
        <f ca="1">IFERROR(__xludf.UNSUPPORTED("""COMPUTED_VALUE"""),44090.6666666666)</f>
        <v>44090.666666666599</v>
      </c>
      <c r="B432" s="1">
        <f ca="1">IFERROR(__xludf.UNSUPPORTED("""COMPUTED_VALUE"""),338.82)</f>
        <v>338.82</v>
      </c>
      <c r="C432" s="2">
        <f t="shared" ca="1" si="1"/>
        <v>-3.9686039333275205E-3</v>
      </c>
    </row>
    <row r="433" spans="1:3">
      <c r="A433" s="3">
        <f ca="1">IFERROR(__xludf.UNSUPPORTED("""COMPUTED_VALUE"""),44091.6666666666)</f>
        <v>44091.666666666599</v>
      </c>
      <c r="B433" s="1">
        <f ca="1">IFERROR(__xludf.UNSUPPORTED("""COMPUTED_VALUE"""),335.84)</f>
        <v>335.84</v>
      </c>
      <c r="C433" s="2">
        <f t="shared" ca="1" si="1"/>
        <v>-8.795230505873379E-3</v>
      </c>
    </row>
    <row r="434" spans="1:3">
      <c r="A434" s="3">
        <f ca="1">IFERROR(__xludf.UNSUPPORTED("""COMPUTED_VALUE"""),44092.6666666666)</f>
        <v>44092.666666666599</v>
      </c>
      <c r="B434" s="1">
        <f ca="1">IFERROR(__xludf.UNSUPPORTED("""COMPUTED_VALUE"""),330.65)</f>
        <v>330.65</v>
      </c>
      <c r="C434" s="2">
        <f t="shared" ca="1" si="1"/>
        <v>-1.5453787517865645E-2</v>
      </c>
    </row>
    <row r="435" spans="1:3">
      <c r="A435" s="3">
        <f ca="1">IFERROR(__xludf.UNSUPPORTED("""COMPUTED_VALUE"""),44095.6666666666)</f>
        <v>44095.666666666599</v>
      </c>
      <c r="B435" s="1">
        <f ca="1">IFERROR(__xludf.UNSUPPORTED("""COMPUTED_VALUE"""),326.97)</f>
        <v>326.97000000000003</v>
      </c>
      <c r="C435" s="2">
        <f t="shared" ca="1" si="1"/>
        <v>-1.1129593225464843E-2</v>
      </c>
    </row>
    <row r="436" spans="1:3">
      <c r="A436" s="3">
        <f ca="1">IFERROR(__xludf.UNSUPPORTED("""COMPUTED_VALUE"""),44096.6666666666)</f>
        <v>44096.666666666599</v>
      </c>
      <c r="B436" s="1">
        <f ca="1">IFERROR(__xludf.UNSUPPORTED("""COMPUTED_VALUE"""),330.3)</f>
        <v>330.3</v>
      </c>
      <c r="C436" s="2">
        <f t="shared" ca="1" si="1"/>
        <v>1.0184420589044818E-2</v>
      </c>
    </row>
    <row r="437" spans="1:3">
      <c r="A437" s="3">
        <f ca="1">IFERROR(__xludf.UNSUPPORTED("""COMPUTED_VALUE"""),44097.6666666666)</f>
        <v>44097.666666666599</v>
      </c>
      <c r="B437" s="1">
        <f ca="1">IFERROR(__xludf.UNSUPPORTED("""COMPUTED_VALUE"""),322.64)</f>
        <v>322.64</v>
      </c>
      <c r="C437" s="2">
        <f t="shared" ca="1" si="1"/>
        <v>-2.3191038449894112E-2</v>
      </c>
    </row>
    <row r="438" spans="1:3">
      <c r="A438" s="3">
        <f ca="1">IFERROR(__xludf.UNSUPPORTED("""COMPUTED_VALUE"""),44098.6666666666)</f>
        <v>44098.666666666599</v>
      </c>
      <c r="B438" s="1">
        <f ca="1">IFERROR(__xludf.UNSUPPORTED("""COMPUTED_VALUE"""),323.5)</f>
        <v>323.5</v>
      </c>
      <c r="C438" s="2">
        <f t="shared" ca="1" si="1"/>
        <v>2.6655095462435334E-3</v>
      </c>
    </row>
    <row r="439" spans="1:3">
      <c r="A439" s="3">
        <f ca="1">IFERROR(__xludf.UNSUPPORTED("""COMPUTED_VALUE"""),44099.6666666666)</f>
        <v>44099.666666666599</v>
      </c>
      <c r="B439" s="1">
        <f ca="1">IFERROR(__xludf.UNSUPPORTED("""COMPUTED_VALUE"""),328.73)</f>
        <v>328.73</v>
      </c>
      <c r="C439" s="2">
        <f t="shared" ca="1" si="1"/>
        <v>1.6166924265842406E-2</v>
      </c>
    </row>
    <row r="440" spans="1:3">
      <c r="A440" s="3">
        <f ca="1">IFERROR(__xludf.UNSUPPORTED("""COMPUTED_VALUE"""),44102.6666666666)</f>
        <v>44102.666666666599</v>
      </c>
      <c r="B440" s="1">
        <f ca="1">IFERROR(__xludf.UNSUPPORTED("""COMPUTED_VALUE"""),334.19)</f>
        <v>334.19</v>
      </c>
      <c r="C440" s="2">
        <f t="shared" ca="1" si="1"/>
        <v>1.6609375475314023E-2</v>
      </c>
    </row>
    <row r="441" spans="1:3">
      <c r="A441" s="3">
        <f ca="1">IFERROR(__xludf.UNSUPPORTED("""COMPUTED_VALUE"""),44103.6666666666)</f>
        <v>44103.666666666599</v>
      </c>
      <c r="B441" s="1">
        <f ca="1">IFERROR(__xludf.UNSUPPORTED("""COMPUTED_VALUE"""),332.37)</f>
        <v>332.37</v>
      </c>
      <c r="C441" s="2">
        <f t="shared" ca="1" si="1"/>
        <v>-5.4460037703102822E-3</v>
      </c>
    </row>
    <row r="442" spans="1:3">
      <c r="A442" s="3">
        <f ca="1">IFERROR(__xludf.UNSUPPORTED("""COMPUTED_VALUE"""),44104.6666666666)</f>
        <v>44104.666666666599</v>
      </c>
      <c r="B442" s="1">
        <f ca="1">IFERROR(__xludf.UNSUPPORTED("""COMPUTED_VALUE"""),334.89)</f>
        <v>334.89</v>
      </c>
      <c r="C442" s="2">
        <f t="shared" ca="1" si="1"/>
        <v>7.5819117248848624E-3</v>
      </c>
    </row>
    <row r="443" spans="1:3">
      <c r="A443" s="3">
        <f ca="1">IFERROR(__xludf.UNSUPPORTED("""COMPUTED_VALUE"""),44105.6666666666)</f>
        <v>44105.666666666599</v>
      </c>
      <c r="B443" s="1">
        <f ca="1">IFERROR(__xludf.UNSUPPORTED("""COMPUTED_VALUE"""),337.04)</f>
        <v>337.04</v>
      </c>
      <c r="C443" s="2">
        <f t="shared" ca="1" si="1"/>
        <v>6.4200185135418622E-3</v>
      </c>
    </row>
    <row r="444" spans="1:3">
      <c r="A444" s="3">
        <f ca="1">IFERROR(__xludf.UNSUPPORTED("""COMPUTED_VALUE"""),44106.6666666666)</f>
        <v>44106.666666666599</v>
      </c>
      <c r="B444" s="1">
        <f ca="1">IFERROR(__xludf.UNSUPPORTED("""COMPUTED_VALUE"""),333.84)</f>
        <v>333.84</v>
      </c>
      <c r="C444" s="2">
        <f t="shared" ca="1" si="1"/>
        <v>-9.4944220270592374E-3</v>
      </c>
    </row>
    <row r="445" spans="1:3">
      <c r="A445" s="3">
        <f ca="1">IFERROR(__xludf.UNSUPPORTED("""COMPUTED_VALUE"""),44109.6666666666)</f>
        <v>44109.666666666599</v>
      </c>
      <c r="B445" s="1">
        <f ca="1">IFERROR(__xludf.UNSUPPORTED("""COMPUTED_VALUE"""),339.76)</f>
        <v>339.76</v>
      </c>
      <c r="C445" s="2">
        <f t="shared" ca="1" si="1"/>
        <v>1.7733045770428998E-2</v>
      </c>
    </row>
    <row r="446" spans="1:3">
      <c r="A446" s="3">
        <f ca="1">IFERROR(__xludf.UNSUPPORTED("""COMPUTED_VALUE"""),44110.6666666666)</f>
        <v>44110.666666666599</v>
      </c>
      <c r="B446" s="1">
        <f ca="1">IFERROR(__xludf.UNSUPPORTED("""COMPUTED_VALUE"""),334.93)</f>
        <v>334.93</v>
      </c>
      <c r="C446" s="2">
        <f t="shared" ca="1" si="1"/>
        <v>-1.4215917117965576E-2</v>
      </c>
    </row>
    <row r="447" spans="1:3">
      <c r="A447" s="3">
        <f ca="1">IFERROR(__xludf.UNSUPPORTED("""COMPUTED_VALUE"""),44111.6666666666)</f>
        <v>44111.666666666599</v>
      </c>
      <c r="B447" s="1">
        <f ca="1">IFERROR(__xludf.UNSUPPORTED("""COMPUTED_VALUE"""),340.76)</f>
        <v>340.76</v>
      </c>
      <c r="C447" s="2">
        <f t="shared" ca="1" si="1"/>
        <v>1.7406622279282191E-2</v>
      </c>
    </row>
    <row r="448" spans="1:3">
      <c r="A448" s="3">
        <f ca="1">IFERROR(__xludf.UNSUPPORTED("""COMPUTED_VALUE"""),44112.6666666666)</f>
        <v>44112.666666666599</v>
      </c>
      <c r="B448" s="1">
        <f ca="1">IFERROR(__xludf.UNSUPPORTED("""COMPUTED_VALUE"""),343.78)</f>
        <v>343.78</v>
      </c>
      <c r="C448" s="2">
        <f t="shared" ca="1" si="1"/>
        <v>8.8625425519426627E-3</v>
      </c>
    </row>
    <row r="449" spans="1:3">
      <c r="A449" s="3">
        <f ca="1">IFERROR(__xludf.UNSUPPORTED("""COMPUTED_VALUE"""),44113.6666666666)</f>
        <v>44113.666666666599</v>
      </c>
      <c r="B449" s="1">
        <f ca="1">IFERROR(__xludf.UNSUPPORTED("""COMPUTED_VALUE"""),346.85)</f>
        <v>346.85</v>
      </c>
      <c r="C449" s="2">
        <f t="shared" ca="1" si="1"/>
        <v>8.9301297341324408E-3</v>
      </c>
    </row>
    <row r="450" spans="1:3">
      <c r="A450" s="3">
        <f ca="1">IFERROR(__xludf.UNSUPPORTED("""COMPUTED_VALUE"""),44116.6666666666)</f>
        <v>44116.666666666599</v>
      </c>
      <c r="B450" s="1">
        <f ca="1">IFERROR(__xludf.UNSUPPORTED("""COMPUTED_VALUE"""),352.43)</f>
        <v>352.43</v>
      </c>
      <c r="C450" s="2">
        <f t="shared" ca="1" si="1"/>
        <v>1.6087645956465283E-2</v>
      </c>
    </row>
    <row r="451" spans="1:3">
      <c r="A451" s="3">
        <f ca="1">IFERROR(__xludf.UNSUPPORTED("""COMPUTED_VALUE"""),44117.6666666666)</f>
        <v>44117.666666666599</v>
      </c>
      <c r="B451" s="1">
        <f ca="1">IFERROR(__xludf.UNSUPPORTED("""COMPUTED_VALUE"""),350.13)</f>
        <v>350.13</v>
      </c>
      <c r="C451" s="2">
        <f t="shared" ca="1" si="1"/>
        <v>-6.526118661861962E-3</v>
      </c>
    </row>
    <row r="452" spans="1:3">
      <c r="A452" s="3">
        <f ca="1">IFERROR(__xludf.UNSUPPORTED("""COMPUTED_VALUE"""),44118.6666666666)</f>
        <v>44118.666666666599</v>
      </c>
      <c r="B452" s="1">
        <f ca="1">IFERROR(__xludf.UNSUPPORTED("""COMPUTED_VALUE"""),347.93)</f>
        <v>347.93</v>
      </c>
      <c r="C452" s="2">
        <f t="shared" ca="1" si="1"/>
        <v>-6.2833804586867412E-3</v>
      </c>
    </row>
    <row r="453" spans="1:3">
      <c r="A453" s="3">
        <f ca="1">IFERROR(__xludf.UNSUPPORTED("""COMPUTED_VALUE"""),44119.6666666666)</f>
        <v>44119.666666666599</v>
      </c>
      <c r="B453" s="1">
        <f ca="1">IFERROR(__xludf.UNSUPPORTED("""COMPUTED_VALUE"""),347.5)</f>
        <v>347.5</v>
      </c>
      <c r="C453" s="2">
        <f t="shared" ca="1" si="1"/>
        <v>-1.2358807806168103E-3</v>
      </c>
    </row>
    <row r="454" spans="1:3">
      <c r="A454" s="3">
        <f ca="1">IFERROR(__xludf.UNSUPPORTED("""COMPUTED_VALUE"""),44120.6666666666)</f>
        <v>44120.666666666599</v>
      </c>
      <c r="B454" s="1">
        <f ca="1">IFERROR(__xludf.UNSUPPORTED("""COMPUTED_VALUE"""),347.29)</f>
        <v>347.29</v>
      </c>
      <c r="C454" s="2">
        <f t="shared" ca="1" si="1"/>
        <v>-6.0431654676253101E-4</v>
      </c>
    </row>
    <row r="455" spans="1:3">
      <c r="A455" s="3">
        <f ca="1">IFERROR(__xludf.UNSUPPORTED("""COMPUTED_VALUE"""),44123.6666666666)</f>
        <v>44123.666666666599</v>
      </c>
      <c r="B455" s="1">
        <f ca="1">IFERROR(__xludf.UNSUPPORTED("""COMPUTED_VALUE"""),342.01)</f>
        <v>342.01</v>
      </c>
      <c r="C455" s="2">
        <f t="shared" ca="1" si="1"/>
        <v>-1.5203432290017072E-2</v>
      </c>
    </row>
    <row r="456" spans="1:3">
      <c r="A456" s="3">
        <f ca="1">IFERROR(__xludf.UNSUPPORTED("""COMPUTED_VALUE"""),44124.6666666666)</f>
        <v>44124.666666666599</v>
      </c>
      <c r="B456" s="1">
        <f ca="1">IFERROR(__xludf.UNSUPPORTED("""COMPUTED_VALUE"""),343.38)</f>
        <v>343.38</v>
      </c>
      <c r="C456" s="2">
        <f t="shared" ca="1" si="1"/>
        <v>4.0057308265840311E-3</v>
      </c>
    </row>
    <row r="457" spans="1:3">
      <c r="A457" s="3">
        <f ca="1">IFERROR(__xludf.UNSUPPORTED("""COMPUTED_VALUE"""),44125.6666666666)</f>
        <v>44125.666666666599</v>
      </c>
      <c r="B457" s="1">
        <f ca="1">IFERROR(__xludf.UNSUPPORTED("""COMPUTED_VALUE"""),342.73)</f>
        <v>342.73</v>
      </c>
      <c r="C457" s="2">
        <f t="shared" ca="1" si="1"/>
        <v>-1.8929465897838467E-3</v>
      </c>
    </row>
    <row r="458" spans="1:3">
      <c r="A458" s="3">
        <f ca="1">IFERROR(__xludf.UNSUPPORTED("""COMPUTED_VALUE"""),44126.6666666666)</f>
        <v>44126.666666666599</v>
      </c>
      <c r="B458" s="1">
        <f ca="1">IFERROR(__xludf.UNSUPPORTED("""COMPUTED_VALUE"""),344.61)</f>
        <v>344.61</v>
      </c>
      <c r="C458" s="2">
        <f t="shared" ca="1" si="1"/>
        <v>5.4853674904443593E-3</v>
      </c>
    </row>
    <row r="459" spans="1:3">
      <c r="A459" s="3">
        <f ca="1">IFERROR(__xludf.UNSUPPORTED("""COMPUTED_VALUE"""),44127.6666666666)</f>
        <v>44127.666666666599</v>
      </c>
      <c r="B459" s="1">
        <f ca="1">IFERROR(__xludf.UNSUPPORTED("""COMPUTED_VALUE"""),345.78)</f>
        <v>345.78</v>
      </c>
      <c r="C459" s="2">
        <f t="shared" ca="1" si="1"/>
        <v>3.3951423348131484E-3</v>
      </c>
    </row>
    <row r="460" spans="1:3">
      <c r="A460" s="3">
        <f ca="1">IFERROR(__xludf.UNSUPPORTED("""COMPUTED_VALUE"""),44130.6666666666)</f>
        <v>44130.666666666599</v>
      </c>
      <c r="B460" s="1">
        <f ca="1">IFERROR(__xludf.UNSUPPORTED("""COMPUTED_VALUE"""),339.39)</f>
        <v>339.39</v>
      </c>
      <c r="C460" s="2">
        <f t="shared" ca="1" si="1"/>
        <v>-1.8479958355023387E-2</v>
      </c>
    </row>
    <row r="461" spans="1:3">
      <c r="A461" s="3">
        <f ca="1">IFERROR(__xludf.UNSUPPORTED("""COMPUTED_VALUE"""),44131.6666666666)</f>
        <v>44131.666666666599</v>
      </c>
      <c r="B461" s="1">
        <f ca="1">IFERROR(__xludf.UNSUPPORTED("""COMPUTED_VALUE"""),338.22)</f>
        <v>338.22</v>
      </c>
      <c r="C461" s="2">
        <f t="shared" ca="1" si="1"/>
        <v>-3.4473614425880525E-3</v>
      </c>
    </row>
    <row r="462" spans="1:3">
      <c r="A462" s="3">
        <f ca="1">IFERROR(__xludf.UNSUPPORTED("""COMPUTED_VALUE"""),44132.6666666666)</f>
        <v>44132.666666666599</v>
      </c>
      <c r="B462" s="1">
        <f ca="1">IFERROR(__xludf.UNSUPPORTED("""COMPUTED_VALUE"""),326.66)</f>
        <v>326.66000000000003</v>
      </c>
      <c r="C462" s="2">
        <f t="shared" ca="1" si="1"/>
        <v>-3.417893678670688E-2</v>
      </c>
    </row>
    <row r="463" spans="1:3">
      <c r="A463" s="3">
        <f ca="1">IFERROR(__xludf.UNSUPPORTED("""COMPUTED_VALUE"""),44133.6666666666)</f>
        <v>44133.666666666599</v>
      </c>
      <c r="B463" s="1">
        <f ca="1">IFERROR(__xludf.UNSUPPORTED("""COMPUTED_VALUE"""),329.98)</f>
        <v>329.98</v>
      </c>
      <c r="C463" s="2">
        <f t="shared" ca="1" si="1"/>
        <v>1.016347272393312E-2</v>
      </c>
    </row>
    <row r="464" spans="1:3">
      <c r="A464" s="3">
        <f ca="1">IFERROR(__xludf.UNSUPPORTED("""COMPUTED_VALUE"""),44134.6666666666)</f>
        <v>44134.666666666599</v>
      </c>
      <c r="B464" s="1">
        <f ca="1">IFERROR(__xludf.UNSUPPORTED("""COMPUTED_VALUE"""),326.54)</f>
        <v>326.54000000000002</v>
      </c>
      <c r="C464" s="2">
        <f t="shared" ca="1" si="1"/>
        <v>-1.0424874234802102E-2</v>
      </c>
    </row>
    <row r="465" spans="1:3">
      <c r="A465" s="3">
        <f ca="1">IFERROR(__xludf.UNSUPPORTED("""COMPUTED_VALUE"""),44137.6666666666)</f>
        <v>44137.666666666599</v>
      </c>
      <c r="B465" s="1">
        <f ca="1">IFERROR(__xludf.UNSUPPORTED("""COMPUTED_VALUE"""),330.2)</f>
        <v>330.2</v>
      </c>
      <c r="C465" s="2">
        <f t="shared" ca="1" si="1"/>
        <v>1.1208427757701868E-2</v>
      </c>
    </row>
    <row r="466" spans="1:3">
      <c r="A466" s="3">
        <f ca="1">IFERROR(__xludf.UNSUPPORTED("""COMPUTED_VALUE"""),44138.6666666666)</f>
        <v>44138.666666666599</v>
      </c>
      <c r="B466" s="1">
        <f ca="1">IFERROR(__xludf.UNSUPPORTED("""COMPUTED_VALUE"""),336.03)</f>
        <v>336.03</v>
      </c>
      <c r="C466" s="2">
        <f t="shared" ca="1" si="1"/>
        <v>1.7655966081162884E-2</v>
      </c>
    </row>
    <row r="467" spans="1:3">
      <c r="A467" s="3">
        <f ca="1">IFERROR(__xludf.UNSUPPORTED("""COMPUTED_VALUE"""),44139.6666666666)</f>
        <v>44139.666666666599</v>
      </c>
      <c r="B467" s="1">
        <f ca="1">IFERROR(__xludf.UNSUPPORTED("""COMPUTED_VALUE"""),343.54)</f>
        <v>343.54</v>
      </c>
      <c r="C467" s="2">
        <f t="shared" ca="1" si="1"/>
        <v>2.2349195012350231E-2</v>
      </c>
    </row>
    <row r="468" spans="1:3">
      <c r="A468" s="3">
        <f ca="1">IFERROR(__xludf.UNSUPPORTED("""COMPUTED_VALUE"""),44140.6666666666)</f>
        <v>44140.666666666599</v>
      </c>
      <c r="B468" s="1">
        <f ca="1">IFERROR(__xludf.UNSUPPORTED("""COMPUTED_VALUE"""),350.24)</f>
        <v>350.24</v>
      </c>
      <c r="C468" s="2">
        <f t="shared" ca="1" si="1"/>
        <v>1.9502823543109938E-2</v>
      </c>
    </row>
    <row r="469" spans="1:3">
      <c r="A469" s="3">
        <f ca="1">IFERROR(__xludf.UNSUPPORTED("""COMPUTED_VALUE"""),44141.6666666666)</f>
        <v>44141.666666666599</v>
      </c>
      <c r="B469" s="1">
        <f ca="1">IFERROR(__xludf.UNSUPPORTED("""COMPUTED_VALUE"""),350.16)</f>
        <v>350.16</v>
      </c>
      <c r="C469" s="2">
        <f t="shared" ca="1" si="1"/>
        <v>-2.2841480127907743E-4</v>
      </c>
    </row>
    <row r="470" spans="1:3">
      <c r="A470" s="3">
        <f ca="1">IFERROR(__xludf.UNSUPPORTED("""COMPUTED_VALUE"""),44144.6666666666)</f>
        <v>44144.666666666599</v>
      </c>
      <c r="B470" s="1">
        <f ca="1">IFERROR(__xludf.UNSUPPORTED("""COMPUTED_VALUE"""),354.56)</f>
        <v>354.56</v>
      </c>
      <c r="C470" s="2">
        <f t="shared" ca="1" si="1"/>
        <v>1.2565684258624563E-2</v>
      </c>
    </row>
    <row r="471" spans="1:3">
      <c r="A471" s="3">
        <f ca="1">IFERROR(__xludf.UNSUPPORTED("""COMPUTED_VALUE"""),44145.6666666666)</f>
        <v>44145.666666666599</v>
      </c>
      <c r="B471" s="1">
        <f ca="1">IFERROR(__xludf.UNSUPPORTED("""COMPUTED_VALUE"""),354.04)</f>
        <v>354.04</v>
      </c>
      <c r="C471" s="2">
        <f t="shared" ca="1" si="1"/>
        <v>-1.4666064981948945E-3</v>
      </c>
    </row>
    <row r="472" spans="1:3">
      <c r="A472" s="3">
        <f ca="1">IFERROR(__xludf.UNSUPPORTED("""COMPUTED_VALUE"""),44146.6666666666)</f>
        <v>44146.666666666599</v>
      </c>
      <c r="B472" s="1">
        <f ca="1">IFERROR(__xludf.UNSUPPORTED("""COMPUTED_VALUE"""),356.67)</f>
        <v>356.67</v>
      </c>
      <c r="C472" s="2">
        <f t="shared" ca="1" si="1"/>
        <v>7.4285391481188432E-3</v>
      </c>
    </row>
    <row r="473" spans="1:3">
      <c r="A473" s="3">
        <f ca="1">IFERROR(__xludf.UNSUPPORTED("""COMPUTED_VALUE"""),44147.6666666666)</f>
        <v>44147.666666666599</v>
      </c>
      <c r="B473" s="1">
        <f ca="1">IFERROR(__xludf.UNSUPPORTED("""COMPUTED_VALUE"""),353.21)</f>
        <v>353.21</v>
      </c>
      <c r="C473" s="2">
        <f t="shared" ca="1" si="1"/>
        <v>-9.700843917346668E-3</v>
      </c>
    </row>
    <row r="474" spans="1:3">
      <c r="A474" s="3">
        <f ca="1">IFERROR(__xludf.UNSUPPORTED("""COMPUTED_VALUE"""),44148.6666666666)</f>
        <v>44148.666666666599</v>
      </c>
      <c r="B474" s="1">
        <f ca="1">IFERROR(__xludf.UNSUPPORTED("""COMPUTED_VALUE"""),358.1)</f>
        <v>358.1</v>
      </c>
      <c r="C474" s="2">
        <f t="shared" ca="1" si="1"/>
        <v>1.3844455140001821E-2</v>
      </c>
    </row>
    <row r="475" spans="1:3">
      <c r="A475" s="3">
        <f ca="1">IFERROR(__xludf.UNSUPPORTED("""COMPUTED_VALUE"""),44151.6666666666)</f>
        <v>44151.666666666599</v>
      </c>
      <c r="B475" s="1">
        <f ca="1">IFERROR(__xludf.UNSUPPORTED("""COMPUTED_VALUE"""),362.57)</f>
        <v>362.57</v>
      </c>
      <c r="C475" s="2">
        <f t="shared" ca="1" si="1"/>
        <v>1.248254677464387E-2</v>
      </c>
    </row>
    <row r="476" spans="1:3">
      <c r="A476" s="3">
        <f ca="1">IFERROR(__xludf.UNSUPPORTED("""COMPUTED_VALUE"""),44152.6666666666)</f>
        <v>44152.666666666599</v>
      </c>
      <c r="B476" s="1">
        <f ca="1">IFERROR(__xludf.UNSUPPORTED("""COMPUTED_VALUE"""),360.62)</f>
        <v>360.62</v>
      </c>
      <c r="C476" s="2">
        <f t="shared" ca="1" si="1"/>
        <v>-5.378271782000686E-3</v>
      </c>
    </row>
    <row r="477" spans="1:3">
      <c r="A477" s="3">
        <f ca="1">IFERROR(__xludf.UNSUPPORTED("""COMPUTED_VALUE"""),44153.6666666666)</f>
        <v>44153.666666666599</v>
      </c>
      <c r="B477" s="1">
        <f ca="1">IFERROR(__xludf.UNSUPPORTED("""COMPUTED_VALUE"""),356.28)</f>
        <v>356.28</v>
      </c>
      <c r="C477" s="2">
        <f t="shared" ca="1" si="1"/>
        <v>-1.2034828905773478E-2</v>
      </c>
    </row>
    <row r="478" spans="1:3">
      <c r="A478" s="3">
        <f ca="1">IFERROR(__xludf.UNSUPPORTED("""COMPUTED_VALUE"""),44154.6666666666)</f>
        <v>44154.666666666599</v>
      </c>
      <c r="B478" s="1">
        <f ca="1">IFERROR(__xludf.UNSUPPORTED("""COMPUTED_VALUE"""),357.78)</f>
        <v>357.78</v>
      </c>
      <c r="C478" s="2">
        <f t="shared" ca="1" si="1"/>
        <v>4.2101717750084207E-3</v>
      </c>
    </row>
    <row r="479" spans="1:3">
      <c r="A479" s="3">
        <f ca="1">IFERROR(__xludf.UNSUPPORTED("""COMPUTED_VALUE"""),44155.6666666666)</f>
        <v>44155.666666666599</v>
      </c>
      <c r="B479" s="1">
        <f ca="1">IFERROR(__xludf.UNSUPPORTED("""COMPUTED_VALUE"""),355.33)</f>
        <v>355.33</v>
      </c>
      <c r="C479" s="2">
        <f t="shared" ca="1" si="1"/>
        <v>-6.8477835541393842E-3</v>
      </c>
    </row>
    <row r="480" spans="1:3">
      <c r="A480" s="3">
        <f ca="1">IFERROR(__xludf.UNSUPPORTED("""COMPUTED_VALUE"""),44158.6666666666)</f>
        <v>44158.666666666599</v>
      </c>
      <c r="B480" s="1">
        <f ca="1">IFERROR(__xludf.UNSUPPORTED("""COMPUTED_VALUE"""),357.46)</f>
        <v>357.46</v>
      </c>
      <c r="C480" s="2">
        <f t="shared" ca="1" si="1"/>
        <v>5.9944277150817422E-3</v>
      </c>
    </row>
    <row r="481" spans="1:3">
      <c r="A481" s="3">
        <f ca="1">IFERROR(__xludf.UNSUPPORTED("""COMPUTED_VALUE"""),44159.6666666666)</f>
        <v>44159.666666666599</v>
      </c>
      <c r="B481" s="1">
        <f ca="1">IFERROR(__xludf.UNSUPPORTED("""COMPUTED_VALUE"""),363.22)</f>
        <v>363.22</v>
      </c>
      <c r="C481" s="2">
        <f t="shared" ca="1" si="1"/>
        <v>1.6113691042354522E-2</v>
      </c>
    </row>
    <row r="482" spans="1:3">
      <c r="A482" s="3">
        <f ca="1">IFERROR(__xludf.UNSUPPORTED("""COMPUTED_VALUE"""),44160.6666666666)</f>
        <v>44160.666666666599</v>
      </c>
      <c r="B482" s="1">
        <f ca="1">IFERROR(__xludf.UNSUPPORTED("""COMPUTED_VALUE"""),362.66)</f>
        <v>362.66</v>
      </c>
      <c r="C482" s="2">
        <f t="shared" ca="1" si="1"/>
        <v>-1.5417653212928865E-3</v>
      </c>
    </row>
    <row r="483" spans="1:3">
      <c r="A483" s="3">
        <f ca="1">IFERROR(__xludf.UNSUPPORTED("""COMPUTED_VALUE"""),44162.5416666666)</f>
        <v>44162.541666666599</v>
      </c>
      <c r="B483" s="1">
        <f ca="1">IFERROR(__xludf.UNSUPPORTED("""COMPUTED_VALUE"""),363.67)</f>
        <v>363.67</v>
      </c>
      <c r="C483" s="2">
        <f t="shared" ca="1" si="1"/>
        <v>2.7849776650305819E-3</v>
      </c>
    </row>
    <row r="484" spans="1:3">
      <c r="A484" s="3">
        <f ca="1">IFERROR(__xludf.UNSUPPORTED("""COMPUTED_VALUE"""),44165.6666666666)</f>
        <v>44165.666666666599</v>
      </c>
      <c r="B484" s="1">
        <f ca="1">IFERROR(__xludf.UNSUPPORTED("""COMPUTED_VALUE"""),362.06)</f>
        <v>362.06</v>
      </c>
      <c r="C484" s="2">
        <f t="shared" ca="1" si="1"/>
        <v>-4.4270904941293302E-3</v>
      </c>
    </row>
    <row r="485" spans="1:3">
      <c r="A485" s="3">
        <f ca="1">IFERROR(__xludf.UNSUPPORTED("""COMPUTED_VALUE"""),44166.6666666666)</f>
        <v>44166.666666666599</v>
      </c>
      <c r="B485" s="1">
        <f ca="1">IFERROR(__xludf.UNSUPPORTED("""COMPUTED_VALUE"""),366.02)</f>
        <v>366.02</v>
      </c>
      <c r="C485" s="2">
        <f t="shared" ca="1" si="1"/>
        <v>1.0937413688338893E-2</v>
      </c>
    </row>
    <row r="486" spans="1:3">
      <c r="A486" s="3">
        <f ca="1">IFERROR(__xludf.UNSUPPORTED("""COMPUTED_VALUE"""),44167.6666666666)</f>
        <v>44167.666666666599</v>
      </c>
      <c r="B486" s="1">
        <f ca="1">IFERROR(__xludf.UNSUPPORTED("""COMPUTED_VALUE"""),366.79)</f>
        <v>366.79</v>
      </c>
      <c r="C486" s="2">
        <f t="shared" ca="1" si="1"/>
        <v>2.1037101797717027E-3</v>
      </c>
    </row>
    <row r="487" spans="1:3">
      <c r="A487" s="3">
        <f ca="1">IFERROR(__xludf.UNSUPPORTED("""COMPUTED_VALUE"""),44168.6666666666)</f>
        <v>44168.666666666599</v>
      </c>
      <c r="B487" s="1">
        <f ca="1">IFERROR(__xludf.UNSUPPORTED("""COMPUTED_VALUE"""),366.69)</f>
        <v>366.69</v>
      </c>
      <c r="C487" s="2">
        <f t="shared" ca="1" si="1"/>
        <v>-2.72635568036268E-4</v>
      </c>
    </row>
    <row r="488" spans="1:3">
      <c r="A488" s="3">
        <f ca="1">IFERROR(__xludf.UNSUPPORTED("""COMPUTED_VALUE"""),44169.6666666666)</f>
        <v>44169.666666666599</v>
      </c>
      <c r="B488" s="1">
        <f ca="1">IFERROR(__xludf.UNSUPPORTED("""COMPUTED_VALUE"""),369.85)</f>
        <v>369.85</v>
      </c>
      <c r="C488" s="2">
        <f t="shared" ca="1" si="1"/>
        <v>8.6176334233276745E-3</v>
      </c>
    </row>
    <row r="489" spans="1:3">
      <c r="A489" s="3">
        <f ca="1">IFERROR(__xludf.UNSUPPORTED("""COMPUTED_VALUE"""),44172.6666666666)</f>
        <v>44172.666666666599</v>
      </c>
      <c r="B489" s="1">
        <f ca="1">IFERROR(__xludf.UNSUPPORTED("""COMPUTED_VALUE"""),369.09)</f>
        <v>369.09</v>
      </c>
      <c r="C489" s="2">
        <f t="shared" ca="1" si="1"/>
        <v>-2.0548871163986689E-3</v>
      </c>
    </row>
    <row r="490" spans="1:3">
      <c r="A490" s="3">
        <f ca="1">IFERROR(__xludf.UNSUPPORTED("""COMPUTED_VALUE"""),44173.6666666666)</f>
        <v>44173.666666666599</v>
      </c>
      <c r="B490" s="1">
        <f ca="1">IFERROR(__xludf.UNSUPPORTED("""COMPUTED_VALUE"""),370.17)</f>
        <v>370.17</v>
      </c>
      <c r="C490" s="2">
        <f t="shared" ca="1" si="1"/>
        <v>2.926115581565583E-3</v>
      </c>
    </row>
    <row r="491" spans="1:3">
      <c r="A491" s="3">
        <f ca="1">IFERROR(__xludf.UNSUPPORTED("""COMPUTED_VALUE"""),44174.6666666666)</f>
        <v>44174.666666666599</v>
      </c>
      <c r="B491" s="1">
        <f ca="1">IFERROR(__xludf.UNSUPPORTED("""COMPUTED_VALUE"""),366.85)</f>
        <v>366.85</v>
      </c>
      <c r="C491" s="2">
        <f t="shared" ca="1" si="1"/>
        <v>-8.9688521490125968E-3</v>
      </c>
    </row>
    <row r="492" spans="1:3">
      <c r="A492" s="3">
        <f ca="1">IFERROR(__xludf.UNSUPPORTED("""COMPUTED_VALUE"""),44175.6666666666)</f>
        <v>44175.666666666599</v>
      </c>
      <c r="B492" s="1">
        <f ca="1">IFERROR(__xludf.UNSUPPORTED("""COMPUTED_VALUE"""),366.73)</f>
        <v>366.73</v>
      </c>
      <c r="C492" s="2">
        <f t="shared" ca="1" si="1"/>
        <v>-3.2710917268639645E-4</v>
      </c>
    </row>
    <row r="493" spans="1:3">
      <c r="A493" s="3">
        <f ca="1">IFERROR(__xludf.UNSUPPORTED("""COMPUTED_VALUE"""),44176.6666666666)</f>
        <v>44176.666666666599</v>
      </c>
      <c r="B493" s="1">
        <f ca="1">IFERROR(__xludf.UNSUPPORTED("""COMPUTED_VALUE"""),366.3)</f>
        <v>366.3</v>
      </c>
      <c r="C493" s="2">
        <f t="shared" ca="1" si="1"/>
        <v>-1.1725247457257568E-3</v>
      </c>
    </row>
    <row r="494" spans="1:3">
      <c r="A494" s="3">
        <f ca="1">IFERROR(__xludf.UNSUPPORTED("""COMPUTED_VALUE"""),44179.6666666666)</f>
        <v>44179.666666666599</v>
      </c>
      <c r="B494" s="1">
        <f ca="1">IFERROR(__xludf.UNSUPPORTED("""COMPUTED_VALUE"""),364.66)</f>
        <v>364.66</v>
      </c>
      <c r="C494" s="2">
        <f t="shared" ca="1" si="1"/>
        <v>-4.4772044772044394E-3</v>
      </c>
    </row>
    <row r="495" spans="1:3">
      <c r="A495" s="3">
        <f ca="1">IFERROR(__xludf.UNSUPPORTED("""COMPUTED_VALUE"""),44180.6666666666)</f>
        <v>44180.666666666599</v>
      </c>
      <c r="B495" s="1">
        <f ca="1">IFERROR(__xludf.UNSUPPORTED("""COMPUTED_VALUE"""),369.59)</f>
        <v>369.59</v>
      </c>
      <c r="C495" s="2">
        <f t="shared" ca="1" si="1"/>
        <v>1.3519442768606236E-2</v>
      </c>
    </row>
    <row r="496" spans="1:3">
      <c r="A496" s="3">
        <f ca="1">IFERROR(__xludf.UNSUPPORTED("""COMPUTED_VALUE"""),44181.6666666666)</f>
        <v>44181.666666666599</v>
      </c>
      <c r="B496" s="1">
        <f ca="1">IFERROR(__xludf.UNSUPPORTED("""COMPUTED_VALUE"""),370.17)</f>
        <v>370.17</v>
      </c>
      <c r="C496" s="2">
        <f t="shared" ca="1" si="1"/>
        <v>1.5693065288564111E-3</v>
      </c>
    </row>
    <row r="497" spans="1:3">
      <c r="A497" s="3">
        <f ca="1">IFERROR(__xludf.UNSUPPORTED("""COMPUTED_VALUE"""),44182.6666666666)</f>
        <v>44182.666666666599</v>
      </c>
      <c r="B497" s="1">
        <f ca="1">IFERROR(__xludf.UNSUPPORTED("""COMPUTED_VALUE"""),372.24)</f>
        <v>372.24</v>
      </c>
      <c r="C497" s="2">
        <f t="shared" ca="1" si="1"/>
        <v>5.5920252856795343E-3</v>
      </c>
    </row>
    <row r="498" spans="1:3">
      <c r="A498" s="3">
        <f ca="1">IFERROR(__xludf.UNSUPPORTED("""COMPUTED_VALUE"""),44183.6666666666)</f>
        <v>44183.666666666599</v>
      </c>
      <c r="B498" s="1">
        <f ca="1">IFERROR(__xludf.UNSUPPORTED("""COMPUTED_VALUE"""),369.18)</f>
        <v>369.18</v>
      </c>
      <c r="C498" s="2">
        <f t="shared" ca="1" si="1"/>
        <v>-8.2205029013539717E-3</v>
      </c>
    </row>
    <row r="499" spans="1:3">
      <c r="A499" s="3">
        <f ca="1">IFERROR(__xludf.UNSUPPORTED("""COMPUTED_VALUE"""),44186.6666666666)</f>
        <v>44186.666666666599</v>
      </c>
      <c r="B499" s="1">
        <f ca="1">IFERROR(__xludf.UNSUPPORTED("""COMPUTED_VALUE"""),367.86)</f>
        <v>367.86</v>
      </c>
      <c r="C499" s="2">
        <f t="shared" ca="1" si="1"/>
        <v>-3.5754916300991201E-3</v>
      </c>
    </row>
    <row r="500" spans="1:3">
      <c r="A500" s="3">
        <f ca="1">IFERROR(__xludf.UNSUPPORTED("""COMPUTED_VALUE"""),44187.6666666666)</f>
        <v>44187.666666666599</v>
      </c>
      <c r="B500" s="1">
        <f ca="1">IFERROR(__xludf.UNSUPPORTED("""COMPUTED_VALUE"""),367.24)</f>
        <v>367.24</v>
      </c>
      <c r="C500" s="2">
        <f t="shared" ca="1" si="1"/>
        <v>-1.6854238025335849E-3</v>
      </c>
    </row>
    <row r="501" spans="1:3">
      <c r="A501" s="3">
        <f ca="1">IFERROR(__xludf.UNSUPPORTED("""COMPUTED_VALUE"""),44188.6666666666)</f>
        <v>44188.666666666599</v>
      </c>
      <c r="B501" s="1">
        <f ca="1">IFERROR(__xludf.UNSUPPORTED("""COMPUTED_VALUE"""),367.57)</f>
        <v>367.57</v>
      </c>
      <c r="C501" s="2">
        <f t="shared" ca="1" si="1"/>
        <v>8.9859492430014181E-4</v>
      </c>
    </row>
    <row r="502" spans="1:3">
      <c r="A502" s="3">
        <f ca="1">IFERROR(__xludf.UNSUPPORTED("""COMPUTED_VALUE"""),44189.5416666666)</f>
        <v>44189.541666666599</v>
      </c>
      <c r="B502" s="1">
        <f ca="1">IFERROR(__xludf.UNSUPPORTED("""COMPUTED_VALUE"""),369)</f>
        <v>369</v>
      </c>
      <c r="C502" s="2">
        <f t="shared" ca="1" si="1"/>
        <v>3.8904154310743719E-3</v>
      </c>
    </row>
    <row r="503" spans="1:3">
      <c r="A503" s="3">
        <f ca="1">IFERROR(__xludf.UNSUPPORTED("""COMPUTED_VALUE"""),44193.6666666666)</f>
        <v>44193.666666666599</v>
      </c>
      <c r="B503" s="1">
        <f ca="1">IFERROR(__xludf.UNSUPPORTED("""COMPUTED_VALUE"""),372.17)</f>
        <v>372.17</v>
      </c>
      <c r="C503" s="2">
        <f t="shared" ca="1" si="1"/>
        <v>8.5907859078591213E-3</v>
      </c>
    </row>
    <row r="504" spans="1:3">
      <c r="A504" s="3">
        <f ca="1">IFERROR(__xludf.UNSUPPORTED("""COMPUTED_VALUE"""),44194.6666666666)</f>
        <v>44194.666666666599</v>
      </c>
      <c r="B504" s="1">
        <f ca="1">IFERROR(__xludf.UNSUPPORTED("""COMPUTED_VALUE"""),371.46)</f>
        <v>371.46</v>
      </c>
      <c r="C504" s="2">
        <f t="shared" ca="1" si="1"/>
        <v>-1.9077303382863647E-3</v>
      </c>
    </row>
    <row r="505" spans="1:3">
      <c r="A505" s="3">
        <f ca="1">IFERROR(__xludf.UNSUPPORTED("""COMPUTED_VALUE"""),44195.6666666666)</f>
        <v>44195.666666666599</v>
      </c>
      <c r="B505" s="1">
        <f ca="1">IFERROR(__xludf.UNSUPPORTED("""COMPUTED_VALUE"""),371.99)</f>
        <v>371.99</v>
      </c>
      <c r="C505" s="2">
        <f t="shared" ca="1" si="1"/>
        <v>1.4268023474937532E-3</v>
      </c>
    </row>
    <row r="506" spans="1:3">
      <c r="A506" s="3">
        <f ca="1">IFERROR(__xludf.UNSUPPORTED("""COMPUTED_VALUE"""),44196.6666666666)</f>
        <v>44196.666666666599</v>
      </c>
      <c r="B506" s="1">
        <f ca="1">IFERROR(__xludf.UNSUPPORTED("""COMPUTED_VALUE"""),373.88)</f>
        <v>373.88</v>
      </c>
      <c r="C506" s="2">
        <f t="shared" ca="1" si="1"/>
        <v>5.0807817414446257E-3</v>
      </c>
    </row>
    <row r="507" spans="1:3">
      <c r="A507" s="3">
        <f ca="1">IFERROR(__xludf.UNSUPPORTED("""COMPUTED_VALUE"""),44200.6666666666)</f>
        <v>44200.666666666599</v>
      </c>
      <c r="B507" s="1">
        <f ca="1">IFERROR(__xludf.UNSUPPORTED("""COMPUTED_VALUE"""),368.79)</f>
        <v>368.79</v>
      </c>
      <c r="C507" s="2">
        <f t="shared" ca="1" si="1"/>
        <v>-1.3613993794800404E-2</v>
      </c>
    </row>
    <row r="508" spans="1:3">
      <c r="A508" s="3">
        <f ca="1">IFERROR(__xludf.UNSUPPORTED("""COMPUTED_VALUE"""),44201.6666666666)</f>
        <v>44201.666666666599</v>
      </c>
      <c r="B508" s="1">
        <f ca="1">IFERROR(__xludf.UNSUPPORTED("""COMPUTED_VALUE"""),371.33)</f>
        <v>371.33</v>
      </c>
      <c r="C508" s="2">
        <f t="shared" ca="1" si="1"/>
        <v>6.8873884866725334E-3</v>
      </c>
    </row>
    <row r="509" spans="1:3">
      <c r="A509" s="3">
        <f ca="1">IFERROR(__xludf.UNSUPPORTED("""COMPUTED_VALUE"""),44202.6666666666)</f>
        <v>44202.666666666599</v>
      </c>
      <c r="B509" s="1">
        <f ca="1">IFERROR(__xludf.UNSUPPORTED("""COMPUTED_VALUE"""),373.55)</f>
        <v>373.55</v>
      </c>
      <c r="C509" s="2">
        <f t="shared" ca="1" si="1"/>
        <v>5.9785096814155263E-3</v>
      </c>
    </row>
    <row r="510" spans="1:3">
      <c r="A510" s="3">
        <f ca="1">IFERROR(__xludf.UNSUPPORTED("""COMPUTED_VALUE"""),44203.6666666666)</f>
        <v>44203.666666666599</v>
      </c>
      <c r="B510" s="1">
        <f ca="1">IFERROR(__xludf.UNSUPPORTED("""COMPUTED_VALUE"""),379.1)</f>
        <v>379.1</v>
      </c>
      <c r="C510" s="2">
        <f t="shared" ca="1" si="1"/>
        <v>1.4857448802034564E-2</v>
      </c>
    </row>
    <row r="511" spans="1:3">
      <c r="A511" s="3">
        <f ca="1">IFERROR(__xludf.UNSUPPORTED("""COMPUTED_VALUE"""),44204.6666666666)</f>
        <v>44204.666666666599</v>
      </c>
      <c r="B511" s="1">
        <f ca="1">IFERROR(__xludf.UNSUPPORTED("""COMPUTED_VALUE"""),381.26)</f>
        <v>381.26</v>
      </c>
      <c r="C511" s="2">
        <f t="shared" ca="1" si="1"/>
        <v>5.6977050910049275E-3</v>
      </c>
    </row>
    <row r="512" spans="1:3">
      <c r="A512" s="3">
        <f ca="1">IFERROR(__xludf.UNSUPPORTED("""COMPUTED_VALUE"""),44207.6666666666)</f>
        <v>44207.666666666599</v>
      </c>
      <c r="B512" s="1">
        <f ca="1">IFERROR(__xludf.UNSUPPORTED("""COMPUTED_VALUE"""),378.69)</f>
        <v>378.69</v>
      </c>
      <c r="C512" s="2">
        <f t="shared" ca="1" si="1"/>
        <v>-6.7408067985101853E-3</v>
      </c>
    </row>
    <row r="513" spans="1:3">
      <c r="A513" s="3">
        <f ca="1">IFERROR(__xludf.UNSUPPORTED("""COMPUTED_VALUE"""),44208.6666666666)</f>
        <v>44208.666666666599</v>
      </c>
      <c r="B513" s="1">
        <f ca="1">IFERROR(__xludf.UNSUPPORTED("""COMPUTED_VALUE"""),378.77)</f>
        <v>378.77</v>
      </c>
      <c r="C513" s="2">
        <f t="shared" ref="C513:C767" ca="1" si="2">(B513-B512)/B512</f>
        <v>2.1125458818554513E-4</v>
      </c>
    </row>
    <row r="514" spans="1:3">
      <c r="A514" s="3">
        <f ca="1">IFERROR(__xludf.UNSUPPORTED("""COMPUTED_VALUE"""),44209.6666666666)</f>
        <v>44209.666666666599</v>
      </c>
      <c r="B514" s="1">
        <f ca="1">IFERROR(__xludf.UNSUPPORTED("""COMPUTED_VALUE"""),379.79)</f>
        <v>379.79</v>
      </c>
      <c r="C514" s="2">
        <f t="shared" ca="1" si="2"/>
        <v>2.6929271061595129E-3</v>
      </c>
    </row>
    <row r="515" spans="1:3">
      <c r="A515" s="3">
        <f ca="1">IFERROR(__xludf.UNSUPPORTED("""COMPUTED_VALUE"""),44210.6666666666)</f>
        <v>44210.666666666599</v>
      </c>
      <c r="B515" s="1">
        <f ca="1">IFERROR(__xludf.UNSUPPORTED("""COMPUTED_VALUE"""),378.46)</f>
        <v>378.46</v>
      </c>
      <c r="C515" s="2">
        <f t="shared" ca="1" si="2"/>
        <v>-3.5019352800232783E-3</v>
      </c>
    </row>
    <row r="516" spans="1:3">
      <c r="A516" s="3">
        <f ca="1">IFERROR(__xludf.UNSUPPORTED("""COMPUTED_VALUE"""),44211.6666666666)</f>
        <v>44211.666666666599</v>
      </c>
      <c r="B516" s="1">
        <f ca="1">IFERROR(__xludf.UNSUPPORTED("""COMPUTED_VALUE"""),375.7)</f>
        <v>375.7</v>
      </c>
      <c r="C516" s="2">
        <f t="shared" ca="1" si="2"/>
        <v>-7.2927125720023012E-3</v>
      </c>
    </row>
    <row r="517" spans="1:3">
      <c r="A517" s="3">
        <f ca="1">IFERROR(__xludf.UNSUPPORTED("""COMPUTED_VALUE"""),44215.6666666666)</f>
        <v>44215.666666666599</v>
      </c>
      <c r="B517" s="1">
        <f ca="1">IFERROR(__xludf.UNSUPPORTED("""COMPUTED_VALUE"""),378.65)</f>
        <v>378.65</v>
      </c>
      <c r="C517" s="2">
        <f t="shared" ca="1" si="2"/>
        <v>7.8520095821133576E-3</v>
      </c>
    </row>
    <row r="518" spans="1:3">
      <c r="A518" s="3">
        <f ca="1">IFERROR(__xludf.UNSUPPORTED("""COMPUTED_VALUE"""),44216.6666666666)</f>
        <v>44216.666666666599</v>
      </c>
      <c r="B518" s="1">
        <f ca="1">IFERROR(__xludf.UNSUPPORTED("""COMPUTED_VALUE"""),383.89)</f>
        <v>383.89</v>
      </c>
      <c r="C518" s="2">
        <f t="shared" ca="1" si="2"/>
        <v>1.3838637263964108E-2</v>
      </c>
    </row>
    <row r="519" spans="1:3">
      <c r="A519" s="3">
        <f ca="1">IFERROR(__xludf.UNSUPPORTED("""COMPUTED_VALUE"""),44217.6666666666)</f>
        <v>44217.666666666599</v>
      </c>
      <c r="B519" s="1">
        <f ca="1">IFERROR(__xludf.UNSUPPORTED("""COMPUTED_VALUE"""),384.24)</f>
        <v>384.24</v>
      </c>
      <c r="C519" s="2">
        <f t="shared" ca="1" si="2"/>
        <v>9.1171950298268455E-4</v>
      </c>
    </row>
    <row r="520" spans="1:3">
      <c r="A520" s="3">
        <f ca="1">IFERROR(__xludf.UNSUPPORTED("""COMPUTED_VALUE"""),44218.6666666666)</f>
        <v>44218.666666666599</v>
      </c>
      <c r="B520" s="1">
        <f ca="1">IFERROR(__xludf.UNSUPPORTED("""COMPUTED_VALUE"""),382.88)</f>
        <v>382.88</v>
      </c>
      <c r="C520" s="2">
        <f t="shared" ca="1" si="2"/>
        <v>-3.5394545075994525E-3</v>
      </c>
    </row>
    <row r="521" spans="1:3">
      <c r="A521" s="3">
        <f ca="1">IFERROR(__xludf.UNSUPPORTED("""COMPUTED_VALUE"""),44221.6666666666)</f>
        <v>44221.666666666599</v>
      </c>
      <c r="B521" s="1">
        <f ca="1">IFERROR(__xludf.UNSUPPORTED("""COMPUTED_VALUE"""),384.39)</f>
        <v>384.39</v>
      </c>
      <c r="C521" s="2">
        <f t="shared" ca="1" si="2"/>
        <v>3.9437944003342844E-3</v>
      </c>
    </row>
    <row r="522" spans="1:3">
      <c r="A522" s="3">
        <f ca="1">IFERROR(__xludf.UNSUPPORTED("""COMPUTED_VALUE"""),44222.6666666666)</f>
        <v>44222.666666666599</v>
      </c>
      <c r="B522" s="1">
        <f ca="1">IFERROR(__xludf.UNSUPPORTED("""COMPUTED_VALUE"""),383.79)</f>
        <v>383.79</v>
      </c>
      <c r="C522" s="2">
        <f t="shared" ca="1" si="2"/>
        <v>-1.5609146960117743E-3</v>
      </c>
    </row>
    <row r="523" spans="1:3">
      <c r="A523" s="3">
        <f ca="1">IFERROR(__xludf.UNSUPPORTED("""COMPUTED_VALUE"""),44223.6666666666)</f>
        <v>44223.666666666599</v>
      </c>
      <c r="B523" s="1">
        <f ca="1">IFERROR(__xludf.UNSUPPORTED("""COMPUTED_VALUE"""),374.41)</f>
        <v>374.41</v>
      </c>
      <c r="C523" s="2">
        <f t="shared" ca="1" si="2"/>
        <v>-2.4440449203991754E-2</v>
      </c>
    </row>
    <row r="524" spans="1:3">
      <c r="A524" s="3">
        <f ca="1">IFERROR(__xludf.UNSUPPORTED("""COMPUTED_VALUE"""),44224.6666666666)</f>
        <v>44224.666666666599</v>
      </c>
      <c r="B524" s="1">
        <f ca="1">IFERROR(__xludf.UNSUPPORTED("""COMPUTED_VALUE"""),377.63)</f>
        <v>377.63</v>
      </c>
      <c r="C524" s="2">
        <f t="shared" ca="1" si="2"/>
        <v>8.6001976442936084E-3</v>
      </c>
    </row>
    <row r="525" spans="1:3">
      <c r="A525" s="3">
        <f ca="1">IFERROR(__xludf.UNSUPPORTED("""COMPUTED_VALUE"""),44225.6666666666)</f>
        <v>44225.666666666599</v>
      </c>
      <c r="B525" s="1">
        <f ca="1">IFERROR(__xludf.UNSUPPORTED("""COMPUTED_VALUE"""),370.07)</f>
        <v>370.07</v>
      </c>
      <c r="C525" s="2">
        <f t="shared" ca="1" si="2"/>
        <v>-2.0019595900749417E-2</v>
      </c>
    </row>
    <row r="526" spans="1:3">
      <c r="A526" s="3">
        <f ca="1">IFERROR(__xludf.UNSUPPORTED("""COMPUTED_VALUE"""),44228.6666666666)</f>
        <v>44228.666666666599</v>
      </c>
      <c r="B526" s="1">
        <f ca="1">IFERROR(__xludf.UNSUPPORTED("""COMPUTED_VALUE"""),376.23)</f>
        <v>376.23</v>
      </c>
      <c r="C526" s="2">
        <f t="shared" ca="1" si="2"/>
        <v>1.6645499500094644E-2</v>
      </c>
    </row>
    <row r="527" spans="1:3">
      <c r="A527" s="3">
        <f ca="1">IFERROR(__xludf.UNSUPPORTED("""COMPUTED_VALUE"""),44229.6666666666)</f>
        <v>44229.666666666599</v>
      </c>
      <c r="B527" s="1">
        <f ca="1">IFERROR(__xludf.UNSUPPORTED("""COMPUTED_VALUE"""),381.55)</f>
        <v>381.55</v>
      </c>
      <c r="C527" s="2">
        <f t="shared" ca="1" si="2"/>
        <v>1.4140286526858552E-2</v>
      </c>
    </row>
    <row r="528" spans="1:3">
      <c r="A528" s="3">
        <f ca="1">IFERROR(__xludf.UNSUPPORTED("""COMPUTED_VALUE"""),44230.6666666666)</f>
        <v>44230.666666666599</v>
      </c>
      <c r="B528" s="1">
        <f ca="1">IFERROR(__xludf.UNSUPPORTED("""COMPUTED_VALUE"""),381.85)</f>
        <v>381.85</v>
      </c>
      <c r="C528" s="2">
        <f t="shared" ca="1" si="2"/>
        <v>7.8626654435856732E-4</v>
      </c>
    </row>
    <row r="529" spans="1:3">
      <c r="A529" s="3">
        <f ca="1">IFERROR(__xludf.UNSUPPORTED("""COMPUTED_VALUE"""),44231.6666666666)</f>
        <v>44231.666666666599</v>
      </c>
      <c r="B529" s="1">
        <f ca="1">IFERROR(__xludf.UNSUPPORTED("""COMPUTED_VALUE"""),386.19)</f>
        <v>386.19</v>
      </c>
      <c r="C529" s="2">
        <f t="shared" ca="1" si="2"/>
        <v>1.1365719523372985E-2</v>
      </c>
    </row>
    <row r="530" spans="1:3">
      <c r="A530" s="3">
        <f ca="1">IFERROR(__xludf.UNSUPPORTED("""COMPUTED_VALUE"""),44232.6666666666)</f>
        <v>44232.666666666599</v>
      </c>
      <c r="B530" s="1">
        <f ca="1">IFERROR(__xludf.UNSUPPORTED("""COMPUTED_VALUE"""),387.71)</f>
        <v>387.71</v>
      </c>
      <c r="C530" s="2">
        <f t="shared" ca="1" si="2"/>
        <v>3.935886480747771E-3</v>
      </c>
    </row>
    <row r="531" spans="1:3">
      <c r="A531" s="3">
        <f ca="1">IFERROR(__xludf.UNSUPPORTED("""COMPUTED_VALUE"""),44235.6666666666)</f>
        <v>44235.666666666599</v>
      </c>
      <c r="B531" s="1">
        <f ca="1">IFERROR(__xludf.UNSUPPORTED("""COMPUTED_VALUE"""),390.51)</f>
        <v>390.51</v>
      </c>
      <c r="C531" s="2">
        <f t="shared" ca="1" si="2"/>
        <v>7.2218926517242567E-3</v>
      </c>
    </row>
    <row r="532" spans="1:3">
      <c r="A532" s="3">
        <f ca="1">IFERROR(__xludf.UNSUPPORTED("""COMPUTED_VALUE"""),44236.6666666666)</f>
        <v>44236.666666666599</v>
      </c>
      <c r="B532" s="1">
        <f ca="1">IFERROR(__xludf.UNSUPPORTED("""COMPUTED_VALUE"""),390.25)</f>
        <v>390.25</v>
      </c>
      <c r="C532" s="2">
        <f t="shared" ca="1" si="2"/>
        <v>-6.657960103454224E-4</v>
      </c>
    </row>
    <row r="533" spans="1:3">
      <c r="A533" s="3">
        <f ca="1">IFERROR(__xludf.UNSUPPORTED("""COMPUTED_VALUE"""),44237.6666666666)</f>
        <v>44237.666666666599</v>
      </c>
      <c r="B533" s="1">
        <f ca="1">IFERROR(__xludf.UNSUPPORTED("""COMPUTED_VALUE"""),390.08)</f>
        <v>390.08</v>
      </c>
      <c r="C533" s="2">
        <f t="shared" ca="1" si="2"/>
        <v>-4.356181934657679E-4</v>
      </c>
    </row>
    <row r="534" spans="1:3">
      <c r="A534" s="3">
        <f ca="1">IFERROR(__xludf.UNSUPPORTED("""COMPUTED_VALUE"""),44238.6666666666)</f>
        <v>44238.666666666599</v>
      </c>
      <c r="B534" s="1">
        <f ca="1">IFERROR(__xludf.UNSUPPORTED("""COMPUTED_VALUE"""),390.71)</f>
        <v>390.71</v>
      </c>
      <c r="C534" s="2">
        <f t="shared" ca="1" si="2"/>
        <v>1.6150533223953944E-3</v>
      </c>
    </row>
    <row r="535" spans="1:3">
      <c r="A535" s="3">
        <f ca="1">IFERROR(__xludf.UNSUPPORTED("""COMPUTED_VALUE"""),44239.6666666666)</f>
        <v>44239.666666666599</v>
      </c>
      <c r="B535" s="1">
        <f ca="1">IFERROR(__xludf.UNSUPPORTED("""COMPUTED_VALUE"""),392.64)</f>
        <v>392.64</v>
      </c>
      <c r="C535" s="2">
        <f t="shared" ca="1" si="2"/>
        <v>4.9397251158148168E-3</v>
      </c>
    </row>
    <row r="536" spans="1:3">
      <c r="A536" s="3">
        <f ca="1">IFERROR(__xludf.UNSUPPORTED("""COMPUTED_VALUE"""),44243.6666666666)</f>
        <v>44243.666666666599</v>
      </c>
      <c r="B536" s="1">
        <f ca="1">IFERROR(__xludf.UNSUPPORTED("""COMPUTED_VALUE"""),392.3)</f>
        <v>392.3</v>
      </c>
      <c r="C536" s="2">
        <f t="shared" ca="1" si="2"/>
        <v>-8.6593317033408466E-4</v>
      </c>
    </row>
    <row r="537" spans="1:3">
      <c r="A537" s="3">
        <f ca="1">IFERROR(__xludf.UNSUPPORTED("""COMPUTED_VALUE"""),44244.6666666666)</f>
        <v>44244.666666666599</v>
      </c>
      <c r="B537" s="1">
        <f ca="1">IFERROR(__xludf.UNSUPPORTED("""COMPUTED_VALUE"""),392.39)</f>
        <v>392.39</v>
      </c>
      <c r="C537" s="2">
        <f t="shared" ca="1" si="2"/>
        <v>2.2941626306391787E-4</v>
      </c>
    </row>
    <row r="538" spans="1:3">
      <c r="A538" s="3">
        <f ca="1">IFERROR(__xludf.UNSUPPORTED("""COMPUTED_VALUE"""),44245.6666666666)</f>
        <v>44245.666666666599</v>
      </c>
      <c r="B538" s="1">
        <f ca="1">IFERROR(__xludf.UNSUPPORTED("""COMPUTED_VALUE"""),390.72)</f>
        <v>390.72</v>
      </c>
      <c r="C538" s="2">
        <f t="shared" ca="1" si="2"/>
        <v>-4.2559698259383751E-3</v>
      </c>
    </row>
    <row r="539" spans="1:3">
      <c r="A539" s="3">
        <f ca="1">IFERROR(__xludf.UNSUPPORTED("""COMPUTED_VALUE"""),44246.6666666666)</f>
        <v>44246.666666666599</v>
      </c>
      <c r="B539" s="1">
        <f ca="1">IFERROR(__xludf.UNSUPPORTED("""COMPUTED_VALUE"""),390.03)</f>
        <v>390.03</v>
      </c>
      <c r="C539" s="2">
        <f t="shared" ca="1" si="2"/>
        <v>-1.7659705159706555E-3</v>
      </c>
    </row>
    <row r="540" spans="1:3">
      <c r="A540" s="3">
        <f ca="1">IFERROR(__xludf.UNSUPPORTED("""COMPUTED_VALUE"""),44249.6666666666)</f>
        <v>44249.666666666599</v>
      </c>
      <c r="B540" s="1">
        <f ca="1">IFERROR(__xludf.UNSUPPORTED("""COMPUTED_VALUE"""),387.03)</f>
        <v>387.03</v>
      </c>
      <c r="C540" s="2">
        <f t="shared" ca="1" si="2"/>
        <v>-7.6917160218444736E-3</v>
      </c>
    </row>
    <row r="541" spans="1:3">
      <c r="A541" s="3">
        <f ca="1">IFERROR(__xludf.UNSUPPORTED("""COMPUTED_VALUE"""),44250.6666666666)</f>
        <v>44250.666666666599</v>
      </c>
      <c r="B541" s="1">
        <f ca="1">IFERROR(__xludf.UNSUPPORTED("""COMPUTED_VALUE"""),387.5)</f>
        <v>387.5</v>
      </c>
      <c r="C541" s="2">
        <f t="shared" ca="1" si="2"/>
        <v>1.2143761465520176E-3</v>
      </c>
    </row>
    <row r="542" spans="1:3">
      <c r="A542" s="3">
        <f ca="1">IFERROR(__xludf.UNSUPPORTED("""COMPUTED_VALUE"""),44251.6666666666)</f>
        <v>44251.666666666599</v>
      </c>
      <c r="B542" s="1">
        <f ca="1">IFERROR(__xludf.UNSUPPORTED("""COMPUTED_VALUE"""),391.77)</f>
        <v>391.77</v>
      </c>
      <c r="C542" s="2">
        <f t="shared" ca="1" si="2"/>
        <v>1.101935483870963E-2</v>
      </c>
    </row>
    <row r="543" spans="1:3">
      <c r="A543" s="3">
        <f ca="1">IFERROR(__xludf.UNSUPPORTED("""COMPUTED_VALUE"""),44252.6666666666)</f>
        <v>44252.666666666599</v>
      </c>
      <c r="B543" s="1">
        <f ca="1">IFERROR(__xludf.UNSUPPORTED("""COMPUTED_VALUE"""),382.33)</f>
        <v>382.33</v>
      </c>
      <c r="C543" s="2">
        <f t="shared" ca="1" si="2"/>
        <v>-2.4095770477576123E-2</v>
      </c>
    </row>
    <row r="544" spans="1:3">
      <c r="A544" s="3">
        <f ca="1">IFERROR(__xludf.UNSUPPORTED("""COMPUTED_VALUE"""),44253.6666666666)</f>
        <v>44253.666666666599</v>
      </c>
      <c r="B544" s="1">
        <f ca="1">IFERROR(__xludf.UNSUPPORTED("""COMPUTED_VALUE"""),380.36)</f>
        <v>380.36</v>
      </c>
      <c r="C544" s="2">
        <f t="shared" ca="1" si="2"/>
        <v>-5.1526168493185743E-3</v>
      </c>
    </row>
    <row r="545" spans="1:3">
      <c r="A545" s="3">
        <f ca="1">IFERROR(__xludf.UNSUPPORTED("""COMPUTED_VALUE"""),44256.6666666666)</f>
        <v>44256.666666666599</v>
      </c>
      <c r="B545" s="1">
        <f ca="1">IFERROR(__xludf.UNSUPPORTED("""COMPUTED_VALUE"""),389.58)</f>
        <v>389.58</v>
      </c>
      <c r="C545" s="2">
        <f t="shared" ca="1" si="2"/>
        <v>2.4240193500893813E-2</v>
      </c>
    </row>
    <row r="546" spans="1:3">
      <c r="A546" s="3">
        <f ca="1">IFERROR(__xludf.UNSUPPORTED("""COMPUTED_VALUE"""),44257.6666666666)</f>
        <v>44257.666666666599</v>
      </c>
      <c r="B546" s="1">
        <f ca="1">IFERROR(__xludf.UNSUPPORTED("""COMPUTED_VALUE"""),386.54)</f>
        <v>386.54</v>
      </c>
      <c r="C546" s="2">
        <f t="shared" ca="1" si="2"/>
        <v>-7.8032753221417006E-3</v>
      </c>
    </row>
    <row r="547" spans="1:3">
      <c r="A547" s="3">
        <f ca="1">IFERROR(__xludf.UNSUPPORTED("""COMPUTED_VALUE"""),44258.6666666666)</f>
        <v>44258.666666666599</v>
      </c>
      <c r="B547" s="1">
        <f ca="1">IFERROR(__xludf.UNSUPPORTED("""COMPUTED_VALUE"""),381.42)</f>
        <v>381.42</v>
      </c>
      <c r="C547" s="2">
        <f t="shared" ca="1" si="2"/>
        <v>-1.3245718425001305E-2</v>
      </c>
    </row>
    <row r="548" spans="1:3">
      <c r="A548" s="3">
        <f ca="1">IFERROR(__xludf.UNSUPPORTED("""COMPUTED_VALUE"""),44259.6666666666)</f>
        <v>44259.666666666599</v>
      </c>
      <c r="B548" s="1">
        <f ca="1">IFERROR(__xludf.UNSUPPORTED("""COMPUTED_VALUE"""),376.7)</f>
        <v>376.7</v>
      </c>
      <c r="C548" s="2">
        <f t="shared" ca="1" si="2"/>
        <v>-1.2374809920822261E-2</v>
      </c>
    </row>
    <row r="549" spans="1:3">
      <c r="A549" s="3">
        <f ca="1">IFERROR(__xludf.UNSUPPORTED("""COMPUTED_VALUE"""),44260.6666666666)</f>
        <v>44260.666666666599</v>
      </c>
      <c r="B549" s="1">
        <f ca="1">IFERROR(__xludf.UNSUPPORTED("""COMPUTED_VALUE"""),383.63)</f>
        <v>383.63</v>
      </c>
      <c r="C549" s="2">
        <f t="shared" ca="1" si="2"/>
        <v>1.8396602070613239E-2</v>
      </c>
    </row>
    <row r="550" spans="1:3">
      <c r="A550" s="3">
        <f ca="1">IFERROR(__xludf.UNSUPPORTED("""COMPUTED_VALUE"""),44263.6666666666)</f>
        <v>44263.666666666599</v>
      </c>
      <c r="B550" s="1">
        <f ca="1">IFERROR(__xludf.UNSUPPORTED("""COMPUTED_VALUE"""),381.72)</f>
        <v>381.72</v>
      </c>
      <c r="C550" s="2">
        <f t="shared" ca="1" si="2"/>
        <v>-4.9787555717748042E-3</v>
      </c>
    </row>
    <row r="551" spans="1:3">
      <c r="A551" s="3">
        <f ca="1">IFERROR(__xludf.UNSUPPORTED("""COMPUTED_VALUE"""),44264.6666666666)</f>
        <v>44264.666666666599</v>
      </c>
      <c r="B551" s="1">
        <f ca="1">IFERROR(__xludf.UNSUPPORTED("""COMPUTED_VALUE"""),387.17)</f>
        <v>387.17</v>
      </c>
      <c r="C551" s="2">
        <f t="shared" ca="1" si="2"/>
        <v>1.4277480876034759E-2</v>
      </c>
    </row>
    <row r="552" spans="1:3">
      <c r="A552" s="3">
        <f ca="1">IFERROR(__xludf.UNSUPPORTED("""COMPUTED_VALUE"""),44265.6666666666)</f>
        <v>44265.666666666599</v>
      </c>
      <c r="B552" s="1">
        <f ca="1">IFERROR(__xludf.UNSUPPORTED("""COMPUTED_VALUE"""),389.58)</f>
        <v>389.58</v>
      </c>
      <c r="C552" s="2">
        <f t="shared" ca="1" si="2"/>
        <v>6.2246558359376194E-3</v>
      </c>
    </row>
    <row r="553" spans="1:3">
      <c r="A553" s="3">
        <f ca="1">IFERROR(__xludf.UNSUPPORTED("""COMPUTED_VALUE"""),44266.6666666666)</f>
        <v>44266.666666666599</v>
      </c>
      <c r="B553" s="1">
        <f ca="1">IFERROR(__xludf.UNSUPPORTED("""COMPUTED_VALUE"""),393.53)</f>
        <v>393.53</v>
      </c>
      <c r="C553" s="2">
        <f t="shared" ca="1" si="2"/>
        <v>1.0139124185019737E-2</v>
      </c>
    </row>
    <row r="554" spans="1:3">
      <c r="A554" s="3">
        <f ca="1">IFERROR(__xludf.UNSUPPORTED("""COMPUTED_VALUE"""),44267.6666666666)</f>
        <v>44267.666666666599</v>
      </c>
      <c r="B554" s="1">
        <f ca="1">IFERROR(__xludf.UNSUPPORTED("""COMPUTED_VALUE"""),394.06)</f>
        <v>394.06</v>
      </c>
      <c r="C554" s="2">
        <f t="shared" ca="1" si="2"/>
        <v>1.3467842350012187E-3</v>
      </c>
    </row>
    <row r="555" spans="1:3">
      <c r="A555" s="3">
        <f ca="1">IFERROR(__xludf.UNSUPPORTED("""COMPUTED_VALUE"""),44270.6666666666)</f>
        <v>44270.666666666599</v>
      </c>
      <c r="B555" s="1">
        <f ca="1">IFERROR(__xludf.UNSUPPORTED("""COMPUTED_VALUE"""),396.41)</f>
        <v>396.41</v>
      </c>
      <c r="C555" s="2">
        <f t="shared" ca="1" si="2"/>
        <v>5.9635588489063158E-3</v>
      </c>
    </row>
    <row r="556" spans="1:3">
      <c r="A556" s="3">
        <f ca="1">IFERROR(__xludf.UNSUPPORTED("""COMPUTED_VALUE"""),44271.6666666666)</f>
        <v>44271.666666666599</v>
      </c>
      <c r="B556" s="1">
        <f ca="1">IFERROR(__xludf.UNSUPPORTED("""COMPUTED_VALUE"""),395.91)</f>
        <v>395.91</v>
      </c>
      <c r="C556" s="2">
        <f t="shared" ca="1" si="2"/>
        <v>-1.2613203501425291E-3</v>
      </c>
    </row>
    <row r="557" spans="1:3">
      <c r="A557" s="3">
        <f ca="1">IFERROR(__xludf.UNSUPPORTED("""COMPUTED_VALUE"""),44272.6666666666)</f>
        <v>44272.666666666599</v>
      </c>
      <c r="B557" s="1">
        <f ca="1">IFERROR(__xludf.UNSUPPORTED("""COMPUTED_VALUE"""),397.26)</f>
        <v>397.26</v>
      </c>
      <c r="C557" s="2">
        <f t="shared" ca="1" si="2"/>
        <v>3.4098658786086882E-3</v>
      </c>
    </row>
    <row r="558" spans="1:3">
      <c r="A558" s="3">
        <f ca="1">IFERROR(__xludf.UNSUPPORTED("""COMPUTED_VALUE"""),44273.6666666666)</f>
        <v>44273.666666666599</v>
      </c>
      <c r="B558" s="1">
        <f ca="1">IFERROR(__xludf.UNSUPPORTED("""COMPUTED_VALUE"""),391.48)</f>
        <v>391.48</v>
      </c>
      <c r="C558" s="2">
        <f t="shared" ca="1" si="2"/>
        <v>-1.4549665206665591E-2</v>
      </c>
    </row>
    <row r="559" spans="1:3">
      <c r="A559" s="3">
        <f ca="1">IFERROR(__xludf.UNSUPPORTED("""COMPUTED_VALUE"""),44274.6666666666)</f>
        <v>44274.666666666599</v>
      </c>
      <c r="B559" s="1">
        <f ca="1">IFERROR(__xludf.UNSUPPORTED("""COMPUTED_VALUE"""),389.48)</f>
        <v>389.48</v>
      </c>
      <c r="C559" s="2">
        <f t="shared" ca="1" si="2"/>
        <v>-5.1088178195565544E-3</v>
      </c>
    </row>
    <row r="560" spans="1:3">
      <c r="A560" s="3">
        <f ca="1">IFERROR(__xludf.UNSUPPORTED("""COMPUTED_VALUE"""),44277.6666666666)</f>
        <v>44277.666666666599</v>
      </c>
      <c r="B560" s="1">
        <f ca="1">IFERROR(__xludf.UNSUPPORTED("""COMPUTED_VALUE"""),392.59)</f>
        <v>392.59</v>
      </c>
      <c r="C560" s="2">
        <f t="shared" ca="1" si="2"/>
        <v>7.9850056485569389E-3</v>
      </c>
    </row>
    <row r="561" spans="1:3">
      <c r="A561" s="3">
        <f ca="1">IFERROR(__xludf.UNSUPPORTED("""COMPUTED_VALUE"""),44278.6666666666)</f>
        <v>44278.666666666599</v>
      </c>
      <c r="B561" s="1">
        <f ca="1">IFERROR(__xludf.UNSUPPORTED("""COMPUTED_VALUE"""),389.5)</f>
        <v>389.5</v>
      </c>
      <c r="C561" s="2">
        <f t="shared" ca="1" si="2"/>
        <v>-7.8708066940064072E-3</v>
      </c>
    </row>
    <row r="562" spans="1:3">
      <c r="A562" s="3">
        <f ca="1">IFERROR(__xludf.UNSUPPORTED("""COMPUTED_VALUE"""),44279.6666666666)</f>
        <v>44279.666666666599</v>
      </c>
      <c r="B562" s="1">
        <f ca="1">IFERROR(__xludf.UNSUPPORTED("""COMPUTED_VALUE"""),387.52)</f>
        <v>387.52</v>
      </c>
      <c r="C562" s="2">
        <f t="shared" ca="1" si="2"/>
        <v>-5.0834403080873385E-3</v>
      </c>
    </row>
    <row r="563" spans="1:3">
      <c r="A563" s="3">
        <f ca="1">IFERROR(__xludf.UNSUPPORTED("""COMPUTED_VALUE"""),44280.6666666666)</f>
        <v>44280.666666666599</v>
      </c>
      <c r="B563" s="1">
        <f ca="1">IFERROR(__xludf.UNSUPPORTED("""COMPUTED_VALUE"""),389.7)</f>
        <v>389.7</v>
      </c>
      <c r="C563" s="2">
        <f t="shared" ca="1" si="2"/>
        <v>5.625516102394733E-3</v>
      </c>
    </row>
    <row r="564" spans="1:3">
      <c r="A564" s="3">
        <f ca="1">IFERROR(__xludf.UNSUPPORTED("""COMPUTED_VALUE"""),44281.6666666666)</f>
        <v>44281.666666666599</v>
      </c>
      <c r="B564" s="1">
        <f ca="1">IFERROR(__xludf.UNSUPPORTED("""COMPUTED_VALUE"""),395.98)</f>
        <v>395.98</v>
      </c>
      <c r="C564" s="2">
        <f t="shared" ca="1" si="2"/>
        <v>1.6114960225814805E-2</v>
      </c>
    </row>
    <row r="565" spans="1:3">
      <c r="A565" s="3">
        <f ca="1">IFERROR(__xludf.UNSUPPORTED("""COMPUTED_VALUE"""),44284.6666666666)</f>
        <v>44284.666666666599</v>
      </c>
      <c r="B565" s="1">
        <f ca="1">IFERROR(__xludf.UNSUPPORTED("""COMPUTED_VALUE"""),395.78)</f>
        <v>395.78</v>
      </c>
      <c r="C565" s="2">
        <f t="shared" ca="1" si="2"/>
        <v>-5.0507601394021284E-4</v>
      </c>
    </row>
    <row r="566" spans="1:3">
      <c r="A566" s="3">
        <f ca="1">IFERROR(__xludf.UNSUPPORTED("""COMPUTED_VALUE"""),44285.6666666666)</f>
        <v>44285.666666666599</v>
      </c>
      <c r="B566" s="1">
        <f ca="1">IFERROR(__xludf.UNSUPPORTED("""COMPUTED_VALUE"""),394.73)</f>
        <v>394.73</v>
      </c>
      <c r="C566" s="2">
        <f t="shared" ca="1" si="2"/>
        <v>-2.6529890343118768E-3</v>
      </c>
    </row>
    <row r="567" spans="1:3">
      <c r="A567" s="3">
        <f ca="1">IFERROR(__xludf.UNSUPPORTED("""COMPUTED_VALUE"""),44286.6666666666)</f>
        <v>44286.666666666599</v>
      </c>
      <c r="B567" s="1">
        <f ca="1">IFERROR(__xludf.UNSUPPORTED("""COMPUTED_VALUE"""),396.33)</f>
        <v>396.33</v>
      </c>
      <c r="C567" s="2">
        <f t="shared" ca="1" si="2"/>
        <v>4.0534035923288471E-3</v>
      </c>
    </row>
    <row r="568" spans="1:3">
      <c r="A568" s="3">
        <f ca="1">IFERROR(__xludf.UNSUPPORTED("""COMPUTED_VALUE"""),44287.6666666666)</f>
        <v>44287.666666666599</v>
      </c>
      <c r="B568" s="1">
        <f ca="1">IFERROR(__xludf.UNSUPPORTED("""COMPUTED_VALUE"""),400.61)</f>
        <v>400.61</v>
      </c>
      <c r="C568" s="2">
        <f t="shared" ca="1" si="2"/>
        <v>1.0799081573436353E-2</v>
      </c>
    </row>
    <row r="569" spans="1:3">
      <c r="A569" s="3">
        <f ca="1">IFERROR(__xludf.UNSUPPORTED("""COMPUTED_VALUE"""),44291.6666666666)</f>
        <v>44291.666666666599</v>
      </c>
      <c r="B569" s="1">
        <f ca="1">IFERROR(__xludf.UNSUPPORTED("""COMPUTED_VALUE"""),406.36)</f>
        <v>406.36</v>
      </c>
      <c r="C569" s="2">
        <f t="shared" ca="1" si="2"/>
        <v>1.4353111504954942E-2</v>
      </c>
    </row>
    <row r="570" spans="1:3">
      <c r="A570" s="3">
        <f ca="1">IFERROR(__xludf.UNSUPPORTED("""COMPUTED_VALUE"""),44292.6666666666)</f>
        <v>44292.666666666599</v>
      </c>
      <c r="B570" s="1">
        <f ca="1">IFERROR(__xludf.UNSUPPORTED("""COMPUTED_VALUE"""),406.12)</f>
        <v>406.12</v>
      </c>
      <c r="C570" s="2">
        <f t="shared" ca="1" si="2"/>
        <v>-5.9060931194017396E-4</v>
      </c>
    </row>
    <row r="571" spans="1:3">
      <c r="A571" s="3">
        <f ca="1">IFERROR(__xludf.UNSUPPORTED("""COMPUTED_VALUE"""),44293.6666666666)</f>
        <v>44293.666666666599</v>
      </c>
      <c r="B571" s="1">
        <f ca="1">IFERROR(__xludf.UNSUPPORTED("""COMPUTED_VALUE"""),406.59)</f>
        <v>406.59</v>
      </c>
      <c r="C571" s="2">
        <f t="shared" ca="1" si="2"/>
        <v>1.1572934108144647E-3</v>
      </c>
    </row>
    <row r="572" spans="1:3">
      <c r="A572" s="3">
        <f ca="1">IFERROR(__xludf.UNSUPPORTED("""COMPUTED_VALUE"""),44294.6666666666)</f>
        <v>44294.666666666599</v>
      </c>
      <c r="B572" s="1">
        <f ca="1">IFERROR(__xludf.UNSUPPORTED("""COMPUTED_VALUE"""),408.52)</f>
        <v>408.52</v>
      </c>
      <c r="C572" s="2">
        <f t="shared" ca="1" si="2"/>
        <v>4.746796527214164E-3</v>
      </c>
    </row>
    <row r="573" spans="1:3">
      <c r="A573" s="3">
        <f ca="1">IFERROR(__xludf.UNSUPPORTED("""COMPUTED_VALUE"""),44295.6666666666)</f>
        <v>44295.666666666599</v>
      </c>
      <c r="B573" s="1">
        <f ca="1">IFERROR(__xludf.UNSUPPORTED("""COMPUTED_VALUE"""),411.49)</f>
        <v>411.49</v>
      </c>
      <c r="C573" s="2">
        <f t="shared" ca="1" si="2"/>
        <v>7.2701458924900311E-3</v>
      </c>
    </row>
    <row r="574" spans="1:3">
      <c r="A574" s="3">
        <f ca="1">IFERROR(__xludf.UNSUPPORTED("""COMPUTED_VALUE"""),44298.6666666666)</f>
        <v>44298.666666666599</v>
      </c>
      <c r="B574" s="1">
        <f ca="1">IFERROR(__xludf.UNSUPPORTED("""COMPUTED_VALUE"""),411.64)</f>
        <v>411.64</v>
      </c>
      <c r="C574" s="2">
        <f t="shared" ca="1" si="2"/>
        <v>3.6452890714228114E-4</v>
      </c>
    </row>
    <row r="575" spans="1:3">
      <c r="A575" s="3">
        <f ca="1">IFERROR(__xludf.UNSUPPORTED("""COMPUTED_VALUE"""),44299.6666666666)</f>
        <v>44299.666666666599</v>
      </c>
      <c r="B575" s="1">
        <f ca="1">IFERROR(__xludf.UNSUPPORTED("""COMPUTED_VALUE"""),412.86)</f>
        <v>412.86</v>
      </c>
      <c r="C575" s="2">
        <f t="shared" ca="1" si="2"/>
        <v>2.9637547371490314E-3</v>
      </c>
    </row>
    <row r="576" spans="1:3">
      <c r="A576" s="3">
        <f ca="1">IFERROR(__xludf.UNSUPPORTED("""COMPUTED_VALUE"""),44300.6666666666)</f>
        <v>44300.666666666599</v>
      </c>
      <c r="B576" s="1">
        <f ca="1">IFERROR(__xludf.UNSUPPORTED("""COMPUTED_VALUE"""),411.45)</f>
        <v>411.45</v>
      </c>
      <c r="C576" s="2">
        <f t="shared" ca="1" si="2"/>
        <v>-3.4152012788839438E-3</v>
      </c>
    </row>
    <row r="577" spans="1:3">
      <c r="A577" s="3">
        <f ca="1">IFERROR(__xludf.UNSUPPORTED("""COMPUTED_VALUE"""),44301.6666666666)</f>
        <v>44301.666666666599</v>
      </c>
      <c r="B577" s="1">
        <f ca="1">IFERROR(__xludf.UNSUPPORTED("""COMPUTED_VALUE"""),415.87)</f>
        <v>415.87</v>
      </c>
      <c r="C577" s="2">
        <f t="shared" ca="1" si="2"/>
        <v>1.0742496050552962E-2</v>
      </c>
    </row>
    <row r="578" spans="1:3">
      <c r="A578" s="3">
        <f ca="1">IFERROR(__xludf.UNSUPPORTED("""COMPUTED_VALUE"""),44302.6666666666)</f>
        <v>44302.666666666599</v>
      </c>
      <c r="B578" s="1">
        <f ca="1">IFERROR(__xludf.UNSUPPORTED("""COMPUTED_VALUE"""),417.26)</f>
        <v>417.26</v>
      </c>
      <c r="C578" s="2">
        <f t="shared" ca="1" si="2"/>
        <v>3.342390650924535E-3</v>
      </c>
    </row>
    <row r="579" spans="1:3">
      <c r="A579" s="3">
        <f ca="1">IFERROR(__xludf.UNSUPPORTED("""COMPUTED_VALUE"""),44305.6666666666)</f>
        <v>44305.666666666599</v>
      </c>
      <c r="B579" s="1">
        <f ca="1">IFERROR(__xludf.UNSUPPORTED("""COMPUTED_VALUE"""),415.21)</f>
        <v>415.21</v>
      </c>
      <c r="C579" s="2">
        <f t="shared" ca="1" si="2"/>
        <v>-4.9130038824713885E-3</v>
      </c>
    </row>
    <row r="580" spans="1:3">
      <c r="A580" s="3">
        <f ca="1">IFERROR(__xludf.UNSUPPORTED("""COMPUTED_VALUE"""),44306.6666666666)</f>
        <v>44306.666666666599</v>
      </c>
      <c r="B580" s="1">
        <f ca="1">IFERROR(__xludf.UNSUPPORTED("""COMPUTED_VALUE"""),412.17)</f>
        <v>412.17</v>
      </c>
      <c r="C580" s="2">
        <f t="shared" ca="1" si="2"/>
        <v>-7.3215963006670447E-3</v>
      </c>
    </row>
    <row r="581" spans="1:3">
      <c r="A581" s="3">
        <f ca="1">IFERROR(__xludf.UNSUPPORTED("""COMPUTED_VALUE"""),44307.6666666666)</f>
        <v>44307.666666666599</v>
      </c>
      <c r="B581" s="1">
        <f ca="1">IFERROR(__xludf.UNSUPPORTED("""COMPUTED_VALUE"""),416.07)</f>
        <v>416.07</v>
      </c>
      <c r="C581" s="2">
        <f t="shared" ca="1" si="2"/>
        <v>9.4621151466627289E-3</v>
      </c>
    </row>
    <row r="582" spans="1:3">
      <c r="A582" s="3">
        <f ca="1">IFERROR(__xludf.UNSUPPORTED("""COMPUTED_VALUE"""),44308.6666666666)</f>
        <v>44308.666666666599</v>
      </c>
      <c r="B582" s="1">
        <f ca="1">IFERROR(__xludf.UNSUPPORTED("""COMPUTED_VALUE"""),412.27)</f>
        <v>412.27</v>
      </c>
      <c r="C582" s="2">
        <f t="shared" ca="1" si="2"/>
        <v>-9.1330785685101341E-3</v>
      </c>
    </row>
    <row r="583" spans="1:3">
      <c r="A583" s="3">
        <f ca="1">IFERROR(__xludf.UNSUPPORTED("""COMPUTED_VALUE"""),44309.6666666666)</f>
        <v>44309.666666666599</v>
      </c>
      <c r="B583" s="1">
        <f ca="1">IFERROR(__xludf.UNSUPPORTED("""COMPUTED_VALUE"""),416.74)</f>
        <v>416.74</v>
      </c>
      <c r="C583" s="2">
        <f t="shared" ca="1" si="2"/>
        <v>1.0842409100832045E-2</v>
      </c>
    </row>
    <row r="584" spans="1:3">
      <c r="A584" s="3">
        <f ca="1">IFERROR(__xludf.UNSUPPORTED("""COMPUTED_VALUE"""),44312.6666666666)</f>
        <v>44312.666666666599</v>
      </c>
      <c r="B584" s="1">
        <f ca="1">IFERROR(__xludf.UNSUPPORTED("""COMPUTED_VALUE"""),417.61)</f>
        <v>417.61</v>
      </c>
      <c r="C584" s="2">
        <f t="shared" ca="1" si="2"/>
        <v>2.0876325766665173E-3</v>
      </c>
    </row>
    <row r="585" spans="1:3">
      <c r="A585" s="3">
        <f ca="1">IFERROR(__xludf.UNSUPPORTED("""COMPUTED_VALUE"""),44313.6666666666)</f>
        <v>44313.666666666599</v>
      </c>
      <c r="B585" s="1">
        <f ca="1">IFERROR(__xludf.UNSUPPORTED("""COMPUTED_VALUE"""),417.52)</f>
        <v>417.52</v>
      </c>
      <c r="C585" s="2">
        <f t="shared" ca="1" si="2"/>
        <v>-2.1551208064948596E-4</v>
      </c>
    </row>
    <row r="586" spans="1:3">
      <c r="A586" s="3">
        <f ca="1">IFERROR(__xludf.UNSUPPORTED("""COMPUTED_VALUE"""),44314.6666666666)</f>
        <v>44314.666666666599</v>
      </c>
      <c r="B586" s="1">
        <f ca="1">IFERROR(__xludf.UNSUPPORTED("""COMPUTED_VALUE"""),417.4)</f>
        <v>417.4</v>
      </c>
      <c r="C586" s="2">
        <f t="shared" ca="1" si="2"/>
        <v>-2.8741138149071793E-4</v>
      </c>
    </row>
    <row r="587" spans="1:3">
      <c r="A587" s="3">
        <f ca="1">IFERROR(__xludf.UNSUPPORTED("""COMPUTED_VALUE"""),44315.6666666666)</f>
        <v>44315.666666666599</v>
      </c>
      <c r="B587" s="1">
        <f ca="1">IFERROR(__xludf.UNSUPPORTED("""COMPUTED_VALUE"""),420.06)</f>
        <v>420.06</v>
      </c>
      <c r="C587" s="2">
        <f t="shared" ca="1" si="2"/>
        <v>6.3727839003354702E-3</v>
      </c>
    </row>
    <row r="588" spans="1:3">
      <c r="A588" s="3">
        <f ca="1">IFERROR(__xludf.UNSUPPORTED("""COMPUTED_VALUE"""),44316.6666666666)</f>
        <v>44316.666666666599</v>
      </c>
      <c r="B588" s="1">
        <f ca="1">IFERROR(__xludf.UNSUPPORTED("""COMPUTED_VALUE"""),417.3)</f>
        <v>417.3</v>
      </c>
      <c r="C588" s="2">
        <f t="shared" ca="1" si="2"/>
        <v>-6.5704899300099767E-3</v>
      </c>
    </row>
    <row r="589" spans="1:3">
      <c r="A589" s="3">
        <f ca="1">IFERROR(__xludf.UNSUPPORTED("""COMPUTED_VALUE"""),44319.6666666666)</f>
        <v>44319.666666666599</v>
      </c>
      <c r="B589" s="1">
        <f ca="1">IFERROR(__xludf.UNSUPPORTED("""COMPUTED_VALUE"""),418.2)</f>
        <v>418.2</v>
      </c>
      <c r="C589" s="2">
        <f t="shared" ca="1" si="2"/>
        <v>2.1567217828899529E-3</v>
      </c>
    </row>
    <row r="590" spans="1:3">
      <c r="A590" s="3">
        <f ca="1">IFERROR(__xludf.UNSUPPORTED("""COMPUTED_VALUE"""),44320.6666666666)</f>
        <v>44320.666666666599</v>
      </c>
      <c r="B590" s="1">
        <f ca="1">IFERROR(__xludf.UNSUPPORTED("""COMPUTED_VALUE"""),415.62)</f>
        <v>415.62</v>
      </c>
      <c r="C590" s="2">
        <f t="shared" ca="1" si="2"/>
        <v>-6.1692969870874798E-3</v>
      </c>
    </row>
    <row r="591" spans="1:3">
      <c r="A591" s="3">
        <f ca="1">IFERROR(__xludf.UNSUPPORTED("""COMPUTED_VALUE"""),44321.6666666666)</f>
        <v>44321.666666666599</v>
      </c>
      <c r="B591" s="1">
        <f ca="1">IFERROR(__xludf.UNSUPPORTED("""COMPUTED_VALUE"""),415.75)</f>
        <v>415.75</v>
      </c>
      <c r="C591" s="2">
        <f t="shared" ca="1" si="2"/>
        <v>3.1278571772290904E-4</v>
      </c>
    </row>
    <row r="592" spans="1:3">
      <c r="A592" s="3">
        <f ca="1">IFERROR(__xludf.UNSUPPORTED("""COMPUTED_VALUE"""),44322.6666666666)</f>
        <v>44322.666666666599</v>
      </c>
      <c r="B592" s="1">
        <f ca="1">IFERROR(__xludf.UNSUPPORTED("""COMPUTED_VALUE"""),419.07)</f>
        <v>419.07</v>
      </c>
      <c r="C592" s="2">
        <f t="shared" ca="1" si="2"/>
        <v>7.9855682501503138E-3</v>
      </c>
    </row>
    <row r="593" spans="1:3">
      <c r="A593" s="3">
        <f ca="1">IFERROR(__xludf.UNSUPPORTED("""COMPUTED_VALUE"""),44323.6666666666)</f>
        <v>44323.666666666599</v>
      </c>
      <c r="B593" s="1">
        <f ca="1">IFERROR(__xludf.UNSUPPORTED("""COMPUTED_VALUE"""),422.12)</f>
        <v>422.12</v>
      </c>
      <c r="C593" s="2">
        <f t="shared" ca="1" si="2"/>
        <v>7.2780203784570873E-3</v>
      </c>
    </row>
    <row r="594" spans="1:3">
      <c r="A594" s="3">
        <f ca="1">IFERROR(__xludf.UNSUPPORTED("""COMPUTED_VALUE"""),44326.6666666666)</f>
        <v>44326.666666666599</v>
      </c>
      <c r="B594" s="1">
        <f ca="1">IFERROR(__xludf.UNSUPPORTED("""COMPUTED_VALUE"""),417.94)</f>
        <v>417.94</v>
      </c>
      <c r="C594" s="2">
        <f t="shared" ca="1" si="2"/>
        <v>-9.9023974225338918E-3</v>
      </c>
    </row>
    <row r="595" spans="1:3">
      <c r="A595" s="3">
        <f ca="1">IFERROR(__xludf.UNSUPPORTED("""COMPUTED_VALUE"""),44327.6666666666)</f>
        <v>44327.666666666599</v>
      </c>
      <c r="B595" s="1">
        <f ca="1">IFERROR(__xludf.UNSUPPORTED("""COMPUTED_VALUE"""),414.21)</f>
        <v>414.21</v>
      </c>
      <c r="C595" s="2">
        <f t="shared" ca="1" si="2"/>
        <v>-8.9247260372302684E-3</v>
      </c>
    </row>
    <row r="596" spans="1:3">
      <c r="A596" s="3">
        <f ca="1">IFERROR(__xludf.UNSUPPORTED("""COMPUTED_VALUE"""),44328.6666666666)</f>
        <v>44328.666666666599</v>
      </c>
      <c r="B596" s="1">
        <f ca="1">IFERROR(__xludf.UNSUPPORTED("""COMPUTED_VALUE"""),405.41)</f>
        <v>405.41</v>
      </c>
      <c r="C596" s="2">
        <f t="shared" ca="1" si="2"/>
        <v>-2.1245262065135932E-2</v>
      </c>
    </row>
    <row r="597" spans="1:3">
      <c r="A597" s="3">
        <f ca="1">IFERROR(__xludf.UNSUPPORTED("""COMPUTED_VALUE"""),44329.6666666666)</f>
        <v>44329.666666666599</v>
      </c>
      <c r="B597" s="1">
        <f ca="1">IFERROR(__xludf.UNSUPPORTED("""COMPUTED_VALUE"""),410.28)</f>
        <v>410.28</v>
      </c>
      <c r="C597" s="2">
        <f t="shared" ca="1" si="2"/>
        <v>1.2012530524653925E-2</v>
      </c>
    </row>
    <row r="598" spans="1:3">
      <c r="A598" s="3">
        <f ca="1">IFERROR(__xludf.UNSUPPORTED("""COMPUTED_VALUE"""),44330.6666666666)</f>
        <v>44330.666666666599</v>
      </c>
      <c r="B598" s="1">
        <f ca="1">IFERROR(__xludf.UNSUPPORTED("""COMPUTED_VALUE"""),416.58)</f>
        <v>416.58</v>
      </c>
      <c r="C598" s="2">
        <f t="shared" ca="1" si="2"/>
        <v>1.5355367066393712E-2</v>
      </c>
    </row>
    <row r="599" spans="1:3">
      <c r="A599" s="3">
        <f ca="1">IFERROR(__xludf.UNSUPPORTED("""COMPUTED_VALUE"""),44333.6666666666)</f>
        <v>44333.666666666599</v>
      </c>
      <c r="B599" s="1">
        <f ca="1">IFERROR(__xludf.UNSUPPORTED("""COMPUTED_VALUE"""),415.52)</f>
        <v>415.52</v>
      </c>
      <c r="C599" s="2">
        <f t="shared" ca="1" si="2"/>
        <v>-2.5445292620865194E-3</v>
      </c>
    </row>
    <row r="600" spans="1:3">
      <c r="A600" s="3">
        <f ca="1">IFERROR(__xludf.UNSUPPORTED("""COMPUTED_VALUE"""),44334.6666666666)</f>
        <v>44334.666666666599</v>
      </c>
      <c r="B600" s="1">
        <f ca="1">IFERROR(__xludf.UNSUPPORTED("""COMPUTED_VALUE"""),411.94)</f>
        <v>411.94</v>
      </c>
      <c r="C600" s="2">
        <f t="shared" ca="1" si="2"/>
        <v>-8.615710435117406E-3</v>
      </c>
    </row>
    <row r="601" spans="1:3">
      <c r="A601" s="3">
        <f ca="1">IFERROR(__xludf.UNSUPPORTED("""COMPUTED_VALUE"""),44335.6666666666)</f>
        <v>44335.666666666599</v>
      </c>
      <c r="B601" s="1">
        <f ca="1">IFERROR(__xludf.UNSUPPORTED("""COMPUTED_VALUE"""),410.86)</f>
        <v>410.86</v>
      </c>
      <c r="C601" s="2">
        <f t="shared" ca="1" si="2"/>
        <v>-2.6217410302470847E-3</v>
      </c>
    </row>
    <row r="602" spans="1:3">
      <c r="A602" s="3">
        <f ca="1">IFERROR(__xludf.UNSUPPORTED("""COMPUTED_VALUE"""),44336.6666666666)</f>
        <v>44336.666666666599</v>
      </c>
      <c r="B602" s="1">
        <f ca="1">IFERROR(__xludf.UNSUPPORTED("""COMPUTED_VALUE"""),415.28)</f>
        <v>415.28</v>
      </c>
      <c r="C602" s="2">
        <f t="shared" ca="1" si="2"/>
        <v>1.0757922406659102E-2</v>
      </c>
    </row>
    <row r="603" spans="1:3">
      <c r="A603" s="3">
        <f ca="1">IFERROR(__xludf.UNSUPPORTED("""COMPUTED_VALUE"""),44337.6666666666)</f>
        <v>44337.666666666599</v>
      </c>
      <c r="B603" s="1">
        <f ca="1">IFERROR(__xludf.UNSUPPORTED("""COMPUTED_VALUE"""),414.94)</f>
        <v>414.94</v>
      </c>
      <c r="C603" s="2">
        <f t="shared" ca="1" si="2"/>
        <v>-8.1872471585430319E-4</v>
      </c>
    </row>
    <row r="604" spans="1:3">
      <c r="A604" s="3">
        <f ca="1">IFERROR(__xludf.UNSUPPORTED("""COMPUTED_VALUE"""),44340.6666666666)</f>
        <v>44340.666666666599</v>
      </c>
      <c r="B604" s="1">
        <f ca="1">IFERROR(__xludf.UNSUPPORTED("""COMPUTED_VALUE"""),419.17)</f>
        <v>419.17</v>
      </c>
      <c r="C604" s="2">
        <f t="shared" ca="1" si="2"/>
        <v>1.0194244951077309E-2</v>
      </c>
    </row>
    <row r="605" spans="1:3">
      <c r="A605" s="3">
        <f ca="1">IFERROR(__xludf.UNSUPPORTED("""COMPUTED_VALUE"""),44341.6666666666)</f>
        <v>44341.666666666599</v>
      </c>
      <c r="B605" s="1">
        <f ca="1">IFERROR(__xludf.UNSUPPORTED("""COMPUTED_VALUE"""),418.24)</f>
        <v>418.24</v>
      </c>
      <c r="C605" s="2">
        <f t="shared" ca="1" si="2"/>
        <v>-2.2186702292626066E-3</v>
      </c>
    </row>
    <row r="606" spans="1:3">
      <c r="A606" s="3">
        <f ca="1">IFERROR(__xludf.UNSUPPORTED("""COMPUTED_VALUE"""),44342.6666666666)</f>
        <v>44342.666666666599</v>
      </c>
      <c r="B606" s="1">
        <f ca="1">IFERROR(__xludf.UNSUPPORTED("""COMPUTED_VALUE"""),419.07)</f>
        <v>419.07</v>
      </c>
      <c r="C606" s="2">
        <f t="shared" ca="1" si="2"/>
        <v>1.984506503442961E-3</v>
      </c>
    </row>
    <row r="607" spans="1:3">
      <c r="A607" s="3">
        <f ca="1">IFERROR(__xludf.UNSUPPORTED("""COMPUTED_VALUE"""),44343.6666666666)</f>
        <v>44343.666666666599</v>
      </c>
      <c r="B607" s="1">
        <f ca="1">IFERROR(__xludf.UNSUPPORTED("""COMPUTED_VALUE"""),419.29)</f>
        <v>419.29</v>
      </c>
      <c r="C607" s="2">
        <f t="shared" ca="1" si="2"/>
        <v>5.2497196172483665E-4</v>
      </c>
    </row>
    <row r="608" spans="1:3">
      <c r="A608" s="3">
        <f ca="1">IFERROR(__xludf.UNSUPPORTED("""COMPUTED_VALUE"""),44344.6666666666)</f>
        <v>44344.666666666599</v>
      </c>
      <c r="B608" s="1">
        <f ca="1">IFERROR(__xludf.UNSUPPORTED("""COMPUTED_VALUE"""),420.04)</f>
        <v>420.04</v>
      </c>
      <c r="C608" s="2">
        <f t="shared" ca="1" si="2"/>
        <v>1.7887381048916024E-3</v>
      </c>
    </row>
    <row r="609" spans="1:3">
      <c r="A609" s="3">
        <f ca="1">IFERROR(__xludf.UNSUPPORTED("""COMPUTED_VALUE"""),44348.6666666666)</f>
        <v>44348.666666666599</v>
      </c>
      <c r="B609" s="1">
        <f ca="1">IFERROR(__xludf.UNSUPPORTED("""COMPUTED_VALUE"""),419.67)</f>
        <v>419.67</v>
      </c>
      <c r="C609" s="2">
        <f t="shared" ca="1" si="2"/>
        <v>-8.8086848871537127E-4</v>
      </c>
    </row>
    <row r="610" spans="1:3">
      <c r="A610" s="3">
        <f ca="1">IFERROR(__xludf.UNSUPPORTED("""COMPUTED_VALUE"""),44349.6666666666)</f>
        <v>44349.666666666599</v>
      </c>
      <c r="B610" s="1">
        <f ca="1">IFERROR(__xludf.UNSUPPORTED("""COMPUTED_VALUE"""),420.33)</f>
        <v>420.33</v>
      </c>
      <c r="C610" s="2">
        <f t="shared" ca="1" si="2"/>
        <v>1.5726642361854986E-3</v>
      </c>
    </row>
    <row r="611" spans="1:3">
      <c r="A611" s="3">
        <f ca="1">IFERROR(__xludf.UNSUPPORTED("""COMPUTED_VALUE"""),44350.6666666666)</f>
        <v>44350.666666666599</v>
      </c>
      <c r="B611" s="1">
        <f ca="1">IFERROR(__xludf.UNSUPPORTED("""COMPUTED_VALUE"""),418.77)</f>
        <v>418.77</v>
      </c>
      <c r="C611" s="2">
        <f t="shared" ca="1" si="2"/>
        <v>-3.7113696381414658E-3</v>
      </c>
    </row>
    <row r="612" spans="1:3">
      <c r="A612" s="3">
        <f ca="1">IFERROR(__xludf.UNSUPPORTED("""COMPUTED_VALUE"""),44351.6666666666)</f>
        <v>44351.666666666599</v>
      </c>
      <c r="B612" s="1">
        <f ca="1">IFERROR(__xludf.UNSUPPORTED("""COMPUTED_VALUE"""),422.6)</f>
        <v>422.6</v>
      </c>
      <c r="C612" s="2">
        <f t="shared" ca="1" si="2"/>
        <v>9.1458318408674001E-3</v>
      </c>
    </row>
    <row r="613" spans="1:3">
      <c r="A613" s="3">
        <f ca="1">IFERROR(__xludf.UNSUPPORTED("""COMPUTED_VALUE"""),44354.6666666666)</f>
        <v>44354.666666666599</v>
      </c>
      <c r="B613" s="1">
        <f ca="1">IFERROR(__xludf.UNSUPPORTED("""COMPUTED_VALUE"""),422.19)</f>
        <v>422.19</v>
      </c>
      <c r="C613" s="2">
        <f t="shared" ca="1" si="2"/>
        <v>-9.7018457169906528E-4</v>
      </c>
    </row>
    <row r="614" spans="1:3">
      <c r="A614" s="3">
        <f ca="1">IFERROR(__xludf.UNSUPPORTED("""COMPUTED_VALUE"""),44355.6666666666)</f>
        <v>44355.666666666599</v>
      </c>
      <c r="B614" s="1">
        <f ca="1">IFERROR(__xludf.UNSUPPORTED("""COMPUTED_VALUE"""),422.28)</f>
        <v>422.28</v>
      </c>
      <c r="C614" s="2">
        <f t="shared" ca="1" si="2"/>
        <v>2.1317416329134985E-4</v>
      </c>
    </row>
    <row r="615" spans="1:3">
      <c r="A615" s="3">
        <f ca="1">IFERROR(__xludf.UNSUPPORTED("""COMPUTED_VALUE"""),44356.6666666666)</f>
        <v>44356.666666666599</v>
      </c>
      <c r="B615" s="1">
        <f ca="1">IFERROR(__xludf.UNSUPPORTED("""COMPUTED_VALUE"""),421.65)</f>
        <v>421.65</v>
      </c>
      <c r="C615" s="2">
        <f t="shared" ca="1" si="2"/>
        <v>-1.491901108269384E-3</v>
      </c>
    </row>
    <row r="616" spans="1:3">
      <c r="A616" s="3">
        <f ca="1">IFERROR(__xludf.UNSUPPORTED("""COMPUTED_VALUE"""),44357.6666666666)</f>
        <v>44357.666666666599</v>
      </c>
      <c r="B616" s="1">
        <f ca="1">IFERROR(__xludf.UNSUPPORTED("""COMPUTED_VALUE"""),423.61)</f>
        <v>423.61</v>
      </c>
      <c r="C616" s="2">
        <f t="shared" ca="1" si="2"/>
        <v>4.6484050752995058E-3</v>
      </c>
    </row>
    <row r="617" spans="1:3">
      <c r="A617" s="3">
        <f ca="1">IFERROR(__xludf.UNSUPPORTED("""COMPUTED_VALUE"""),44358.6666666666)</f>
        <v>44358.666666666599</v>
      </c>
      <c r="B617" s="1">
        <f ca="1">IFERROR(__xludf.UNSUPPORTED("""COMPUTED_VALUE"""),424.31)</f>
        <v>424.31</v>
      </c>
      <c r="C617" s="2">
        <f t="shared" ca="1" si="2"/>
        <v>1.6524633507235161E-3</v>
      </c>
    </row>
    <row r="618" spans="1:3">
      <c r="A618" s="3">
        <f ca="1">IFERROR(__xludf.UNSUPPORTED("""COMPUTED_VALUE"""),44361.6666666666)</f>
        <v>44361.666666666599</v>
      </c>
      <c r="B618" s="1">
        <f ca="1">IFERROR(__xludf.UNSUPPORTED("""COMPUTED_VALUE"""),425.26)</f>
        <v>425.26</v>
      </c>
      <c r="C618" s="2">
        <f t="shared" ca="1" si="2"/>
        <v>2.2389290848671695E-3</v>
      </c>
    </row>
    <row r="619" spans="1:3">
      <c r="A619" s="3">
        <f ca="1">IFERROR(__xludf.UNSUPPORTED("""COMPUTED_VALUE"""),44362.6666666666)</f>
        <v>44362.666666666599</v>
      </c>
      <c r="B619" s="1">
        <f ca="1">IFERROR(__xludf.UNSUPPORTED("""COMPUTED_VALUE"""),424.48)</f>
        <v>424.48</v>
      </c>
      <c r="C619" s="2">
        <f t="shared" ca="1" si="2"/>
        <v>-1.8341720359308959E-3</v>
      </c>
    </row>
    <row r="620" spans="1:3">
      <c r="A620" s="3">
        <f ca="1">IFERROR(__xludf.UNSUPPORTED("""COMPUTED_VALUE"""),44363.6666666666)</f>
        <v>44363.666666666599</v>
      </c>
      <c r="B620" s="1">
        <f ca="1">IFERROR(__xludf.UNSUPPORTED("""COMPUTED_VALUE"""),422.11)</f>
        <v>422.11</v>
      </c>
      <c r="C620" s="2">
        <f t="shared" ca="1" si="2"/>
        <v>-5.5833019223520651E-3</v>
      </c>
    </row>
    <row r="621" spans="1:3">
      <c r="A621" s="3">
        <f ca="1">IFERROR(__xludf.UNSUPPORTED("""COMPUTED_VALUE"""),44364.6666666666)</f>
        <v>44364.666666666599</v>
      </c>
      <c r="B621" s="1">
        <f ca="1">IFERROR(__xludf.UNSUPPORTED("""COMPUTED_VALUE"""),421.97)</f>
        <v>421.97</v>
      </c>
      <c r="C621" s="2">
        <f t="shared" ca="1" si="2"/>
        <v>-3.3166710099259992E-4</v>
      </c>
    </row>
    <row r="622" spans="1:3">
      <c r="A622" s="3">
        <f ca="1">IFERROR(__xludf.UNSUPPORTED("""COMPUTED_VALUE"""),44365.6666666666)</f>
        <v>44365.666666666599</v>
      </c>
      <c r="B622" s="1">
        <f ca="1">IFERROR(__xludf.UNSUPPORTED("""COMPUTED_VALUE"""),414.92)</f>
        <v>414.92</v>
      </c>
      <c r="C622" s="2">
        <f t="shared" ca="1" si="2"/>
        <v>-1.6707348863663318E-2</v>
      </c>
    </row>
    <row r="623" spans="1:3">
      <c r="A623" s="3">
        <f ca="1">IFERROR(__xludf.UNSUPPORTED("""COMPUTED_VALUE"""),44368.6666666666)</f>
        <v>44368.666666666599</v>
      </c>
      <c r="B623" s="1">
        <f ca="1">IFERROR(__xludf.UNSUPPORTED("""COMPUTED_VALUE"""),420.86)</f>
        <v>420.86</v>
      </c>
      <c r="C623" s="2">
        <f t="shared" ca="1" si="2"/>
        <v>1.4316012725344638E-2</v>
      </c>
    </row>
    <row r="624" spans="1:3">
      <c r="A624" s="3">
        <f ca="1">IFERROR(__xludf.UNSUPPORTED("""COMPUTED_VALUE"""),44369.6666666666)</f>
        <v>44369.666666666599</v>
      </c>
      <c r="B624" s="1">
        <f ca="1">IFERROR(__xludf.UNSUPPORTED("""COMPUTED_VALUE"""),423.11)</f>
        <v>423.11</v>
      </c>
      <c r="C624" s="2">
        <f t="shared" ca="1" si="2"/>
        <v>5.3461958846172126E-3</v>
      </c>
    </row>
    <row r="625" spans="1:3">
      <c r="A625" s="3">
        <f ca="1">IFERROR(__xludf.UNSUPPORTED("""COMPUTED_VALUE"""),44370.6666666666)</f>
        <v>44370.666666666599</v>
      </c>
      <c r="B625" s="1">
        <f ca="1">IFERROR(__xludf.UNSUPPORTED("""COMPUTED_VALUE"""),422.6)</f>
        <v>422.6</v>
      </c>
      <c r="C625" s="2">
        <f t="shared" ca="1" si="2"/>
        <v>-1.205360308194065E-3</v>
      </c>
    </row>
    <row r="626" spans="1:3">
      <c r="A626" s="3">
        <f ca="1">IFERROR(__xludf.UNSUPPORTED("""COMPUTED_VALUE"""),44371.6666666666)</f>
        <v>44371.666666666599</v>
      </c>
      <c r="B626" s="1">
        <f ca="1">IFERROR(__xludf.UNSUPPORTED("""COMPUTED_VALUE"""),425.1)</f>
        <v>425.1</v>
      </c>
      <c r="C626" s="2">
        <f t="shared" ca="1" si="2"/>
        <v>5.9157595835305247E-3</v>
      </c>
    </row>
    <row r="627" spans="1:3">
      <c r="A627" s="3">
        <f ca="1">IFERROR(__xludf.UNSUPPORTED("""COMPUTED_VALUE"""),44372.6666666666)</f>
        <v>44372.666666666599</v>
      </c>
      <c r="B627" s="1">
        <f ca="1">IFERROR(__xludf.UNSUPPORTED("""COMPUTED_VALUE"""),426.61)</f>
        <v>426.61</v>
      </c>
      <c r="C627" s="2">
        <f t="shared" ca="1" si="2"/>
        <v>3.5521053869677507E-3</v>
      </c>
    </row>
    <row r="628" spans="1:3">
      <c r="A628" s="3">
        <f ca="1">IFERROR(__xludf.UNSUPPORTED("""COMPUTED_VALUE"""),44375.6666666666)</f>
        <v>44375.666666666599</v>
      </c>
      <c r="B628" s="1">
        <f ca="1">IFERROR(__xludf.UNSUPPORTED("""COMPUTED_VALUE"""),427.47)</f>
        <v>427.47</v>
      </c>
      <c r="C628" s="2">
        <f t="shared" ca="1" si="2"/>
        <v>2.0158927357539994E-3</v>
      </c>
    </row>
    <row r="629" spans="1:3">
      <c r="A629" s="3">
        <f ca="1">IFERROR(__xludf.UNSUPPORTED("""COMPUTED_VALUE"""),44376.6666666666)</f>
        <v>44376.666666666599</v>
      </c>
      <c r="B629" s="1">
        <f ca="1">IFERROR(__xludf.UNSUPPORTED("""COMPUTED_VALUE"""),427.7)</f>
        <v>427.7</v>
      </c>
      <c r="C629" s="2">
        <f t="shared" ca="1" si="2"/>
        <v>5.3804945376274675E-4</v>
      </c>
    </row>
    <row r="630" spans="1:3">
      <c r="A630" s="3">
        <f ca="1">IFERROR(__xludf.UNSUPPORTED("""COMPUTED_VALUE"""),44377.6666666666)</f>
        <v>44377.666666666599</v>
      </c>
      <c r="B630" s="1">
        <f ca="1">IFERROR(__xludf.UNSUPPORTED("""COMPUTED_VALUE"""),428.06)</f>
        <v>428.06</v>
      </c>
      <c r="C630" s="2">
        <f t="shared" ca="1" si="2"/>
        <v>8.4171148000938422E-4</v>
      </c>
    </row>
    <row r="631" spans="1:3">
      <c r="A631" s="3">
        <f ca="1">IFERROR(__xludf.UNSUPPORTED("""COMPUTED_VALUE"""),44378.6666666666)</f>
        <v>44378.666666666599</v>
      </c>
      <c r="B631" s="1">
        <f ca="1">IFERROR(__xludf.UNSUPPORTED("""COMPUTED_VALUE"""),430.43)</f>
        <v>430.43</v>
      </c>
      <c r="C631" s="2">
        <f t="shared" ca="1" si="2"/>
        <v>5.536607017707809E-3</v>
      </c>
    </row>
    <row r="632" spans="1:3">
      <c r="A632" s="3">
        <f ca="1">IFERROR(__xludf.UNSUPPORTED("""COMPUTED_VALUE"""),44379.6666666666)</f>
        <v>44379.666666666599</v>
      </c>
      <c r="B632" s="1">
        <f ca="1">IFERROR(__xludf.UNSUPPORTED("""COMPUTED_VALUE"""),433.72)</f>
        <v>433.72</v>
      </c>
      <c r="C632" s="2">
        <f t="shared" ca="1" si="2"/>
        <v>7.6435192714262952E-3</v>
      </c>
    </row>
    <row r="633" spans="1:3">
      <c r="A633" s="3">
        <f ca="1">IFERROR(__xludf.UNSUPPORTED("""COMPUTED_VALUE"""),44383.6666666666)</f>
        <v>44383.666666666599</v>
      </c>
      <c r="B633" s="1">
        <f ca="1">IFERROR(__xludf.UNSUPPORTED("""COMPUTED_VALUE"""),432.93)</f>
        <v>432.93</v>
      </c>
      <c r="C633" s="2">
        <f t="shared" ca="1" si="2"/>
        <v>-1.8214516277783371E-3</v>
      </c>
    </row>
    <row r="634" spans="1:3">
      <c r="A634" s="3">
        <f ca="1">IFERROR(__xludf.UNSUPPORTED("""COMPUTED_VALUE"""),44384.6666666666)</f>
        <v>44384.666666666599</v>
      </c>
      <c r="B634" s="1">
        <f ca="1">IFERROR(__xludf.UNSUPPORTED("""COMPUTED_VALUE"""),434.46)</f>
        <v>434.46</v>
      </c>
      <c r="C634" s="2">
        <f t="shared" ca="1" si="2"/>
        <v>3.5340586237959317E-3</v>
      </c>
    </row>
    <row r="635" spans="1:3">
      <c r="A635" s="3">
        <f ca="1">IFERROR(__xludf.UNSUPPORTED("""COMPUTED_VALUE"""),44385.6666666666)</f>
        <v>44385.666666666599</v>
      </c>
      <c r="B635" s="1">
        <f ca="1">IFERROR(__xludf.UNSUPPORTED("""COMPUTED_VALUE"""),430.92)</f>
        <v>430.92</v>
      </c>
      <c r="C635" s="2">
        <f t="shared" ca="1" si="2"/>
        <v>-8.1480458500206316E-3</v>
      </c>
    </row>
    <row r="636" spans="1:3">
      <c r="A636" s="3">
        <f ca="1">IFERROR(__xludf.UNSUPPORTED("""COMPUTED_VALUE"""),44386.6666666666)</f>
        <v>44386.666666666599</v>
      </c>
      <c r="B636" s="1">
        <f ca="1">IFERROR(__xludf.UNSUPPORTED("""COMPUTED_VALUE"""),435.52)</f>
        <v>435.52</v>
      </c>
      <c r="C636" s="2">
        <f t="shared" ca="1" si="2"/>
        <v>1.0674835236238665E-2</v>
      </c>
    </row>
    <row r="637" spans="1:3">
      <c r="A637" s="3">
        <f ca="1">IFERROR(__xludf.UNSUPPORTED("""COMPUTED_VALUE"""),44389.6666666666)</f>
        <v>44389.666666666599</v>
      </c>
      <c r="B637" s="1">
        <f ca="1">IFERROR(__xludf.UNSUPPORTED("""COMPUTED_VALUE"""),437.08)</f>
        <v>437.08</v>
      </c>
      <c r="C637" s="2">
        <f t="shared" ca="1" si="2"/>
        <v>3.5819250551065449E-3</v>
      </c>
    </row>
    <row r="638" spans="1:3">
      <c r="A638" s="3">
        <f ca="1">IFERROR(__xludf.UNSUPPORTED("""COMPUTED_VALUE"""),44390.6666666666)</f>
        <v>44390.666666666599</v>
      </c>
      <c r="B638" s="1">
        <f ca="1">IFERROR(__xludf.UNSUPPORTED("""COMPUTED_VALUE"""),435.59)</f>
        <v>435.59</v>
      </c>
      <c r="C638" s="2">
        <f t="shared" ca="1" si="2"/>
        <v>-3.4089869131509313E-3</v>
      </c>
    </row>
    <row r="639" spans="1:3">
      <c r="A639" s="3">
        <f ca="1">IFERROR(__xludf.UNSUPPORTED("""COMPUTED_VALUE"""),44391.6666666666)</f>
        <v>44391.666666666599</v>
      </c>
      <c r="B639" s="1">
        <f ca="1">IFERROR(__xludf.UNSUPPORTED("""COMPUTED_VALUE"""),436.24)</f>
        <v>436.24</v>
      </c>
      <c r="C639" s="2">
        <f t="shared" ca="1" si="2"/>
        <v>1.4922289308754429E-3</v>
      </c>
    </row>
    <row r="640" spans="1:3">
      <c r="A640" s="3">
        <f ca="1">IFERROR(__xludf.UNSUPPORTED("""COMPUTED_VALUE"""),44392.6666666666)</f>
        <v>44392.666666666599</v>
      </c>
      <c r="B640" s="1">
        <f ca="1">IFERROR(__xludf.UNSUPPORTED("""COMPUTED_VALUE"""),434.75)</f>
        <v>434.75</v>
      </c>
      <c r="C640" s="2">
        <f t="shared" ca="1" si="2"/>
        <v>-3.4155510728039818E-3</v>
      </c>
    </row>
    <row r="641" spans="1:3">
      <c r="A641" s="3">
        <f ca="1">IFERROR(__xludf.UNSUPPORTED("""COMPUTED_VALUE"""),44393.6666666666)</f>
        <v>44393.666666666599</v>
      </c>
      <c r="B641" s="1">
        <f ca="1">IFERROR(__xludf.UNSUPPORTED("""COMPUTED_VALUE"""),431.34)</f>
        <v>431.34</v>
      </c>
      <c r="C641" s="2">
        <f t="shared" ca="1" si="2"/>
        <v>-7.843588269120242E-3</v>
      </c>
    </row>
    <row r="642" spans="1:3">
      <c r="A642" s="3">
        <f ca="1">IFERROR(__xludf.UNSUPPORTED("""COMPUTED_VALUE"""),44396.6666666666)</f>
        <v>44396.666666666599</v>
      </c>
      <c r="B642" s="1">
        <f ca="1">IFERROR(__xludf.UNSUPPORTED("""COMPUTED_VALUE"""),424.97)</f>
        <v>424.97</v>
      </c>
      <c r="C642" s="2">
        <f t="shared" ca="1" si="2"/>
        <v>-1.4767932489451357E-2</v>
      </c>
    </row>
    <row r="643" spans="1:3">
      <c r="A643" s="3">
        <f ca="1">IFERROR(__xludf.UNSUPPORTED("""COMPUTED_VALUE"""),44397.6666666666)</f>
        <v>44397.666666666599</v>
      </c>
      <c r="B643" s="1">
        <f ca="1">IFERROR(__xludf.UNSUPPORTED("""COMPUTED_VALUE"""),431.06)</f>
        <v>431.06</v>
      </c>
      <c r="C643" s="2">
        <f t="shared" ca="1" si="2"/>
        <v>1.4330423323999281E-2</v>
      </c>
    </row>
    <row r="644" spans="1:3">
      <c r="A644" s="3">
        <f ca="1">IFERROR(__xludf.UNSUPPORTED("""COMPUTED_VALUE"""),44398.6666666666)</f>
        <v>44398.666666666599</v>
      </c>
      <c r="B644" s="1">
        <f ca="1">IFERROR(__xludf.UNSUPPORTED("""COMPUTED_VALUE"""),434.55)</f>
        <v>434.55</v>
      </c>
      <c r="C644" s="2">
        <f t="shared" ca="1" si="2"/>
        <v>8.0963206978147111E-3</v>
      </c>
    </row>
    <row r="645" spans="1:3">
      <c r="A645" s="3">
        <f ca="1">IFERROR(__xludf.UNSUPPORTED("""COMPUTED_VALUE"""),44399.6666666666)</f>
        <v>44399.666666666599</v>
      </c>
      <c r="B645" s="1">
        <f ca="1">IFERROR(__xludf.UNSUPPORTED("""COMPUTED_VALUE"""),435.46)</f>
        <v>435.46</v>
      </c>
      <c r="C645" s="2">
        <f t="shared" ca="1" si="2"/>
        <v>2.0941203543895252E-3</v>
      </c>
    </row>
    <row r="646" spans="1:3">
      <c r="A646" s="3">
        <f ca="1">IFERROR(__xludf.UNSUPPORTED("""COMPUTED_VALUE"""),44400.6666666666)</f>
        <v>44400.666666666599</v>
      </c>
      <c r="B646" s="1">
        <f ca="1">IFERROR(__xludf.UNSUPPORTED("""COMPUTED_VALUE"""),439.94)</f>
        <v>439.94</v>
      </c>
      <c r="C646" s="2">
        <f t="shared" ca="1" si="2"/>
        <v>1.0287971340651307E-2</v>
      </c>
    </row>
    <row r="647" spans="1:3">
      <c r="A647" s="3">
        <f ca="1">IFERROR(__xludf.UNSUPPORTED("""COMPUTED_VALUE"""),44403.6666666666)</f>
        <v>44403.666666666599</v>
      </c>
      <c r="B647" s="1">
        <f ca="1">IFERROR(__xludf.UNSUPPORTED("""COMPUTED_VALUE"""),441.02)</f>
        <v>441.02</v>
      </c>
      <c r="C647" s="2">
        <f t="shared" ca="1" si="2"/>
        <v>2.4548802109378189E-3</v>
      </c>
    </row>
    <row r="648" spans="1:3">
      <c r="A648" s="3">
        <f ca="1">IFERROR(__xludf.UNSUPPORTED("""COMPUTED_VALUE"""),44404.6666666666)</f>
        <v>44404.666666666599</v>
      </c>
      <c r="B648" s="1">
        <f ca="1">IFERROR(__xludf.UNSUPPORTED("""COMPUTED_VALUE"""),439.01)</f>
        <v>439.01</v>
      </c>
      <c r="C648" s="2">
        <f t="shared" ca="1" si="2"/>
        <v>-4.5576164346287943E-3</v>
      </c>
    </row>
    <row r="649" spans="1:3">
      <c r="A649" s="3">
        <f ca="1">IFERROR(__xludf.UNSUPPORTED("""COMPUTED_VALUE"""),44405.6666666666)</f>
        <v>44405.666666666599</v>
      </c>
      <c r="B649" s="1">
        <f ca="1">IFERROR(__xludf.UNSUPPORTED("""COMPUTED_VALUE"""),438.83)</f>
        <v>438.83</v>
      </c>
      <c r="C649" s="2">
        <f t="shared" ca="1" si="2"/>
        <v>-4.1001343932941576E-4</v>
      </c>
    </row>
    <row r="650" spans="1:3">
      <c r="A650" s="3">
        <f ca="1">IFERROR(__xludf.UNSUPPORTED("""COMPUTED_VALUE"""),44406.6666666666)</f>
        <v>44406.666666666599</v>
      </c>
      <c r="B650" s="1">
        <f ca="1">IFERROR(__xludf.UNSUPPORTED("""COMPUTED_VALUE"""),440.65)</f>
        <v>440.65</v>
      </c>
      <c r="C650" s="2">
        <f t="shared" ca="1" si="2"/>
        <v>4.1473919285372318E-3</v>
      </c>
    </row>
    <row r="651" spans="1:3">
      <c r="A651" s="3">
        <f ca="1">IFERROR(__xludf.UNSUPPORTED("""COMPUTED_VALUE"""),44407.6666666666)</f>
        <v>44407.666666666599</v>
      </c>
      <c r="B651" s="1">
        <f ca="1">IFERROR(__xludf.UNSUPPORTED("""COMPUTED_VALUE"""),438.51)</f>
        <v>438.51</v>
      </c>
      <c r="C651" s="2">
        <f t="shared" ca="1" si="2"/>
        <v>-4.8564620447066522E-3</v>
      </c>
    </row>
    <row r="652" spans="1:3">
      <c r="A652" s="3">
        <f ca="1">IFERROR(__xludf.UNSUPPORTED("""COMPUTED_VALUE"""),44410.6666666666)</f>
        <v>44410.666666666599</v>
      </c>
      <c r="B652" s="1">
        <f ca="1">IFERROR(__xludf.UNSUPPORTED("""COMPUTED_VALUE"""),437.59)</f>
        <v>437.59</v>
      </c>
      <c r="C652" s="2">
        <f t="shared" ca="1" si="2"/>
        <v>-2.0980137283072584E-3</v>
      </c>
    </row>
    <row r="653" spans="1:3">
      <c r="A653" s="3">
        <f ca="1">IFERROR(__xludf.UNSUPPORTED("""COMPUTED_VALUE"""),44411.6666666666)</f>
        <v>44411.666666666599</v>
      </c>
      <c r="B653" s="1">
        <f ca="1">IFERROR(__xludf.UNSUPPORTED("""COMPUTED_VALUE"""),441.15)</f>
        <v>441.15</v>
      </c>
      <c r="C653" s="2">
        <f t="shared" ca="1" si="2"/>
        <v>8.1354692748920286E-3</v>
      </c>
    </row>
    <row r="654" spans="1:3">
      <c r="A654" s="3">
        <f ca="1">IFERROR(__xludf.UNSUPPORTED("""COMPUTED_VALUE"""),44412.6666666666)</f>
        <v>44412.666666666599</v>
      </c>
      <c r="B654" s="1">
        <f ca="1">IFERROR(__xludf.UNSUPPORTED("""COMPUTED_VALUE"""),438.98)</f>
        <v>438.98</v>
      </c>
      <c r="C654" s="2">
        <f t="shared" ca="1" si="2"/>
        <v>-4.918961804374837E-3</v>
      </c>
    </row>
    <row r="655" spans="1:3">
      <c r="A655" s="3">
        <f ca="1">IFERROR(__xludf.UNSUPPORTED("""COMPUTED_VALUE"""),44413.6666666666)</f>
        <v>44413.666666666599</v>
      </c>
      <c r="B655" s="1">
        <f ca="1">IFERROR(__xludf.UNSUPPORTED("""COMPUTED_VALUE"""),441.76)</f>
        <v>441.76</v>
      </c>
      <c r="C655" s="2">
        <f t="shared" ca="1" si="2"/>
        <v>6.3328625449905977E-3</v>
      </c>
    </row>
    <row r="656" spans="1:3">
      <c r="A656" s="3">
        <f ca="1">IFERROR(__xludf.UNSUPPORTED("""COMPUTED_VALUE"""),44414.6666666666)</f>
        <v>44414.666666666599</v>
      </c>
      <c r="B656" s="1">
        <f ca="1">IFERROR(__xludf.UNSUPPORTED("""COMPUTED_VALUE"""),442.49)</f>
        <v>442.49</v>
      </c>
      <c r="C656" s="2">
        <f t="shared" ca="1" si="2"/>
        <v>1.6524809851503491E-3</v>
      </c>
    </row>
    <row r="657" spans="1:3">
      <c r="A657" s="3">
        <f ca="1">IFERROR(__xludf.UNSUPPORTED("""COMPUTED_VALUE"""),44417.6666666666)</f>
        <v>44417.666666666599</v>
      </c>
      <c r="B657" s="1">
        <f ca="1">IFERROR(__xludf.UNSUPPORTED("""COMPUTED_VALUE"""),442.13)</f>
        <v>442.13</v>
      </c>
      <c r="C657" s="2">
        <f t="shared" ca="1" si="2"/>
        <v>-8.1357770797083246E-4</v>
      </c>
    </row>
    <row r="658" spans="1:3">
      <c r="A658" s="3">
        <f ca="1">IFERROR(__xludf.UNSUPPORTED("""COMPUTED_VALUE"""),44418.6666666666)</f>
        <v>44418.666666666599</v>
      </c>
      <c r="B658" s="1">
        <f ca="1">IFERROR(__xludf.UNSUPPORTED("""COMPUTED_VALUE"""),442.68)</f>
        <v>442.68</v>
      </c>
      <c r="C658" s="2">
        <f t="shared" ca="1" si="2"/>
        <v>1.2439780155158243E-3</v>
      </c>
    </row>
    <row r="659" spans="1:3">
      <c r="A659" s="3">
        <f ca="1">IFERROR(__xludf.UNSUPPORTED("""COMPUTED_VALUE"""),44419.6666666666)</f>
        <v>44419.666666666599</v>
      </c>
      <c r="B659" s="1">
        <f ca="1">IFERROR(__xludf.UNSUPPORTED("""COMPUTED_VALUE"""),443.78)</f>
        <v>443.78</v>
      </c>
      <c r="C659" s="2">
        <f t="shared" ca="1" si="2"/>
        <v>2.4848649137073414E-3</v>
      </c>
    </row>
    <row r="660" spans="1:3">
      <c r="A660" s="3">
        <f ca="1">IFERROR(__xludf.UNSUPPORTED("""COMPUTED_VALUE"""),44420.6666666666)</f>
        <v>44420.666666666599</v>
      </c>
      <c r="B660" s="1">
        <f ca="1">IFERROR(__xludf.UNSUPPORTED("""COMPUTED_VALUE"""),445.11)</f>
        <v>445.11</v>
      </c>
      <c r="C660" s="2">
        <f t="shared" ca="1" si="2"/>
        <v>2.9969804858264028E-3</v>
      </c>
    </row>
    <row r="661" spans="1:3">
      <c r="A661" s="3">
        <f ca="1">IFERROR(__xludf.UNSUPPORTED("""COMPUTED_VALUE"""),44421.6666666666)</f>
        <v>44421.666666666599</v>
      </c>
      <c r="B661" s="1">
        <f ca="1">IFERROR(__xludf.UNSUPPORTED("""COMPUTED_VALUE"""),445.92)</f>
        <v>445.92</v>
      </c>
      <c r="C661" s="2">
        <f t="shared" ca="1" si="2"/>
        <v>1.819774887106563E-3</v>
      </c>
    </row>
    <row r="662" spans="1:3">
      <c r="A662" s="3">
        <f ca="1">IFERROR(__xludf.UNSUPPORTED("""COMPUTED_VALUE"""),44424.6666666666)</f>
        <v>44424.666666666599</v>
      </c>
      <c r="B662" s="1">
        <f ca="1">IFERROR(__xludf.UNSUPPORTED("""COMPUTED_VALUE"""),446.97)</f>
        <v>446.97</v>
      </c>
      <c r="C662" s="2">
        <f t="shared" ca="1" si="2"/>
        <v>2.354682454251909E-3</v>
      </c>
    </row>
    <row r="663" spans="1:3">
      <c r="A663" s="3">
        <f ca="1">IFERROR(__xludf.UNSUPPORTED("""COMPUTED_VALUE"""),44425.6666666666)</f>
        <v>44425.666666666599</v>
      </c>
      <c r="B663" s="1">
        <f ca="1">IFERROR(__xludf.UNSUPPORTED("""COMPUTED_VALUE"""),444.04)</f>
        <v>444.04</v>
      </c>
      <c r="C663" s="2">
        <f t="shared" ca="1" si="2"/>
        <v>-6.5552497930510024E-3</v>
      </c>
    </row>
    <row r="664" spans="1:3">
      <c r="A664" s="3">
        <f ca="1">IFERROR(__xludf.UNSUPPORTED("""COMPUTED_VALUE"""),44426.6666666666)</f>
        <v>44426.666666666599</v>
      </c>
      <c r="B664" s="1">
        <f ca="1">IFERROR(__xludf.UNSUPPORTED("""COMPUTED_VALUE"""),439.18)</f>
        <v>439.18</v>
      </c>
      <c r="C664" s="2">
        <f t="shared" ca="1" si="2"/>
        <v>-1.0944959913521334E-2</v>
      </c>
    </row>
    <row r="665" spans="1:3">
      <c r="A665" s="3">
        <f ca="1">IFERROR(__xludf.UNSUPPORTED("""COMPUTED_VALUE"""),44427.6666666666)</f>
        <v>44427.666666666599</v>
      </c>
      <c r="B665" s="1">
        <f ca="1">IFERROR(__xludf.UNSUPPORTED("""COMPUTED_VALUE"""),439.86)</f>
        <v>439.86</v>
      </c>
      <c r="C665" s="2">
        <f t="shared" ca="1" si="2"/>
        <v>1.5483400883464793E-3</v>
      </c>
    </row>
    <row r="666" spans="1:3">
      <c r="A666" s="3">
        <f ca="1">IFERROR(__xludf.UNSUPPORTED("""COMPUTED_VALUE"""),44428.6666666666)</f>
        <v>44428.666666666599</v>
      </c>
      <c r="B666" s="1">
        <f ca="1">IFERROR(__xludf.UNSUPPORTED("""COMPUTED_VALUE"""),443.36)</f>
        <v>443.36</v>
      </c>
      <c r="C666" s="2">
        <f t="shared" ca="1" si="2"/>
        <v>7.9570772518528614E-3</v>
      </c>
    </row>
    <row r="667" spans="1:3">
      <c r="A667" s="3">
        <f ca="1">IFERROR(__xludf.UNSUPPORTED("""COMPUTED_VALUE"""),44431.6666666666)</f>
        <v>44431.666666666599</v>
      </c>
      <c r="B667" s="1">
        <f ca="1">IFERROR(__xludf.UNSUPPORTED("""COMPUTED_VALUE"""),447.26)</f>
        <v>447.26</v>
      </c>
      <c r="C667" s="2">
        <f t="shared" ca="1" si="2"/>
        <v>8.7964633706242717E-3</v>
      </c>
    </row>
    <row r="668" spans="1:3">
      <c r="A668" s="3">
        <f ca="1">IFERROR(__xludf.UNSUPPORTED("""COMPUTED_VALUE"""),44432.6666666666)</f>
        <v>44432.666666666599</v>
      </c>
      <c r="B668" s="1">
        <f ca="1">IFERROR(__xludf.UNSUPPORTED("""COMPUTED_VALUE"""),447.97)</f>
        <v>447.97</v>
      </c>
      <c r="C668" s="2">
        <f t="shared" ca="1" si="2"/>
        <v>1.5874435451416098E-3</v>
      </c>
    </row>
    <row r="669" spans="1:3">
      <c r="A669" s="3">
        <f ca="1">IFERROR(__xludf.UNSUPPORTED("""COMPUTED_VALUE"""),44433.6666666666)</f>
        <v>44433.666666666599</v>
      </c>
      <c r="B669" s="1">
        <f ca="1">IFERROR(__xludf.UNSUPPORTED("""COMPUTED_VALUE"""),448.91)</f>
        <v>448.91</v>
      </c>
      <c r="C669" s="2">
        <f t="shared" ca="1" si="2"/>
        <v>2.0983548005446741E-3</v>
      </c>
    </row>
    <row r="670" spans="1:3">
      <c r="A670" s="3">
        <f ca="1">IFERROR(__xludf.UNSUPPORTED("""COMPUTED_VALUE"""),44434.6666666666)</f>
        <v>44434.666666666599</v>
      </c>
      <c r="B670" s="1">
        <f ca="1">IFERROR(__xludf.UNSUPPORTED("""COMPUTED_VALUE"""),446.26)</f>
        <v>446.26</v>
      </c>
      <c r="C670" s="2">
        <f t="shared" ca="1" si="2"/>
        <v>-5.9031877213696149E-3</v>
      </c>
    </row>
    <row r="671" spans="1:3">
      <c r="A671" s="3">
        <f ca="1">IFERROR(__xludf.UNSUPPORTED("""COMPUTED_VALUE"""),44435.6666666666)</f>
        <v>44435.666666666599</v>
      </c>
      <c r="B671" s="1">
        <f ca="1">IFERROR(__xludf.UNSUPPORTED("""COMPUTED_VALUE"""),450.25)</f>
        <v>450.25</v>
      </c>
      <c r="C671" s="2">
        <f t="shared" ca="1" si="2"/>
        <v>8.9409761125801308E-3</v>
      </c>
    </row>
    <row r="672" spans="1:3">
      <c r="A672" s="3">
        <f ca="1">IFERROR(__xludf.UNSUPPORTED("""COMPUTED_VALUE"""),44438.6666666666)</f>
        <v>44438.666666666599</v>
      </c>
      <c r="B672" s="1">
        <f ca="1">IFERROR(__xludf.UNSUPPORTED("""COMPUTED_VALUE"""),452.23)</f>
        <v>452.23</v>
      </c>
      <c r="C672" s="2">
        <f t="shared" ca="1" si="2"/>
        <v>4.3975569128262481E-3</v>
      </c>
    </row>
    <row r="673" spans="1:3">
      <c r="A673" s="3">
        <f ca="1">IFERROR(__xludf.UNSUPPORTED("""COMPUTED_VALUE"""),44439.6666666666)</f>
        <v>44439.666666666599</v>
      </c>
      <c r="B673" s="1">
        <f ca="1">IFERROR(__xludf.UNSUPPORTED("""COMPUTED_VALUE"""),451.56)</f>
        <v>451.56</v>
      </c>
      <c r="C673" s="2">
        <f t="shared" ca="1" si="2"/>
        <v>-1.4815470004201753E-3</v>
      </c>
    </row>
    <row r="674" spans="1:3">
      <c r="A674" s="3">
        <f ca="1">IFERROR(__xludf.UNSUPPORTED("""COMPUTED_VALUE"""),44440.6666666666)</f>
        <v>44440.666666666599</v>
      </c>
      <c r="B674" s="1">
        <f ca="1">IFERROR(__xludf.UNSUPPORTED("""COMPUTED_VALUE"""),451.8)</f>
        <v>451.8</v>
      </c>
      <c r="C674" s="2">
        <f t="shared" ca="1" si="2"/>
        <v>5.3149083178317188E-4</v>
      </c>
    </row>
    <row r="675" spans="1:3">
      <c r="A675" s="3">
        <f ca="1">IFERROR(__xludf.UNSUPPORTED("""COMPUTED_VALUE"""),44441.6666666666)</f>
        <v>44441.666666666599</v>
      </c>
      <c r="B675" s="1">
        <f ca="1">IFERROR(__xludf.UNSUPPORTED("""COMPUTED_VALUE"""),453.19)</f>
        <v>453.19</v>
      </c>
      <c r="C675" s="2">
        <f t="shared" ca="1" si="2"/>
        <v>3.0765825586542414E-3</v>
      </c>
    </row>
    <row r="676" spans="1:3">
      <c r="A676" s="3">
        <f ca="1">IFERROR(__xludf.UNSUPPORTED("""COMPUTED_VALUE"""),44442.6666666666)</f>
        <v>44442.666666666599</v>
      </c>
      <c r="B676" s="1">
        <f ca="1">IFERROR(__xludf.UNSUPPORTED("""COMPUTED_VALUE"""),453.08)</f>
        <v>453.08</v>
      </c>
      <c r="C676" s="2">
        <f t="shared" ca="1" si="2"/>
        <v>-2.4272380237872336E-4</v>
      </c>
    </row>
    <row r="677" spans="1:3">
      <c r="A677" s="3">
        <f ca="1">IFERROR(__xludf.UNSUPPORTED("""COMPUTED_VALUE"""),44446.6666666666)</f>
        <v>44446.666666666599</v>
      </c>
      <c r="B677" s="1">
        <f ca="1">IFERROR(__xludf.UNSUPPORTED("""COMPUTED_VALUE"""),451.46)</f>
        <v>451.46</v>
      </c>
      <c r="C677" s="2">
        <f t="shared" ca="1" si="2"/>
        <v>-3.5755275006621448E-3</v>
      </c>
    </row>
    <row r="678" spans="1:3">
      <c r="A678" s="3">
        <f ca="1">IFERROR(__xludf.UNSUPPORTED("""COMPUTED_VALUE"""),44447.6666666666)</f>
        <v>44447.666666666599</v>
      </c>
      <c r="B678" s="1">
        <f ca="1">IFERROR(__xludf.UNSUPPORTED("""COMPUTED_VALUE"""),450.91)</f>
        <v>450.91</v>
      </c>
      <c r="C678" s="2">
        <f t="shared" ca="1" si="2"/>
        <v>-1.218269614140687E-3</v>
      </c>
    </row>
    <row r="679" spans="1:3">
      <c r="A679" s="3">
        <f ca="1">IFERROR(__xludf.UNSUPPORTED("""COMPUTED_VALUE"""),44448.6666666666)</f>
        <v>44448.666666666599</v>
      </c>
      <c r="B679" s="1">
        <f ca="1">IFERROR(__xludf.UNSUPPORTED("""COMPUTED_VALUE"""),448.98)</f>
        <v>448.98</v>
      </c>
      <c r="C679" s="2">
        <f t="shared" ca="1" si="2"/>
        <v>-4.280233305981253E-3</v>
      </c>
    </row>
    <row r="680" spans="1:3">
      <c r="A680" s="3">
        <f ca="1">IFERROR(__xludf.UNSUPPORTED("""COMPUTED_VALUE"""),44449.6666666666)</f>
        <v>44449.666666666599</v>
      </c>
      <c r="B680" s="1">
        <f ca="1">IFERROR(__xludf.UNSUPPORTED("""COMPUTED_VALUE"""),445.44)</f>
        <v>445.44</v>
      </c>
      <c r="C680" s="2">
        <f t="shared" ca="1" si="2"/>
        <v>-7.8845382867834216E-3</v>
      </c>
    </row>
    <row r="681" spans="1:3">
      <c r="A681" s="3">
        <f ca="1">IFERROR(__xludf.UNSUPPORTED("""COMPUTED_VALUE"""),44452.6666666666)</f>
        <v>44452.666666666599</v>
      </c>
      <c r="B681" s="1">
        <f ca="1">IFERROR(__xludf.UNSUPPORTED("""COMPUTED_VALUE"""),446.58)</f>
        <v>446.58</v>
      </c>
      <c r="C681" s="2">
        <f t="shared" ca="1" si="2"/>
        <v>2.5592672413792799E-3</v>
      </c>
    </row>
    <row r="682" spans="1:3">
      <c r="A682" s="3">
        <f ca="1">IFERROR(__xludf.UNSUPPORTED("""COMPUTED_VALUE"""),44453.6666666666)</f>
        <v>44453.666666666599</v>
      </c>
      <c r="B682" s="1">
        <f ca="1">IFERROR(__xludf.UNSUPPORTED("""COMPUTED_VALUE"""),444.17)</f>
        <v>444.17</v>
      </c>
      <c r="C682" s="2">
        <f t="shared" ca="1" si="2"/>
        <v>-5.3965694836310809E-3</v>
      </c>
    </row>
    <row r="683" spans="1:3">
      <c r="A683" s="3">
        <f ca="1">IFERROR(__xludf.UNSUPPORTED("""COMPUTED_VALUE"""),44454.6666666666)</f>
        <v>44454.666666666599</v>
      </c>
      <c r="B683" s="1">
        <f ca="1">IFERROR(__xludf.UNSUPPORTED("""COMPUTED_VALUE"""),447.88)</f>
        <v>447.88</v>
      </c>
      <c r="C683" s="2">
        <f t="shared" ca="1" si="2"/>
        <v>8.3526577661705639E-3</v>
      </c>
    </row>
    <row r="684" spans="1:3">
      <c r="A684" s="3">
        <f ca="1">IFERROR(__xludf.UNSUPPORTED("""COMPUTED_VALUE"""),44455.6666666666)</f>
        <v>44455.666666666599</v>
      </c>
      <c r="B684" s="1">
        <f ca="1">IFERROR(__xludf.UNSUPPORTED("""COMPUTED_VALUE"""),447.17)</f>
        <v>447.17</v>
      </c>
      <c r="C684" s="2">
        <f t="shared" ca="1" si="2"/>
        <v>-1.5852460480485387E-3</v>
      </c>
    </row>
    <row r="685" spans="1:3">
      <c r="A685" s="3">
        <f ca="1">IFERROR(__xludf.UNSUPPORTED("""COMPUTED_VALUE"""),44456.6666666666)</f>
        <v>44456.666666666599</v>
      </c>
      <c r="B685" s="1">
        <f ca="1">IFERROR(__xludf.UNSUPPORTED("""COMPUTED_VALUE"""),441.4)</f>
        <v>441.4</v>
      </c>
      <c r="C685" s="2">
        <f t="shared" ca="1" si="2"/>
        <v>-1.2903370082966296E-2</v>
      </c>
    </row>
    <row r="686" spans="1:3">
      <c r="A686" s="3">
        <f ca="1">IFERROR(__xludf.UNSUPPORTED("""COMPUTED_VALUE"""),44459.6666666666)</f>
        <v>44459.666666666599</v>
      </c>
      <c r="B686" s="1">
        <f ca="1">IFERROR(__xludf.UNSUPPORTED("""COMPUTED_VALUE"""),434.04)</f>
        <v>434.04</v>
      </c>
      <c r="C686" s="2">
        <f t="shared" ca="1" si="2"/>
        <v>-1.6674218396012588E-2</v>
      </c>
    </row>
    <row r="687" spans="1:3">
      <c r="A687" s="3">
        <f ca="1">IFERROR(__xludf.UNSUPPORTED("""COMPUTED_VALUE"""),44460.6666666666)</f>
        <v>44460.666666666599</v>
      </c>
      <c r="B687" s="1">
        <f ca="1">IFERROR(__xludf.UNSUPPORTED("""COMPUTED_VALUE"""),433.63)</f>
        <v>433.63</v>
      </c>
      <c r="C687" s="2">
        <f t="shared" ca="1" si="2"/>
        <v>-9.4461339968672238E-4</v>
      </c>
    </row>
    <row r="688" spans="1:3">
      <c r="A688" s="3">
        <f ca="1">IFERROR(__xludf.UNSUPPORTED("""COMPUTED_VALUE"""),44461.6666666666)</f>
        <v>44461.666666666599</v>
      </c>
      <c r="B688" s="1">
        <f ca="1">IFERROR(__xludf.UNSUPPORTED("""COMPUTED_VALUE"""),437.86)</f>
        <v>437.86</v>
      </c>
      <c r="C688" s="2">
        <f t="shared" ca="1" si="2"/>
        <v>9.7548601342158474E-3</v>
      </c>
    </row>
    <row r="689" spans="1:3">
      <c r="A689" s="3">
        <f ca="1">IFERROR(__xludf.UNSUPPORTED("""COMPUTED_VALUE"""),44462.6666666666)</f>
        <v>44462.666666666599</v>
      </c>
      <c r="B689" s="1">
        <f ca="1">IFERROR(__xludf.UNSUPPORTED("""COMPUTED_VALUE"""),443.18)</f>
        <v>443.18</v>
      </c>
      <c r="C689" s="2">
        <f t="shared" ca="1" si="2"/>
        <v>1.2150002283835001E-2</v>
      </c>
    </row>
    <row r="690" spans="1:3">
      <c r="A690" s="3">
        <f ca="1">IFERROR(__xludf.UNSUPPORTED("""COMPUTED_VALUE"""),44463.6666666666)</f>
        <v>44463.666666666599</v>
      </c>
      <c r="B690" s="1">
        <f ca="1">IFERROR(__xludf.UNSUPPORTED("""COMPUTED_VALUE"""),443.91)</f>
        <v>443.91</v>
      </c>
      <c r="C690" s="2">
        <f t="shared" ca="1" si="2"/>
        <v>1.6471862448666865E-3</v>
      </c>
    </row>
    <row r="691" spans="1:3">
      <c r="A691" s="3">
        <f ca="1">IFERROR(__xludf.UNSUPPORTED("""COMPUTED_VALUE"""),44466.6666666666)</f>
        <v>44466.666666666599</v>
      </c>
      <c r="B691" s="1">
        <f ca="1">IFERROR(__xludf.UNSUPPORTED("""COMPUTED_VALUE"""),442.64)</f>
        <v>442.64</v>
      </c>
      <c r="C691" s="2">
        <f t="shared" ca="1" si="2"/>
        <v>-2.8609402806876135E-3</v>
      </c>
    </row>
    <row r="692" spans="1:3">
      <c r="A692" s="3">
        <f ca="1">IFERROR(__xludf.UNSUPPORTED("""COMPUTED_VALUE"""),44467.6666666666)</f>
        <v>44467.666666666599</v>
      </c>
      <c r="B692" s="1">
        <f ca="1">IFERROR(__xludf.UNSUPPORTED("""COMPUTED_VALUE"""),433.72)</f>
        <v>433.72</v>
      </c>
      <c r="C692" s="2">
        <f t="shared" ca="1" si="2"/>
        <v>-2.0151816374480297E-2</v>
      </c>
    </row>
    <row r="693" spans="1:3">
      <c r="A693" s="3">
        <f ca="1">IFERROR(__xludf.UNSUPPORTED("""COMPUTED_VALUE"""),44468.6666666666)</f>
        <v>44468.666666666599</v>
      </c>
      <c r="B693" s="1">
        <f ca="1">IFERROR(__xludf.UNSUPPORTED("""COMPUTED_VALUE"""),434.45)</f>
        <v>434.45</v>
      </c>
      <c r="C693" s="2">
        <f t="shared" ca="1" si="2"/>
        <v>1.6831135294659257E-3</v>
      </c>
    </row>
    <row r="694" spans="1:3">
      <c r="A694" s="3">
        <f ca="1">IFERROR(__xludf.UNSUPPORTED("""COMPUTED_VALUE"""),44469.6666666666)</f>
        <v>44469.666666666599</v>
      </c>
      <c r="B694" s="1">
        <f ca="1">IFERROR(__xludf.UNSUPPORTED("""COMPUTED_VALUE"""),429.14)</f>
        <v>429.14</v>
      </c>
      <c r="C694" s="2">
        <f t="shared" ca="1" si="2"/>
        <v>-1.2222350097824842E-2</v>
      </c>
    </row>
    <row r="695" spans="1:3">
      <c r="A695" s="3">
        <f ca="1">IFERROR(__xludf.UNSUPPORTED("""COMPUTED_VALUE"""),44470.6666666666)</f>
        <v>44470.666666666599</v>
      </c>
      <c r="B695" s="1">
        <f ca="1">IFERROR(__xludf.UNSUPPORTED("""COMPUTED_VALUE"""),434.24)</f>
        <v>434.24</v>
      </c>
      <c r="C695" s="2">
        <f t="shared" ca="1" si="2"/>
        <v>1.1884233583446015E-2</v>
      </c>
    </row>
    <row r="696" spans="1:3">
      <c r="A696" s="3">
        <f ca="1">IFERROR(__xludf.UNSUPPORTED("""COMPUTED_VALUE"""),44473.6666666666)</f>
        <v>44473.666666666599</v>
      </c>
      <c r="B696" s="1">
        <f ca="1">IFERROR(__xludf.UNSUPPORTED("""COMPUTED_VALUE"""),428.64)</f>
        <v>428.64</v>
      </c>
      <c r="C696" s="2">
        <f t="shared" ca="1" si="2"/>
        <v>-1.2896094325718548E-2</v>
      </c>
    </row>
    <row r="697" spans="1:3">
      <c r="A697" s="3">
        <f ca="1">IFERROR(__xludf.UNSUPPORTED("""COMPUTED_VALUE"""),44474.6666666666)</f>
        <v>44474.666666666599</v>
      </c>
      <c r="B697" s="1">
        <f ca="1">IFERROR(__xludf.UNSUPPORTED("""COMPUTED_VALUE"""),433.1)</f>
        <v>433.1</v>
      </c>
      <c r="C697" s="2">
        <f t="shared" ca="1" si="2"/>
        <v>1.0405001866368132E-2</v>
      </c>
    </row>
    <row r="698" spans="1:3">
      <c r="A698" s="3">
        <f ca="1">IFERROR(__xludf.UNSUPPORTED("""COMPUTED_VALUE"""),44475.6666666666)</f>
        <v>44475.666666666599</v>
      </c>
      <c r="B698" s="1">
        <f ca="1">IFERROR(__xludf.UNSUPPORTED("""COMPUTED_VALUE"""),434.9)</f>
        <v>434.9</v>
      </c>
      <c r="C698" s="2">
        <f t="shared" ca="1" si="2"/>
        <v>4.1560840452550324E-3</v>
      </c>
    </row>
    <row r="699" spans="1:3">
      <c r="A699" s="3">
        <f ca="1">IFERROR(__xludf.UNSUPPORTED("""COMPUTED_VALUE"""),44476.6666666666)</f>
        <v>44476.666666666599</v>
      </c>
      <c r="B699" s="1">
        <f ca="1">IFERROR(__xludf.UNSUPPORTED("""COMPUTED_VALUE"""),438.66)</f>
        <v>438.66</v>
      </c>
      <c r="C699" s="2">
        <f t="shared" ca="1" si="2"/>
        <v>8.6456656702691374E-3</v>
      </c>
    </row>
    <row r="700" spans="1:3">
      <c r="A700" s="3">
        <f ca="1">IFERROR(__xludf.UNSUPPORTED("""COMPUTED_VALUE"""),44477.6666666666)</f>
        <v>44477.666666666599</v>
      </c>
      <c r="B700" s="1">
        <f ca="1">IFERROR(__xludf.UNSUPPORTED("""COMPUTED_VALUE"""),437.86)</f>
        <v>437.86</v>
      </c>
      <c r="C700" s="2">
        <f t="shared" ca="1" si="2"/>
        <v>-1.8237359230383699E-3</v>
      </c>
    </row>
    <row r="701" spans="1:3">
      <c r="A701" s="3">
        <f ca="1">IFERROR(__xludf.UNSUPPORTED("""COMPUTED_VALUE"""),44480.6666666666)</f>
        <v>44480.666666666599</v>
      </c>
      <c r="B701" s="1">
        <f ca="1">IFERROR(__xludf.UNSUPPORTED("""COMPUTED_VALUE"""),434.69)</f>
        <v>434.69</v>
      </c>
      <c r="C701" s="2">
        <f t="shared" ca="1" si="2"/>
        <v>-7.2397569999543597E-3</v>
      </c>
    </row>
    <row r="702" spans="1:3">
      <c r="A702" s="3">
        <f ca="1">IFERROR(__xludf.UNSUPPORTED("""COMPUTED_VALUE"""),44481.6666666666)</f>
        <v>44481.666666666599</v>
      </c>
      <c r="B702" s="1">
        <f ca="1">IFERROR(__xludf.UNSUPPORTED("""COMPUTED_VALUE"""),433.62)</f>
        <v>433.62</v>
      </c>
      <c r="C702" s="2">
        <f t="shared" ca="1" si="2"/>
        <v>-2.4615243046768806E-3</v>
      </c>
    </row>
    <row r="703" spans="1:3">
      <c r="A703" s="3">
        <f ca="1">IFERROR(__xludf.UNSUPPORTED("""COMPUTED_VALUE"""),44482.6666666666)</f>
        <v>44482.666666666599</v>
      </c>
      <c r="B703" s="1">
        <f ca="1">IFERROR(__xludf.UNSUPPORTED("""COMPUTED_VALUE"""),435.18)</f>
        <v>435.18</v>
      </c>
      <c r="C703" s="2">
        <f t="shared" ca="1" si="2"/>
        <v>3.5976200359762057E-3</v>
      </c>
    </row>
    <row r="704" spans="1:3">
      <c r="A704" s="3">
        <f ca="1">IFERROR(__xludf.UNSUPPORTED("""COMPUTED_VALUE"""),44483.6666666666)</f>
        <v>44483.666666666599</v>
      </c>
      <c r="B704" s="1">
        <f ca="1">IFERROR(__xludf.UNSUPPORTED("""COMPUTED_VALUE"""),442.5)</f>
        <v>442.5</v>
      </c>
      <c r="C704" s="2">
        <f t="shared" ca="1" si="2"/>
        <v>1.6820625947883618E-2</v>
      </c>
    </row>
    <row r="705" spans="1:3">
      <c r="A705" s="3">
        <f ca="1">IFERROR(__xludf.UNSUPPORTED("""COMPUTED_VALUE"""),44484.6666666666)</f>
        <v>44484.666666666599</v>
      </c>
      <c r="B705" s="1">
        <f ca="1">IFERROR(__xludf.UNSUPPORTED("""COMPUTED_VALUE"""),445.87)</f>
        <v>445.87</v>
      </c>
      <c r="C705" s="2">
        <f t="shared" ca="1" si="2"/>
        <v>7.6158192090395585E-3</v>
      </c>
    </row>
    <row r="706" spans="1:3">
      <c r="A706" s="3">
        <f ca="1">IFERROR(__xludf.UNSUPPORTED("""COMPUTED_VALUE"""),44487.6666666666)</f>
        <v>44487.666666666599</v>
      </c>
      <c r="B706" s="1">
        <f ca="1">IFERROR(__xludf.UNSUPPORTED("""COMPUTED_VALUE"""),447.19)</f>
        <v>447.19</v>
      </c>
      <c r="C706" s="2">
        <f t="shared" ca="1" si="2"/>
        <v>2.9605041828335461E-3</v>
      </c>
    </row>
    <row r="707" spans="1:3">
      <c r="A707" s="3">
        <f ca="1">IFERROR(__xludf.UNSUPPORTED("""COMPUTED_VALUE"""),44488.6666666666)</f>
        <v>44488.666666666599</v>
      </c>
      <c r="B707" s="1">
        <f ca="1">IFERROR(__xludf.UNSUPPORTED("""COMPUTED_VALUE"""),450.64)</f>
        <v>450.64</v>
      </c>
      <c r="C707" s="2">
        <f t="shared" ca="1" si="2"/>
        <v>7.7148415662246219E-3</v>
      </c>
    </row>
    <row r="708" spans="1:3">
      <c r="A708" s="3">
        <f ca="1">IFERROR(__xludf.UNSUPPORTED("""COMPUTED_VALUE"""),44489.6666666666)</f>
        <v>44489.666666666599</v>
      </c>
      <c r="B708" s="1">
        <f ca="1">IFERROR(__xludf.UNSUPPORTED("""COMPUTED_VALUE"""),452.41)</f>
        <v>452.41</v>
      </c>
      <c r="C708" s="2">
        <f t="shared" ca="1" si="2"/>
        <v>3.9277472039766529E-3</v>
      </c>
    </row>
    <row r="709" spans="1:3">
      <c r="A709" s="3">
        <f ca="1">IFERROR(__xludf.UNSUPPORTED("""COMPUTED_VALUE"""),44490.6666666666)</f>
        <v>44490.666666666599</v>
      </c>
      <c r="B709" s="1">
        <f ca="1">IFERROR(__xludf.UNSUPPORTED("""COMPUTED_VALUE"""),453.59)</f>
        <v>453.59</v>
      </c>
      <c r="C709" s="2">
        <f t="shared" ca="1" si="2"/>
        <v>2.6082535752966333E-3</v>
      </c>
    </row>
    <row r="710" spans="1:3">
      <c r="A710" s="3">
        <f ca="1">IFERROR(__xludf.UNSUPPORTED("""COMPUTED_VALUE"""),44491.6666666666)</f>
        <v>44491.666666666599</v>
      </c>
      <c r="B710" s="1">
        <f ca="1">IFERROR(__xludf.UNSUPPORTED("""COMPUTED_VALUE"""),453.12)</f>
        <v>453.12</v>
      </c>
      <c r="C710" s="2">
        <f t="shared" ca="1" si="2"/>
        <v>-1.0361780462531591E-3</v>
      </c>
    </row>
    <row r="711" spans="1:3">
      <c r="A711" s="3">
        <f ca="1">IFERROR(__xludf.UNSUPPORTED("""COMPUTED_VALUE"""),44494.6666666666)</f>
        <v>44494.666666666599</v>
      </c>
      <c r="B711" s="1">
        <f ca="1">IFERROR(__xludf.UNSUPPORTED("""COMPUTED_VALUE"""),455.55)</f>
        <v>455.55</v>
      </c>
      <c r="C711" s="2">
        <f t="shared" ca="1" si="2"/>
        <v>5.3628177966101847E-3</v>
      </c>
    </row>
    <row r="712" spans="1:3">
      <c r="A712" s="3">
        <f ca="1">IFERROR(__xludf.UNSUPPORTED("""COMPUTED_VALUE"""),44495.6666666666)</f>
        <v>44495.666666666599</v>
      </c>
      <c r="B712" s="1">
        <f ca="1">IFERROR(__xludf.UNSUPPORTED("""COMPUTED_VALUE"""),455.96)</f>
        <v>455.96</v>
      </c>
      <c r="C712" s="2">
        <f t="shared" ca="1" si="2"/>
        <v>9.0001097574353677E-4</v>
      </c>
    </row>
    <row r="713" spans="1:3">
      <c r="A713" s="3">
        <f ca="1">IFERROR(__xludf.UNSUPPORTED("""COMPUTED_VALUE"""),44496.6666666666)</f>
        <v>44496.666666666599</v>
      </c>
      <c r="B713" s="1">
        <f ca="1">IFERROR(__xludf.UNSUPPORTED("""COMPUTED_VALUE"""),453.94)</f>
        <v>453.94</v>
      </c>
      <c r="C713" s="2">
        <f t="shared" ca="1" si="2"/>
        <v>-4.4302131765943985E-3</v>
      </c>
    </row>
    <row r="714" spans="1:3">
      <c r="A714" s="3">
        <f ca="1">IFERROR(__xludf.UNSUPPORTED("""COMPUTED_VALUE"""),44497.6666666666)</f>
        <v>44497.666666666599</v>
      </c>
      <c r="B714" s="1">
        <f ca="1">IFERROR(__xludf.UNSUPPORTED("""COMPUTED_VALUE"""),458.32)</f>
        <v>458.32</v>
      </c>
      <c r="C714" s="2">
        <f t="shared" ca="1" si="2"/>
        <v>9.6488522712252622E-3</v>
      </c>
    </row>
    <row r="715" spans="1:3">
      <c r="A715" s="3">
        <f ca="1">IFERROR(__xludf.UNSUPPORTED("""COMPUTED_VALUE"""),44498.6666666666)</f>
        <v>44498.666666666599</v>
      </c>
      <c r="B715" s="1">
        <f ca="1">IFERROR(__xludf.UNSUPPORTED("""COMPUTED_VALUE"""),459.25)</f>
        <v>459.25</v>
      </c>
      <c r="C715" s="2">
        <f t="shared" ca="1" si="2"/>
        <v>2.0291499389073287E-3</v>
      </c>
    </row>
    <row r="716" spans="1:3">
      <c r="A716" s="3">
        <f ca="1">IFERROR(__xludf.UNSUPPORTED("""COMPUTED_VALUE"""),44501.6666666666)</f>
        <v>44501.666666666599</v>
      </c>
      <c r="B716" s="1">
        <f ca="1">IFERROR(__xludf.UNSUPPORTED("""COMPUTED_VALUE"""),460.04)</f>
        <v>460.04</v>
      </c>
      <c r="C716" s="2">
        <f t="shared" ca="1" si="2"/>
        <v>1.7201959716930222E-3</v>
      </c>
    </row>
    <row r="717" spans="1:3">
      <c r="A717" s="3">
        <f ca="1">IFERROR(__xludf.UNSUPPORTED("""COMPUTED_VALUE"""),44502.6666666666)</f>
        <v>44502.666666666599</v>
      </c>
      <c r="B717" s="1">
        <f ca="1">IFERROR(__xludf.UNSUPPORTED("""COMPUTED_VALUE"""),461.9)</f>
        <v>461.9</v>
      </c>
      <c r="C717" s="2">
        <f t="shared" ca="1" si="2"/>
        <v>4.0431266846360243E-3</v>
      </c>
    </row>
    <row r="718" spans="1:3">
      <c r="A718" s="3">
        <f ca="1">IFERROR(__xludf.UNSUPPORTED("""COMPUTED_VALUE"""),44503.6666666666)</f>
        <v>44503.666666666599</v>
      </c>
      <c r="B718" s="1">
        <f ca="1">IFERROR(__xludf.UNSUPPORTED("""COMPUTED_VALUE"""),464.72)</f>
        <v>464.72</v>
      </c>
      <c r="C718" s="2">
        <f t="shared" ca="1" si="2"/>
        <v>6.1052175795627845E-3</v>
      </c>
    </row>
    <row r="719" spans="1:3">
      <c r="A719" s="3">
        <f ca="1">IFERROR(__xludf.UNSUPPORTED("""COMPUTED_VALUE"""),44504.6666666666)</f>
        <v>44504.666666666599</v>
      </c>
      <c r="B719" s="1">
        <f ca="1">IFERROR(__xludf.UNSUPPORTED("""COMPUTED_VALUE"""),466.91)</f>
        <v>466.91</v>
      </c>
      <c r="C719" s="2">
        <f t="shared" ca="1" si="2"/>
        <v>4.7125150628335288E-3</v>
      </c>
    </row>
    <row r="720" spans="1:3">
      <c r="A720" s="3">
        <f ca="1">IFERROR(__xludf.UNSUPPORTED("""COMPUTED_VALUE"""),44505.6666666666)</f>
        <v>44505.666666666599</v>
      </c>
      <c r="B720" s="1">
        <f ca="1">IFERROR(__xludf.UNSUPPORTED("""COMPUTED_VALUE"""),468.53)</f>
        <v>468.53</v>
      </c>
      <c r="C720" s="2">
        <f t="shared" ca="1" si="2"/>
        <v>3.469619412734676E-3</v>
      </c>
    </row>
    <row r="721" spans="1:3">
      <c r="A721" s="3">
        <f ca="1">IFERROR(__xludf.UNSUPPORTED("""COMPUTED_VALUE"""),44508.6666666666)</f>
        <v>44508.666666666599</v>
      </c>
      <c r="B721" s="1">
        <f ca="1">IFERROR(__xludf.UNSUPPORTED("""COMPUTED_VALUE"""),468.93)</f>
        <v>468.93</v>
      </c>
      <c r="C721" s="2">
        <f t="shared" ca="1" si="2"/>
        <v>8.5373401916640152E-4</v>
      </c>
    </row>
    <row r="722" spans="1:3">
      <c r="A722" s="3">
        <f ca="1">IFERROR(__xludf.UNSUPPORTED("""COMPUTED_VALUE"""),44509.6666666666)</f>
        <v>44509.666666666599</v>
      </c>
      <c r="B722" s="1">
        <f ca="1">IFERROR(__xludf.UNSUPPORTED("""COMPUTED_VALUE"""),467.38)</f>
        <v>467.38</v>
      </c>
      <c r="C722" s="2">
        <f t="shared" ca="1" si="2"/>
        <v>-3.3053973940673689E-3</v>
      </c>
    </row>
    <row r="723" spans="1:3">
      <c r="A723" s="3">
        <f ca="1">IFERROR(__xludf.UNSUPPORTED("""COMPUTED_VALUE"""),44510.6666666666)</f>
        <v>44510.666666666599</v>
      </c>
      <c r="B723" s="1">
        <f ca="1">IFERROR(__xludf.UNSUPPORTED("""COMPUTED_VALUE"""),463.62)</f>
        <v>463.62</v>
      </c>
      <c r="C723" s="2">
        <f t="shared" ca="1" si="2"/>
        <v>-8.0448457358038225E-3</v>
      </c>
    </row>
    <row r="724" spans="1:3">
      <c r="A724" s="3">
        <f ca="1">IFERROR(__xludf.UNSUPPORTED("""COMPUTED_VALUE"""),44511.6666666666)</f>
        <v>44511.666666666599</v>
      </c>
      <c r="B724" s="1">
        <f ca="1">IFERROR(__xludf.UNSUPPORTED("""COMPUTED_VALUE"""),463.77)</f>
        <v>463.77</v>
      </c>
      <c r="C724" s="2">
        <f t="shared" ca="1" si="2"/>
        <v>3.2354083085280456E-4</v>
      </c>
    </row>
    <row r="725" spans="1:3">
      <c r="A725" s="3">
        <f ca="1">IFERROR(__xludf.UNSUPPORTED("""COMPUTED_VALUE"""),44512.6666666666)</f>
        <v>44512.666666666599</v>
      </c>
      <c r="B725" s="1">
        <f ca="1">IFERROR(__xludf.UNSUPPORTED("""COMPUTED_VALUE"""),467.27)</f>
        <v>467.27</v>
      </c>
      <c r="C725" s="2">
        <f t="shared" ca="1" si="2"/>
        <v>7.5468443409448648E-3</v>
      </c>
    </row>
    <row r="726" spans="1:3">
      <c r="A726" s="3">
        <f ca="1">IFERROR(__xludf.UNSUPPORTED("""COMPUTED_VALUE"""),44515.6666666666)</f>
        <v>44515.666666666599</v>
      </c>
      <c r="B726" s="1">
        <f ca="1">IFERROR(__xludf.UNSUPPORTED("""COMPUTED_VALUE"""),467.43)</f>
        <v>467.43</v>
      </c>
      <c r="C726" s="2">
        <f t="shared" ca="1" si="2"/>
        <v>3.424144498898389E-4</v>
      </c>
    </row>
    <row r="727" spans="1:3">
      <c r="A727" s="3">
        <f ca="1">IFERROR(__xludf.UNSUPPORTED("""COMPUTED_VALUE"""),44516.6666666666)</f>
        <v>44516.666666666599</v>
      </c>
      <c r="B727" s="1">
        <f ca="1">IFERROR(__xludf.UNSUPPORTED("""COMPUTED_VALUE"""),469.28)</f>
        <v>469.28</v>
      </c>
      <c r="C727" s="2">
        <f t="shared" ca="1" si="2"/>
        <v>3.9578118648780905E-3</v>
      </c>
    </row>
    <row r="728" spans="1:3">
      <c r="A728" s="3">
        <f ca="1">IFERROR(__xludf.UNSUPPORTED("""COMPUTED_VALUE"""),44517.6666666666)</f>
        <v>44517.666666666599</v>
      </c>
      <c r="B728" s="1">
        <f ca="1">IFERROR(__xludf.UNSUPPORTED("""COMPUTED_VALUE"""),468.14)</f>
        <v>468.14</v>
      </c>
      <c r="C728" s="2">
        <f t="shared" ca="1" si="2"/>
        <v>-2.4292533242413622E-3</v>
      </c>
    </row>
    <row r="729" spans="1:3">
      <c r="A729" s="3">
        <f ca="1">IFERROR(__xludf.UNSUPPORTED("""COMPUTED_VALUE"""),44518.6666666666)</f>
        <v>44518.666666666599</v>
      </c>
      <c r="B729" s="1">
        <f ca="1">IFERROR(__xludf.UNSUPPORTED("""COMPUTED_VALUE"""),469.73)</f>
        <v>469.73</v>
      </c>
      <c r="C729" s="2">
        <f t="shared" ca="1" si="2"/>
        <v>3.3964198743966162E-3</v>
      </c>
    </row>
    <row r="730" spans="1:3">
      <c r="A730" s="3">
        <f ca="1">IFERROR(__xludf.UNSUPPORTED("""COMPUTED_VALUE"""),44519.6666666666)</f>
        <v>44519.666666666599</v>
      </c>
      <c r="B730" s="1">
        <f ca="1">IFERROR(__xludf.UNSUPPORTED("""COMPUTED_VALUE"""),468.89)</f>
        <v>468.89</v>
      </c>
      <c r="C730" s="2">
        <f t="shared" ca="1" si="2"/>
        <v>-1.7882613416218504E-3</v>
      </c>
    </row>
    <row r="731" spans="1:3">
      <c r="A731" s="3">
        <f ca="1">IFERROR(__xludf.UNSUPPORTED("""COMPUTED_VALUE"""),44522.6666666666)</f>
        <v>44522.666666666599</v>
      </c>
      <c r="B731" s="1">
        <f ca="1">IFERROR(__xludf.UNSUPPORTED("""COMPUTED_VALUE"""),467.57)</f>
        <v>467.57</v>
      </c>
      <c r="C731" s="2">
        <f t="shared" ca="1" si="2"/>
        <v>-2.8151592057838581E-3</v>
      </c>
    </row>
    <row r="732" spans="1:3">
      <c r="A732" s="3">
        <f ca="1">IFERROR(__xludf.UNSUPPORTED("""COMPUTED_VALUE"""),44523.6666666666)</f>
        <v>44523.666666666599</v>
      </c>
      <c r="B732" s="1">
        <f ca="1">IFERROR(__xludf.UNSUPPORTED("""COMPUTED_VALUE"""),468.19)</f>
        <v>468.19</v>
      </c>
      <c r="C732" s="2">
        <f t="shared" ca="1" si="2"/>
        <v>1.3260046624035001E-3</v>
      </c>
    </row>
    <row r="733" spans="1:3">
      <c r="A733" s="3">
        <f ca="1">IFERROR(__xludf.UNSUPPORTED("""COMPUTED_VALUE"""),44524.6666666666)</f>
        <v>44524.666666666599</v>
      </c>
      <c r="B733" s="1">
        <f ca="1">IFERROR(__xludf.UNSUPPORTED("""COMPUTED_VALUE"""),469.44)</f>
        <v>469.44</v>
      </c>
      <c r="C733" s="2">
        <f t="shared" ca="1" si="2"/>
        <v>2.6698562549392342E-3</v>
      </c>
    </row>
    <row r="734" spans="1:3">
      <c r="A734" s="3">
        <f ca="1">IFERROR(__xludf.UNSUPPORTED("""COMPUTED_VALUE"""),44526.5520833333)</f>
        <v>44526.552083333299</v>
      </c>
      <c r="B734" s="1">
        <f ca="1">IFERROR(__xludf.UNSUPPORTED("""COMPUTED_VALUE"""),458.97)</f>
        <v>458.97</v>
      </c>
      <c r="C734" s="2">
        <f t="shared" ca="1" si="2"/>
        <v>-2.2303169734151265E-2</v>
      </c>
    </row>
    <row r="735" spans="1:3">
      <c r="A735" s="3">
        <f ca="1">IFERROR(__xludf.UNSUPPORTED("""COMPUTED_VALUE"""),44529.6666666666)</f>
        <v>44529.666666666599</v>
      </c>
      <c r="B735" s="1">
        <f ca="1">IFERROR(__xludf.UNSUPPORTED("""COMPUTED_VALUE"""),464.6)</f>
        <v>464.6</v>
      </c>
      <c r="C735" s="2">
        <f t="shared" ca="1" si="2"/>
        <v>1.2266596945334107E-2</v>
      </c>
    </row>
    <row r="736" spans="1:3">
      <c r="A736" s="3">
        <f ca="1">IFERROR(__xludf.UNSUPPORTED("""COMPUTED_VALUE"""),44530.6666666666)</f>
        <v>44530.666666666599</v>
      </c>
      <c r="B736" s="1">
        <f ca="1">IFERROR(__xludf.UNSUPPORTED("""COMPUTED_VALUE"""),455.56)</f>
        <v>455.56</v>
      </c>
      <c r="C736" s="2">
        <f t="shared" ca="1" si="2"/>
        <v>-1.9457597933706456E-2</v>
      </c>
    </row>
    <row r="737" spans="1:3">
      <c r="A737" s="3">
        <f ca="1">IFERROR(__xludf.UNSUPPORTED("""COMPUTED_VALUE"""),44531.6666666666)</f>
        <v>44531.666666666599</v>
      </c>
      <c r="B737" s="1">
        <f ca="1">IFERROR(__xludf.UNSUPPORTED("""COMPUTED_VALUE"""),450.5)</f>
        <v>450.5</v>
      </c>
      <c r="C737" s="2">
        <f t="shared" ca="1" si="2"/>
        <v>-1.110720871015893E-2</v>
      </c>
    </row>
    <row r="738" spans="1:3">
      <c r="A738" s="3">
        <f ca="1">IFERROR(__xludf.UNSUPPORTED("""COMPUTED_VALUE"""),44532.6666666666)</f>
        <v>44532.666666666599</v>
      </c>
      <c r="B738" s="1">
        <f ca="1">IFERROR(__xludf.UNSUPPORTED("""COMPUTED_VALUE"""),457.4)</f>
        <v>457.4</v>
      </c>
      <c r="C738" s="2">
        <f t="shared" ca="1" si="2"/>
        <v>1.5316315205327363E-2</v>
      </c>
    </row>
    <row r="739" spans="1:3">
      <c r="A739" s="3">
        <f ca="1">IFERROR(__xludf.UNSUPPORTED("""COMPUTED_VALUE"""),44533.6666666666)</f>
        <v>44533.666666666599</v>
      </c>
      <c r="B739" s="1">
        <f ca="1">IFERROR(__xludf.UNSUPPORTED("""COMPUTED_VALUE"""),453.42)</f>
        <v>453.42</v>
      </c>
      <c r="C739" s="2">
        <f t="shared" ca="1" si="2"/>
        <v>-8.7013554875381757E-3</v>
      </c>
    </row>
    <row r="740" spans="1:3">
      <c r="A740" s="3">
        <f ca="1">IFERROR(__xludf.UNSUPPORTED("""COMPUTED_VALUE"""),44536.6666666666)</f>
        <v>44536.666666666599</v>
      </c>
      <c r="B740" s="1">
        <f ca="1">IFERROR(__xludf.UNSUPPORTED("""COMPUTED_VALUE"""),458.79)</f>
        <v>458.79</v>
      </c>
      <c r="C740" s="2">
        <f t="shared" ca="1" si="2"/>
        <v>1.1843324070398316E-2</v>
      </c>
    </row>
    <row r="741" spans="1:3">
      <c r="A741" s="3">
        <f ca="1">IFERROR(__xludf.UNSUPPORTED("""COMPUTED_VALUE"""),44537.6666666666)</f>
        <v>44537.666666666599</v>
      </c>
      <c r="B741" s="1">
        <f ca="1">IFERROR(__xludf.UNSUPPORTED("""COMPUTED_VALUE"""),468.28)</f>
        <v>468.28</v>
      </c>
      <c r="C741" s="2">
        <f t="shared" ca="1" si="2"/>
        <v>2.0684844918154172E-2</v>
      </c>
    </row>
    <row r="742" spans="1:3">
      <c r="A742" s="3">
        <f ca="1">IFERROR(__xludf.UNSUPPORTED("""COMPUTED_VALUE"""),44538.6666666666)</f>
        <v>44538.666666666599</v>
      </c>
      <c r="B742" s="1">
        <f ca="1">IFERROR(__xludf.UNSUPPORTED("""COMPUTED_VALUE"""),469.52)</f>
        <v>469.52</v>
      </c>
      <c r="C742" s="2">
        <f t="shared" ca="1" si="2"/>
        <v>2.6479883830187265E-3</v>
      </c>
    </row>
    <row r="743" spans="1:3">
      <c r="A743" s="3">
        <f ca="1">IFERROR(__xludf.UNSUPPORTED("""COMPUTED_VALUE"""),44539.6666666666)</f>
        <v>44539.666666666599</v>
      </c>
      <c r="B743" s="1">
        <f ca="1">IFERROR(__xludf.UNSUPPORTED("""COMPUTED_VALUE"""),466.35)</f>
        <v>466.35</v>
      </c>
      <c r="C743" s="2">
        <f t="shared" ca="1" si="2"/>
        <v>-6.7515760776962839E-3</v>
      </c>
    </row>
    <row r="744" spans="1:3">
      <c r="A744" s="3">
        <f ca="1">IFERROR(__xludf.UNSUPPORTED("""COMPUTED_VALUE"""),44540.6666666666)</f>
        <v>44540.666666666599</v>
      </c>
      <c r="B744" s="1">
        <f ca="1">IFERROR(__xludf.UNSUPPORTED("""COMPUTED_VALUE"""),470.74)</f>
        <v>470.74</v>
      </c>
      <c r="C744" s="2">
        <f t="shared" ca="1" si="2"/>
        <v>9.4135306100567948E-3</v>
      </c>
    </row>
    <row r="745" spans="1:3">
      <c r="A745" s="3">
        <f ca="1">IFERROR(__xludf.UNSUPPORTED("""COMPUTED_VALUE"""),44543.6666666666)</f>
        <v>44543.666666666599</v>
      </c>
      <c r="B745" s="1">
        <f ca="1">IFERROR(__xludf.UNSUPPORTED("""COMPUTED_VALUE"""),466.57)</f>
        <v>466.57</v>
      </c>
      <c r="C745" s="2">
        <f t="shared" ca="1" si="2"/>
        <v>-8.8583931682032872E-3</v>
      </c>
    </row>
    <row r="746" spans="1:3">
      <c r="A746" s="3">
        <f ca="1">IFERROR(__xludf.UNSUPPORTED("""COMPUTED_VALUE"""),44544.6666666666)</f>
        <v>44544.666666666599</v>
      </c>
      <c r="B746" s="1">
        <f ca="1">IFERROR(__xludf.UNSUPPORTED("""COMPUTED_VALUE"""),463.36)</f>
        <v>463.36</v>
      </c>
      <c r="C746" s="2">
        <f t="shared" ca="1" si="2"/>
        <v>-6.879996570718176E-3</v>
      </c>
    </row>
    <row r="747" spans="1:3">
      <c r="A747" s="3">
        <f ca="1">IFERROR(__xludf.UNSUPPORTED("""COMPUTED_VALUE"""),44545.6666666666)</f>
        <v>44545.666666666599</v>
      </c>
      <c r="B747" s="1">
        <f ca="1">IFERROR(__xludf.UNSUPPORTED("""COMPUTED_VALUE"""),470.6)</f>
        <v>470.6</v>
      </c>
      <c r="C747" s="2">
        <f t="shared" ca="1" si="2"/>
        <v>1.5625000000000021E-2</v>
      </c>
    </row>
    <row r="748" spans="1:3">
      <c r="A748" s="3">
        <f ca="1">IFERROR(__xludf.UNSUPPORTED("""COMPUTED_VALUE"""),44546.6666666666)</f>
        <v>44546.666666666599</v>
      </c>
      <c r="B748" s="1">
        <f ca="1">IFERROR(__xludf.UNSUPPORTED("""COMPUTED_VALUE"""),466.45)</f>
        <v>466.45</v>
      </c>
      <c r="C748" s="2">
        <f t="shared" ca="1" si="2"/>
        <v>-8.8185295367616528E-3</v>
      </c>
    </row>
    <row r="749" spans="1:3">
      <c r="A749" s="3">
        <f ca="1">IFERROR(__xludf.UNSUPPORTED("""COMPUTED_VALUE"""),44547.6666666666)</f>
        <v>44547.666666666599</v>
      </c>
      <c r="B749" s="1">
        <f ca="1">IFERROR(__xludf.UNSUPPORTED("""COMPUTED_VALUE"""),459.87)</f>
        <v>459.87</v>
      </c>
      <c r="C749" s="2">
        <f t="shared" ca="1" si="2"/>
        <v>-1.4106549469396473E-2</v>
      </c>
    </row>
    <row r="750" spans="1:3">
      <c r="A750" s="3">
        <f ca="1">IFERROR(__xludf.UNSUPPORTED("""COMPUTED_VALUE"""),44550.6666666666)</f>
        <v>44550.666666666599</v>
      </c>
      <c r="B750" s="1">
        <f ca="1">IFERROR(__xludf.UNSUPPORTED("""COMPUTED_VALUE"""),454.98)</f>
        <v>454.98</v>
      </c>
      <c r="C750" s="2">
        <f t="shared" ca="1" si="2"/>
        <v>-1.0633439885184913E-2</v>
      </c>
    </row>
    <row r="751" spans="1:3">
      <c r="A751" s="3">
        <f ca="1">IFERROR(__xludf.UNSUPPORTED("""COMPUTED_VALUE"""),44551.6666666666)</f>
        <v>44551.666666666599</v>
      </c>
      <c r="B751" s="1">
        <f ca="1">IFERROR(__xludf.UNSUPPORTED("""COMPUTED_VALUE"""),463.06)</f>
        <v>463.06</v>
      </c>
      <c r="C751" s="2">
        <f t="shared" ca="1" si="2"/>
        <v>1.7759022374609839E-2</v>
      </c>
    </row>
    <row r="752" spans="1:3">
      <c r="A752" s="3">
        <f ca="1">IFERROR(__xludf.UNSUPPORTED("""COMPUTED_VALUE"""),44552.6666666666)</f>
        <v>44552.666666666599</v>
      </c>
      <c r="B752" s="1">
        <f ca="1">IFERROR(__xludf.UNSUPPORTED("""COMPUTED_VALUE"""),467.69)</f>
        <v>467.69</v>
      </c>
      <c r="C752" s="2">
        <f t="shared" ca="1" si="2"/>
        <v>9.9987042715846668E-3</v>
      </c>
    </row>
    <row r="753" spans="1:3">
      <c r="A753" s="3">
        <f ca="1">IFERROR(__xludf.UNSUPPORTED("""COMPUTED_VALUE"""),44553.6666666666)</f>
        <v>44553.666666666599</v>
      </c>
      <c r="B753" s="1">
        <f ca="1">IFERROR(__xludf.UNSUPPORTED("""COMPUTED_VALUE"""),470.6)</f>
        <v>470.6</v>
      </c>
      <c r="C753" s="2">
        <f t="shared" ca="1" si="2"/>
        <v>6.2220701746884153E-3</v>
      </c>
    </row>
    <row r="754" spans="1:3">
      <c r="A754" s="3">
        <f ca="1">IFERROR(__xludf.UNSUPPORTED("""COMPUTED_VALUE"""),44557.6666666666)</f>
        <v>44557.666666666599</v>
      </c>
      <c r="B754" s="1">
        <f ca="1">IFERROR(__xludf.UNSUPPORTED("""COMPUTED_VALUE"""),477.26)</f>
        <v>477.26</v>
      </c>
      <c r="C754" s="2">
        <f t="shared" ca="1" si="2"/>
        <v>1.4152146196345023E-2</v>
      </c>
    </row>
    <row r="755" spans="1:3">
      <c r="A755" s="3">
        <f ca="1">IFERROR(__xludf.UNSUPPORTED("""COMPUTED_VALUE"""),44558.6666666666)</f>
        <v>44558.666666666599</v>
      </c>
      <c r="B755" s="1">
        <f ca="1">IFERROR(__xludf.UNSUPPORTED("""COMPUTED_VALUE"""),476.87)</f>
        <v>476.87</v>
      </c>
      <c r="C755" s="2">
        <f t="shared" ca="1" si="2"/>
        <v>-8.1716464820011392E-4</v>
      </c>
    </row>
    <row r="756" spans="1:3">
      <c r="A756" s="3">
        <f ca="1">IFERROR(__xludf.UNSUPPORTED("""COMPUTED_VALUE"""),44559.6666666666)</f>
        <v>44559.666666666599</v>
      </c>
      <c r="B756" s="1">
        <f ca="1">IFERROR(__xludf.UNSUPPORTED("""COMPUTED_VALUE"""),477.48)</f>
        <v>477.48</v>
      </c>
      <c r="C756" s="2">
        <f t="shared" ca="1" si="2"/>
        <v>1.2791746178203989E-3</v>
      </c>
    </row>
    <row r="757" spans="1:3">
      <c r="A757" s="3">
        <f ca="1">IFERROR(__xludf.UNSUPPORTED("""COMPUTED_VALUE"""),44560.6666666666)</f>
        <v>44560.666666666599</v>
      </c>
      <c r="B757" s="1">
        <f ca="1">IFERROR(__xludf.UNSUPPORTED("""COMPUTED_VALUE"""),476.16)</f>
        <v>476.16</v>
      </c>
      <c r="C757" s="2">
        <f t="shared" ca="1" si="2"/>
        <v>-2.7645136969087565E-3</v>
      </c>
    </row>
    <row r="758" spans="1:3">
      <c r="A758" s="3">
        <f ca="1">IFERROR(__xludf.UNSUPPORTED("""COMPUTED_VALUE"""),44561.6666666666)</f>
        <v>44561.666666666599</v>
      </c>
      <c r="B758" s="1">
        <f ca="1">IFERROR(__xludf.UNSUPPORTED("""COMPUTED_VALUE"""),474.96)</f>
        <v>474.96</v>
      </c>
      <c r="C758" s="2">
        <f t="shared" ca="1" si="2"/>
        <v>-2.520161290322676E-3</v>
      </c>
    </row>
    <row r="759" spans="1:3">
      <c r="A759" s="3">
        <f ca="1">IFERROR(__xludf.UNSUPPORTED("""COMPUTED_VALUE"""),44564.6666666666)</f>
        <v>44564.666666666599</v>
      </c>
      <c r="B759" s="1">
        <f ca="1">IFERROR(__xludf.UNSUPPORTED("""COMPUTED_VALUE"""),477.71)</f>
        <v>477.71</v>
      </c>
      <c r="C759" s="2">
        <f t="shared" ca="1" si="2"/>
        <v>5.7899612598955701E-3</v>
      </c>
    </row>
    <row r="760" spans="1:3">
      <c r="A760" s="3">
        <f ca="1">IFERROR(__xludf.UNSUPPORTED("""COMPUTED_VALUE"""),44565.6666666666)</f>
        <v>44565.666666666599</v>
      </c>
      <c r="B760" s="1">
        <f ca="1">IFERROR(__xludf.UNSUPPORTED("""COMPUTED_VALUE"""),477.55)</f>
        <v>477.55</v>
      </c>
      <c r="C760" s="2">
        <f t="shared" ca="1" si="2"/>
        <v>-3.3493123443086427E-4</v>
      </c>
    </row>
    <row r="761" spans="1:3">
      <c r="A761" s="3">
        <f ca="1">IFERROR(__xludf.UNSUPPORTED("""COMPUTED_VALUE"""),44566.6666666666)</f>
        <v>44566.666666666599</v>
      </c>
      <c r="B761" s="1">
        <f ca="1">IFERROR(__xludf.UNSUPPORTED("""COMPUTED_VALUE"""),468.38)</f>
        <v>468.38</v>
      </c>
      <c r="C761" s="2">
        <f t="shared" ca="1" si="2"/>
        <v>-1.9202177782431194E-2</v>
      </c>
    </row>
    <row r="762" spans="1:3">
      <c r="A762" s="3">
        <f ca="1">IFERROR(__xludf.UNSUPPORTED("""COMPUTED_VALUE"""),44567.6666666666)</f>
        <v>44567.666666666599</v>
      </c>
      <c r="B762" s="1">
        <f ca="1">IFERROR(__xludf.UNSUPPORTED("""COMPUTED_VALUE"""),467.94)</f>
        <v>467.94</v>
      </c>
      <c r="C762" s="2">
        <f t="shared" ca="1" si="2"/>
        <v>-9.3940817285109897E-4</v>
      </c>
    </row>
    <row r="763" spans="1:3">
      <c r="A763" s="3">
        <f ca="1">IFERROR(__xludf.UNSUPPORTED("""COMPUTED_VALUE"""),44568.6666666666)</f>
        <v>44568.666666666599</v>
      </c>
      <c r="B763" s="1">
        <f ca="1">IFERROR(__xludf.UNSUPPORTED("""COMPUTED_VALUE"""),466.09)</f>
        <v>466.09</v>
      </c>
      <c r="C763" s="2">
        <f t="shared" ca="1" si="2"/>
        <v>-3.9534983117494185E-3</v>
      </c>
    </row>
    <row r="764" spans="1:3">
      <c r="A764" s="3">
        <f ca="1">IFERROR(__xludf.UNSUPPORTED("""COMPUTED_VALUE"""),44571.6666666666)</f>
        <v>44571.666666666599</v>
      </c>
      <c r="B764" s="1">
        <f ca="1">IFERROR(__xludf.UNSUPPORTED("""COMPUTED_VALUE"""),465.51)</f>
        <v>465.51</v>
      </c>
      <c r="C764" s="2">
        <f t="shared" ca="1" si="2"/>
        <v>-1.2443948593618918E-3</v>
      </c>
    </row>
    <row r="765" spans="1:3">
      <c r="A765" s="3">
        <f ca="1">IFERROR(__xludf.UNSUPPORTED("""COMPUTED_VALUE"""),44572.6666666666)</f>
        <v>44572.666666666599</v>
      </c>
      <c r="B765" s="1">
        <f ca="1">IFERROR(__xludf.UNSUPPORTED("""COMPUTED_VALUE"""),469.75)</f>
        <v>469.75</v>
      </c>
      <c r="C765" s="2">
        <f t="shared" ca="1" si="2"/>
        <v>9.1082898326566766E-3</v>
      </c>
    </row>
    <row r="766" spans="1:3">
      <c r="A766" s="3">
        <f ca="1">IFERROR(__xludf.UNSUPPORTED("""COMPUTED_VALUE"""),44573.6666666666)</f>
        <v>44573.666666666599</v>
      </c>
      <c r="B766" s="1">
        <f ca="1">IFERROR(__xludf.UNSUPPORTED("""COMPUTED_VALUE"""),471.02)</f>
        <v>471.02</v>
      </c>
      <c r="C766" s="2">
        <f t="shared" ca="1" si="2"/>
        <v>2.7035657264502006E-3</v>
      </c>
    </row>
    <row r="767" spans="1:3">
      <c r="A767" s="3">
        <f ca="1">IFERROR(__xludf.UNSUPPORTED("""COMPUTED_VALUE"""),44574.6666666666)</f>
        <v>44574.666666666599</v>
      </c>
      <c r="B767" s="1">
        <f ca="1">IFERROR(__xludf.UNSUPPORTED("""COMPUTED_VALUE"""),464.53)</f>
        <v>464.53</v>
      </c>
      <c r="C767" s="2">
        <f t="shared" ca="1" si="2"/>
        <v>-1.3778608127043457E-2</v>
      </c>
    </row>
    <row r="768" spans="1:3">
      <c r="A768" s="3">
        <f ca="1">IFERROR(__xludf.UNSUPPORTED("""COMPUTED_VALUE"""),44575.6666666666)</f>
        <v>44575.666666666599</v>
      </c>
      <c r="B768" s="1">
        <f ca="1">IFERROR(__xludf.UNSUPPORTED("""COMPUTED_VALUE"""),464.72)</f>
        <v>464.72</v>
      </c>
      <c r="C768" s="2">
        <f t="shared" ref="C768:C1022" ca="1" si="3">(B768-B767)/B767</f>
        <v>4.0901556411868898E-4</v>
      </c>
    </row>
    <row r="769" spans="1:3">
      <c r="A769" s="3">
        <f ca="1">IFERROR(__xludf.UNSUPPORTED("""COMPUTED_VALUE"""),44579.6666666666)</f>
        <v>44579.666666666599</v>
      </c>
      <c r="B769" s="1">
        <f ca="1">IFERROR(__xludf.UNSUPPORTED("""COMPUTED_VALUE"""),456.49)</f>
        <v>456.49</v>
      </c>
      <c r="C769" s="2">
        <f t="shared" ca="1" si="3"/>
        <v>-1.770958856946122E-2</v>
      </c>
    </row>
    <row r="770" spans="1:3">
      <c r="A770" s="3">
        <f ca="1">IFERROR(__xludf.UNSUPPORTED("""COMPUTED_VALUE"""),44580.6666666666)</f>
        <v>44580.666666666599</v>
      </c>
      <c r="B770" s="1">
        <f ca="1">IFERROR(__xludf.UNSUPPORTED("""COMPUTED_VALUE"""),451.75)</f>
        <v>451.75</v>
      </c>
      <c r="C770" s="2">
        <f t="shared" ca="1" si="3"/>
        <v>-1.0383579048829129E-2</v>
      </c>
    </row>
    <row r="771" spans="1:3">
      <c r="A771" s="3">
        <f ca="1">IFERROR(__xludf.UNSUPPORTED("""COMPUTED_VALUE"""),44581.6666666666)</f>
        <v>44581.666666666599</v>
      </c>
      <c r="B771" s="1">
        <f ca="1">IFERROR(__xludf.UNSUPPORTED("""COMPUTED_VALUE"""),446.75)</f>
        <v>446.75</v>
      </c>
      <c r="C771" s="2">
        <f t="shared" ca="1" si="3"/>
        <v>-1.1068068622025456E-2</v>
      </c>
    </row>
    <row r="772" spans="1:3">
      <c r="A772" s="3">
        <f ca="1">IFERROR(__xludf.UNSUPPORTED("""COMPUTED_VALUE"""),44582.6666666666)</f>
        <v>44582.666666666599</v>
      </c>
      <c r="B772" s="1">
        <f ca="1">IFERROR(__xludf.UNSUPPORTED("""COMPUTED_VALUE"""),437.98)</f>
        <v>437.98</v>
      </c>
      <c r="C772" s="2">
        <f t="shared" ca="1" si="3"/>
        <v>-1.9630665920537173E-2</v>
      </c>
    </row>
    <row r="773" spans="1:3">
      <c r="A773" s="3">
        <f ca="1">IFERROR(__xludf.UNSUPPORTED("""COMPUTED_VALUE"""),44585.6666666666)</f>
        <v>44585.666666666599</v>
      </c>
      <c r="B773" s="1">
        <f ca="1">IFERROR(__xludf.UNSUPPORTED("""COMPUTED_VALUE"""),439.84)</f>
        <v>439.84</v>
      </c>
      <c r="C773" s="2">
        <f t="shared" ca="1" si="3"/>
        <v>4.2467692588701693E-3</v>
      </c>
    </row>
    <row r="774" spans="1:3">
      <c r="A774" s="3">
        <f ca="1">IFERROR(__xludf.UNSUPPORTED("""COMPUTED_VALUE"""),44586.6666666666)</f>
        <v>44586.666666666599</v>
      </c>
      <c r="B774" s="1">
        <f ca="1">IFERROR(__xludf.UNSUPPORTED("""COMPUTED_VALUE"""),434.47)</f>
        <v>434.47</v>
      </c>
      <c r="C774" s="2">
        <f t="shared" ca="1" si="3"/>
        <v>-1.2208985085485513E-2</v>
      </c>
    </row>
    <row r="775" spans="1:3">
      <c r="A775" s="3">
        <f ca="1">IFERROR(__xludf.UNSUPPORTED("""COMPUTED_VALUE"""),44587.6666666666)</f>
        <v>44587.666666666599</v>
      </c>
      <c r="B775" s="1">
        <f ca="1">IFERROR(__xludf.UNSUPPORTED("""COMPUTED_VALUE"""),433.38)</f>
        <v>433.38</v>
      </c>
      <c r="C775" s="2">
        <f t="shared" ca="1" si="3"/>
        <v>-2.5088038299538097E-3</v>
      </c>
    </row>
    <row r="776" spans="1:3">
      <c r="A776" s="3">
        <f ca="1">IFERROR(__xludf.UNSUPPORTED("""COMPUTED_VALUE"""),44588.6666666666)</f>
        <v>44588.666666666599</v>
      </c>
      <c r="B776" s="1">
        <f ca="1">IFERROR(__xludf.UNSUPPORTED("""COMPUTED_VALUE"""),431.24)</f>
        <v>431.24</v>
      </c>
      <c r="C776" s="2">
        <f t="shared" ca="1" si="3"/>
        <v>-4.9379297614102783E-3</v>
      </c>
    </row>
    <row r="777" spans="1:3">
      <c r="A777" s="3">
        <f ca="1">IFERROR(__xludf.UNSUPPORTED("""COMPUTED_VALUE"""),44589.6666666666)</f>
        <v>44589.666666666599</v>
      </c>
      <c r="B777" s="1">
        <f ca="1">IFERROR(__xludf.UNSUPPORTED("""COMPUTED_VALUE"""),441.95)</f>
        <v>441.95</v>
      </c>
      <c r="C777" s="2">
        <f t="shared" ca="1" si="3"/>
        <v>2.4835358501066645E-2</v>
      </c>
    </row>
    <row r="778" spans="1:3">
      <c r="A778" s="3">
        <f ca="1">IFERROR(__xludf.UNSUPPORTED("""COMPUTED_VALUE"""),44592.6666666666)</f>
        <v>44592.666666666599</v>
      </c>
      <c r="B778" s="1">
        <f ca="1">IFERROR(__xludf.UNSUPPORTED("""COMPUTED_VALUE"""),449.91)</f>
        <v>449.91</v>
      </c>
      <c r="C778" s="2">
        <f t="shared" ca="1" si="3"/>
        <v>1.8011087227061968E-2</v>
      </c>
    </row>
    <row r="779" spans="1:3">
      <c r="A779" s="3">
        <f ca="1">IFERROR(__xludf.UNSUPPORTED("""COMPUTED_VALUE"""),44593.6666666666)</f>
        <v>44593.666666666599</v>
      </c>
      <c r="B779" s="1">
        <f ca="1">IFERROR(__xludf.UNSUPPORTED("""COMPUTED_VALUE"""),452.95)</f>
        <v>452.95</v>
      </c>
      <c r="C779" s="2">
        <f t="shared" ca="1" si="3"/>
        <v>6.7569069369428627E-3</v>
      </c>
    </row>
    <row r="780" spans="1:3">
      <c r="A780" s="3">
        <f ca="1">IFERROR(__xludf.UNSUPPORTED("""COMPUTED_VALUE"""),44594.6666666666)</f>
        <v>44594.666666666599</v>
      </c>
      <c r="B780" s="1">
        <f ca="1">IFERROR(__xludf.UNSUPPORTED("""COMPUTED_VALUE"""),457.35)</f>
        <v>457.35</v>
      </c>
      <c r="C780" s="2">
        <f t="shared" ca="1" si="3"/>
        <v>9.7140964786401017E-3</v>
      </c>
    </row>
    <row r="781" spans="1:3">
      <c r="A781" s="3">
        <f ca="1">IFERROR(__xludf.UNSUPPORTED("""COMPUTED_VALUE"""),44595.6666666666)</f>
        <v>44595.666666666599</v>
      </c>
      <c r="B781" s="1">
        <f ca="1">IFERROR(__xludf.UNSUPPORTED("""COMPUTED_VALUE"""),446.6)</f>
        <v>446.6</v>
      </c>
      <c r="C781" s="2">
        <f t="shared" ca="1" si="3"/>
        <v>-2.3504974308516453E-2</v>
      </c>
    </row>
    <row r="782" spans="1:3">
      <c r="A782" s="3">
        <f ca="1">IFERROR(__xludf.UNSUPPORTED("""COMPUTED_VALUE"""),44596.6666666666)</f>
        <v>44596.666666666599</v>
      </c>
      <c r="B782" s="1">
        <f ca="1">IFERROR(__xludf.UNSUPPORTED("""COMPUTED_VALUE"""),448.7)</f>
        <v>448.7</v>
      </c>
      <c r="C782" s="2">
        <f t="shared" ca="1" si="3"/>
        <v>4.7021943573666942E-3</v>
      </c>
    </row>
    <row r="783" spans="1:3">
      <c r="A783" s="3">
        <f ca="1">IFERROR(__xludf.UNSUPPORTED("""COMPUTED_VALUE"""),44599.6666666666)</f>
        <v>44599.666666666599</v>
      </c>
      <c r="B783" s="1">
        <f ca="1">IFERROR(__xludf.UNSUPPORTED("""COMPUTED_VALUE"""),447.26)</f>
        <v>447.26</v>
      </c>
      <c r="C783" s="2">
        <f t="shared" ca="1" si="3"/>
        <v>-3.2092712279919717E-3</v>
      </c>
    </row>
    <row r="784" spans="1:3">
      <c r="A784" s="3">
        <f ca="1">IFERROR(__xludf.UNSUPPORTED("""COMPUTED_VALUE"""),44600.6666666666)</f>
        <v>44600.666666666599</v>
      </c>
      <c r="B784" s="1">
        <f ca="1">IFERROR(__xludf.UNSUPPORTED("""COMPUTED_VALUE"""),450.94)</f>
        <v>450.94</v>
      </c>
      <c r="C784" s="2">
        <f t="shared" ca="1" si="3"/>
        <v>8.2278764029870919E-3</v>
      </c>
    </row>
    <row r="785" spans="1:3">
      <c r="A785" s="3">
        <f ca="1">IFERROR(__xludf.UNSUPPORTED("""COMPUTED_VALUE"""),44601.6666666666)</f>
        <v>44601.666666666599</v>
      </c>
      <c r="B785" s="1">
        <f ca="1">IFERROR(__xludf.UNSUPPORTED("""COMPUTED_VALUE"""),457.54)</f>
        <v>457.54</v>
      </c>
      <c r="C785" s="2">
        <f t="shared" ca="1" si="3"/>
        <v>1.4636093493591216E-2</v>
      </c>
    </row>
    <row r="786" spans="1:3">
      <c r="A786" s="3">
        <f ca="1">IFERROR(__xludf.UNSUPPORTED("""COMPUTED_VALUE"""),44602.6666666666)</f>
        <v>44602.666666666599</v>
      </c>
      <c r="B786" s="1">
        <f ca="1">IFERROR(__xludf.UNSUPPORTED("""COMPUTED_VALUE"""),449.32)</f>
        <v>449.32</v>
      </c>
      <c r="C786" s="2">
        <f t="shared" ca="1" si="3"/>
        <v>-1.7965642348210051E-2</v>
      </c>
    </row>
    <row r="787" spans="1:3">
      <c r="A787" s="3">
        <f ca="1">IFERROR(__xludf.UNSUPPORTED("""COMPUTED_VALUE"""),44603.6666666666)</f>
        <v>44603.666666666599</v>
      </c>
      <c r="B787" s="1">
        <f ca="1">IFERROR(__xludf.UNSUPPORTED("""COMPUTED_VALUE"""),440.46)</f>
        <v>440.46</v>
      </c>
      <c r="C787" s="2">
        <f t="shared" ca="1" si="3"/>
        <v>-1.9718686014421824E-2</v>
      </c>
    </row>
    <row r="788" spans="1:3">
      <c r="A788" s="3">
        <f ca="1">IFERROR(__xludf.UNSUPPORTED("""COMPUTED_VALUE"""),44606.6666666666)</f>
        <v>44606.666666666599</v>
      </c>
      <c r="B788" s="1">
        <f ca="1">IFERROR(__xludf.UNSUPPORTED("""COMPUTED_VALUE"""),439.02)</f>
        <v>439.02</v>
      </c>
      <c r="C788" s="2">
        <f t="shared" ca="1" si="3"/>
        <v>-3.2693093583980332E-3</v>
      </c>
    </row>
    <row r="789" spans="1:3">
      <c r="A789" s="3">
        <f ca="1">IFERROR(__xludf.UNSUPPORTED("""COMPUTED_VALUE"""),44607.6666666666)</f>
        <v>44607.666666666599</v>
      </c>
      <c r="B789" s="1">
        <f ca="1">IFERROR(__xludf.UNSUPPORTED("""COMPUTED_VALUE"""),446.1)</f>
        <v>446.1</v>
      </c>
      <c r="C789" s="2">
        <f t="shared" ca="1" si="3"/>
        <v>1.612682793494611E-2</v>
      </c>
    </row>
    <row r="790" spans="1:3">
      <c r="A790" s="3">
        <f ca="1">IFERROR(__xludf.UNSUPPORTED("""COMPUTED_VALUE"""),44608.6666666666)</f>
        <v>44608.666666666599</v>
      </c>
      <c r="B790" s="1">
        <f ca="1">IFERROR(__xludf.UNSUPPORTED("""COMPUTED_VALUE"""),446.6)</f>
        <v>446.6</v>
      </c>
      <c r="C790" s="2">
        <f t="shared" ca="1" si="3"/>
        <v>1.1208249271463797E-3</v>
      </c>
    </row>
    <row r="791" spans="1:3">
      <c r="A791" s="3">
        <f ca="1">IFERROR(__xludf.UNSUPPORTED("""COMPUTED_VALUE"""),44609.6666666666)</f>
        <v>44609.666666666599</v>
      </c>
      <c r="B791" s="1">
        <f ca="1">IFERROR(__xludf.UNSUPPORTED("""COMPUTED_VALUE"""),437.06)</f>
        <v>437.06</v>
      </c>
      <c r="C791" s="2">
        <f t="shared" ca="1" si="3"/>
        <v>-2.1361397223466232E-2</v>
      </c>
    </row>
    <row r="792" spans="1:3">
      <c r="A792" s="3">
        <f ca="1">IFERROR(__xludf.UNSUPPORTED("""COMPUTED_VALUE"""),44610.6666666666)</f>
        <v>44610.666666666599</v>
      </c>
      <c r="B792" s="1">
        <f ca="1">IFERROR(__xludf.UNSUPPORTED("""COMPUTED_VALUE"""),434.23)</f>
        <v>434.23</v>
      </c>
      <c r="C792" s="2">
        <f t="shared" ca="1" si="3"/>
        <v>-6.4750835125611684E-3</v>
      </c>
    </row>
    <row r="793" spans="1:3">
      <c r="A793" s="3">
        <f ca="1">IFERROR(__xludf.UNSUPPORTED("""COMPUTED_VALUE"""),44614.6666666666)</f>
        <v>44614.666666666599</v>
      </c>
      <c r="B793" s="1">
        <f ca="1">IFERROR(__xludf.UNSUPPORTED("""COMPUTED_VALUE"""),429.57)</f>
        <v>429.57</v>
      </c>
      <c r="C793" s="2">
        <f t="shared" ca="1" si="3"/>
        <v>-1.0731639914331173E-2</v>
      </c>
    </row>
    <row r="794" spans="1:3">
      <c r="A794" s="3">
        <f ca="1">IFERROR(__xludf.UNSUPPORTED("""COMPUTED_VALUE"""),44615.6666666666)</f>
        <v>44615.666666666599</v>
      </c>
      <c r="B794" s="1">
        <f ca="1">IFERROR(__xludf.UNSUPPORTED("""COMPUTED_VALUE"""),421.95)</f>
        <v>421.95</v>
      </c>
      <c r="C794" s="2">
        <f t="shared" ca="1" si="3"/>
        <v>-1.7738668901459611E-2</v>
      </c>
    </row>
    <row r="795" spans="1:3">
      <c r="A795" s="3">
        <f ca="1">IFERROR(__xludf.UNSUPPORTED("""COMPUTED_VALUE"""),44616.6666666666)</f>
        <v>44616.666666666599</v>
      </c>
      <c r="B795" s="1">
        <f ca="1">IFERROR(__xludf.UNSUPPORTED("""COMPUTED_VALUE"""),428.3)</f>
        <v>428.3</v>
      </c>
      <c r="C795" s="2">
        <f t="shared" ca="1" si="3"/>
        <v>1.5049176442706536E-2</v>
      </c>
    </row>
    <row r="796" spans="1:3">
      <c r="A796" s="3">
        <f ca="1">IFERROR(__xludf.UNSUPPORTED("""COMPUTED_VALUE"""),44617.6666666666)</f>
        <v>44617.666666666599</v>
      </c>
      <c r="B796" s="1">
        <f ca="1">IFERROR(__xludf.UNSUPPORTED("""COMPUTED_VALUE"""),437.75)</f>
        <v>437.75</v>
      </c>
      <c r="C796" s="2">
        <f t="shared" ca="1" si="3"/>
        <v>2.2063973850105039E-2</v>
      </c>
    </row>
    <row r="797" spans="1:3">
      <c r="A797" s="3">
        <f ca="1">IFERROR(__xludf.UNSUPPORTED("""COMPUTED_VALUE"""),44620.6666666666)</f>
        <v>44620.666666666599</v>
      </c>
      <c r="B797" s="1">
        <f ca="1">IFERROR(__xludf.UNSUPPORTED("""COMPUTED_VALUE"""),436.63)</f>
        <v>436.63</v>
      </c>
      <c r="C797" s="2">
        <f t="shared" ca="1" si="3"/>
        <v>-2.5585379782981257E-3</v>
      </c>
    </row>
    <row r="798" spans="1:3">
      <c r="A798" s="3">
        <f ca="1">IFERROR(__xludf.UNSUPPORTED("""COMPUTED_VALUE"""),44621.6666666666)</f>
        <v>44621.666666666599</v>
      </c>
      <c r="B798" s="1">
        <f ca="1">IFERROR(__xludf.UNSUPPORTED("""COMPUTED_VALUE"""),429.98)</f>
        <v>429.98</v>
      </c>
      <c r="C798" s="2">
        <f t="shared" ca="1" si="3"/>
        <v>-1.5230286512607877E-2</v>
      </c>
    </row>
    <row r="799" spans="1:3">
      <c r="A799" s="3">
        <f ca="1">IFERROR(__xludf.UNSUPPORTED("""COMPUTED_VALUE"""),44622.6666666666)</f>
        <v>44622.666666666599</v>
      </c>
      <c r="B799" s="1">
        <f ca="1">IFERROR(__xludf.UNSUPPORTED("""COMPUTED_VALUE"""),437.89)</f>
        <v>437.89</v>
      </c>
      <c r="C799" s="2">
        <f t="shared" ca="1" si="3"/>
        <v>1.8396204474626653E-2</v>
      </c>
    </row>
    <row r="800" spans="1:3">
      <c r="A800" s="3">
        <f ca="1">IFERROR(__xludf.UNSUPPORTED("""COMPUTED_VALUE"""),44623.6666666666)</f>
        <v>44623.666666666599</v>
      </c>
      <c r="B800" s="1">
        <f ca="1">IFERROR(__xludf.UNSUPPORTED("""COMPUTED_VALUE"""),435.71)</f>
        <v>435.71</v>
      </c>
      <c r="C800" s="2">
        <f t="shared" ca="1" si="3"/>
        <v>-4.9784192377081158E-3</v>
      </c>
    </row>
    <row r="801" spans="1:3">
      <c r="A801" s="3">
        <f ca="1">IFERROR(__xludf.UNSUPPORTED("""COMPUTED_VALUE"""),44624.6666666666)</f>
        <v>44624.666666666599</v>
      </c>
      <c r="B801" s="1">
        <f ca="1">IFERROR(__xludf.UNSUPPORTED("""COMPUTED_VALUE"""),432.17)</f>
        <v>432.17</v>
      </c>
      <c r="C801" s="2">
        <f t="shared" ca="1" si="3"/>
        <v>-8.1246700787220034E-3</v>
      </c>
    </row>
    <row r="802" spans="1:3">
      <c r="A802" s="3">
        <f ca="1">IFERROR(__xludf.UNSUPPORTED("""COMPUTED_VALUE"""),44627.6666666666)</f>
        <v>44627.666666666599</v>
      </c>
      <c r="B802" s="1">
        <f ca="1">IFERROR(__xludf.UNSUPPORTED("""COMPUTED_VALUE"""),419.43)</f>
        <v>419.43</v>
      </c>
      <c r="C802" s="2">
        <f t="shared" ca="1" si="3"/>
        <v>-2.9479140153180483E-2</v>
      </c>
    </row>
    <row r="803" spans="1:3">
      <c r="A803" s="3">
        <f ca="1">IFERROR(__xludf.UNSUPPORTED("""COMPUTED_VALUE"""),44628.6666666666)</f>
        <v>44628.666666666599</v>
      </c>
      <c r="B803" s="1">
        <f ca="1">IFERROR(__xludf.UNSUPPORTED("""COMPUTED_VALUE"""),416.25)</f>
        <v>416.25</v>
      </c>
      <c r="C803" s="2">
        <f t="shared" ca="1" si="3"/>
        <v>-7.5817180459194786E-3</v>
      </c>
    </row>
    <row r="804" spans="1:3">
      <c r="A804" s="3">
        <f ca="1">IFERROR(__xludf.UNSUPPORTED("""COMPUTED_VALUE"""),44629.6666666666)</f>
        <v>44629.666666666599</v>
      </c>
      <c r="B804" s="1">
        <f ca="1">IFERROR(__xludf.UNSUPPORTED("""COMPUTED_VALUE"""),427.41)</f>
        <v>427.41</v>
      </c>
      <c r="C804" s="2">
        <f t="shared" ca="1" si="3"/>
        <v>2.6810810810810871E-2</v>
      </c>
    </row>
    <row r="805" spans="1:3">
      <c r="A805" s="3">
        <f ca="1">IFERROR(__xludf.UNSUPPORTED("""COMPUTED_VALUE"""),44630.6666666666)</f>
        <v>44630.666666666599</v>
      </c>
      <c r="B805" s="1">
        <f ca="1">IFERROR(__xludf.UNSUPPORTED("""COMPUTED_VALUE"""),425.48)</f>
        <v>425.48</v>
      </c>
      <c r="C805" s="2">
        <f t="shared" ca="1" si="3"/>
        <v>-4.515570529468208E-3</v>
      </c>
    </row>
    <row r="806" spans="1:3">
      <c r="A806" s="3">
        <f ca="1">IFERROR(__xludf.UNSUPPORTED("""COMPUTED_VALUE"""),44631.6666666666)</f>
        <v>44631.666666666599</v>
      </c>
      <c r="B806" s="1">
        <f ca="1">IFERROR(__xludf.UNSUPPORTED("""COMPUTED_VALUE"""),420.07)</f>
        <v>420.07</v>
      </c>
      <c r="C806" s="2">
        <f t="shared" ca="1" si="3"/>
        <v>-1.2715051236250881E-2</v>
      </c>
    </row>
    <row r="807" spans="1:3">
      <c r="A807" s="3">
        <f ca="1">IFERROR(__xludf.UNSUPPORTED("""COMPUTED_VALUE"""),44634.6666666666)</f>
        <v>44634.666666666599</v>
      </c>
      <c r="B807" s="1">
        <f ca="1">IFERROR(__xludf.UNSUPPORTED("""COMPUTED_VALUE"""),417)</f>
        <v>417</v>
      </c>
      <c r="C807" s="2">
        <f t="shared" ca="1" si="3"/>
        <v>-7.308305758564033E-3</v>
      </c>
    </row>
    <row r="808" spans="1:3">
      <c r="A808" s="3">
        <f ca="1">IFERROR(__xludf.UNSUPPORTED("""COMPUTED_VALUE"""),44635.6666666666)</f>
        <v>44635.666666666599</v>
      </c>
      <c r="B808" s="1">
        <f ca="1">IFERROR(__xludf.UNSUPPORTED("""COMPUTED_VALUE"""),426.17)</f>
        <v>426.17</v>
      </c>
      <c r="C808" s="2">
        <f t="shared" ca="1" si="3"/>
        <v>2.199040767386095E-2</v>
      </c>
    </row>
    <row r="809" spans="1:3">
      <c r="A809" s="3">
        <f ca="1">IFERROR(__xludf.UNSUPPORTED("""COMPUTED_VALUE"""),44636.6666666666)</f>
        <v>44636.666666666599</v>
      </c>
      <c r="B809" s="1">
        <f ca="1">IFERROR(__xludf.UNSUPPORTED("""COMPUTED_VALUE"""),435.62)</f>
        <v>435.62</v>
      </c>
      <c r="C809" s="2">
        <f t="shared" ca="1" si="3"/>
        <v>2.2174249712555993E-2</v>
      </c>
    </row>
    <row r="810" spans="1:3">
      <c r="A810" s="3">
        <f ca="1">IFERROR(__xludf.UNSUPPORTED("""COMPUTED_VALUE"""),44637.6666666666)</f>
        <v>44637.666666666599</v>
      </c>
      <c r="B810" s="1">
        <f ca="1">IFERROR(__xludf.UNSUPPORTED("""COMPUTED_VALUE"""),441.07)</f>
        <v>441.07</v>
      </c>
      <c r="C810" s="2">
        <f t="shared" ca="1" si="3"/>
        <v>1.2510903998898096E-2</v>
      </c>
    </row>
    <row r="811" spans="1:3">
      <c r="A811" s="3">
        <f ca="1">IFERROR(__xludf.UNSUPPORTED("""COMPUTED_VALUE"""),44638.6666666666)</f>
        <v>44638.666666666599</v>
      </c>
      <c r="B811" s="1">
        <f ca="1">IFERROR(__xludf.UNSUPPORTED("""COMPUTED_VALUE"""),444.52)</f>
        <v>444.52</v>
      </c>
      <c r="C811" s="2">
        <f t="shared" ca="1" si="3"/>
        <v>7.8218876822272847E-3</v>
      </c>
    </row>
    <row r="812" spans="1:3">
      <c r="A812" s="3">
        <f ca="1">IFERROR(__xludf.UNSUPPORTED("""COMPUTED_VALUE"""),44641.6666666666)</f>
        <v>44641.666666666599</v>
      </c>
      <c r="B812" s="1">
        <f ca="1">IFERROR(__xludf.UNSUPPORTED("""COMPUTED_VALUE"""),444.39)</f>
        <v>444.39</v>
      </c>
      <c r="C812" s="2">
        <f t="shared" ca="1" si="3"/>
        <v>-2.9245028345180297E-4</v>
      </c>
    </row>
    <row r="813" spans="1:3">
      <c r="A813" s="3">
        <f ca="1">IFERROR(__xludf.UNSUPPORTED("""COMPUTED_VALUE"""),44642.6666666666)</f>
        <v>44642.666666666599</v>
      </c>
      <c r="B813" s="1">
        <f ca="1">IFERROR(__xludf.UNSUPPORTED("""COMPUTED_VALUE"""),449.59)</f>
        <v>449.59</v>
      </c>
      <c r="C813" s="2">
        <f t="shared" ca="1" si="3"/>
        <v>1.1701433425594611E-2</v>
      </c>
    </row>
    <row r="814" spans="1:3">
      <c r="A814" s="3">
        <f ca="1">IFERROR(__xludf.UNSUPPORTED("""COMPUTED_VALUE"""),44643.6666666666)</f>
        <v>44643.666666666599</v>
      </c>
      <c r="B814" s="1">
        <f ca="1">IFERROR(__xludf.UNSUPPORTED("""COMPUTED_VALUE"""),443.8)</f>
        <v>443.8</v>
      </c>
      <c r="C814" s="2">
        <f t="shared" ca="1" si="3"/>
        <v>-1.2878400320291741E-2</v>
      </c>
    </row>
    <row r="815" spans="1:3">
      <c r="A815" s="3">
        <f ca="1">IFERROR(__xludf.UNSUPPORTED("""COMPUTED_VALUE"""),44644.6666666666)</f>
        <v>44644.666666666599</v>
      </c>
      <c r="B815" s="1">
        <f ca="1">IFERROR(__xludf.UNSUPPORTED("""COMPUTED_VALUE"""),450.49)</f>
        <v>450.49</v>
      </c>
      <c r="C815" s="2">
        <f t="shared" ca="1" si="3"/>
        <v>1.5074357818837309E-2</v>
      </c>
    </row>
    <row r="816" spans="1:3">
      <c r="A816" s="3">
        <f ca="1">IFERROR(__xludf.UNSUPPORTED("""COMPUTED_VALUE"""),44645.6666666666)</f>
        <v>44645.666666666599</v>
      </c>
      <c r="B816" s="1">
        <f ca="1">IFERROR(__xludf.UNSUPPORTED("""COMPUTED_VALUE"""),452.69)</f>
        <v>452.69</v>
      </c>
      <c r="C816" s="2">
        <f t="shared" ca="1" si="3"/>
        <v>4.8835712224466442E-3</v>
      </c>
    </row>
    <row r="817" spans="1:3">
      <c r="A817" s="3">
        <f ca="1">IFERROR(__xludf.UNSUPPORTED("""COMPUTED_VALUE"""),44648.6666666666)</f>
        <v>44648.666666666599</v>
      </c>
      <c r="B817" s="1">
        <f ca="1">IFERROR(__xludf.UNSUPPORTED("""COMPUTED_VALUE"""),455.91)</f>
        <v>455.91</v>
      </c>
      <c r="C817" s="2">
        <f t="shared" ca="1" si="3"/>
        <v>7.1130354105459082E-3</v>
      </c>
    </row>
    <row r="818" spans="1:3">
      <c r="A818" s="3">
        <f ca="1">IFERROR(__xludf.UNSUPPORTED("""COMPUTED_VALUE"""),44649.6666666666)</f>
        <v>44649.666666666599</v>
      </c>
      <c r="B818" s="1">
        <f ca="1">IFERROR(__xludf.UNSUPPORTED("""COMPUTED_VALUE"""),461.55)</f>
        <v>461.55</v>
      </c>
      <c r="C818" s="2">
        <f t="shared" ca="1" si="3"/>
        <v>1.2370862670263837E-2</v>
      </c>
    </row>
    <row r="819" spans="1:3">
      <c r="A819" s="3">
        <f ca="1">IFERROR(__xludf.UNSUPPORTED("""COMPUTED_VALUE"""),44650.6666666666)</f>
        <v>44650.666666666599</v>
      </c>
      <c r="B819" s="1">
        <f ca="1">IFERROR(__xludf.UNSUPPORTED("""COMPUTED_VALUE"""),458.7)</f>
        <v>458.7</v>
      </c>
      <c r="C819" s="2">
        <f t="shared" ca="1" si="3"/>
        <v>-6.1748456288593274E-3</v>
      </c>
    </row>
    <row r="820" spans="1:3">
      <c r="A820" s="3">
        <f ca="1">IFERROR(__xludf.UNSUPPORTED("""COMPUTED_VALUE"""),44651.6666666666)</f>
        <v>44651.666666666599</v>
      </c>
      <c r="B820" s="1">
        <f ca="1">IFERROR(__xludf.UNSUPPORTED("""COMPUTED_VALUE"""),451.64)</f>
        <v>451.64</v>
      </c>
      <c r="C820" s="2">
        <f t="shared" ca="1" si="3"/>
        <v>-1.5391323304992375E-2</v>
      </c>
    </row>
    <row r="821" spans="1:3">
      <c r="A821" s="3">
        <f ca="1">IFERROR(__xludf.UNSUPPORTED("""COMPUTED_VALUE"""),44652.6666666666)</f>
        <v>44652.666666666599</v>
      </c>
      <c r="B821" s="1">
        <f ca="1">IFERROR(__xludf.UNSUPPORTED("""COMPUTED_VALUE"""),452.92)</f>
        <v>452.92</v>
      </c>
      <c r="C821" s="2">
        <f t="shared" ca="1" si="3"/>
        <v>2.8341156673457389E-3</v>
      </c>
    </row>
    <row r="822" spans="1:3">
      <c r="A822" s="3">
        <f ca="1">IFERROR(__xludf.UNSUPPORTED("""COMPUTED_VALUE"""),44655.6666666666)</f>
        <v>44655.666666666599</v>
      </c>
      <c r="B822" s="1">
        <f ca="1">IFERROR(__xludf.UNSUPPORTED("""COMPUTED_VALUE"""),456.8)</f>
        <v>456.8</v>
      </c>
      <c r="C822" s="2">
        <f t="shared" ca="1" si="3"/>
        <v>8.5666342842002901E-3</v>
      </c>
    </row>
    <row r="823" spans="1:3">
      <c r="A823" s="3">
        <f ca="1">IFERROR(__xludf.UNSUPPORTED("""COMPUTED_VALUE"""),44656.6666666666)</f>
        <v>44656.666666666599</v>
      </c>
      <c r="B823" s="1">
        <f ca="1">IFERROR(__xludf.UNSUPPORTED("""COMPUTED_VALUE"""),451.03)</f>
        <v>451.03</v>
      </c>
      <c r="C823" s="2">
        <f t="shared" ca="1" si="3"/>
        <v>-1.2631348511383622E-2</v>
      </c>
    </row>
    <row r="824" spans="1:3">
      <c r="A824" s="3">
        <f ca="1">IFERROR(__xludf.UNSUPPORTED("""COMPUTED_VALUE"""),44657.6666666666)</f>
        <v>44657.666666666599</v>
      </c>
      <c r="B824" s="1">
        <f ca="1">IFERROR(__xludf.UNSUPPORTED("""COMPUTED_VALUE"""),446.52)</f>
        <v>446.52</v>
      </c>
      <c r="C824" s="2">
        <f t="shared" ca="1" si="3"/>
        <v>-9.9993348557745401E-3</v>
      </c>
    </row>
    <row r="825" spans="1:3">
      <c r="A825" s="3">
        <f ca="1">IFERROR(__xludf.UNSUPPORTED("""COMPUTED_VALUE"""),44658.6666666666)</f>
        <v>44658.666666666599</v>
      </c>
      <c r="B825" s="1">
        <f ca="1">IFERROR(__xludf.UNSUPPORTED("""COMPUTED_VALUE"""),448.77)</f>
        <v>448.77</v>
      </c>
      <c r="C825" s="2">
        <f t="shared" ca="1" si="3"/>
        <v>5.0389680193496378E-3</v>
      </c>
    </row>
    <row r="826" spans="1:3">
      <c r="A826" s="3">
        <f ca="1">IFERROR(__xludf.UNSUPPORTED("""COMPUTED_VALUE"""),44659.6666666666)</f>
        <v>44659.666666666599</v>
      </c>
      <c r="B826" s="1">
        <f ca="1">IFERROR(__xludf.UNSUPPORTED("""COMPUTED_VALUE"""),447.57)</f>
        <v>447.57</v>
      </c>
      <c r="C826" s="2">
        <f t="shared" ca="1" si="3"/>
        <v>-2.6739755331238466E-3</v>
      </c>
    </row>
    <row r="827" spans="1:3">
      <c r="A827" s="3">
        <f ca="1">IFERROR(__xludf.UNSUPPORTED("""COMPUTED_VALUE"""),44662.6666666666)</f>
        <v>44662.666666666599</v>
      </c>
      <c r="B827" s="1">
        <f ca="1">IFERROR(__xludf.UNSUPPORTED("""COMPUTED_VALUE"""),439.92)</f>
        <v>439.92</v>
      </c>
      <c r="C827" s="2">
        <f t="shared" ca="1" si="3"/>
        <v>-1.7092298411421628E-2</v>
      </c>
    </row>
    <row r="828" spans="1:3">
      <c r="A828" s="3">
        <f ca="1">IFERROR(__xludf.UNSUPPORTED("""COMPUTED_VALUE"""),44663.6666666666)</f>
        <v>44663.666666666599</v>
      </c>
      <c r="B828" s="1">
        <f ca="1">IFERROR(__xludf.UNSUPPORTED("""COMPUTED_VALUE"""),438.29)</f>
        <v>438.29</v>
      </c>
      <c r="C828" s="2">
        <f t="shared" ca="1" si="3"/>
        <v>-3.705219130751035E-3</v>
      </c>
    </row>
    <row r="829" spans="1:3">
      <c r="A829" s="3">
        <f ca="1">IFERROR(__xludf.UNSUPPORTED("""COMPUTED_VALUE"""),44664.6666666666)</f>
        <v>44664.666666666599</v>
      </c>
      <c r="B829" s="1">
        <f ca="1">IFERROR(__xludf.UNSUPPORTED("""COMPUTED_VALUE"""),443.31)</f>
        <v>443.31</v>
      </c>
      <c r="C829" s="2">
        <f t="shared" ca="1" si="3"/>
        <v>1.1453603778320248E-2</v>
      </c>
    </row>
    <row r="830" spans="1:3">
      <c r="A830" s="3">
        <f ca="1">IFERROR(__xludf.UNSUPPORTED("""COMPUTED_VALUE"""),44665.6666666666)</f>
        <v>44665.666666666599</v>
      </c>
      <c r="B830" s="1">
        <f ca="1">IFERROR(__xludf.UNSUPPORTED("""COMPUTED_VALUE"""),437.79)</f>
        <v>437.79</v>
      </c>
      <c r="C830" s="2">
        <f t="shared" ca="1" si="3"/>
        <v>-1.2451783176558123E-2</v>
      </c>
    </row>
    <row r="831" spans="1:3">
      <c r="A831" s="3">
        <f ca="1">IFERROR(__xludf.UNSUPPORTED("""COMPUTED_VALUE"""),44669.6666666666)</f>
        <v>44669.666666666599</v>
      </c>
      <c r="B831" s="1">
        <f ca="1">IFERROR(__xludf.UNSUPPORTED("""COMPUTED_VALUE"""),437.97)</f>
        <v>437.97</v>
      </c>
      <c r="C831" s="2">
        <f t="shared" ca="1" si="3"/>
        <v>4.1115603371481033E-4</v>
      </c>
    </row>
    <row r="832" spans="1:3">
      <c r="A832" s="3">
        <f ca="1">IFERROR(__xludf.UNSUPPORTED("""COMPUTED_VALUE"""),44670.6666666666)</f>
        <v>44670.666666666599</v>
      </c>
      <c r="B832" s="1">
        <f ca="1">IFERROR(__xludf.UNSUPPORTED("""COMPUTED_VALUE"""),445.04)</f>
        <v>445.04</v>
      </c>
      <c r="C832" s="2">
        <f t="shared" ca="1" si="3"/>
        <v>1.6142658172934202E-2</v>
      </c>
    </row>
    <row r="833" spans="1:3">
      <c r="A833" s="3">
        <f ca="1">IFERROR(__xludf.UNSUPPORTED("""COMPUTED_VALUE"""),44671.6666666666)</f>
        <v>44671.666666666599</v>
      </c>
      <c r="B833" s="1">
        <f ca="1">IFERROR(__xludf.UNSUPPORTED("""COMPUTED_VALUE"""),444.71)</f>
        <v>444.71</v>
      </c>
      <c r="C833" s="2">
        <f t="shared" ca="1" si="3"/>
        <v>-7.4150638144895051E-4</v>
      </c>
    </row>
    <row r="834" spans="1:3">
      <c r="A834" s="3">
        <f ca="1">IFERROR(__xludf.UNSUPPORTED("""COMPUTED_VALUE"""),44672.6666666666)</f>
        <v>44672.666666666599</v>
      </c>
      <c r="B834" s="1">
        <f ca="1">IFERROR(__xludf.UNSUPPORTED("""COMPUTED_VALUE"""),438.06)</f>
        <v>438.06</v>
      </c>
      <c r="C834" s="2">
        <f t="shared" ca="1" si="3"/>
        <v>-1.4953565244766202E-2</v>
      </c>
    </row>
    <row r="835" spans="1:3">
      <c r="A835" s="3">
        <f ca="1">IFERROR(__xludf.UNSUPPORTED("""COMPUTED_VALUE"""),44673.6666666666)</f>
        <v>44673.666666666599</v>
      </c>
      <c r="B835" s="1">
        <f ca="1">IFERROR(__xludf.UNSUPPORTED("""COMPUTED_VALUE"""),426.04)</f>
        <v>426.04</v>
      </c>
      <c r="C835" s="2">
        <f t="shared" ca="1" si="3"/>
        <v>-2.7439163584897005E-2</v>
      </c>
    </row>
    <row r="836" spans="1:3">
      <c r="A836" s="3">
        <f ca="1">IFERROR(__xludf.UNSUPPORTED("""COMPUTED_VALUE"""),44676.6666666666)</f>
        <v>44676.666666666599</v>
      </c>
      <c r="B836" s="1">
        <f ca="1">IFERROR(__xludf.UNSUPPORTED("""COMPUTED_VALUE"""),428.51)</f>
        <v>428.51</v>
      </c>
      <c r="C836" s="2">
        <f t="shared" ca="1" si="3"/>
        <v>5.7975776922354009E-3</v>
      </c>
    </row>
    <row r="837" spans="1:3">
      <c r="A837" s="3">
        <f ca="1">IFERROR(__xludf.UNSUPPORTED("""COMPUTED_VALUE"""),44677.6666666666)</f>
        <v>44677.666666666599</v>
      </c>
      <c r="B837" s="1">
        <f ca="1">IFERROR(__xludf.UNSUPPORTED("""COMPUTED_VALUE"""),416.1)</f>
        <v>416.1</v>
      </c>
      <c r="C837" s="2">
        <f t="shared" ca="1" si="3"/>
        <v>-2.8960817717206058E-2</v>
      </c>
    </row>
    <row r="838" spans="1:3">
      <c r="A838" s="3">
        <f ca="1">IFERROR(__xludf.UNSUPPORTED("""COMPUTED_VALUE"""),44678.6666666666)</f>
        <v>44678.666666666599</v>
      </c>
      <c r="B838" s="1">
        <f ca="1">IFERROR(__xludf.UNSUPPORTED("""COMPUTED_VALUE"""),417.27)</f>
        <v>417.27</v>
      </c>
      <c r="C838" s="2">
        <f t="shared" ca="1" si="3"/>
        <v>2.8118240807497212E-3</v>
      </c>
    </row>
    <row r="839" spans="1:3">
      <c r="A839" s="3">
        <f ca="1">IFERROR(__xludf.UNSUPPORTED("""COMPUTED_VALUE"""),44679.6666666666)</f>
        <v>44679.666666666599</v>
      </c>
      <c r="B839" s="1">
        <f ca="1">IFERROR(__xludf.UNSUPPORTED("""COMPUTED_VALUE"""),427.81)</f>
        <v>427.81</v>
      </c>
      <c r="C839" s="2">
        <f t="shared" ca="1" si="3"/>
        <v>2.525942435353613E-2</v>
      </c>
    </row>
    <row r="840" spans="1:3">
      <c r="A840" s="3">
        <f ca="1">IFERROR(__xludf.UNSUPPORTED("""COMPUTED_VALUE"""),44680.6666666666)</f>
        <v>44680.666666666599</v>
      </c>
      <c r="B840" s="1">
        <f ca="1">IFERROR(__xludf.UNSUPPORTED("""COMPUTED_VALUE"""),412)</f>
        <v>412</v>
      </c>
      <c r="C840" s="2">
        <f t="shared" ca="1" si="3"/>
        <v>-3.6955657885509925E-2</v>
      </c>
    </row>
    <row r="841" spans="1:3">
      <c r="A841" s="3">
        <f ca="1">IFERROR(__xludf.UNSUPPORTED("""COMPUTED_VALUE"""),44683.6666666666)</f>
        <v>44683.666666666599</v>
      </c>
      <c r="B841" s="1">
        <f ca="1">IFERROR(__xludf.UNSUPPORTED("""COMPUTED_VALUE"""),414.48)</f>
        <v>414.48</v>
      </c>
      <c r="C841" s="2">
        <f t="shared" ca="1" si="3"/>
        <v>6.0194174757281999E-3</v>
      </c>
    </row>
    <row r="842" spans="1:3">
      <c r="A842" s="3">
        <f ca="1">IFERROR(__xludf.UNSUPPORTED("""COMPUTED_VALUE"""),44684.6666666666)</f>
        <v>44684.666666666599</v>
      </c>
      <c r="B842" s="1">
        <f ca="1">IFERROR(__xludf.UNSUPPORTED("""COMPUTED_VALUE"""),416.38)</f>
        <v>416.38</v>
      </c>
      <c r="C842" s="2">
        <f t="shared" ca="1" si="3"/>
        <v>4.5840571318277777E-3</v>
      </c>
    </row>
    <row r="843" spans="1:3">
      <c r="A843" s="3">
        <f ca="1">IFERROR(__xludf.UNSUPPORTED("""COMPUTED_VALUE"""),44685.6666666666)</f>
        <v>44685.666666666599</v>
      </c>
      <c r="B843" s="1">
        <f ca="1">IFERROR(__xludf.UNSUPPORTED("""COMPUTED_VALUE"""),429.06)</f>
        <v>429.06</v>
      </c>
      <c r="C843" s="2">
        <f t="shared" ca="1" si="3"/>
        <v>3.0452951630721953E-2</v>
      </c>
    </row>
    <row r="844" spans="1:3">
      <c r="A844" s="3">
        <f ca="1">IFERROR(__xludf.UNSUPPORTED("""COMPUTED_VALUE"""),44686.6666666666)</f>
        <v>44686.666666666599</v>
      </c>
      <c r="B844" s="1">
        <f ca="1">IFERROR(__xludf.UNSUPPORTED("""COMPUTED_VALUE"""),413.81)</f>
        <v>413.81</v>
      </c>
      <c r="C844" s="2">
        <f t="shared" ca="1" si="3"/>
        <v>-3.554281452477509E-2</v>
      </c>
    </row>
    <row r="845" spans="1:3">
      <c r="A845" s="3">
        <f ca="1">IFERROR(__xludf.UNSUPPORTED("""COMPUTED_VALUE"""),44687.6666666666)</f>
        <v>44687.666666666599</v>
      </c>
      <c r="B845" s="1">
        <f ca="1">IFERROR(__xludf.UNSUPPORTED("""COMPUTED_VALUE"""),411.34)</f>
        <v>411.34</v>
      </c>
      <c r="C845" s="2">
        <f t="shared" ca="1" si="3"/>
        <v>-5.9689229356468601E-3</v>
      </c>
    </row>
    <row r="846" spans="1:3">
      <c r="A846" s="3">
        <f ca="1">IFERROR(__xludf.UNSUPPORTED("""COMPUTED_VALUE"""),44690.6666666666)</f>
        <v>44690.666666666599</v>
      </c>
      <c r="B846" s="1">
        <f ca="1">IFERROR(__xludf.UNSUPPORTED("""COMPUTED_VALUE"""),398.17)</f>
        <v>398.17</v>
      </c>
      <c r="C846" s="2">
        <f t="shared" ca="1" si="3"/>
        <v>-3.201730928185919E-2</v>
      </c>
    </row>
    <row r="847" spans="1:3">
      <c r="A847" s="3">
        <f ca="1">IFERROR(__xludf.UNSUPPORTED("""COMPUTED_VALUE"""),44691.6666666666)</f>
        <v>44691.666666666599</v>
      </c>
      <c r="B847" s="1">
        <f ca="1">IFERROR(__xludf.UNSUPPORTED("""COMPUTED_VALUE"""),399.09)</f>
        <v>399.09</v>
      </c>
      <c r="C847" s="2">
        <f t="shared" ca="1" si="3"/>
        <v>2.3105708616921392E-3</v>
      </c>
    </row>
    <row r="848" spans="1:3">
      <c r="A848" s="3">
        <f ca="1">IFERROR(__xludf.UNSUPPORTED("""COMPUTED_VALUE"""),44692.6666666666)</f>
        <v>44692.666666666599</v>
      </c>
      <c r="B848" s="1">
        <f ca="1">IFERROR(__xludf.UNSUPPORTED("""COMPUTED_VALUE"""),392.75)</f>
        <v>392.75</v>
      </c>
      <c r="C848" s="2">
        <f t="shared" ca="1" si="3"/>
        <v>-1.5886140970708298E-2</v>
      </c>
    </row>
    <row r="849" spans="1:3">
      <c r="A849" s="3">
        <f ca="1">IFERROR(__xludf.UNSUPPORTED("""COMPUTED_VALUE"""),44693.6666666666)</f>
        <v>44693.666666666599</v>
      </c>
      <c r="B849" s="1">
        <f ca="1">IFERROR(__xludf.UNSUPPORTED("""COMPUTED_VALUE"""),392.34)</f>
        <v>392.34</v>
      </c>
      <c r="C849" s="2">
        <f t="shared" ca="1" si="3"/>
        <v>-1.0439210693826226E-3</v>
      </c>
    </row>
    <row r="850" spans="1:3">
      <c r="A850" s="3">
        <f ca="1">IFERROR(__xludf.UNSUPPORTED("""COMPUTED_VALUE"""),44694.6666666666)</f>
        <v>44694.666666666599</v>
      </c>
      <c r="B850" s="1">
        <f ca="1">IFERROR(__xludf.UNSUPPORTED("""COMPUTED_VALUE"""),401.72)</f>
        <v>401.72</v>
      </c>
      <c r="C850" s="2">
        <f t="shared" ca="1" si="3"/>
        <v>2.3907835041035972E-2</v>
      </c>
    </row>
    <row r="851" spans="1:3">
      <c r="A851" s="3">
        <f ca="1">IFERROR(__xludf.UNSUPPORTED("""COMPUTED_VALUE"""),44697.6666666666)</f>
        <v>44697.666666666599</v>
      </c>
      <c r="B851" s="1">
        <f ca="1">IFERROR(__xludf.UNSUPPORTED("""COMPUTED_VALUE"""),400.09)</f>
        <v>400.09</v>
      </c>
      <c r="C851" s="2">
        <f t="shared" ca="1" si="3"/>
        <v>-4.0575525241463017E-3</v>
      </c>
    </row>
    <row r="852" spans="1:3">
      <c r="A852" s="3">
        <f ca="1">IFERROR(__xludf.UNSUPPORTED("""COMPUTED_VALUE"""),44698.6666666666)</f>
        <v>44698.666666666599</v>
      </c>
      <c r="B852" s="1">
        <f ca="1">IFERROR(__xludf.UNSUPPORTED("""COMPUTED_VALUE"""),408.32)</f>
        <v>408.32</v>
      </c>
      <c r="C852" s="2">
        <f t="shared" ca="1" si="3"/>
        <v>2.0570371666375112E-2</v>
      </c>
    </row>
    <row r="853" spans="1:3">
      <c r="A853" s="3">
        <f ca="1">IFERROR(__xludf.UNSUPPORTED("""COMPUTED_VALUE"""),44699.6666666666)</f>
        <v>44699.666666666599</v>
      </c>
      <c r="B853" s="1">
        <f ca="1">IFERROR(__xludf.UNSUPPORTED("""COMPUTED_VALUE"""),391.86)</f>
        <v>391.86</v>
      </c>
      <c r="C853" s="2">
        <f t="shared" ca="1" si="3"/>
        <v>-4.0311520376175497E-2</v>
      </c>
    </row>
    <row r="854" spans="1:3">
      <c r="A854" s="3">
        <f ca="1">IFERROR(__xludf.UNSUPPORTED("""COMPUTED_VALUE"""),44700.6666666666)</f>
        <v>44700.666666666599</v>
      </c>
      <c r="B854" s="1">
        <f ca="1">IFERROR(__xludf.UNSUPPORTED("""COMPUTED_VALUE"""),389.46)</f>
        <v>389.46</v>
      </c>
      <c r="C854" s="2">
        <f t="shared" ca="1" si="3"/>
        <v>-6.1246363497168225E-3</v>
      </c>
    </row>
    <row r="855" spans="1:3">
      <c r="A855" s="3">
        <f ca="1">IFERROR(__xludf.UNSUPPORTED("""COMPUTED_VALUE"""),44701.6666666666)</f>
        <v>44701.666666666599</v>
      </c>
      <c r="B855" s="1">
        <f ca="1">IFERROR(__xludf.UNSUPPORTED("""COMPUTED_VALUE"""),389.63)</f>
        <v>389.63</v>
      </c>
      <c r="C855" s="2">
        <f t="shared" ca="1" si="3"/>
        <v>4.3650182303706651E-4</v>
      </c>
    </row>
    <row r="856" spans="1:3">
      <c r="A856" s="3">
        <f ca="1">IFERROR(__xludf.UNSUPPORTED("""COMPUTED_VALUE"""),44704.6666666666)</f>
        <v>44704.666666666599</v>
      </c>
      <c r="B856" s="1">
        <f ca="1">IFERROR(__xludf.UNSUPPORTED("""COMPUTED_VALUE"""),396.92)</f>
        <v>396.92</v>
      </c>
      <c r="C856" s="2">
        <f t="shared" ca="1" si="3"/>
        <v>1.8710058260400945E-2</v>
      </c>
    </row>
    <row r="857" spans="1:3">
      <c r="A857" s="3">
        <f ca="1">IFERROR(__xludf.UNSUPPORTED("""COMPUTED_VALUE"""),44705.6666666666)</f>
        <v>44705.666666666599</v>
      </c>
      <c r="B857" s="1">
        <f ca="1">IFERROR(__xludf.UNSUPPORTED("""COMPUTED_VALUE"""),393.89)</f>
        <v>393.89</v>
      </c>
      <c r="C857" s="2">
        <f t="shared" ca="1" si="3"/>
        <v>-7.6337801068226078E-3</v>
      </c>
    </row>
    <row r="858" spans="1:3">
      <c r="A858" s="3">
        <f ca="1">IFERROR(__xludf.UNSUPPORTED("""COMPUTED_VALUE"""),44706.6666666666)</f>
        <v>44706.666666666599</v>
      </c>
      <c r="B858" s="1">
        <f ca="1">IFERROR(__xludf.UNSUPPORTED("""COMPUTED_VALUE"""),397.37)</f>
        <v>397.37</v>
      </c>
      <c r="C858" s="2">
        <f t="shared" ca="1" si="3"/>
        <v>8.8349539211455448E-3</v>
      </c>
    </row>
    <row r="859" spans="1:3">
      <c r="A859" s="3">
        <f ca="1">IFERROR(__xludf.UNSUPPORTED("""COMPUTED_VALUE"""),44707.6666666666)</f>
        <v>44707.666666666599</v>
      </c>
      <c r="B859" s="1">
        <f ca="1">IFERROR(__xludf.UNSUPPORTED("""COMPUTED_VALUE"""),405.31)</f>
        <v>405.31</v>
      </c>
      <c r="C859" s="2">
        <f t="shared" ca="1" si="3"/>
        <v>1.9981377557440162E-2</v>
      </c>
    </row>
    <row r="860" spans="1:3">
      <c r="A860" s="3">
        <f ca="1">IFERROR(__xludf.UNSUPPORTED("""COMPUTED_VALUE"""),44708.6666666666)</f>
        <v>44708.666666666599</v>
      </c>
      <c r="B860" s="1">
        <f ca="1">IFERROR(__xludf.UNSUPPORTED("""COMPUTED_VALUE"""),415.26)</f>
        <v>415.26</v>
      </c>
      <c r="C860" s="2">
        <f t="shared" ca="1" si="3"/>
        <v>2.4549110557351136E-2</v>
      </c>
    </row>
    <row r="861" spans="1:3">
      <c r="A861" s="3">
        <f ca="1">IFERROR(__xludf.UNSUPPORTED("""COMPUTED_VALUE"""),44712.6666666666)</f>
        <v>44712.666666666599</v>
      </c>
      <c r="B861" s="1">
        <f ca="1">IFERROR(__xludf.UNSUPPORTED("""COMPUTED_VALUE"""),412.93)</f>
        <v>412.93</v>
      </c>
      <c r="C861" s="2">
        <f t="shared" ca="1" si="3"/>
        <v>-5.6109425420218274E-3</v>
      </c>
    </row>
    <row r="862" spans="1:3">
      <c r="A862" s="3">
        <f ca="1">IFERROR(__xludf.UNSUPPORTED("""COMPUTED_VALUE"""),44713.6666666666)</f>
        <v>44713.666666666599</v>
      </c>
      <c r="B862" s="1">
        <f ca="1">IFERROR(__xludf.UNSUPPORTED("""COMPUTED_VALUE"""),409.59)</f>
        <v>409.59</v>
      </c>
      <c r="C862" s="2">
        <f t="shared" ca="1" si="3"/>
        <v>-8.0885380088635654E-3</v>
      </c>
    </row>
    <row r="863" spans="1:3">
      <c r="A863" s="3">
        <f ca="1">IFERROR(__xludf.UNSUPPORTED("""COMPUTED_VALUE"""),44714.6666666666)</f>
        <v>44714.666666666599</v>
      </c>
      <c r="B863" s="1">
        <f ca="1">IFERROR(__xludf.UNSUPPORTED("""COMPUTED_VALUE"""),417.39)</f>
        <v>417.39</v>
      </c>
      <c r="C863" s="2">
        <f t="shared" ca="1" si="3"/>
        <v>1.904343367758005E-2</v>
      </c>
    </row>
    <row r="864" spans="1:3">
      <c r="A864" s="3">
        <f ca="1">IFERROR(__xludf.UNSUPPORTED("""COMPUTED_VALUE"""),44715.6666666666)</f>
        <v>44715.666666666599</v>
      </c>
      <c r="B864" s="1">
        <f ca="1">IFERROR(__xludf.UNSUPPORTED("""COMPUTED_VALUE"""),410.54)</f>
        <v>410.54</v>
      </c>
      <c r="C864" s="2">
        <f t="shared" ca="1" si="3"/>
        <v>-1.6411509619300813E-2</v>
      </c>
    </row>
    <row r="865" spans="1:3">
      <c r="A865" s="3">
        <f ca="1">IFERROR(__xludf.UNSUPPORTED("""COMPUTED_VALUE"""),44718.6666666666)</f>
        <v>44718.666666666599</v>
      </c>
      <c r="B865" s="1">
        <f ca="1">IFERROR(__xludf.UNSUPPORTED("""COMPUTED_VALUE"""),411.79)</f>
        <v>411.79</v>
      </c>
      <c r="C865" s="2">
        <f t="shared" ca="1" si="3"/>
        <v>3.0447703025283769E-3</v>
      </c>
    </row>
    <row r="866" spans="1:3">
      <c r="A866" s="3">
        <f ca="1">IFERROR(__xludf.UNSUPPORTED("""COMPUTED_VALUE"""),44719.6666666666)</f>
        <v>44719.666666666599</v>
      </c>
      <c r="B866" s="1">
        <f ca="1">IFERROR(__xludf.UNSUPPORTED("""COMPUTED_VALUE"""),415.74)</f>
        <v>415.74</v>
      </c>
      <c r="C866" s="2">
        <f t="shared" ca="1" si="3"/>
        <v>9.5922679035430405E-3</v>
      </c>
    </row>
    <row r="867" spans="1:3">
      <c r="A867" s="3">
        <f ca="1">IFERROR(__xludf.UNSUPPORTED("""COMPUTED_VALUE"""),44720.6666666666)</f>
        <v>44720.666666666599</v>
      </c>
      <c r="B867" s="1">
        <f ca="1">IFERROR(__xludf.UNSUPPORTED("""COMPUTED_VALUE"""),411.22)</f>
        <v>411.22</v>
      </c>
      <c r="C867" s="2">
        <f t="shared" ca="1" si="3"/>
        <v>-1.0872179727714393E-2</v>
      </c>
    </row>
    <row r="868" spans="1:3">
      <c r="A868" s="3">
        <f ca="1">IFERROR(__xludf.UNSUPPORTED("""COMPUTED_VALUE"""),44721.6666666666)</f>
        <v>44721.666666666599</v>
      </c>
      <c r="B868" s="1">
        <f ca="1">IFERROR(__xludf.UNSUPPORTED("""COMPUTED_VALUE"""),401.44)</f>
        <v>401.44</v>
      </c>
      <c r="C868" s="2">
        <f t="shared" ca="1" si="3"/>
        <v>-2.3782889937259931E-2</v>
      </c>
    </row>
    <row r="869" spans="1:3">
      <c r="A869" s="3">
        <f ca="1">IFERROR(__xludf.UNSUPPORTED("""COMPUTED_VALUE"""),44722.6666666666)</f>
        <v>44722.666666666599</v>
      </c>
      <c r="B869" s="1">
        <f ca="1">IFERROR(__xludf.UNSUPPORTED("""COMPUTED_VALUE"""),389.8)</f>
        <v>389.8</v>
      </c>
      <c r="C869" s="2">
        <f t="shared" ca="1" si="3"/>
        <v>-2.8995615783180516E-2</v>
      </c>
    </row>
    <row r="870" spans="1:3">
      <c r="A870" s="3">
        <f ca="1">IFERROR(__xludf.UNSUPPORTED("""COMPUTED_VALUE"""),44725.6666666666)</f>
        <v>44725.666666666599</v>
      </c>
      <c r="B870" s="1">
        <f ca="1">IFERROR(__xludf.UNSUPPORTED("""COMPUTED_VALUE"""),375)</f>
        <v>375</v>
      </c>
      <c r="C870" s="2">
        <f t="shared" ca="1" si="3"/>
        <v>-3.7968188814776836E-2</v>
      </c>
    </row>
    <row r="871" spans="1:3">
      <c r="A871" s="3">
        <f ca="1">IFERROR(__xludf.UNSUPPORTED("""COMPUTED_VALUE"""),44726.6666666666)</f>
        <v>44726.666666666599</v>
      </c>
      <c r="B871" s="1">
        <f ca="1">IFERROR(__xludf.UNSUPPORTED("""COMPUTED_VALUE"""),373.87)</f>
        <v>373.87</v>
      </c>
      <c r="C871" s="2">
        <f t="shared" ca="1" si="3"/>
        <v>-3.013333333333321E-3</v>
      </c>
    </row>
    <row r="872" spans="1:3">
      <c r="A872" s="3">
        <f ca="1">IFERROR(__xludf.UNSUPPORTED("""COMPUTED_VALUE"""),44727.6666666666)</f>
        <v>44727.666666666599</v>
      </c>
      <c r="B872" s="1">
        <f ca="1">IFERROR(__xludf.UNSUPPORTED("""COMPUTED_VALUE"""),379.2)</f>
        <v>379.2</v>
      </c>
      <c r="C872" s="2">
        <f t="shared" ca="1" si="3"/>
        <v>1.4256292294112884E-2</v>
      </c>
    </row>
    <row r="873" spans="1:3">
      <c r="A873" s="3">
        <f ca="1">IFERROR(__xludf.UNSUPPORTED("""COMPUTED_VALUE"""),44728.6666666666)</f>
        <v>44728.666666666599</v>
      </c>
      <c r="B873" s="1">
        <f ca="1">IFERROR(__xludf.UNSUPPORTED("""COMPUTED_VALUE"""),366.65)</f>
        <v>366.65</v>
      </c>
      <c r="C873" s="2">
        <f t="shared" ca="1" si="3"/>
        <v>-3.3095991561181468E-2</v>
      </c>
    </row>
    <row r="874" spans="1:3">
      <c r="A874" s="3">
        <f ca="1">IFERROR(__xludf.UNSUPPORTED("""COMPUTED_VALUE"""),44729.6666666666)</f>
        <v>44729.666666666599</v>
      </c>
      <c r="B874" s="1">
        <f ca="1">IFERROR(__xludf.UNSUPPORTED("""COMPUTED_VALUE"""),365.86)</f>
        <v>365.86</v>
      </c>
      <c r="C874" s="2">
        <f t="shared" ca="1" si="3"/>
        <v>-2.1546433928813953E-3</v>
      </c>
    </row>
    <row r="875" spans="1:3">
      <c r="A875" s="3">
        <f ca="1">IFERROR(__xludf.UNSUPPORTED("""COMPUTED_VALUE"""),44733.6666666666)</f>
        <v>44733.666666666599</v>
      </c>
      <c r="B875" s="1">
        <f ca="1">IFERROR(__xludf.UNSUPPORTED("""COMPUTED_VALUE"""),375.07)</f>
        <v>375.07</v>
      </c>
      <c r="C875" s="2">
        <f t="shared" ca="1" si="3"/>
        <v>2.5173563658229866E-2</v>
      </c>
    </row>
    <row r="876" spans="1:3">
      <c r="A876" s="3">
        <f ca="1">IFERROR(__xludf.UNSUPPORTED("""COMPUTED_VALUE"""),44734.6666666666)</f>
        <v>44734.666666666599</v>
      </c>
      <c r="B876" s="1">
        <f ca="1">IFERROR(__xludf.UNSUPPORTED("""COMPUTED_VALUE"""),374.39)</f>
        <v>374.39</v>
      </c>
      <c r="C876" s="2">
        <f t="shared" ca="1" si="3"/>
        <v>-1.8129949076172631E-3</v>
      </c>
    </row>
    <row r="877" spans="1:3">
      <c r="A877" s="3">
        <f ca="1">IFERROR(__xludf.UNSUPPORTED("""COMPUTED_VALUE"""),44735.6666666666)</f>
        <v>44735.666666666599</v>
      </c>
      <c r="B877" s="1">
        <f ca="1">IFERROR(__xludf.UNSUPPORTED("""COMPUTED_VALUE"""),378.06)</f>
        <v>378.06</v>
      </c>
      <c r="C877" s="2">
        <f t="shared" ca="1" si="3"/>
        <v>9.802612249258838E-3</v>
      </c>
    </row>
    <row r="878" spans="1:3">
      <c r="A878" s="3">
        <f ca="1">IFERROR(__xludf.UNSUPPORTED("""COMPUTED_VALUE"""),44736.6666666666)</f>
        <v>44736.666666666599</v>
      </c>
      <c r="B878" s="1">
        <f ca="1">IFERROR(__xludf.UNSUPPORTED("""COMPUTED_VALUE"""),390.08)</f>
        <v>390.08</v>
      </c>
      <c r="C878" s="2">
        <f t="shared" ca="1" si="3"/>
        <v>3.179389514891811E-2</v>
      </c>
    </row>
    <row r="879" spans="1:3">
      <c r="A879" s="3">
        <f ca="1">IFERROR(__xludf.UNSUPPORTED("""COMPUTED_VALUE"""),44739.6666666666)</f>
        <v>44739.666666666599</v>
      </c>
      <c r="B879" s="1">
        <f ca="1">IFERROR(__xludf.UNSUPPORTED("""COMPUTED_VALUE"""),388.59)</f>
        <v>388.59</v>
      </c>
      <c r="C879" s="2">
        <f t="shared" ca="1" si="3"/>
        <v>-3.8197292863002695E-3</v>
      </c>
    </row>
    <row r="880" spans="1:3">
      <c r="A880" s="3">
        <f ca="1">IFERROR(__xludf.UNSUPPORTED("""COMPUTED_VALUE"""),44740.6666666666)</f>
        <v>44740.666666666599</v>
      </c>
      <c r="B880" s="1">
        <f ca="1">IFERROR(__xludf.UNSUPPORTED("""COMPUTED_VALUE"""),380.65)</f>
        <v>380.65</v>
      </c>
      <c r="C880" s="2">
        <f t="shared" ca="1" si="3"/>
        <v>-2.0432846959520311E-2</v>
      </c>
    </row>
    <row r="881" spans="1:3">
      <c r="A881" s="3">
        <f ca="1">IFERROR(__xludf.UNSUPPORTED("""COMPUTED_VALUE"""),44741.6666666666)</f>
        <v>44741.666666666599</v>
      </c>
      <c r="B881" s="1">
        <f ca="1">IFERROR(__xludf.UNSUPPORTED("""COMPUTED_VALUE"""),380.34)</f>
        <v>380.34</v>
      </c>
      <c r="C881" s="2">
        <f t="shared" ca="1" si="3"/>
        <v>-8.1439642716406746E-4</v>
      </c>
    </row>
    <row r="882" spans="1:3">
      <c r="A882" s="3">
        <f ca="1">IFERROR(__xludf.UNSUPPORTED("""COMPUTED_VALUE"""),44742.6666666666)</f>
        <v>44742.666666666599</v>
      </c>
      <c r="B882" s="1">
        <f ca="1">IFERROR(__xludf.UNSUPPORTED("""COMPUTED_VALUE"""),377.25)</f>
        <v>377.25</v>
      </c>
      <c r="C882" s="2">
        <f t="shared" ca="1" si="3"/>
        <v>-8.1243098280485235E-3</v>
      </c>
    </row>
    <row r="883" spans="1:3">
      <c r="A883" s="3">
        <f ca="1">IFERROR(__xludf.UNSUPPORTED("""COMPUTED_VALUE"""),44743.6666666666)</f>
        <v>44743.666666666599</v>
      </c>
      <c r="B883" s="1">
        <f ca="1">IFERROR(__xludf.UNSUPPORTED("""COMPUTED_VALUE"""),381.24)</f>
        <v>381.24</v>
      </c>
      <c r="C883" s="2">
        <f t="shared" ca="1" si="3"/>
        <v>1.0576540755467221E-2</v>
      </c>
    </row>
    <row r="884" spans="1:3">
      <c r="A884" s="3">
        <f ca="1">IFERROR(__xludf.UNSUPPORTED("""COMPUTED_VALUE"""),44747.6666666666)</f>
        <v>44747.666666666599</v>
      </c>
      <c r="B884" s="1">
        <f ca="1">IFERROR(__xludf.UNSUPPORTED("""COMPUTED_VALUE"""),381.96)</f>
        <v>381.96</v>
      </c>
      <c r="C884" s="2">
        <f t="shared" ca="1" si="3"/>
        <v>1.8885741265343889E-3</v>
      </c>
    </row>
    <row r="885" spans="1:3">
      <c r="A885" s="3">
        <f ca="1">IFERROR(__xludf.UNSUPPORTED("""COMPUTED_VALUE"""),44748.6666666666)</f>
        <v>44748.666666666599</v>
      </c>
      <c r="B885" s="1">
        <f ca="1">IFERROR(__xludf.UNSUPPORTED("""COMPUTED_VALUE"""),383.25)</f>
        <v>383.25</v>
      </c>
      <c r="C885" s="2">
        <f t="shared" ca="1" si="3"/>
        <v>3.3773169965441944E-3</v>
      </c>
    </row>
    <row r="886" spans="1:3">
      <c r="A886" s="3">
        <f ca="1">IFERROR(__xludf.UNSUPPORTED("""COMPUTED_VALUE"""),44749.6666666666)</f>
        <v>44749.666666666599</v>
      </c>
      <c r="B886" s="1">
        <f ca="1">IFERROR(__xludf.UNSUPPORTED("""COMPUTED_VALUE"""),388.99)</f>
        <v>388.99</v>
      </c>
      <c r="C886" s="2">
        <f t="shared" ca="1" si="3"/>
        <v>1.4977168949771713E-2</v>
      </c>
    </row>
    <row r="887" spans="1:3">
      <c r="A887" s="3">
        <f ca="1">IFERROR(__xludf.UNSUPPORTED("""COMPUTED_VALUE"""),44750.6666666666)</f>
        <v>44750.666666666599</v>
      </c>
      <c r="B887" s="1">
        <f ca="1">IFERROR(__xludf.UNSUPPORTED("""COMPUTED_VALUE"""),388.67)</f>
        <v>388.67</v>
      </c>
      <c r="C887" s="2">
        <f t="shared" ca="1" si="3"/>
        <v>-8.2264325561066649E-4</v>
      </c>
    </row>
    <row r="888" spans="1:3">
      <c r="A888" s="3">
        <f ca="1">IFERROR(__xludf.UNSUPPORTED("""COMPUTED_VALUE"""),44753.6666666666)</f>
        <v>44753.666666666599</v>
      </c>
      <c r="B888" s="1">
        <f ca="1">IFERROR(__xludf.UNSUPPORTED("""COMPUTED_VALUE"""),384.23)</f>
        <v>384.23</v>
      </c>
      <c r="C888" s="2">
        <f t="shared" ca="1" si="3"/>
        <v>-1.1423572696632097E-2</v>
      </c>
    </row>
    <row r="889" spans="1:3">
      <c r="A889" s="3">
        <f ca="1">IFERROR(__xludf.UNSUPPORTED("""COMPUTED_VALUE"""),44754.6666666666)</f>
        <v>44754.666666666599</v>
      </c>
      <c r="B889" s="1">
        <f ca="1">IFERROR(__xludf.UNSUPPORTED("""COMPUTED_VALUE"""),380.83)</f>
        <v>380.83</v>
      </c>
      <c r="C889" s="2">
        <f t="shared" ca="1" si="3"/>
        <v>-8.8488665642975136E-3</v>
      </c>
    </row>
    <row r="890" spans="1:3">
      <c r="A890" s="3">
        <f ca="1">IFERROR(__xludf.UNSUPPORTED("""COMPUTED_VALUE"""),44755.6666666666)</f>
        <v>44755.666666666599</v>
      </c>
      <c r="B890" s="1">
        <f ca="1">IFERROR(__xludf.UNSUPPORTED("""COMPUTED_VALUE"""),378.83)</f>
        <v>378.83</v>
      </c>
      <c r="C890" s="2">
        <f t="shared" ca="1" si="3"/>
        <v>-5.2516871044823148E-3</v>
      </c>
    </row>
    <row r="891" spans="1:3">
      <c r="A891" s="3">
        <f ca="1">IFERROR(__xludf.UNSUPPORTED("""COMPUTED_VALUE"""),44756.6666666666)</f>
        <v>44756.666666666599</v>
      </c>
      <c r="B891" s="1">
        <f ca="1">IFERROR(__xludf.UNSUPPORTED("""COMPUTED_VALUE"""),377.91)</f>
        <v>377.91</v>
      </c>
      <c r="C891" s="2">
        <f t="shared" ca="1" si="3"/>
        <v>-2.4285299474697333E-3</v>
      </c>
    </row>
    <row r="892" spans="1:3">
      <c r="A892" s="3">
        <f ca="1">IFERROR(__xludf.UNSUPPORTED("""COMPUTED_VALUE"""),44757.6666666666)</f>
        <v>44757.666666666599</v>
      </c>
      <c r="B892" s="1">
        <f ca="1">IFERROR(__xludf.UNSUPPORTED("""COMPUTED_VALUE"""),385.13)</f>
        <v>385.13</v>
      </c>
      <c r="C892" s="2">
        <f t="shared" ca="1" si="3"/>
        <v>1.9105077928607262E-2</v>
      </c>
    </row>
    <row r="893" spans="1:3">
      <c r="A893" s="3">
        <f ca="1">IFERROR(__xludf.UNSUPPORTED("""COMPUTED_VALUE"""),44760.6666666666)</f>
        <v>44760.666666666599</v>
      </c>
      <c r="B893" s="1">
        <f ca="1">IFERROR(__xludf.UNSUPPORTED("""COMPUTED_VALUE"""),381.95)</f>
        <v>381.95</v>
      </c>
      <c r="C893" s="2">
        <f t="shared" ca="1" si="3"/>
        <v>-8.2569521979591488E-3</v>
      </c>
    </row>
    <row r="894" spans="1:3">
      <c r="A894" s="3">
        <f ca="1">IFERROR(__xludf.UNSUPPORTED("""COMPUTED_VALUE"""),44761.6666666666)</f>
        <v>44761.666666666599</v>
      </c>
      <c r="B894" s="1">
        <f ca="1">IFERROR(__xludf.UNSUPPORTED("""COMPUTED_VALUE"""),392.27)</f>
        <v>392.27</v>
      </c>
      <c r="C894" s="2">
        <f t="shared" ca="1" si="3"/>
        <v>2.7019243356460252E-2</v>
      </c>
    </row>
    <row r="895" spans="1:3">
      <c r="A895" s="3">
        <f ca="1">IFERROR(__xludf.UNSUPPORTED("""COMPUTED_VALUE"""),44762.6666666666)</f>
        <v>44762.666666666599</v>
      </c>
      <c r="B895" s="1">
        <f ca="1">IFERROR(__xludf.UNSUPPORTED("""COMPUTED_VALUE"""),394.77)</f>
        <v>394.77</v>
      </c>
      <c r="C895" s="2">
        <f t="shared" ca="1" si="3"/>
        <v>6.3731613429525583E-3</v>
      </c>
    </row>
    <row r="896" spans="1:3">
      <c r="A896" s="3">
        <f ca="1">IFERROR(__xludf.UNSUPPORTED("""COMPUTED_VALUE"""),44763.6666666666)</f>
        <v>44763.666666666599</v>
      </c>
      <c r="B896" s="1">
        <f ca="1">IFERROR(__xludf.UNSUPPORTED("""COMPUTED_VALUE"""),398.79)</f>
        <v>398.79</v>
      </c>
      <c r="C896" s="2">
        <f t="shared" ca="1" si="3"/>
        <v>1.0183144615852367E-2</v>
      </c>
    </row>
    <row r="897" spans="1:3">
      <c r="A897" s="3">
        <f ca="1">IFERROR(__xludf.UNSUPPORTED("""COMPUTED_VALUE"""),44764.6666666666)</f>
        <v>44764.666666666599</v>
      </c>
      <c r="B897" s="1">
        <f ca="1">IFERROR(__xludf.UNSUPPORTED("""COMPUTED_VALUE"""),395.09)</f>
        <v>395.09</v>
      </c>
      <c r="C897" s="2">
        <f t="shared" ca="1" si="3"/>
        <v>-9.2780661501041788E-3</v>
      </c>
    </row>
    <row r="898" spans="1:3">
      <c r="A898" s="3">
        <f ca="1">IFERROR(__xludf.UNSUPPORTED("""COMPUTED_VALUE"""),44767.6666666666)</f>
        <v>44767.666666666599</v>
      </c>
      <c r="B898" s="1">
        <f ca="1">IFERROR(__xludf.UNSUPPORTED("""COMPUTED_VALUE"""),395.57)</f>
        <v>395.57</v>
      </c>
      <c r="C898" s="2">
        <f t="shared" ca="1" si="3"/>
        <v>1.2149130577843485E-3</v>
      </c>
    </row>
    <row r="899" spans="1:3">
      <c r="A899" s="3">
        <f ca="1">IFERROR(__xludf.UNSUPPORTED("""COMPUTED_VALUE"""),44768.6666666666)</f>
        <v>44768.666666666599</v>
      </c>
      <c r="B899" s="1">
        <f ca="1">IFERROR(__xludf.UNSUPPORTED("""COMPUTED_VALUE"""),390.89)</f>
        <v>390.89</v>
      </c>
      <c r="C899" s="2">
        <f t="shared" ca="1" si="3"/>
        <v>-1.1831028642212521E-2</v>
      </c>
    </row>
    <row r="900" spans="1:3">
      <c r="A900" s="3">
        <f ca="1">IFERROR(__xludf.UNSUPPORTED("""COMPUTED_VALUE"""),44769.6666666666)</f>
        <v>44769.666666666599</v>
      </c>
      <c r="B900" s="1">
        <f ca="1">IFERROR(__xludf.UNSUPPORTED("""COMPUTED_VALUE"""),401.04)</f>
        <v>401.04</v>
      </c>
      <c r="C900" s="2">
        <f t="shared" ca="1" si="3"/>
        <v>2.5966384404819857E-2</v>
      </c>
    </row>
    <row r="901" spans="1:3">
      <c r="A901" s="3">
        <f ca="1">IFERROR(__xludf.UNSUPPORTED("""COMPUTED_VALUE"""),44770.6666666666)</f>
        <v>44770.666666666599</v>
      </c>
      <c r="B901" s="1">
        <f ca="1">IFERROR(__xludf.UNSUPPORTED("""COMPUTED_VALUE"""),406.07)</f>
        <v>406.07</v>
      </c>
      <c r="C901" s="2">
        <f t="shared" ca="1" si="3"/>
        <v>1.2542389786554888E-2</v>
      </c>
    </row>
    <row r="902" spans="1:3">
      <c r="A902" s="3">
        <f ca="1">IFERROR(__xludf.UNSUPPORTED("""COMPUTED_VALUE"""),44771.6666666666)</f>
        <v>44771.666666666599</v>
      </c>
      <c r="B902" s="1">
        <f ca="1">IFERROR(__xludf.UNSUPPORTED("""COMPUTED_VALUE"""),411.99)</f>
        <v>411.99</v>
      </c>
      <c r="C902" s="2">
        <f t="shared" ca="1" si="3"/>
        <v>1.4578767207624341E-2</v>
      </c>
    </row>
    <row r="903" spans="1:3">
      <c r="A903" s="3">
        <f ca="1">IFERROR(__xludf.UNSUPPORTED("""COMPUTED_VALUE"""),44774.6666666666)</f>
        <v>44774.666666666599</v>
      </c>
      <c r="B903" s="1">
        <f ca="1">IFERROR(__xludf.UNSUPPORTED("""COMPUTED_VALUE"""),410.77)</f>
        <v>410.77</v>
      </c>
      <c r="C903" s="2">
        <f t="shared" ca="1" si="3"/>
        <v>-2.9612369232263581E-3</v>
      </c>
    </row>
    <row r="904" spans="1:3">
      <c r="A904" s="3">
        <f ca="1">IFERROR(__xludf.UNSUPPORTED("""COMPUTED_VALUE"""),44775.6666666666)</f>
        <v>44775.666666666599</v>
      </c>
      <c r="B904" s="1">
        <f ca="1">IFERROR(__xludf.UNSUPPORTED("""COMPUTED_VALUE"""),408.06)</f>
        <v>408.06</v>
      </c>
      <c r="C904" s="2">
        <f t="shared" ca="1" si="3"/>
        <v>-6.5973659225356763E-3</v>
      </c>
    </row>
    <row r="905" spans="1:3">
      <c r="A905" s="3">
        <f ca="1">IFERROR(__xludf.UNSUPPORTED("""COMPUTED_VALUE"""),44776.6666666666)</f>
        <v>44776.666666666599</v>
      </c>
      <c r="B905" s="1">
        <f ca="1">IFERROR(__xludf.UNSUPPORTED("""COMPUTED_VALUE"""),414.45)</f>
        <v>414.45</v>
      </c>
      <c r="C905" s="2">
        <f t="shared" ca="1" si="3"/>
        <v>1.5659461843846461E-2</v>
      </c>
    </row>
    <row r="906" spans="1:3">
      <c r="A906" s="3">
        <f ca="1">IFERROR(__xludf.UNSUPPORTED("""COMPUTED_VALUE"""),44777.6666666666)</f>
        <v>44777.666666666599</v>
      </c>
      <c r="B906" s="1">
        <f ca="1">IFERROR(__xludf.UNSUPPORTED("""COMPUTED_VALUE"""),414.17)</f>
        <v>414.17</v>
      </c>
      <c r="C906" s="2">
        <f t="shared" ca="1" si="3"/>
        <v>-6.7559416093611465E-4</v>
      </c>
    </row>
    <row r="907" spans="1:3">
      <c r="A907" s="3">
        <f ca="1">IFERROR(__xludf.UNSUPPORTED("""COMPUTED_VALUE"""),44778.6666666666)</f>
        <v>44778.666666666599</v>
      </c>
      <c r="B907" s="1">
        <f ca="1">IFERROR(__xludf.UNSUPPORTED("""COMPUTED_VALUE"""),413.47)</f>
        <v>413.47</v>
      </c>
      <c r="C907" s="2">
        <f t="shared" ca="1" si="3"/>
        <v>-1.690127242436653E-3</v>
      </c>
    </row>
    <row r="908" spans="1:3">
      <c r="A908" s="3">
        <f ca="1">IFERROR(__xludf.UNSUPPORTED("""COMPUTED_VALUE"""),44781.6666666666)</f>
        <v>44781.666666666599</v>
      </c>
      <c r="B908" s="1">
        <f ca="1">IFERROR(__xludf.UNSUPPORTED("""COMPUTED_VALUE"""),412.99)</f>
        <v>412.99</v>
      </c>
      <c r="C908" s="2">
        <f t="shared" ca="1" si="3"/>
        <v>-1.1609064744721944E-3</v>
      </c>
    </row>
    <row r="909" spans="1:3">
      <c r="A909" s="3">
        <f ca="1">IFERROR(__xludf.UNSUPPORTED("""COMPUTED_VALUE"""),44782.6666666666)</f>
        <v>44782.666666666599</v>
      </c>
      <c r="B909" s="1">
        <f ca="1">IFERROR(__xludf.UNSUPPORTED("""COMPUTED_VALUE"""),411.35)</f>
        <v>411.35</v>
      </c>
      <c r="C909" s="2">
        <f t="shared" ca="1" si="3"/>
        <v>-3.9710404610280789E-3</v>
      </c>
    </row>
    <row r="910" spans="1:3">
      <c r="A910" s="3">
        <f ca="1">IFERROR(__xludf.UNSUPPORTED("""COMPUTED_VALUE"""),44783.6666666666)</f>
        <v>44783.666666666599</v>
      </c>
      <c r="B910" s="1">
        <f ca="1">IFERROR(__xludf.UNSUPPORTED("""COMPUTED_VALUE"""),419.99)</f>
        <v>419.99</v>
      </c>
      <c r="C910" s="2">
        <f t="shared" ca="1" si="3"/>
        <v>2.1004011182691105E-2</v>
      </c>
    </row>
    <row r="911" spans="1:3">
      <c r="A911" s="3">
        <f ca="1">IFERROR(__xludf.UNSUPPORTED("""COMPUTED_VALUE"""),44784.6666666666)</f>
        <v>44784.666666666599</v>
      </c>
      <c r="B911" s="1">
        <f ca="1">IFERROR(__xludf.UNSUPPORTED("""COMPUTED_VALUE"""),419.99)</f>
        <v>419.99</v>
      </c>
      <c r="C911" s="2">
        <f t="shared" ca="1" si="3"/>
        <v>0</v>
      </c>
    </row>
    <row r="912" spans="1:3">
      <c r="A912" s="3">
        <f ca="1">IFERROR(__xludf.UNSUPPORTED("""COMPUTED_VALUE"""),44785.6666666666)</f>
        <v>44785.666666666599</v>
      </c>
      <c r="B912" s="1">
        <f ca="1">IFERROR(__xludf.UNSUPPORTED("""COMPUTED_VALUE"""),427.1)</f>
        <v>427.1</v>
      </c>
      <c r="C912" s="2">
        <f t="shared" ca="1" si="3"/>
        <v>1.6928974499392874E-2</v>
      </c>
    </row>
    <row r="913" spans="1:3">
      <c r="A913" s="3">
        <f ca="1">IFERROR(__xludf.UNSUPPORTED("""COMPUTED_VALUE"""),44788.6666666666)</f>
        <v>44788.666666666599</v>
      </c>
      <c r="B913" s="1">
        <f ca="1">IFERROR(__xludf.UNSUPPORTED("""COMPUTED_VALUE"""),428.86)</f>
        <v>428.86</v>
      </c>
      <c r="C913" s="2">
        <f t="shared" ca="1" si="3"/>
        <v>4.1208147974712969E-3</v>
      </c>
    </row>
    <row r="914" spans="1:3">
      <c r="A914" s="3">
        <f ca="1">IFERROR(__xludf.UNSUPPORTED("""COMPUTED_VALUE"""),44789.6666666666)</f>
        <v>44789.666666666599</v>
      </c>
      <c r="B914" s="1">
        <f ca="1">IFERROR(__xludf.UNSUPPORTED("""COMPUTED_VALUE"""),429.7)</f>
        <v>429.7</v>
      </c>
      <c r="C914" s="2">
        <f t="shared" ca="1" si="3"/>
        <v>1.9586811546891177E-3</v>
      </c>
    </row>
    <row r="915" spans="1:3">
      <c r="A915" s="3">
        <f ca="1">IFERROR(__xludf.UNSUPPORTED("""COMPUTED_VALUE"""),44790.6666666666)</f>
        <v>44790.666666666599</v>
      </c>
      <c r="B915" s="1">
        <f ca="1">IFERROR(__xludf.UNSUPPORTED("""COMPUTED_VALUE"""),426.65)</f>
        <v>426.65</v>
      </c>
      <c r="C915" s="2">
        <f t="shared" ca="1" si="3"/>
        <v>-7.0979753316267429E-3</v>
      </c>
    </row>
    <row r="916" spans="1:3">
      <c r="A916" s="3">
        <f ca="1">IFERROR(__xludf.UNSUPPORTED("""COMPUTED_VALUE"""),44791.6666666666)</f>
        <v>44791.666666666599</v>
      </c>
      <c r="B916" s="1">
        <f ca="1">IFERROR(__xludf.UNSUPPORTED("""COMPUTED_VALUE"""),427.89)</f>
        <v>427.89</v>
      </c>
      <c r="C916" s="2">
        <f t="shared" ca="1" si="3"/>
        <v>2.9063635298254053E-3</v>
      </c>
    </row>
    <row r="917" spans="1:3">
      <c r="A917" s="3">
        <f ca="1">IFERROR(__xludf.UNSUPPORTED("""COMPUTED_VALUE"""),44792.6666666666)</f>
        <v>44792.666666666599</v>
      </c>
      <c r="B917" s="1">
        <f ca="1">IFERROR(__xludf.UNSUPPORTED("""COMPUTED_VALUE"""),422.14)</f>
        <v>422.14</v>
      </c>
      <c r="C917" s="2">
        <f t="shared" ca="1" si="3"/>
        <v>-1.3438033139358247E-2</v>
      </c>
    </row>
    <row r="918" spans="1:3">
      <c r="A918" s="3">
        <f ca="1">IFERROR(__xludf.UNSUPPORTED("""COMPUTED_VALUE"""),44795.6666666666)</f>
        <v>44795.666666666599</v>
      </c>
      <c r="B918" s="1">
        <f ca="1">IFERROR(__xludf.UNSUPPORTED("""COMPUTED_VALUE"""),413.35)</f>
        <v>413.35</v>
      </c>
      <c r="C918" s="2">
        <f t="shared" ca="1" si="3"/>
        <v>-2.0822475955843946E-2</v>
      </c>
    </row>
    <row r="919" spans="1:3">
      <c r="A919" s="3">
        <f ca="1">IFERROR(__xludf.UNSUPPORTED("""COMPUTED_VALUE"""),44796.6666666666)</f>
        <v>44796.666666666599</v>
      </c>
      <c r="B919" s="1">
        <f ca="1">IFERROR(__xludf.UNSUPPORTED("""COMPUTED_VALUE"""),412.35)</f>
        <v>412.35</v>
      </c>
      <c r="C919" s="2">
        <f t="shared" ca="1" si="3"/>
        <v>-2.4192572880125801E-3</v>
      </c>
    </row>
    <row r="920" spans="1:3">
      <c r="A920" s="3">
        <f ca="1">IFERROR(__xludf.UNSUPPORTED("""COMPUTED_VALUE"""),44797.6666666666)</f>
        <v>44797.666666666599</v>
      </c>
      <c r="B920" s="1">
        <f ca="1">IFERROR(__xludf.UNSUPPORTED("""COMPUTED_VALUE"""),413.67)</f>
        <v>413.67</v>
      </c>
      <c r="C920" s="2">
        <f t="shared" ca="1" si="3"/>
        <v>3.2011640596580409E-3</v>
      </c>
    </row>
    <row r="921" spans="1:3">
      <c r="A921" s="3">
        <f ca="1">IFERROR(__xludf.UNSUPPORTED("""COMPUTED_VALUE"""),44798.6666666666)</f>
        <v>44798.666666666599</v>
      </c>
      <c r="B921" s="1">
        <f ca="1">IFERROR(__xludf.UNSUPPORTED("""COMPUTED_VALUE"""),419.51)</f>
        <v>419.51</v>
      </c>
      <c r="C921" s="2">
        <f t="shared" ca="1" si="3"/>
        <v>1.411753329948987E-2</v>
      </c>
    </row>
    <row r="922" spans="1:3">
      <c r="A922" s="3">
        <f ca="1">IFERROR(__xludf.UNSUPPORTED("""COMPUTED_VALUE"""),44799.6666666666)</f>
        <v>44799.666666666599</v>
      </c>
      <c r="B922" s="1">
        <f ca="1">IFERROR(__xludf.UNSUPPORTED("""COMPUTED_VALUE"""),405.31)</f>
        <v>405.31</v>
      </c>
      <c r="C922" s="2">
        <f t="shared" ca="1" si="3"/>
        <v>-3.3849014326237728E-2</v>
      </c>
    </row>
    <row r="923" spans="1:3">
      <c r="A923" s="3">
        <f ca="1">IFERROR(__xludf.UNSUPPORTED("""COMPUTED_VALUE"""),44802.6666666666)</f>
        <v>44802.666666666599</v>
      </c>
      <c r="B923" s="1">
        <f ca="1">IFERROR(__xludf.UNSUPPORTED("""COMPUTED_VALUE"""),402.63)</f>
        <v>402.63</v>
      </c>
      <c r="C923" s="2">
        <f t="shared" ca="1" si="3"/>
        <v>-6.6122227430855558E-3</v>
      </c>
    </row>
    <row r="924" spans="1:3">
      <c r="A924" s="3">
        <f ca="1">IFERROR(__xludf.UNSUPPORTED("""COMPUTED_VALUE"""),44803.6666666666)</f>
        <v>44803.666666666599</v>
      </c>
      <c r="B924" s="1">
        <f ca="1">IFERROR(__xludf.UNSUPPORTED("""COMPUTED_VALUE"""),398.21)</f>
        <v>398.21</v>
      </c>
      <c r="C924" s="2">
        <f t="shared" ca="1" si="3"/>
        <v>-1.0977820828055575E-2</v>
      </c>
    </row>
    <row r="925" spans="1:3">
      <c r="A925" s="3">
        <f ca="1">IFERROR(__xludf.UNSUPPORTED("""COMPUTED_VALUE"""),44804.6666666666)</f>
        <v>44804.666666666599</v>
      </c>
      <c r="B925" s="1">
        <f ca="1">IFERROR(__xludf.UNSUPPORTED("""COMPUTED_VALUE"""),395.18)</f>
        <v>395.18</v>
      </c>
      <c r="C925" s="2">
        <f t="shared" ca="1" si="3"/>
        <v>-7.6090505009918704E-3</v>
      </c>
    </row>
    <row r="926" spans="1:3">
      <c r="A926" s="3">
        <f ca="1">IFERROR(__xludf.UNSUPPORTED("""COMPUTED_VALUE"""),44805.6666666666)</f>
        <v>44805.666666666599</v>
      </c>
      <c r="B926" s="1">
        <f ca="1">IFERROR(__xludf.UNSUPPORTED("""COMPUTED_VALUE"""),396.42)</f>
        <v>396.42</v>
      </c>
      <c r="C926" s="2">
        <f t="shared" ca="1" si="3"/>
        <v>3.1378106179462753E-3</v>
      </c>
    </row>
    <row r="927" spans="1:3">
      <c r="A927" s="3">
        <f ca="1">IFERROR(__xludf.UNSUPPORTED("""COMPUTED_VALUE"""),44806.6666666666)</f>
        <v>44806.666666666599</v>
      </c>
      <c r="B927" s="1">
        <f ca="1">IFERROR(__xludf.UNSUPPORTED("""COMPUTED_VALUE"""),392.24)</f>
        <v>392.24</v>
      </c>
      <c r="C927" s="2">
        <f t="shared" ca="1" si="3"/>
        <v>-1.0544372130568606E-2</v>
      </c>
    </row>
    <row r="928" spans="1:3">
      <c r="A928" s="3">
        <f ca="1">IFERROR(__xludf.UNSUPPORTED("""COMPUTED_VALUE"""),44810.6666666666)</f>
        <v>44810.666666666599</v>
      </c>
      <c r="B928" s="1">
        <f ca="1">IFERROR(__xludf.UNSUPPORTED("""COMPUTED_VALUE"""),390.76)</f>
        <v>390.76</v>
      </c>
      <c r="C928" s="2">
        <f t="shared" ca="1" si="3"/>
        <v>-3.773200081582751E-3</v>
      </c>
    </row>
    <row r="929" spans="1:3">
      <c r="A929" s="3">
        <f ca="1">IFERROR(__xludf.UNSUPPORTED("""COMPUTED_VALUE"""),44811.6666666666)</f>
        <v>44811.666666666599</v>
      </c>
      <c r="B929" s="1">
        <f ca="1">IFERROR(__xludf.UNSUPPORTED("""COMPUTED_VALUE"""),397.78)</f>
        <v>397.78</v>
      </c>
      <c r="C929" s="2">
        <f t="shared" ca="1" si="3"/>
        <v>1.7964991299007017E-2</v>
      </c>
    </row>
    <row r="930" spans="1:3">
      <c r="A930" s="3">
        <f ca="1">IFERROR(__xludf.UNSUPPORTED("""COMPUTED_VALUE"""),44812.6666666666)</f>
        <v>44812.666666666599</v>
      </c>
      <c r="B930" s="1">
        <f ca="1">IFERROR(__xludf.UNSUPPORTED("""COMPUTED_VALUE"""),400.38)</f>
        <v>400.38</v>
      </c>
      <c r="C930" s="2">
        <f t="shared" ca="1" si="3"/>
        <v>6.5362763336518246E-3</v>
      </c>
    </row>
    <row r="931" spans="1:3">
      <c r="A931" s="3">
        <f ca="1">IFERROR(__xludf.UNSUPPORTED("""COMPUTED_VALUE"""),44813.6666666666)</f>
        <v>44813.666666666599</v>
      </c>
      <c r="B931" s="1">
        <f ca="1">IFERROR(__xludf.UNSUPPORTED("""COMPUTED_VALUE"""),406.6)</f>
        <v>406.6</v>
      </c>
      <c r="C931" s="2">
        <f t="shared" ca="1" si="3"/>
        <v>1.5535241520555541E-2</v>
      </c>
    </row>
    <row r="932" spans="1:3">
      <c r="A932" s="3">
        <f ca="1">IFERROR(__xludf.UNSUPPORTED("""COMPUTED_VALUE"""),44816.6666666666)</f>
        <v>44816.666666666599</v>
      </c>
      <c r="B932" s="1">
        <f ca="1">IFERROR(__xludf.UNSUPPORTED("""COMPUTED_VALUE"""),410.97)</f>
        <v>410.97</v>
      </c>
      <c r="C932" s="2">
        <f t="shared" ca="1" si="3"/>
        <v>1.074766355140188E-2</v>
      </c>
    </row>
    <row r="933" spans="1:3">
      <c r="A933" s="3">
        <f ca="1">IFERROR(__xludf.UNSUPPORTED("""COMPUTED_VALUE"""),44817.6666666666)</f>
        <v>44817.666666666599</v>
      </c>
      <c r="B933" s="1">
        <f ca="1">IFERROR(__xludf.UNSUPPORTED("""COMPUTED_VALUE"""),393.1)</f>
        <v>393.1</v>
      </c>
      <c r="C933" s="2">
        <f t="shared" ca="1" si="3"/>
        <v>-4.3482492639365412E-2</v>
      </c>
    </row>
    <row r="934" spans="1:3">
      <c r="A934" s="3">
        <f ca="1">IFERROR(__xludf.UNSUPPORTED("""COMPUTED_VALUE"""),44818.6666666666)</f>
        <v>44818.666666666599</v>
      </c>
      <c r="B934" s="1">
        <f ca="1">IFERROR(__xludf.UNSUPPORTED("""COMPUTED_VALUE"""),394.6)</f>
        <v>394.6</v>
      </c>
      <c r="C934" s="2">
        <f t="shared" ca="1" si="3"/>
        <v>3.8158229458153141E-3</v>
      </c>
    </row>
    <row r="935" spans="1:3">
      <c r="A935" s="3">
        <f ca="1">IFERROR(__xludf.UNSUPPORTED("""COMPUTED_VALUE"""),44819.6666666666)</f>
        <v>44819.666666666599</v>
      </c>
      <c r="B935" s="1">
        <f ca="1">IFERROR(__xludf.UNSUPPORTED("""COMPUTED_VALUE"""),390.12)</f>
        <v>390.12</v>
      </c>
      <c r="C935" s="2">
        <f t="shared" ca="1" si="3"/>
        <v>-1.1353269133299589E-2</v>
      </c>
    </row>
    <row r="936" spans="1:3">
      <c r="A936" s="3">
        <f ca="1">IFERROR(__xludf.UNSUPPORTED("""COMPUTED_VALUE"""),44820.6666666666)</f>
        <v>44820.666666666599</v>
      </c>
      <c r="B936" s="1">
        <f ca="1">IFERROR(__xludf.UNSUPPORTED("""COMPUTED_VALUE"""),385.56)</f>
        <v>385.56</v>
      </c>
      <c r="C936" s="2">
        <f t="shared" ca="1" si="3"/>
        <v>-1.1688711165795146E-2</v>
      </c>
    </row>
    <row r="937" spans="1:3">
      <c r="A937" s="3">
        <f ca="1">IFERROR(__xludf.UNSUPPORTED("""COMPUTED_VALUE"""),44823.6666666666)</f>
        <v>44823.666666666599</v>
      </c>
      <c r="B937" s="1">
        <f ca="1">IFERROR(__xludf.UNSUPPORTED("""COMPUTED_VALUE"""),388.55)</f>
        <v>388.55</v>
      </c>
      <c r="C937" s="2">
        <f t="shared" ca="1" si="3"/>
        <v>7.7549538333852291E-3</v>
      </c>
    </row>
    <row r="938" spans="1:3">
      <c r="A938" s="3">
        <f ca="1">IFERROR(__xludf.UNSUPPORTED("""COMPUTED_VALUE"""),44824.6666666666)</f>
        <v>44824.666666666599</v>
      </c>
      <c r="B938" s="1">
        <f ca="1">IFERROR(__xludf.UNSUPPORTED("""COMPUTED_VALUE"""),384.09)</f>
        <v>384.09</v>
      </c>
      <c r="C938" s="2">
        <f t="shared" ca="1" si="3"/>
        <v>-1.1478574186076531E-2</v>
      </c>
    </row>
    <row r="939" spans="1:3">
      <c r="A939" s="3">
        <f ca="1">IFERROR(__xludf.UNSUPPORTED("""COMPUTED_VALUE"""),44825.6666666666)</f>
        <v>44825.666666666599</v>
      </c>
      <c r="B939" s="1">
        <f ca="1">IFERROR(__xludf.UNSUPPORTED("""COMPUTED_VALUE"""),377.39)</f>
        <v>377.39</v>
      </c>
      <c r="C939" s="2">
        <f t="shared" ca="1" si="3"/>
        <v>-1.7443828269415994E-2</v>
      </c>
    </row>
    <row r="940" spans="1:3">
      <c r="A940" s="3">
        <f ca="1">IFERROR(__xludf.UNSUPPORTED("""COMPUTED_VALUE"""),44826.6666666666)</f>
        <v>44826.666666666599</v>
      </c>
      <c r="B940" s="1">
        <f ca="1">IFERROR(__xludf.UNSUPPORTED("""COMPUTED_VALUE"""),374.22)</f>
        <v>374.22</v>
      </c>
      <c r="C940" s="2">
        <f t="shared" ca="1" si="3"/>
        <v>-8.3997986168153869E-3</v>
      </c>
    </row>
    <row r="941" spans="1:3">
      <c r="A941" s="3">
        <f ca="1">IFERROR(__xludf.UNSUPPORTED("""COMPUTED_VALUE"""),44827.6666666666)</f>
        <v>44827.666666666599</v>
      </c>
      <c r="B941" s="1">
        <f ca="1">IFERROR(__xludf.UNSUPPORTED("""COMPUTED_VALUE"""),367.95)</f>
        <v>367.95</v>
      </c>
      <c r="C941" s="2">
        <f t="shared" ca="1" si="3"/>
        <v>-1.6754850088183525E-2</v>
      </c>
    </row>
    <row r="942" spans="1:3">
      <c r="A942" s="3">
        <f ca="1">IFERROR(__xludf.UNSUPPORTED("""COMPUTED_VALUE"""),44830.6666666666)</f>
        <v>44830.666666666599</v>
      </c>
      <c r="B942" s="1">
        <f ca="1">IFERROR(__xludf.UNSUPPORTED("""COMPUTED_VALUE"""),364.31)</f>
        <v>364.31</v>
      </c>
      <c r="C942" s="2">
        <f t="shared" ca="1" si="3"/>
        <v>-9.8926484576708426E-3</v>
      </c>
    </row>
    <row r="943" spans="1:3">
      <c r="A943" s="3">
        <f ca="1">IFERROR(__xludf.UNSUPPORTED("""COMPUTED_VALUE"""),44831.6666666666)</f>
        <v>44831.666666666599</v>
      </c>
      <c r="B943" s="1">
        <f ca="1">IFERROR(__xludf.UNSUPPORTED("""COMPUTED_VALUE"""),363.38)</f>
        <v>363.38</v>
      </c>
      <c r="C943" s="2">
        <f t="shared" ca="1" si="3"/>
        <v>-2.5527709917378245E-3</v>
      </c>
    </row>
    <row r="944" spans="1:3">
      <c r="A944" s="3">
        <f ca="1">IFERROR(__xludf.UNSUPPORTED("""COMPUTED_VALUE"""),44832.6666666666)</f>
        <v>44832.666666666599</v>
      </c>
      <c r="B944" s="1">
        <f ca="1">IFERROR(__xludf.UNSUPPORTED("""COMPUTED_VALUE"""),370.53)</f>
        <v>370.53</v>
      </c>
      <c r="C944" s="2">
        <f t="shared" ca="1" si="3"/>
        <v>1.9676371842148651E-2</v>
      </c>
    </row>
    <row r="945" spans="1:3">
      <c r="A945" s="3">
        <f ca="1">IFERROR(__xludf.UNSUPPORTED("""COMPUTED_VALUE"""),44833.6666666666)</f>
        <v>44833.666666666599</v>
      </c>
      <c r="B945" s="1">
        <f ca="1">IFERROR(__xludf.UNSUPPORTED("""COMPUTED_VALUE"""),362.79)</f>
        <v>362.79</v>
      </c>
      <c r="C945" s="2">
        <f t="shared" ca="1" si="3"/>
        <v>-2.0888996842360816E-2</v>
      </c>
    </row>
    <row r="946" spans="1:3">
      <c r="A946" s="3">
        <f ca="1">IFERROR(__xludf.UNSUPPORTED("""COMPUTED_VALUE"""),44834.6666666666)</f>
        <v>44834.666666666599</v>
      </c>
      <c r="B946" s="1">
        <f ca="1">IFERROR(__xludf.UNSUPPORTED("""COMPUTED_VALUE"""),357.18)</f>
        <v>357.18</v>
      </c>
      <c r="C946" s="2">
        <f t="shared" ca="1" si="3"/>
        <v>-1.5463491275944798E-2</v>
      </c>
    </row>
    <row r="947" spans="1:3">
      <c r="A947" s="3">
        <f ca="1">IFERROR(__xludf.UNSUPPORTED("""COMPUTED_VALUE"""),44837.6666666666)</f>
        <v>44837.666666666599</v>
      </c>
      <c r="B947" s="1">
        <f ca="1">IFERROR(__xludf.UNSUPPORTED("""COMPUTED_VALUE"""),366.61)</f>
        <v>366.61</v>
      </c>
      <c r="C947" s="2">
        <f t="shared" ca="1" si="3"/>
        <v>2.6401254269555984E-2</v>
      </c>
    </row>
    <row r="948" spans="1:3">
      <c r="A948" s="3">
        <f ca="1">IFERROR(__xludf.UNSUPPORTED("""COMPUTED_VALUE"""),44838.6666666666)</f>
        <v>44838.666666666599</v>
      </c>
      <c r="B948" s="1">
        <f ca="1">IFERROR(__xludf.UNSUPPORTED("""COMPUTED_VALUE"""),377.97)</f>
        <v>377.97</v>
      </c>
      <c r="C948" s="2">
        <f t="shared" ca="1" si="3"/>
        <v>3.0986607021085112E-2</v>
      </c>
    </row>
    <row r="949" spans="1:3">
      <c r="A949" s="3">
        <f ca="1">IFERROR(__xludf.UNSUPPORTED("""COMPUTED_VALUE"""),44839.6666666666)</f>
        <v>44839.666666666599</v>
      </c>
      <c r="B949" s="1">
        <f ca="1">IFERROR(__xludf.UNSUPPORTED("""COMPUTED_VALUE"""),377.09)</f>
        <v>377.09</v>
      </c>
      <c r="C949" s="2">
        <f t="shared" ca="1" si="3"/>
        <v>-2.3282271079716702E-3</v>
      </c>
    </row>
    <row r="950" spans="1:3">
      <c r="A950" s="3">
        <f ca="1">IFERROR(__xludf.UNSUPPORTED("""COMPUTED_VALUE"""),44840.6666666666)</f>
        <v>44840.666666666599</v>
      </c>
      <c r="B950" s="1">
        <f ca="1">IFERROR(__xludf.UNSUPPORTED("""COMPUTED_VALUE"""),373.2)</f>
        <v>373.2</v>
      </c>
      <c r="C950" s="2">
        <f t="shared" ca="1" si="3"/>
        <v>-1.0315839719960716E-2</v>
      </c>
    </row>
    <row r="951" spans="1:3">
      <c r="A951" s="3">
        <f ca="1">IFERROR(__xludf.UNSUPPORTED("""COMPUTED_VALUE"""),44841.6666666666)</f>
        <v>44841.666666666599</v>
      </c>
      <c r="B951" s="1">
        <f ca="1">IFERROR(__xludf.UNSUPPORTED("""COMPUTED_VALUE"""),362.79)</f>
        <v>362.79</v>
      </c>
      <c r="C951" s="2">
        <f t="shared" ca="1" si="3"/>
        <v>-2.7893890675241072E-2</v>
      </c>
    </row>
    <row r="952" spans="1:3">
      <c r="A952" s="3">
        <f ca="1">IFERROR(__xludf.UNSUPPORTED("""COMPUTED_VALUE"""),44844.6666666666)</f>
        <v>44844.666666666599</v>
      </c>
      <c r="B952" s="1">
        <f ca="1">IFERROR(__xludf.UNSUPPORTED("""COMPUTED_VALUE"""),360.02)</f>
        <v>360.02</v>
      </c>
      <c r="C952" s="2">
        <f t="shared" ca="1" si="3"/>
        <v>-7.6352710934701577E-3</v>
      </c>
    </row>
    <row r="953" spans="1:3">
      <c r="A953" s="3">
        <f ca="1">IFERROR(__xludf.UNSUPPORTED("""COMPUTED_VALUE"""),44845.6666666666)</f>
        <v>44845.666666666599</v>
      </c>
      <c r="B953" s="1">
        <f ca="1">IFERROR(__xludf.UNSUPPORTED("""COMPUTED_VALUE"""),357.74)</f>
        <v>357.74</v>
      </c>
      <c r="C953" s="2">
        <f t="shared" ca="1" si="3"/>
        <v>-6.3329815010276453E-3</v>
      </c>
    </row>
    <row r="954" spans="1:3">
      <c r="A954" s="3">
        <f ca="1">IFERROR(__xludf.UNSUPPORTED("""COMPUTED_VALUE"""),44846.6666666666)</f>
        <v>44846.666666666599</v>
      </c>
      <c r="B954" s="1">
        <f ca="1">IFERROR(__xludf.UNSUPPORTED("""COMPUTED_VALUE"""),356.56)</f>
        <v>356.56</v>
      </c>
      <c r="C954" s="2">
        <f t="shared" ca="1" si="3"/>
        <v>-3.2984849331917226E-3</v>
      </c>
    </row>
    <row r="955" spans="1:3">
      <c r="A955" s="3">
        <f ca="1">IFERROR(__xludf.UNSUPPORTED("""COMPUTED_VALUE"""),44847.6666666666)</f>
        <v>44847.666666666599</v>
      </c>
      <c r="B955" s="1">
        <f ca="1">IFERROR(__xludf.UNSUPPORTED("""COMPUTED_VALUE"""),365.97)</f>
        <v>365.97</v>
      </c>
      <c r="C955" s="2">
        <f t="shared" ca="1" si="3"/>
        <v>2.6391070226609897E-2</v>
      </c>
    </row>
    <row r="956" spans="1:3">
      <c r="A956" s="3">
        <f ca="1">IFERROR(__xludf.UNSUPPORTED("""COMPUTED_VALUE"""),44848.6666666666)</f>
        <v>44848.666666666599</v>
      </c>
      <c r="B956" s="1">
        <f ca="1">IFERROR(__xludf.UNSUPPORTED("""COMPUTED_VALUE"""),357.63)</f>
        <v>357.63</v>
      </c>
      <c r="C956" s="2">
        <f t="shared" ca="1" si="3"/>
        <v>-2.278875317648996E-2</v>
      </c>
    </row>
    <row r="957" spans="1:3">
      <c r="A957" s="3">
        <f ca="1">IFERROR(__xludf.UNSUPPORTED("""COMPUTED_VALUE"""),44851.6666666666)</f>
        <v>44851.666666666599</v>
      </c>
      <c r="B957" s="1">
        <f ca="1">IFERROR(__xludf.UNSUPPORTED("""COMPUTED_VALUE"""),366.82)</f>
        <v>366.82</v>
      </c>
      <c r="C957" s="2">
        <f t="shared" ca="1" si="3"/>
        <v>2.5696949361071492E-2</v>
      </c>
    </row>
    <row r="958" spans="1:3">
      <c r="A958" s="3">
        <f ca="1">IFERROR(__xludf.UNSUPPORTED("""COMPUTED_VALUE"""),44852.6666666666)</f>
        <v>44852.666666666599</v>
      </c>
      <c r="B958" s="1">
        <f ca="1">IFERROR(__xludf.UNSUPPORTED("""COMPUTED_VALUE"""),371.13)</f>
        <v>371.13</v>
      </c>
      <c r="C958" s="2">
        <f t="shared" ca="1" si="3"/>
        <v>1.1749631972084408E-2</v>
      </c>
    </row>
    <row r="959" spans="1:3">
      <c r="A959" s="3">
        <f ca="1">IFERROR(__xludf.UNSUPPORTED("""COMPUTED_VALUE"""),44853.6666666666)</f>
        <v>44853.666666666599</v>
      </c>
      <c r="B959" s="1">
        <f ca="1">IFERROR(__xludf.UNSUPPORTED("""COMPUTED_VALUE"""),368.5)</f>
        <v>368.5</v>
      </c>
      <c r="C959" s="2">
        <f t="shared" ca="1" si="3"/>
        <v>-7.0864656589335155E-3</v>
      </c>
    </row>
    <row r="960" spans="1:3">
      <c r="A960" s="3">
        <f ca="1">IFERROR(__xludf.UNSUPPORTED("""COMPUTED_VALUE"""),44854.6666666666)</f>
        <v>44854.666666666599</v>
      </c>
      <c r="B960" s="1">
        <f ca="1">IFERROR(__xludf.UNSUPPORTED("""COMPUTED_VALUE"""),365.41)</f>
        <v>365.41</v>
      </c>
      <c r="C960" s="2">
        <f t="shared" ca="1" si="3"/>
        <v>-8.3853459972862282E-3</v>
      </c>
    </row>
    <row r="961" spans="1:3">
      <c r="A961" s="3">
        <f ca="1">IFERROR(__xludf.UNSUPPORTED("""COMPUTED_VALUE"""),44855.6666666666)</f>
        <v>44855.666666666599</v>
      </c>
      <c r="B961" s="1">
        <f ca="1">IFERROR(__xludf.UNSUPPORTED("""COMPUTED_VALUE"""),374.29)</f>
        <v>374.29</v>
      </c>
      <c r="C961" s="2">
        <f t="shared" ca="1" si="3"/>
        <v>2.4301469582113228E-2</v>
      </c>
    </row>
    <row r="962" spans="1:3">
      <c r="A962" s="3">
        <f ca="1">IFERROR(__xludf.UNSUPPORTED("""COMPUTED_VALUE"""),44858.6666666666)</f>
        <v>44858.666666666599</v>
      </c>
      <c r="B962" s="1">
        <f ca="1">IFERROR(__xludf.UNSUPPORTED("""COMPUTED_VALUE"""),378.87)</f>
        <v>378.87</v>
      </c>
      <c r="C962" s="2">
        <f t="shared" ca="1" si="3"/>
        <v>1.2236501108765887E-2</v>
      </c>
    </row>
    <row r="963" spans="1:3">
      <c r="A963" s="3">
        <f ca="1">IFERROR(__xludf.UNSUPPORTED("""COMPUTED_VALUE"""),44859.6666666666)</f>
        <v>44859.666666666599</v>
      </c>
      <c r="B963" s="1">
        <f ca="1">IFERROR(__xludf.UNSUPPORTED("""COMPUTED_VALUE"""),384.92)</f>
        <v>384.92</v>
      </c>
      <c r="C963" s="2">
        <f t="shared" ca="1" si="3"/>
        <v>1.5968538020957088E-2</v>
      </c>
    </row>
    <row r="964" spans="1:3">
      <c r="A964" s="3">
        <f ca="1">IFERROR(__xludf.UNSUPPORTED("""COMPUTED_VALUE"""),44860.6666666666)</f>
        <v>44860.666666666599</v>
      </c>
      <c r="B964" s="1">
        <f ca="1">IFERROR(__xludf.UNSUPPORTED("""COMPUTED_VALUE"""),382.02)</f>
        <v>382.02</v>
      </c>
      <c r="C964" s="2">
        <f t="shared" ca="1" si="3"/>
        <v>-7.5340330458277928E-3</v>
      </c>
    </row>
    <row r="965" spans="1:3">
      <c r="A965" s="3">
        <f ca="1">IFERROR(__xludf.UNSUPPORTED("""COMPUTED_VALUE"""),44861.6666666666)</f>
        <v>44861.666666666599</v>
      </c>
      <c r="B965" s="1">
        <f ca="1">IFERROR(__xludf.UNSUPPORTED("""COMPUTED_VALUE"""),379.98)</f>
        <v>379.98</v>
      </c>
      <c r="C965" s="2">
        <f t="shared" ca="1" si="3"/>
        <v>-5.3400345531646612E-3</v>
      </c>
    </row>
    <row r="966" spans="1:3">
      <c r="A966" s="3">
        <f ca="1">IFERROR(__xludf.UNSUPPORTED("""COMPUTED_VALUE"""),44862.6666666666)</f>
        <v>44862.666666666599</v>
      </c>
      <c r="B966" s="1">
        <f ca="1">IFERROR(__xludf.UNSUPPORTED("""COMPUTED_VALUE"""),389.02)</f>
        <v>389.02</v>
      </c>
      <c r="C966" s="2">
        <f t="shared" ca="1" si="3"/>
        <v>2.3790725827675045E-2</v>
      </c>
    </row>
    <row r="967" spans="1:3">
      <c r="A967" s="3">
        <f ca="1">IFERROR(__xludf.UNSUPPORTED("""COMPUTED_VALUE"""),44865.6666666666)</f>
        <v>44865.666666666599</v>
      </c>
      <c r="B967" s="1">
        <f ca="1">IFERROR(__xludf.UNSUPPORTED("""COMPUTED_VALUE"""),386.21)</f>
        <v>386.21</v>
      </c>
      <c r="C967" s="2">
        <f t="shared" ca="1" si="3"/>
        <v>-7.2232790087913279E-3</v>
      </c>
    </row>
    <row r="968" spans="1:3">
      <c r="A968" s="3">
        <f ca="1">IFERROR(__xludf.UNSUPPORTED("""COMPUTED_VALUE"""),44866.6666666666)</f>
        <v>44866.666666666599</v>
      </c>
      <c r="B968" s="1">
        <f ca="1">IFERROR(__xludf.UNSUPPORTED("""COMPUTED_VALUE"""),384.52)</f>
        <v>384.52</v>
      </c>
      <c r="C968" s="2">
        <f t="shared" ca="1" si="3"/>
        <v>-4.3758576940006672E-3</v>
      </c>
    </row>
    <row r="969" spans="1:3">
      <c r="A969" s="3">
        <f ca="1">IFERROR(__xludf.UNSUPPORTED("""COMPUTED_VALUE"""),44867.6666666666)</f>
        <v>44867.666666666599</v>
      </c>
      <c r="B969" s="1">
        <f ca="1">IFERROR(__xludf.UNSUPPORTED("""COMPUTED_VALUE"""),374.87)</f>
        <v>374.87</v>
      </c>
      <c r="C969" s="2">
        <f t="shared" ca="1" si="3"/>
        <v>-2.5096223863518095E-2</v>
      </c>
    </row>
    <row r="970" spans="1:3">
      <c r="A970" s="3">
        <f ca="1">IFERROR(__xludf.UNSUPPORTED("""COMPUTED_VALUE"""),44868.6666666666)</f>
        <v>44868.666666666599</v>
      </c>
      <c r="B970" s="1">
        <f ca="1">IFERROR(__xludf.UNSUPPORTED("""COMPUTED_VALUE"""),371.01)</f>
        <v>371.01</v>
      </c>
      <c r="C970" s="2">
        <f t="shared" ca="1" si="3"/>
        <v>-1.0296902926347837E-2</v>
      </c>
    </row>
    <row r="971" spans="1:3">
      <c r="A971" s="3">
        <f ca="1">IFERROR(__xludf.UNSUPPORTED("""COMPUTED_VALUE"""),44869.6666666666)</f>
        <v>44869.666666666599</v>
      </c>
      <c r="B971" s="1">
        <f ca="1">IFERROR(__xludf.UNSUPPORTED("""COMPUTED_VALUE"""),376.35)</f>
        <v>376.35</v>
      </c>
      <c r="C971" s="2">
        <f t="shared" ca="1" si="3"/>
        <v>1.439314304196661E-2</v>
      </c>
    </row>
    <row r="972" spans="1:3">
      <c r="A972" s="3">
        <f ca="1">IFERROR(__xludf.UNSUPPORTED("""COMPUTED_VALUE"""),44872.6666666666)</f>
        <v>44872.666666666599</v>
      </c>
      <c r="B972" s="1">
        <f ca="1">IFERROR(__xludf.UNSUPPORTED("""COMPUTED_VALUE"""),379.95)</f>
        <v>379.95</v>
      </c>
      <c r="C972" s="2">
        <f t="shared" ca="1" si="3"/>
        <v>9.5655639697089564E-3</v>
      </c>
    </row>
    <row r="973" spans="1:3">
      <c r="A973" s="3">
        <f ca="1">IFERROR(__xludf.UNSUPPORTED("""COMPUTED_VALUE"""),44873.6666666666)</f>
        <v>44873.666666666599</v>
      </c>
      <c r="B973" s="1">
        <f ca="1">IFERROR(__xludf.UNSUPPORTED("""COMPUTED_VALUE"""),382)</f>
        <v>382</v>
      </c>
      <c r="C973" s="2">
        <f t="shared" ca="1" si="3"/>
        <v>5.3954467693117817E-3</v>
      </c>
    </row>
    <row r="974" spans="1:3">
      <c r="A974" s="3">
        <f ca="1">IFERROR(__xludf.UNSUPPORTED("""COMPUTED_VALUE"""),44874.6666666666)</f>
        <v>44874.666666666599</v>
      </c>
      <c r="B974" s="1">
        <f ca="1">IFERROR(__xludf.UNSUPPORTED("""COMPUTED_VALUE"""),374.13)</f>
        <v>374.13</v>
      </c>
      <c r="C974" s="2">
        <f t="shared" ca="1" si="3"/>
        <v>-2.0602094240837709E-2</v>
      </c>
    </row>
    <row r="975" spans="1:3">
      <c r="A975" s="3">
        <f ca="1">IFERROR(__xludf.UNSUPPORTED("""COMPUTED_VALUE"""),44875.6666666666)</f>
        <v>44875.666666666599</v>
      </c>
      <c r="B975" s="1">
        <f ca="1">IFERROR(__xludf.UNSUPPORTED("""COMPUTED_VALUE"""),394.69)</f>
        <v>394.69</v>
      </c>
      <c r="C975" s="2">
        <f t="shared" ca="1" si="3"/>
        <v>5.4954160318605838E-2</v>
      </c>
    </row>
    <row r="976" spans="1:3">
      <c r="A976" s="3">
        <f ca="1">IFERROR(__xludf.UNSUPPORTED("""COMPUTED_VALUE"""),44876.6666666666)</f>
        <v>44876.666666666599</v>
      </c>
      <c r="B976" s="1">
        <f ca="1">IFERROR(__xludf.UNSUPPORTED("""COMPUTED_VALUE"""),398.51)</f>
        <v>398.51</v>
      </c>
      <c r="C976" s="2">
        <f t="shared" ca="1" si="3"/>
        <v>9.6784818465124357E-3</v>
      </c>
    </row>
    <row r="977" spans="1:3">
      <c r="A977" s="3">
        <f ca="1">IFERROR(__xludf.UNSUPPORTED("""COMPUTED_VALUE"""),44879.6666666666)</f>
        <v>44879.666666666599</v>
      </c>
      <c r="B977" s="1">
        <f ca="1">IFERROR(__xludf.UNSUPPORTED("""COMPUTED_VALUE"""),395.12)</f>
        <v>395.12</v>
      </c>
      <c r="C977" s="2">
        <f t="shared" ca="1" si="3"/>
        <v>-8.5066874106044677E-3</v>
      </c>
    </row>
    <row r="978" spans="1:3">
      <c r="A978" s="3">
        <f ca="1">IFERROR(__xludf.UNSUPPORTED("""COMPUTED_VALUE"""),44880.6666666666)</f>
        <v>44880.666666666599</v>
      </c>
      <c r="B978" s="1">
        <f ca="1">IFERROR(__xludf.UNSUPPORTED("""COMPUTED_VALUE"""),398.49)</f>
        <v>398.49</v>
      </c>
      <c r="C978" s="2">
        <f t="shared" ca="1" si="3"/>
        <v>8.5290544644665029E-3</v>
      </c>
    </row>
    <row r="979" spans="1:3">
      <c r="A979" s="3">
        <f ca="1">IFERROR(__xludf.UNSUPPORTED("""COMPUTED_VALUE"""),44881.6666666666)</f>
        <v>44881.666666666599</v>
      </c>
      <c r="B979" s="1">
        <f ca="1">IFERROR(__xludf.UNSUPPORTED("""COMPUTED_VALUE"""),395.45)</f>
        <v>395.45</v>
      </c>
      <c r="C979" s="2">
        <f t="shared" ca="1" si="3"/>
        <v>-7.6287987151497415E-3</v>
      </c>
    </row>
    <row r="980" spans="1:3">
      <c r="A980" s="3">
        <f ca="1">IFERROR(__xludf.UNSUPPORTED("""COMPUTED_VALUE"""),44882.6666666666)</f>
        <v>44882.666666666599</v>
      </c>
      <c r="B980" s="1">
        <f ca="1">IFERROR(__xludf.UNSUPPORTED("""COMPUTED_VALUE"""),394.24)</f>
        <v>394.24</v>
      </c>
      <c r="C980" s="2">
        <f t="shared" ca="1" si="3"/>
        <v>-3.0598052851181683E-3</v>
      </c>
    </row>
    <row r="981" spans="1:3">
      <c r="A981" s="3">
        <f ca="1">IFERROR(__xludf.UNSUPPORTED("""COMPUTED_VALUE"""),44883.6666666666)</f>
        <v>44883.666666666599</v>
      </c>
      <c r="B981" s="1">
        <f ca="1">IFERROR(__xludf.UNSUPPORTED("""COMPUTED_VALUE"""),396.03)</f>
        <v>396.03</v>
      </c>
      <c r="C981" s="2">
        <f t="shared" ca="1" si="3"/>
        <v>4.5403814935064011E-3</v>
      </c>
    </row>
    <row r="982" spans="1:3">
      <c r="A982" s="3">
        <f ca="1">IFERROR(__xludf.UNSUPPORTED("""COMPUTED_VALUE"""),44886.6666666666)</f>
        <v>44886.666666666599</v>
      </c>
      <c r="B982" s="1">
        <f ca="1">IFERROR(__xludf.UNSUPPORTED("""COMPUTED_VALUE"""),394.59)</f>
        <v>394.59</v>
      </c>
      <c r="C982" s="2">
        <f t="shared" ca="1" si="3"/>
        <v>-3.6360881751382416E-3</v>
      </c>
    </row>
    <row r="983" spans="1:3">
      <c r="A983" s="3">
        <f ca="1">IFERROR(__xludf.UNSUPPORTED("""COMPUTED_VALUE"""),44887.6666666666)</f>
        <v>44887.666666666599</v>
      </c>
      <c r="B983" s="1">
        <f ca="1">IFERROR(__xludf.UNSUPPORTED("""COMPUTED_VALUE"""),399.9)</f>
        <v>399.9</v>
      </c>
      <c r="C983" s="2">
        <f t="shared" ca="1" si="3"/>
        <v>1.3457006006234326E-2</v>
      </c>
    </row>
    <row r="984" spans="1:3">
      <c r="A984" s="3">
        <f ca="1">IFERROR(__xludf.UNSUPPORTED("""COMPUTED_VALUE"""),44888.6666666666)</f>
        <v>44888.666666666599</v>
      </c>
      <c r="B984" s="1">
        <f ca="1">IFERROR(__xludf.UNSUPPORTED("""COMPUTED_VALUE"""),402.42)</f>
        <v>402.42</v>
      </c>
      <c r="C984" s="2">
        <f t="shared" ca="1" si="3"/>
        <v>6.301575393848559E-3</v>
      </c>
    </row>
    <row r="985" spans="1:3">
      <c r="A985" s="3">
        <f ca="1">IFERROR(__xludf.UNSUPPORTED("""COMPUTED_VALUE"""),44890.5520833333)</f>
        <v>44890.552083333299</v>
      </c>
      <c r="B985" s="1">
        <f ca="1">IFERROR(__xludf.UNSUPPORTED("""COMPUTED_VALUE"""),402.33)</f>
        <v>402.33</v>
      </c>
      <c r="C985" s="2">
        <f t="shared" ca="1" si="3"/>
        <v>-2.2364693603705538E-4</v>
      </c>
    </row>
    <row r="986" spans="1:3">
      <c r="A986" s="3">
        <f ca="1">IFERROR(__xludf.UNSUPPORTED("""COMPUTED_VALUE"""),44893.6666666666)</f>
        <v>44893.666666666599</v>
      </c>
      <c r="B986" s="1">
        <f ca="1">IFERROR(__xludf.UNSUPPORTED("""COMPUTED_VALUE"""),395.91)</f>
        <v>395.91</v>
      </c>
      <c r="C986" s="2">
        <f t="shared" ca="1" si="3"/>
        <v>-1.5957050182685752E-2</v>
      </c>
    </row>
    <row r="987" spans="1:3">
      <c r="A987" s="3">
        <f ca="1">IFERROR(__xludf.UNSUPPORTED("""COMPUTED_VALUE"""),44894.6666666666)</f>
        <v>44894.666666666599</v>
      </c>
      <c r="B987" s="1">
        <f ca="1">IFERROR(__xludf.UNSUPPORTED("""COMPUTED_VALUE"""),395.23)</f>
        <v>395.23</v>
      </c>
      <c r="C987" s="2">
        <f t="shared" ca="1" si="3"/>
        <v>-1.7175620721881406E-3</v>
      </c>
    </row>
    <row r="988" spans="1:3">
      <c r="A988" s="3">
        <f ca="1">IFERROR(__xludf.UNSUPPORTED("""COMPUTED_VALUE"""),44895.6666666666)</f>
        <v>44895.666666666599</v>
      </c>
      <c r="B988" s="1">
        <f ca="1">IFERROR(__xludf.UNSUPPORTED("""COMPUTED_VALUE"""),407.68)</f>
        <v>407.68</v>
      </c>
      <c r="C988" s="2">
        <f t="shared" ca="1" si="3"/>
        <v>3.1500645193937679E-2</v>
      </c>
    </row>
    <row r="989" spans="1:3">
      <c r="A989" s="3">
        <f ca="1">IFERROR(__xludf.UNSUPPORTED("""COMPUTED_VALUE"""),44896.6666666666)</f>
        <v>44896.666666666599</v>
      </c>
      <c r="B989" s="1">
        <f ca="1">IFERROR(__xludf.UNSUPPORTED("""COMPUTED_VALUE"""),407.38)</f>
        <v>407.38</v>
      </c>
      <c r="C989" s="2">
        <f t="shared" ca="1" si="3"/>
        <v>-7.3587127158558521E-4</v>
      </c>
    </row>
    <row r="990" spans="1:3">
      <c r="A990" s="3">
        <f ca="1">IFERROR(__xludf.UNSUPPORTED("""COMPUTED_VALUE"""),44897.6666666666)</f>
        <v>44897.666666666599</v>
      </c>
      <c r="B990" s="1">
        <f ca="1">IFERROR(__xludf.UNSUPPORTED("""COMPUTED_VALUE"""),406.91)</f>
        <v>406.91</v>
      </c>
      <c r="C990" s="2">
        <f t="shared" ca="1" si="3"/>
        <v>-1.1537139771220248E-3</v>
      </c>
    </row>
    <row r="991" spans="1:3">
      <c r="A991" s="3">
        <f ca="1">IFERROR(__xludf.UNSUPPORTED("""COMPUTED_VALUE"""),44900.6666666666)</f>
        <v>44900.666666666599</v>
      </c>
      <c r="B991" s="1">
        <f ca="1">IFERROR(__xludf.UNSUPPORTED("""COMPUTED_VALUE"""),399.59)</f>
        <v>399.59</v>
      </c>
      <c r="C991" s="2">
        <f t="shared" ca="1" si="3"/>
        <v>-1.7989235948981469E-2</v>
      </c>
    </row>
    <row r="992" spans="1:3">
      <c r="A992" s="3">
        <f ca="1">IFERROR(__xludf.UNSUPPORTED("""COMPUTED_VALUE"""),44901.6666666666)</f>
        <v>44901.666666666599</v>
      </c>
      <c r="B992" s="1">
        <f ca="1">IFERROR(__xludf.UNSUPPORTED("""COMPUTED_VALUE"""),393.83)</f>
        <v>393.83</v>
      </c>
      <c r="C992" s="2">
        <f t="shared" ca="1" si="3"/>
        <v>-1.4414775144523115E-2</v>
      </c>
    </row>
    <row r="993" spans="1:3">
      <c r="A993" s="3">
        <f ca="1">IFERROR(__xludf.UNSUPPORTED("""COMPUTED_VALUE"""),44902.6666666666)</f>
        <v>44902.666666666599</v>
      </c>
      <c r="B993" s="1">
        <f ca="1">IFERROR(__xludf.UNSUPPORTED("""COMPUTED_VALUE"""),393.16)</f>
        <v>393.16</v>
      </c>
      <c r="C993" s="2">
        <f t="shared" ca="1" si="3"/>
        <v>-1.701241652489549E-3</v>
      </c>
    </row>
    <row r="994" spans="1:3">
      <c r="A994" s="3">
        <f ca="1">IFERROR(__xludf.UNSUPPORTED("""COMPUTED_VALUE"""),44903.6666666666)</f>
        <v>44903.666666666599</v>
      </c>
      <c r="B994" s="1">
        <f ca="1">IFERROR(__xludf.UNSUPPORTED("""COMPUTED_VALUE"""),396.24)</f>
        <v>396.24</v>
      </c>
      <c r="C994" s="2">
        <f t="shared" ca="1" si="3"/>
        <v>7.8339607284565668E-3</v>
      </c>
    </row>
    <row r="995" spans="1:3">
      <c r="A995" s="3">
        <f ca="1">IFERROR(__xludf.UNSUPPORTED("""COMPUTED_VALUE"""),44904.6666666666)</f>
        <v>44904.666666666599</v>
      </c>
      <c r="B995" s="1">
        <f ca="1">IFERROR(__xludf.UNSUPPORTED("""COMPUTED_VALUE"""),393.28)</f>
        <v>393.28</v>
      </c>
      <c r="C995" s="2">
        <f t="shared" ca="1" si="3"/>
        <v>-7.4702200686453573E-3</v>
      </c>
    </row>
    <row r="996" spans="1:3">
      <c r="A996" s="3">
        <f ca="1">IFERROR(__xludf.UNSUPPORTED("""COMPUTED_VALUE"""),44907.6666666666)</f>
        <v>44907.666666666599</v>
      </c>
      <c r="B996" s="1">
        <f ca="1">IFERROR(__xludf.UNSUPPORTED("""COMPUTED_VALUE"""),398.95)</f>
        <v>398.95</v>
      </c>
      <c r="C996" s="2">
        <f t="shared" ca="1" si="3"/>
        <v>1.4417209113100123E-2</v>
      </c>
    </row>
    <row r="997" spans="1:3">
      <c r="A997" s="3">
        <f ca="1">IFERROR(__xludf.UNSUPPORTED("""COMPUTED_VALUE"""),44908.6666666666)</f>
        <v>44908.666666666599</v>
      </c>
      <c r="B997" s="1">
        <f ca="1">IFERROR(__xludf.UNSUPPORTED("""COMPUTED_VALUE"""),401.97)</f>
        <v>401.97</v>
      </c>
      <c r="C997" s="2">
        <f t="shared" ca="1" si="3"/>
        <v>7.5698709111418445E-3</v>
      </c>
    </row>
    <row r="998" spans="1:3">
      <c r="A998" s="3">
        <f ca="1">IFERROR(__xludf.UNSUPPORTED("""COMPUTED_VALUE"""),44909.6666666666)</f>
        <v>44909.666666666599</v>
      </c>
      <c r="B998" s="1">
        <f ca="1">IFERROR(__xludf.UNSUPPORTED("""COMPUTED_VALUE"""),399.4)</f>
        <v>399.4</v>
      </c>
      <c r="C998" s="2">
        <f t="shared" ca="1" si="3"/>
        <v>-6.3935119536285044E-3</v>
      </c>
    </row>
    <row r="999" spans="1:3">
      <c r="A999" s="3">
        <f ca="1">IFERROR(__xludf.UNSUPPORTED("""COMPUTED_VALUE"""),44910.6666666666)</f>
        <v>44910.666666666599</v>
      </c>
      <c r="B999" s="1">
        <f ca="1">IFERROR(__xludf.UNSUPPORTED("""COMPUTED_VALUE"""),389.63)</f>
        <v>389.63</v>
      </c>
      <c r="C999" s="2">
        <f t="shared" ca="1" si="3"/>
        <v>-2.4461692538808168E-2</v>
      </c>
    </row>
    <row r="1000" spans="1:3">
      <c r="A1000" s="3">
        <f ca="1">IFERROR(__xludf.UNSUPPORTED("""COMPUTED_VALUE"""),44911.6666666666)</f>
        <v>44911.666666666599</v>
      </c>
      <c r="B1000" s="1">
        <f ca="1">IFERROR(__xludf.UNSUPPORTED("""COMPUTED_VALUE"""),383.27)</f>
        <v>383.27</v>
      </c>
      <c r="C1000" s="2">
        <f t="shared" ca="1" si="3"/>
        <v>-1.6323178400020566E-2</v>
      </c>
    </row>
    <row r="1001" spans="1:3">
      <c r="A1001" s="3">
        <f ca="1">IFERROR(__xludf.UNSUPPORTED("""COMPUTED_VALUE"""),44914.6666666666)</f>
        <v>44914.666666666599</v>
      </c>
      <c r="B1001" s="1">
        <f ca="1">IFERROR(__xludf.UNSUPPORTED("""COMPUTED_VALUE"""),380.02)</f>
        <v>380.02</v>
      </c>
      <c r="C1001" s="2">
        <f t="shared" ca="1" si="3"/>
        <v>-8.479661857176404E-3</v>
      </c>
    </row>
    <row r="1002" spans="1:3">
      <c r="A1002" s="3">
        <f ca="1">IFERROR(__xludf.UNSUPPORTED("""COMPUTED_VALUE"""),44915.6666666666)</f>
        <v>44915.666666666599</v>
      </c>
      <c r="B1002" s="1">
        <f ca="1">IFERROR(__xludf.UNSUPPORTED("""COMPUTED_VALUE"""),380.54)</f>
        <v>380.54</v>
      </c>
      <c r="C1002" s="2">
        <f t="shared" ca="1" si="3"/>
        <v>1.3683490342614563E-3</v>
      </c>
    </row>
    <row r="1003" spans="1:3">
      <c r="A1003" s="3">
        <f ca="1">IFERROR(__xludf.UNSUPPORTED("""COMPUTED_VALUE"""),44916.6666666666)</f>
        <v>44916.666666666599</v>
      </c>
      <c r="B1003" s="1">
        <f ca="1">IFERROR(__xludf.UNSUPPORTED("""COMPUTED_VALUE"""),386.23)</f>
        <v>386.23</v>
      </c>
      <c r="C1003" s="2">
        <f t="shared" ca="1" si="3"/>
        <v>1.4952436011982964E-2</v>
      </c>
    </row>
    <row r="1004" spans="1:3">
      <c r="A1004" s="3">
        <f ca="1">IFERROR(__xludf.UNSUPPORTED("""COMPUTED_VALUE"""),44917.6666666666)</f>
        <v>44917.666666666599</v>
      </c>
      <c r="B1004" s="1">
        <f ca="1">IFERROR(__xludf.UNSUPPORTED("""COMPUTED_VALUE"""),380.72)</f>
        <v>380.72</v>
      </c>
      <c r="C1004" s="2">
        <f t="shared" ca="1" si="3"/>
        <v>-1.4266110866582065E-2</v>
      </c>
    </row>
    <row r="1005" spans="1:3">
      <c r="A1005" s="3">
        <f ca="1">IFERROR(__xludf.UNSUPPORTED("""COMPUTED_VALUE"""),44918.6666666666)</f>
        <v>44918.666666666599</v>
      </c>
      <c r="B1005" s="1">
        <f ca="1">IFERROR(__xludf.UNSUPPORTED("""COMPUTED_VALUE"""),382.91)</f>
        <v>382.91</v>
      </c>
      <c r="C1005" s="2">
        <f t="shared" ca="1" si="3"/>
        <v>5.7522588779155221E-3</v>
      </c>
    </row>
    <row r="1006" spans="1:3">
      <c r="A1006" s="3">
        <f ca="1">IFERROR(__xludf.UNSUPPORTED("""COMPUTED_VALUE"""),44922.6666666666)</f>
        <v>44922.666666666599</v>
      </c>
      <c r="B1006" s="1">
        <f ca="1">IFERROR(__xludf.UNSUPPORTED("""COMPUTED_VALUE"""),381.4)</f>
        <v>381.4</v>
      </c>
      <c r="C1006" s="2">
        <f t="shared" ca="1" si="3"/>
        <v>-3.9434854143272505E-3</v>
      </c>
    </row>
    <row r="1007" spans="1:3">
      <c r="A1007" s="3">
        <f ca="1">IFERROR(__xludf.UNSUPPORTED("""COMPUTED_VALUE"""),44923.6666666666)</f>
        <v>44923.666666666599</v>
      </c>
      <c r="B1007" s="1">
        <f ca="1">IFERROR(__xludf.UNSUPPORTED("""COMPUTED_VALUE"""),376.66)</f>
        <v>376.66</v>
      </c>
      <c r="C1007" s="2">
        <f t="shared" ca="1" si="3"/>
        <v>-1.2427897220765476E-2</v>
      </c>
    </row>
    <row r="1008" spans="1:3">
      <c r="A1008" s="3">
        <f ca="1">IFERROR(__xludf.UNSUPPORTED("""COMPUTED_VALUE"""),44924.6666666666)</f>
        <v>44924.666666666599</v>
      </c>
      <c r="B1008" s="1">
        <f ca="1">IFERROR(__xludf.UNSUPPORTED("""COMPUTED_VALUE"""),383.44)</f>
        <v>383.44</v>
      </c>
      <c r="C1008" s="2">
        <f t="shared" ca="1" si="3"/>
        <v>1.800031858970948E-2</v>
      </c>
    </row>
    <row r="1009" spans="1:3">
      <c r="A1009" s="3">
        <f ca="1">IFERROR(__xludf.UNSUPPORTED("""COMPUTED_VALUE"""),44925.6666666666)</f>
        <v>44925.666666666599</v>
      </c>
      <c r="B1009" s="1">
        <f ca="1">IFERROR(__xludf.UNSUPPORTED("""COMPUTED_VALUE"""),382.43)</f>
        <v>382.43</v>
      </c>
      <c r="C1009" s="2">
        <f t="shared" ca="1" si="3"/>
        <v>-2.6340496557479419E-3</v>
      </c>
    </row>
    <row r="1010" spans="1:3">
      <c r="A1010" s="3">
        <f ca="1">IFERROR(__xludf.UNSUPPORTED("""COMPUTED_VALUE"""),44929.6666666666)</f>
        <v>44929.666666666599</v>
      </c>
      <c r="B1010" s="1">
        <f ca="1">IFERROR(__xludf.UNSUPPORTED("""COMPUTED_VALUE"""),380.82)</f>
        <v>380.82</v>
      </c>
      <c r="C1010" s="2">
        <f t="shared" ca="1" si="3"/>
        <v>-4.2099207698141194E-3</v>
      </c>
    </row>
    <row r="1011" spans="1:3">
      <c r="A1011" s="3">
        <f ca="1">IFERROR(__xludf.UNSUPPORTED("""COMPUTED_VALUE"""),44930.6666666666)</f>
        <v>44930.666666666599</v>
      </c>
      <c r="B1011" s="1">
        <f ca="1">IFERROR(__xludf.UNSUPPORTED("""COMPUTED_VALUE"""),383.76)</f>
        <v>383.76</v>
      </c>
      <c r="C1011" s="2">
        <f t="shared" ca="1" si="3"/>
        <v>7.7201827635103139E-3</v>
      </c>
    </row>
    <row r="1012" spans="1:3">
      <c r="A1012" s="3">
        <f ca="1">IFERROR(__xludf.UNSUPPORTED("""COMPUTED_VALUE"""),44931.6666666666)</f>
        <v>44931.666666666599</v>
      </c>
      <c r="B1012" s="1">
        <f ca="1">IFERROR(__xludf.UNSUPPORTED("""COMPUTED_VALUE"""),379.38)</f>
        <v>379.38</v>
      </c>
      <c r="C1012" s="2">
        <f t="shared" ca="1" si="3"/>
        <v>-1.1413383364602864E-2</v>
      </c>
    </row>
    <row r="1013" spans="1:3">
      <c r="A1013" s="3">
        <f ca="1">IFERROR(__xludf.UNSUPPORTED("""COMPUTED_VALUE"""),44932.6666666666)</f>
        <v>44932.666666666599</v>
      </c>
      <c r="B1013" s="1">
        <f ca="1">IFERROR(__xludf.UNSUPPORTED("""COMPUTED_VALUE"""),388.08)</f>
        <v>388.08</v>
      </c>
      <c r="C1013" s="2">
        <f t="shared" ca="1" si="3"/>
        <v>2.2932152459275632E-2</v>
      </c>
    </row>
    <row r="1014" spans="1:3">
      <c r="A1014" s="3">
        <f ca="1">IFERROR(__xludf.UNSUPPORTED("""COMPUTED_VALUE"""),44935.6666666666)</f>
        <v>44935.666666666599</v>
      </c>
      <c r="B1014" s="1">
        <f ca="1">IFERROR(__xludf.UNSUPPORTED("""COMPUTED_VALUE"""),387.86)</f>
        <v>387.86</v>
      </c>
      <c r="C1014" s="2">
        <f t="shared" ca="1" si="3"/>
        <v>-5.6689342403620508E-4</v>
      </c>
    </row>
    <row r="1015" spans="1:3">
      <c r="A1015" s="3">
        <f ca="1">IFERROR(__xludf.UNSUPPORTED("""COMPUTED_VALUE"""),44936.6666666666)</f>
        <v>44936.666666666599</v>
      </c>
      <c r="B1015" s="1">
        <f ca="1">IFERROR(__xludf.UNSUPPORTED("""COMPUTED_VALUE"""),390.58)</f>
        <v>390.58</v>
      </c>
      <c r="C1015" s="2">
        <f t="shared" ca="1" si="3"/>
        <v>7.0128396844221378E-3</v>
      </c>
    </row>
    <row r="1016" spans="1:3">
      <c r="A1016" s="3">
        <f ca="1">IFERROR(__xludf.UNSUPPORTED("""COMPUTED_VALUE"""),44937.6666666666)</f>
        <v>44937.666666666599</v>
      </c>
      <c r="B1016" s="1">
        <f ca="1">IFERROR(__xludf.UNSUPPORTED("""COMPUTED_VALUE"""),395.52)</f>
        <v>395.52</v>
      </c>
      <c r="C1016" s="2">
        <f t="shared" ca="1" si="3"/>
        <v>1.2647857033130211E-2</v>
      </c>
    </row>
    <row r="1017" spans="1:3">
      <c r="A1017" s="3">
        <f ca="1">IFERROR(__xludf.UNSUPPORTED("""COMPUTED_VALUE"""),44938.6666666666)</f>
        <v>44938.666666666599</v>
      </c>
      <c r="B1017" s="1">
        <f ca="1">IFERROR(__xludf.UNSUPPORTED("""COMPUTED_VALUE"""),396.96)</f>
        <v>396.96</v>
      </c>
      <c r="C1017" s="2">
        <f t="shared" ca="1" si="3"/>
        <v>3.6407766990291207E-3</v>
      </c>
    </row>
    <row r="1018" spans="1:3">
      <c r="A1018" s="3">
        <f ca="1">IFERROR(__xludf.UNSUPPORTED("""COMPUTED_VALUE"""),44939.6666666666)</f>
        <v>44939.666666666599</v>
      </c>
      <c r="B1018" s="1">
        <f ca="1">IFERROR(__xludf.UNSUPPORTED("""COMPUTED_VALUE"""),398.5)</f>
        <v>398.5</v>
      </c>
      <c r="C1018" s="2">
        <f t="shared" ca="1" si="3"/>
        <v>3.8794840790004549E-3</v>
      </c>
    </row>
    <row r="1019" spans="1:3">
      <c r="A1019" s="3">
        <f ca="1">IFERROR(__xludf.UNSUPPORTED("""COMPUTED_VALUE"""),44943.6666666666)</f>
        <v>44943.666666666599</v>
      </c>
      <c r="B1019" s="1">
        <f ca="1">IFERROR(__xludf.UNSUPPORTED("""COMPUTED_VALUE"""),397.77)</f>
        <v>397.77</v>
      </c>
      <c r="C1019" s="2">
        <f t="shared" ca="1" si="3"/>
        <v>-1.8318695106650394E-3</v>
      </c>
    </row>
    <row r="1020" spans="1:3">
      <c r="A1020" s="3">
        <f ca="1">IFERROR(__xludf.UNSUPPORTED("""COMPUTED_VALUE"""),44944.6666666666)</f>
        <v>44944.666666666599</v>
      </c>
      <c r="B1020" s="1">
        <f ca="1">IFERROR(__xludf.UNSUPPORTED("""COMPUTED_VALUE"""),391.49)</f>
        <v>391.49</v>
      </c>
      <c r="C1020" s="2">
        <f t="shared" ca="1" si="3"/>
        <v>-1.5788018201473145E-2</v>
      </c>
    </row>
    <row r="1021" spans="1:3">
      <c r="A1021" s="3">
        <f ca="1">IFERROR(__xludf.UNSUPPORTED("""COMPUTED_VALUE"""),44945.6666666666)</f>
        <v>44945.666666666599</v>
      </c>
      <c r="B1021" s="1">
        <f ca="1">IFERROR(__xludf.UNSUPPORTED("""COMPUTED_VALUE"""),388.64)</f>
        <v>388.64</v>
      </c>
      <c r="C1021" s="2">
        <f t="shared" ca="1" si="3"/>
        <v>-7.2798794349792396E-3</v>
      </c>
    </row>
    <row r="1022" spans="1:3">
      <c r="A1022" s="3">
        <f ca="1">IFERROR(__xludf.UNSUPPORTED("""COMPUTED_VALUE"""),44946.6666666666)</f>
        <v>44946.666666666599</v>
      </c>
      <c r="B1022" s="1">
        <f ca="1">IFERROR(__xludf.UNSUPPORTED("""COMPUTED_VALUE"""),395.88)</f>
        <v>395.88</v>
      </c>
      <c r="C1022" s="2">
        <f t="shared" ca="1" si="3"/>
        <v>1.8629065459036663E-2</v>
      </c>
    </row>
    <row r="1023" spans="1:3">
      <c r="A1023" s="3">
        <f ca="1">IFERROR(__xludf.UNSUPPORTED("""COMPUTED_VALUE"""),44949.6666666666)</f>
        <v>44949.666666666599</v>
      </c>
      <c r="B1023" s="1">
        <f ca="1">IFERROR(__xludf.UNSUPPORTED("""COMPUTED_VALUE"""),400.63)</f>
        <v>400.63</v>
      </c>
      <c r="C1023" s="2">
        <f t="shared" ref="C1023:C1277" ca="1" si="4">(B1023-B1022)/B1022</f>
        <v>1.1998585429928261E-2</v>
      </c>
    </row>
    <row r="1024" spans="1:3">
      <c r="A1024" s="3">
        <f ca="1">IFERROR(__xludf.UNSUPPORTED("""COMPUTED_VALUE"""),44950.6666666666)</f>
        <v>44950.666666666599</v>
      </c>
      <c r="B1024" s="1">
        <f ca="1">IFERROR(__xludf.UNSUPPORTED("""COMPUTED_VALUE"""),400.2)</f>
        <v>400.2</v>
      </c>
      <c r="C1024" s="2">
        <f t="shared" ca="1" si="4"/>
        <v>-1.0733095374784885E-3</v>
      </c>
    </row>
    <row r="1025" spans="1:3">
      <c r="A1025" s="3">
        <f ca="1">IFERROR(__xludf.UNSUPPORTED("""COMPUTED_VALUE"""),44951.6666666666)</f>
        <v>44951.666666666599</v>
      </c>
      <c r="B1025" s="1">
        <f ca="1">IFERROR(__xludf.UNSUPPORTED("""COMPUTED_VALUE"""),400.35)</f>
        <v>400.35</v>
      </c>
      <c r="C1025" s="2">
        <f t="shared" ca="1" si="4"/>
        <v>3.7481259370323369E-4</v>
      </c>
    </row>
    <row r="1026" spans="1:3">
      <c r="A1026" s="3">
        <f ca="1">IFERROR(__xludf.UNSUPPORTED("""COMPUTED_VALUE"""),44952.6666666666)</f>
        <v>44952.666666666599</v>
      </c>
      <c r="B1026" s="1">
        <f ca="1">IFERROR(__xludf.UNSUPPORTED("""COMPUTED_VALUE"""),404.75)</f>
        <v>404.75</v>
      </c>
      <c r="C1026" s="2">
        <f t="shared" ca="1" si="4"/>
        <v>1.0990383414512245E-2</v>
      </c>
    </row>
    <row r="1027" spans="1:3">
      <c r="A1027" s="3">
        <f ca="1">IFERROR(__xludf.UNSUPPORTED("""COMPUTED_VALUE"""),44953.6666666666)</f>
        <v>44953.666666666599</v>
      </c>
      <c r="B1027" s="1">
        <f ca="1">IFERROR(__xludf.UNSUPPORTED("""COMPUTED_VALUE"""),405.68)</f>
        <v>405.68</v>
      </c>
      <c r="C1027" s="2">
        <f t="shared" ca="1" si="4"/>
        <v>2.29771463866586E-3</v>
      </c>
    </row>
    <row r="1028" spans="1:3">
      <c r="A1028" s="3">
        <f ca="1">IFERROR(__xludf.UNSUPPORTED("""COMPUTED_VALUE"""),44956.6666666666)</f>
        <v>44956.666666666599</v>
      </c>
      <c r="B1028" s="1">
        <f ca="1">IFERROR(__xludf.UNSUPPORTED("""COMPUTED_VALUE"""),400.59)</f>
        <v>400.59</v>
      </c>
      <c r="C1028" s="2">
        <f t="shared" ca="1" si="4"/>
        <v>-1.2546834943798145E-2</v>
      </c>
    </row>
    <row r="1029" spans="1:3">
      <c r="A1029" s="3">
        <f ca="1">IFERROR(__xludf.UNSUPPORTED("""COMPUTED_VALUE"""),44957.6666666666)</f>
        <v>44957.666666666599</v>
      </c>
      <c r="B1029" s="1">
        <f ca="1">IFERROR(__xludf.UNSUPPORTED("""COMPUTED_VALUE"""),406.48)</f>
        <v>406.48</v>
      </c>
      <c r="C1029" s="2">
        <f t="shared" ca="1" si="4"/>
        <v>1.4703312613894614E-2</v>
      </c>
    </row>
    <row r="1030" spans="1:3">
      <c r="A1030" s="3">
        <f ca="1">IFERROR(__xludf.UNSUPPORTED("""COMPUTED_VALUE"""),44958.6666666666)</f>
        <v>44958.666666666599</v>
      </c>
      <c r="B1030" s="1">
        <f ca="1">IFERROR(__xludf.UNSUPPORTED("""COMPUTED_VALUE"""),410.8)</f>
        <v>410.8</v>
      </c>
      <c r="C1030" s="2">
        <f t="shared" ca="1" si="4"/>
        <v>1.0627829167486698E-2</v>
      </c>
    </row>
    <row r="1031" spans="1:3">
      <c r="A1031" s="3">
        <f ca="1">IFERROR(__xludf.UNSUPPORTED("""COMPUTED_VALUE"""),44959.6666666666)</f>
        <v>44959.666666666599</v>
      </c>
      <c r="B1031" s="1">
        <f ca="1">IFERROR(__xludf.UNSUPPORTED("""COMPUTED_VALUE"""),416.78)</f>
        <v>416.78</v>
      </c>
      <c r="C1031" s="2">
        <f t="shared" ca="1" si="4"/>
        <v>1.4556962025316362E-2</v>
      </c>
    </row>
    <row r="1032" spans="1:3">
      <c r="A1032" s="3">
        <f ca="1">IFERROR(__xludf.UNSUPPORTED("""COMPUTED_VALUE"""),44960.6666666666)</f>
        <v>44960.666666666599</v>
      </c>
      <c r="B1032" s="1">
        <f ca="1">IFERROR(__xludf.UNSUPPORTED("""COMPUTED_VALUE"""),412.35)</f>
        <v>412.35</v>
      </c>
      <c r="C1032" s="2">
        <f t="shared" ca="1" si="4"/>
        <v>-1.0629108882383873E-2</v>
      </c>
    </row>
    <row r="1033" spans="1:3">
      <c r="A1033" s="3">
        <f ca="1">IFERROR(__xludf.UNSUPPORTED("""COMPUTED_VALUE"""),44963.6666666666)</f>
        <v>44963.666666666599</v>
      </c>
      <c r="B1033" s="1">
        <f ca="1">IFERROR(__xludf.UNSUPPORTED("""COMPUTED_VALUE"""),409.83)</f>
        <v>409.83</v>
      </c>
      <c r="C1033" s="2">
        <f t="shared" ca="1" si="4"/>
        <v>-6.1113132048018397E-3</v>
      </c>
    </row>
    <row r="1034" spans="1:3">
      <c r="A1034" s="3">
        <f ca="1">IFERROR(__xludf.UNSUPPORTED("""COMPUTED_VALUE"""),44964.6666666666)</f>
        <v>44964.666666666599</v>
      </c>
      <c r="B1034" s="1">
        <f ca="1">IFERROR(__xludf.UNSUPPORTED("""COMPUTED_VALUE"""),415.19)</f>
        <v>415.19</v>
      </c>
      <c r="C1034" s="2">
        <f t="shared" ca="1" si="4"/>
        <v>1.3078593563184769E-2</v>
      </c>
    </row>
    <row r="1035" spans="1:3">
      <c r="A1035" s="3">
        <f ca="1">IFERROR(__xludf.UNSUPPORTED("""COMPUTED_VALUE"""),44965.6666666666)</f>
        <v>44965.666666666599</v>
      </c>
      <c r="B1035" s="1">
        <f ca="1">IFERROR(__xludf.UNSUPPORTED("""COMPUTED_VALUE"""),410.65)</f>
        <v>410.65</v>
      </c>
      <c r="C1035" s="2">
        <f t="shared" ca="1" si="4"/>
        <v>-1.0934752763794938E-2</v>
      </c>
    </row>
    <row r="1036" spans="1:3">
      <c r="A1036" s="3">
        <f ca="1">IFERROR(__xludf.UNSUPPORTED("""COMPUTED_VALUE"""),44966.6666666666)</f>
        <v>44966.666666666599</v>
      </c>
      <c r="B1036" s="1">
        <f ca="1">IFERROR(__xludf.UNSUPPORTED("""COMPUTED_VALUE"""),407.09)</f>
        <v>407.09</v>
      </c>
      <c r="C1036" s="2">
        <f t="shared" ca="1" si="4"/>
        <v>-8.6691830025569273E-3</v>
      </c>
    </row>
    <row r="1037" spans="1:3">
      <c r="A1037" s="3">
        <f ca="1">IFERROR(__xludf.UNSUPPORTED("""COMPUTED_VALUE"""),44967.6666666666)</f>
        <v>44967.666666666599</v>
      </c>
      <c r="B1037" s="1">
        <f ca="1">IFERROR(__xludf.UNSUPPORTED("""COMPUTED_VALUE"""),408.04)</f>
        <v>408.04</v>
      </c>
      <c r="C1037" s="2">
        <f t="shared" ca="1" si="4"/>
        <v>2.3336362966421319E-3</v>
      </c>
    </row>
    <row r="1038" spans="1:3">
      <c r="A1038" s="3">
        <f ca="1">IFERROR(__xludf.UNSUPPORTED("""COMPUTED_VALUE"""),44970.6666666666)</f>
        <v>44970.666666666599</v>
      </c>
      <c r="B1038" s="1">
        <f ca="1">IFERROR(__xludf.UNSUPPORTED("""COMPUTED_VALUE"""),412.83)</f>
        <v>412.83</v>
      </c>
      <c r="C1038" s="2">
        <f t="shared" ca="1" si="4"/>
        <v>1.1739045191647788E-2</v>
      </c>
    </row>
    <row r="1039" spans="1:3">
      <c r="A1039" s="3">
        <f ca="1">IFERROR(__xludf.UNSUPPORTED("""COMPUTED_VALUE"""),44971.6666666666)</f>
        <v>44971.666666666599</v>
      </c>
      <c r="B1039" s="1">
        <f ca="1">IFERROR(__xludf.UNSUPPORTED("""COMPUTED_VALUE"""),412.64)</f>
        <v>412.64</v>
      </c>
      <c r="C1039" s="2">
        <f t="shared" ca="1" si="4"/>
        <v>-4.6023787030980725E-4</v>
      </c>
    </row>
    <row r="1040" spans="1:3">
      <c r="A1040" s="3">
        <f ca="1">IFERROR(__xludf.UNSUPPORTED("""COMPUTED_VALUE"""),44972.6666666666)</f>
        <v>44972.666666666599</v>
      </c>
      <c r="B1040" s="1">
        <f ca="1">IFERROR(__xludf.UNSUPPORTED("""COMPUTED_VALUE"""),413.98)</f>
        <v>413.98</v>
      </c>
      <c r="C1040" s="2">
        <f t="shared" ca="1" si="4"/>
        <v>3.2473827064754554E-3</v>
      </c>
    </row>
    <row r="1041" spans="1:3">
      <c r="A1041" s="3">
        <f ca="1">IFERROR(__xludf.UNSUPPORTED("""COMPUTED_VALUE"""),44973.6666666666)</f>
        <v>44973.666666666599</v>
      </c>
      <c r="B1041" s="1">
        <f ca="1">IFERROR(__xludf.UNSUPPORTED("""COMPUTED_VALUE"""),408.28)</f>
        <v>408.28</v>
      </c>
      <c r="C1041" s="2">
        <f t="shared" ca="1" si="4"/>
        <v>-1.3768781100536366E-2</v>
      </c>
    </row>
    <row r="1042" spans="1:3">
      <c r="A1042" s="3">
        <f ca="1">IFERROR(__xludf.UNSUPPORTED("""COMPUTED_VALUE"""),44974.6666666666)</f>
        <v>44974.666666666599</v>
      </c>
      <c r="B1042" s="1">
        <f ca="1">IFERROR(__xludf.UNSUPPORTED("""COMPUTED_VALUE"""),407.26)</f>
        <v>407.26</v>
      </c>
      <c r="C1042" s="2">
        <f t="shared" ca="1" si="4"/>
        <v>-2.4982854903497155E-3</v>
      </c>
    </row>
    <row r="1043" spans="1:3">
      <c r="A1043" s="3">
        <f ca="1">IFERROR(__xludf.UNSUPPORTED("""COMPUTED_VALUE"""),44978.6666666666)</f>
        <v>44978.666666666599</v>
      </c>
      <c r="B1043" s="1">
        <f ca="1">IFERROR(__xludf.UNSUPPORTED("""COMPUTED_VALUE"""),399.09)</f>
        <v>399.09</v>
      </c>
      <c r="C1043" s="2">
        <f t="shared" ca="1" si="4"/>
        <v>-2.0060894760104149E-2</v>
      </c>
    </row>
    <row r="1044" spans="1:3">
      <c r="A1044" s="3">
        <f ca="1">IFERROR(__xludf.UNSUPPORTED("""COMPUTED_VALUE"""),44979.6666666666)</f>
        <v>44979.666666666599</v>
      </c>
      <c r="B1044" s="1">
        <f ca="1">IFERROR(__xludf.UNSUPPORTED("""COMPUTED_VALUE"""),398.54)</f>
        <v>398.54</v>
      </c>
      <c r="C1044" s="2">
        <f t="shared" ca="1" si="4"/>
        <v>-1.3781352577111794E-3</v>
      </c>
    </row>
    <row r="1045" spans="1:3">
      <c r="A1045" s="3">
        <f ca="1">IFERROR(__xludf.UNSUPPORTED("""COMPUTED_VALUE"""),44980.6666666666)</f>
        <v>44980.666666666599</v>
      </c>
      <c r="B1045" s="1">
        <f ca="1">IFERROR(__xludf.UNSUPPORTED("""COMPUTED_VALUE"""),400.66)</f>
        <v>400.66</v>
      </c>
      <c r="C1045" s="2">
        <f t="shared" ca="1" si="4"/>
        <v>5.3194158679179112E-3</v>
      </c>
    </row>
    <row r="1046" spans="1:3">
      <c r="A1046" s="3">
        <f ca="1">IFERROR(__xludf.UNSUPPORTED("""COMPUTED_VALUE"""),44981.6666666666)</f>
        <v>44981.666666666599</v>
      </c>
      <c r="B1046" s="1">
        <f ca="1">IFERROR(__xludf.UNSUPPORTED("""COMPUTED_VALUE"""),396.38)</f>
        <v>396.38</v>
      </c>
      <c r="C1046" s="2">
        <f t="shared" ca="1" si="4"/>
        <v>-1.0682374082763513E-2</v>
      </c>
    </row>
    <row r="1047" spans="1:3">
      <c r="A1047" s="3">
        <f ca="1">IFERROR(__xludf.UNSUPPORTED("""COMPUTED_VALUE"""),44984.6666666666)</f>
        <v>44984.666666666599</v>
      </c>
      <c r="B1047" s="1">
        <f ca="1">IFERROR(__xludf.UNSUPPORTED("""COMPUTED_VALUE"""),397.73)</f>
        <v>397.73</v>
      </c>
      <c r="C1047" s="2">
        <f t="shared" ca="1" si="4"/>
        <v>3.4058226953933668E-3</v>
      </c>
    </row>
    <row r="1048" spans="1:3">
      <c r="A1048" s="3">
        <f ca="1">IFERROR(__xludf.UNSUPPORTED("""COMPUTED_VALUE"""),44985.6666666666)</f>
        <v>44985.666666666599</v>
      </c>
      <c r="B1048" s="1">
        <f ca="1">IFERROR(__xludf.UNSUPPORTED("""COMPUTED_VALUE"""),396.26)</f>
        <v>396.26</v>
      </c>
      <c r="C1048" s="2">
        <f t="shared" ca="1" si="4"/>
        <v>-3.6959746561738547E-3</v>
      </c>
    </row>
    <row r="1049" spans="1:3">
      <c r="A1049" s="3">
        <f ca="1">IFERROR(__xludf.UNSUPPORTED("""COMPUTED_VALUE"""),44986.6666666666)</f>
        <v>44986.666666666599</v>
      </c>
      <c r="B1049" s="1">
        <f ca="1">IFERROR(__xludf.UNSUPPORTED("""COMPUTED_VALUE"""),394.74)</f>
        <v>394.74</v>
      </c>
      <c r="C1049" s="2">
        <f t="shared" ca="1" si="4"/>
        <v>-3.8358653409377224E-3</v>
      </c>
    </row>
    <row r="1050" spans="1:3">
      <c r="A1050" s="3">
        <f ca="1">IFERROR(__xludf.UNSUPPORTED("""COMPUTED_VALUE"""),44987.6666666666)</f>
        <v>44987.666666666599</v>
      </c>
      <c r="B1050" s="1">
        <f ca="1">IFERROR(__xludf.UNSUPPORTED("""COMPUTED_VALUE"""),397.81)</f>
        <v>397.81</v>
      </c>
      <c r="C1050" s="2">
        <f t="shared" ca="1" si="4"/>
        <v>7.7772711151643942E-3</v>
      </c>
    </row>
    <row r="1051" spans="1:3">
      <c r="A1051" s="3">
        <f ca="1">IFERROR(__xludf.UNSUPPORTED("""COMPUTED_VALUE"""),44988.6666666666)</f>
        <v>44988.666666666599</v>
      </c>
      <c r="B1051" s="1">
        <f ca="1">IFERROR(__xludf.UNSUPPORTED("""COMPUTED_VALUE"""),404.19)</f>
        <v>404.19</v>
      </c>
      <c r="C1051" s="2">
        <f t="shared" ca="1" si="4"/>
        <v>1.6037806993288242E-2</v>
      </c>
    </row>
    <row r="1052" spans="1:3">
      <c r="A1052" s="3">
        <f ca="1">IFERROR(__xludf.UNSUPPORTED("""COMPUTED_VALUE"""),44991.6666666666)</f>
        <v>44991.666666666599</v>
      </c>
      <c r="B1052" s="1">
        <f ca="1">IFERROR(__xludf.UNSUPPORTED("""COMPUTED_VALUE"""),404.47)</f>
        <v>404.47</v>
      </c>
      <c r="C1052" s="2">
        <f t="shared" ca="1" si="4"/>
        <v>6.927435117148607E-4</v>
      </c>
    </row>
    <row r="1053" spans="1:3">
      <c r="A1053" s="3">
        <f ca="1">IFERROR(__xludf.UNSUPPORTED("""COMPUTED_VALUE"""),44992.6666666666)</f>
        <v>44992.666666666599</v>
      </c>
      <c r="B1053" s="1">
        <f ca="1">IFERROR(__xludf.UNSUPPORTED("""COMPUTED_VALUE"""),398.27)</f>
        <v>398.27</v>
      </c>
      <c r="C1053" s="2">
        <f t="shared" ca="1" si="4"/>
        <v>-1.5328701757856071E-2</v>
      </c>
    </row>
    <row r="1054" spans="1:3">
      <c r="A1054" s="3">
        <f ca="1">IFERROR(__xludf.UNSUPPORTED("""COMPUTED_VALUE"""),44993.6666666666)</f>
        <v>44993.666666666599</v>
      </c>
      <c r="B1054" s="1">
        <f ca="1">IFERROR(__xludf.UNSUPPORTED("""COMPUTED_VALUE"""),398.92)</f>
        <v>398.92</v>
      </c>
      <c r="C1054" s="2">
        <f t="shared" ca="1" si="4"/>
        <v>1.6320586536772393E-3</v>
      </c>
    </row>
    <row r="1055" spans="1:3">
      <c r="A1055" s="3">
        <f ca="1">IFERROR(__xludf.UNSUPPORTED("""COMPUTED_VALUE"""),44994.6666666666)</f>
        <v>44994.666666666599</v>
      </c>
      <c r="B1055" s="1">
        <f ca="1">IFERROR(__xludf.UNSUPPORTED("""COMPUTED_VALUE"""),391.56)</f>
        <v>391.56</v>
      </c>
      <c r="C1055" s="2">
        <f t="shared" ca="1" si="4"/>
        <v>-1.8449814499147732E-2</v>
      </c>
    </row>
    <row r="1056" spans="1:3">
      <c r="A1056" s="3">
        <f ca="1">IFERROR(__xludf.UNSUPPORTED("""COMPUTED_VALUE"""),44995.6666666666)</f>
        <v>44995.666666666599</v>
      </c>
      <c r="B1056" s="1">
        <f ca="1">IFERROR(__xludf.UNSUPPORTED("""COMPUTED_VALUE"""),385.91)</f>
        <v>385.91</v>
      </c>
      <c r="C1056" s="2">
        <f t="shared" ca="1" si="4"/>
        <v>-1.4429461640616962E-2</v>
      </c>
    </row>
    <row r="1057" spans="1:3">
      <c r="A1057" s="3">
        <f ca="1">IFERROR(__xludf.UNSUPPORTED("""COMPUTED_VALUE"""),44998.6666666666)</f>
        <v>44998.666666666599</v>
      </c>
      <c r="B1057" s="1">
        <f ca="1">IFERROR(__xludf.UNSUPPORTED("""COMPUTED_VALUE"""),385.36)</f>
        <v>385.36</v>
      </c>
      <c r="C1057" s="2">
        <f t="shared" ca="1" si="4"/>
        <v>-1.4252027674846761E-3</v>
      </c>
    </row>
    <row r="1058" spans="1:3">
      <c r="A1058" s="3">
        <f ca="1">IFERROR(__xludf.UNSUPPORTED("""COMPUTED_VALUE"""),44999.6666666666)</f>
        <v>44999.666666666599</v>
      </c>
      <c r="B1058" s="1">
        <f ca="1">IFERROR(__xludf.UNSUPPORTED("""COMPUTED_VALUE"""),391.73)</f>
        <v>391.73</v>
      </c>
      <c r="C1058" s="2">
        <f t="shared" ca="1" si="4"/>
        <v>1.6529997924019109E-2</v>
      </c>
    </row>
    <row r="1059" spans="1:3">
      <c r="A1059" s="3">
        <f ca="1">IFERROR(__xludf.UNSUPPORTED("""COMPUTED_VALUE"""),45000.6666666666)</f>
        <v>45000.666666666599</v>
      </c>
      <c r="B1059" s="1">
        <f ca="1">IFERROR(__xludf.UNSUPPORTED("""COMPUTED_VALUE"""),389.28)</f>
        <v>389.28</v>
      </c>
      <c r="C1059" s="2">
        <f t="shared" ca="1" si="4"/>
        <v>-6.2543078140557149E-3</v>
      </c>
    </row>
    <row r="1060" spans="1:3">
      <c r="A1060" s="3">
        <f ca="1">IFERROR(__xludf.UNSUPPORTED("""COMPUTED_VALUE"""),45001.6666666666)</f>
        <v>45001.666666666599</v>
      </c>
      <c r="B1060" s="1">
        <f ca="1">IFERROR(__xludf.UNSUPPORTED("""COMPUTED_VALUE"""),396.11)</f>
        <v>396.11</v>
      </c>
      <c r="C1060" s="2">
        <f t="shared" ca="1" si="4"/>
        <v>1.7545211672832E-2</v>
      </c>
    </row>
    <row r="1061" spans="1:3">
      <c r="A1061" s="3">
        <f ca="1">IFERROR(__xludf.UNSUPPORTED("""COMPUTED_VALUE"""),45002.6666666666)</f>
        <v>45002.666666666599</v>
      </c>
      <c r="B1061" s="1">
        <f ca="1">IFERROR(__xludf.UNSUPPORTED("""COMPUTED_VALUE"""),389.99)</f>
        <v>389.99</v>
      </c>
      <c r="C1061" s="2">
        <f t="shared" ca="1" si="4"/>
        <v>-1.5450253717401743E-2</v>
      </c>
    </row>
    <row r="1062" spans="1:3">
      <c r="A1062" s="3">
        <f ca="1">IFERROR(__xludf.UNSUPPORTED("""COMPUTED_VALUE"""),45005.6666666666)</f>
        <v>45005.666666666599</v>
      </c>
      <c r="B1062" s="1">
        <f ca="1">IFERROR(__xludf.UNSUPPORTED("""COMPUTED_VALUE"""),393.74)</f>
        <v>393.74</v>
      </c>
      <c r="C1062" s="2">
        <f t="shared" ca="1" si="4"/>
        <v>9.61563117003E-3</v>
      </c>
    </row>
    <row r="1063" spans="1:3">
      <c r="A1063" s="3">
        <f ca="1">IFERROR(__xludf.UNSUPPORTED("""COMPUTED_VALUE"""),45006.6666666666)</f>
        <v>45006.666666666599</v>
      </c>
      <c r="B1063" s="1">
        <f ca="1">IFERROR(__xludf.UNSUPPORTED("""COMPUTED_VALUE"""),398.91)</f>
        <v>398.91</v>
      </c>
      <c r="C1063" s="2">
        <f t="shared" ca="1" si="4"/>
        <v>1.3130492202976624E-2</v>
      </c>
    </row>
    <row r="1064" spans="1:3">
      <c r="A1064" s="3">
        <f ca="1">IFERROR(__xludf.UNSUPPORTED("""COMPUTED_VALUE"""),45007.6666666666)</f>
        <v>45007.666666666599</v>
      </c>
      <c r="B1064" s="1">
        <f ca="1">IFERROR(__xludf.UNSUPPORTED("""COMPUTED_VALUE"""),392.11)</f>
        <v>392.11</v>
      </c>
      <c r="C1064" s="2">
        <f t="shared" ca="1" si="4"/>
        <v>-1.7046451580557044E-2</v>
      </c>
    </row>
    <row r="1065" spans="1:3">
      <c r="A1065" s="3">
        <f ca="1">IFERROR(__xludf.UNSUPPORTED("""COMPUTED_VALUE"""),45008.6666666666)</f>
        <v>45008.666666666599</v>
      </c>
      <c r="B1065" s="1">
        <f ca="1">IFERROR(__xludf.UNSUPPORTED("""COMPUTED_VALUE"""),393.17)</f>
        <v>393.17</v>
      </c>
      <c r="C1065" s="2">
        <f t="shared" ca="1" si="4"/>
        <v>2.7033230471041345E-3</v>
      </c>
    </row>
    <row r="1066" spans="1:3">
      <c r="A1066" s="3">
        <f ca="1">IFERROR(__xludf.UNSUPPORTED("""COMPUTED_VALUE"""),45009.6666666666)</f>
        <v>45009.666666666599</v>
      </c>
      <c r="B1066" s="1">
        <f ca="1">IFERROR(__xludf.UNSUPPORTED("""COMPUTED_VALUE"""),395.75)</f>
        <v>395.75</v>
      </c>
      <c r="C1066" s="2">
        <f t="shared" ca="1" si="4"/>
        <v>6.5620469517002414E-3</v>
      </c>
    </row>
    <row r="1067" spans="1:3">
      <c r="A1067" s="3">
        <f ca="1">IFERROR(__xludf.UNSUPPORTED("""COMPUTED_VALUE"""),45012.6666666666)</f>
        <v>45012.666666666599</v>
      </c>
      <c r="B1067" s="1">
        <f ca="1">IFERROR(__xludf.UNSUPPORTED("""COMPUTED_VALUE"""),396.49)</f>
        <v>396.49</v>
      </c>
      <c r="C1067" s="2">
        <f t="shared" ca="1" si="4"/>
        <v>1.8698673404927582E-3</v>
      </c>
    </row>
    <row r="1068" spans="1:3">
      <c r="A1068" s="3">
        <f ca="1">IFERROR(__xludf.UNSUPPORTED("""COMPUTED_VALUE"""),45013.6666666666)</f>
        <v>45013.666666666599</v>
      </c>
      <c r="B1068" s="1">
        <f ca="1">IFERROR(__xludf.UNSUPPORTED("""COMPUTED_VALUE"""),395.6)</f>
        <v>395.6</v>
      </c>
      <c r="C1068" s="2">
        <f t="shared" ca="1" si="4"/>
        <v>-2.2446972180886942E-3</v>
      </c>
    </row>
    <row r="1069" spans="1:3">
      <c r="A1069" s="3">
        <f ca="1">IFERROR(__xludf.UNSUPPORTED("""COMPUTED_VALUE"""),45014.6666666666)</f>
        <v>45014.666666666599</v>
      </c>
      <c r="B1069" s="1">
        <f ca="1">IFERROR(__xludf.UNSUPPORTED("""COMPUTED_VALUE"""),401.35)</f>
        <v>401.35</v>
      </c>
      <c r="C1069" s="2">
        <f t="shared" ca="1" si="4"/>
        <v>1.4534883720930232E-2</v>
      </c>
    </row>
    <row r="1070" spans="1:3">
      <c r="A1070" s="3">
        <f ca="1">IFERROR(__xludf.UNSUPPORTED("""COMPUTED_VALUE"""),45015.6666666666)</f>
        <v>45015.666666666599</v>
      </c>
      <c r="B1070" s="1">
        <f ca="1">IFERROR(__xludf.UNSUPPORTED("""COMPUTED_VALUE"""),403.7)</f>
        <v>403.7</v>
      </c>
      <c r="C1070" s="2">
        <f t="shared" ca="1" si="4"/>
        <v>5.8552385698267487E-3</v>
      </c>
    </row>
    <row r="1071" spans="1:3">
      <c r="A1071" s="3">
        <f ca="1">IFERROR(__xludf.UNSUPPORTED("""COMPUTED_VALUE"""),45016.6666666666)</f>
        <v>45016.666666666599</v>
      </c>
      <c r="B1071" s="1">
        <f ca="1">IFERROR(__xludf.UNSUPPORTED("""COMPUTED_VALUE"""),409.39)</f>
        <v>409.39</v>
      </c>
      <c r="C1071" s="2">
        <f t="shared" ca="1" si="4"/>
        <v>1.4094624721327713E-2</v>
      </c>
    </row>
    <row r="1072" spans="1:3">
      <c r="A1072" s="3">
        <f ca="1">IFERROR(__xludf.UNSUPPORTED("""COMPUTED_VALUE"""),45019.6666666666)</f>
        <v>45019.666666666599</v>
      </c>
      <c r="B1072" s="1">
        <f ca="1">IFERROR(__xludf.UNSUPPORTED("""COMPUTED_VALUE"""),410.95)</f>
        <v>410.95</v>
      </c>
      <c r="C1072" s="2">
        <f t="shared" ca="1" si="4"/>
        <v>3.8105473997899369E-3</v>
      </c>
    </row>
    <row r="1073" spans="1:3">
      <c r="A1073" s="3">
        <f ca="1">IFERROR(__xludf.UNSUPPORTED("""COMPUTED_VALUE"""),45020.6666666666)</f>
        <v>45020.666666666599</v>
      </c>
      <c r="B1073" s="1">
        <f ca="1">IFERROR(__xludf.UNSUPPORTED("""COMPUTED_VALUE"""),408.67)</f>
        <v>408.67</v>
      </c>
      <c r="C1073" s="2">
        <f t="shared" ca="1" si="4"/>
        <v>-5.5481202092711344E-3</v>
      </c>
    </row>
    <row r="1074" spans="1:3">
      <c r="A1074" s="3">
        <f ca="1">IFERROR(__xludf.UNSUPPORTED("""COMPUTED_VALUE"""),45021.6666666666)</f>
        <v>45021.666666666599</v>
      </c>
      <c r="B1074" s="1">
        <f ca="1">IFERROR(__xludf.UNSUPPORTED("""COMPUTED_VALUE"""),407.6)</f>
        <v>407.6</v>
      </c>
      <c r="C1074" s="2">
        <f t="shared" ca="1" si="4"/>
        <v>-2.6182494433161061E-3</v>
      </c>
    </row>
    <row r="1075" spans="1:3">
      <c r="A1075" s="3">
        <f ca="1">IFERROR(__xludf.UNSUPPORTED("""COMPUTED_VALUE"""),45022.6666666666)</f>
        <v>45022.666666666599</v>
      </c>
      <c r="B1075" s="1">
        <f ca="1">IFERROR(__xludf.UNSUPPORTED("""COMPUTED_VALUE"""),409.19)</f>
        <v>409.19</v>
      </c>
      <c r="C1075" s="2">
        <f t="shared" ca="1" si="4"/>
        <v>3.9008832188419402E-3</v>
      </c>
    </row>
    <row r="1076" spans="1:3">
      <c r="A1076" s="3">
        <f ca="1">IFERROR(__xludf.UNSUPPORTED("""COMPUTED_VALUE"""),45026.6666666666)</f>
        <v>45026.666666666599</v>
      </c>
      <c r="B1076" s="1">
        <f ca="1">IFERROR(__xludf.UNSUPPORTED("""COMPUTED_VALUE"""),409.61)</f>
        <v>409.61</v>
      </c>
      <c r="C1076" s="2">
        <f t="shared" ca="1" si="4"/>
        <v>1.0264180454068181E-3</v>
      </c>
    </row>
    <row r="1077" spans="1:3">
      <c r="A1077" s="3">
        <f ca="1">IFERROR(__xludf.UNSUPPORTED("""COMPUTED_VALUE"""),45027.6666666666)</f>
        <v>45027.666666666599</v>
      </c>
      <c r="B1077" s="1">
        <f ca="1">IFERROR(__xludf.UNSUPPORTED("""COMPUTED_VALUE"""),409.72)</f>
        <v>409.72</v>
      </c>
      <c r="C1077" s="2">
        <f t="shared" ca="1" si="4"/>
        <v>2.6854813114917514E-4</v>
      </c>
    </row>
    <row r="1078" spans="1:3">
      <c r="A1078" s="3">
        <f ca="1">IFERROR(__xludf.UNSUPPORTED("""COMPUTED_VALUE"""),45028.6666666666)</f>
        <v>45028.666666666599</v>
      </c>
      <c r="B1078" s="1">
        <f ca="1">IFERROR(__xludf.UNSUPPORTED("""COMPUTED_VALUE"""),408.05)</f>
        <v>408.05</v>
      </c>
      <c r="C1078" s="2">
        <f t="shared" ca="1" si="4"/>
        <v>-4.075954310260704E-3</v>
      </c>
    </row>
    <row r="1079" spans="1:3">
      <c r="A1079" s="3">
        <f ca="1">IFERROR(__xludf.UNSUPPORTED("""COMPUTED_VALUE"""),45029.6666666666)</f>
        <v>45029.666666666599</v>
      </c>
      <c r="B1079" s="1">
        <f ca="1">IFERROR(__xludf.UNSUPPORTED("""COMPUTED_VALUE"""),413.47)</f>
        <v>413.47</v>
      </c>
      <c r="C1079" s="2">
        <f t="shared" ca="1" si="4"/>
        <v>1.3282685945349874E-2</v>
      </c>
    </row>
    <row r="1080" spans="1:3">
      <c r="A1080" s="3">
        <f ca="1">IFERROR(__xludf.UNSUPPORTED("""COMPUTED_VALUE"""),45030.6666666666)</f>
        <v>45030.666666666599</v>
      </c>
      <c r="B1080" s="1">
        <f ca="1">IFERROR(__xludf.UNSUPPORTED("""COMPUTED_VALUE"""),412.46)</f>
        <v>412.46</v>
      </c>
      <c r="C1080" s="2">
        <f t="shared" ca="1" si="4"/>
        <v>-2.4427407067019315E-3</v>
      </c>
    </row>
    <row r="1081" spans="1:3">
      <c r="A1081" s="3">
        <f ca="1">IFERROR(__xludf.UNSUPPORTED("""COMPUTED_VALUE"""),45033.6666666666)</f>
        <v>45033.666666666599</v>
      </c>
      <c r="B1081" s="1">
        <f ca="1">IFERROR(__xludf.UNSUPPORTED("""COMPUTED_VALUE"""),413.94)</f>
        <v>413.94</v>
      </c>
      <c r="C1081" s="2">
        <f t="shared" ca="1" si="4"/>
        <v>3.5882267371381911E-3</v>
      </c>
    </row>
    <row r="1082" spans="1:3">
      <c r="A1082" s="3">
        <f ca="1">IFERROR(__xludf.UNSUPPORTED("""COMPUTED_VALUE"""),45034.6666666666)</f>
        <v>45034.666666666599</v>
      </c>
      <c r="B1082" s="1">
        <f ca="1">IFERROR(__xludf.UNSUPPORTED("""COMPUTED_VALUE"""),414.21)</f>
        <v>414.21</v>
      </c>
      <c r="C1082" s="2">
        <f t="shared" ca="1" si="4"/>
        <v>6.522684447020868E-4</v>
      </c>
    </row>
    <row r="1083" spans="1:3">
      <c r="A1083" s="3">
        <f ca="1">IFERROR(__xludf.UNSUPPORTED("""COMPUTED_VALUE"""),45035.6666666666)</f>
        <v>45035.666666666599</v>
      </c>
      <c r="B1083" s="1">
        <f ca="1">IFERROR(__xludf.UNSUPPORTED("""COMPUTED_VALUE"""),414.14)</f>
        <v>414.14</v>
      </c>
      <c r="C1083" s="2">
        <f t="shared" ca="1" si="4"/>
        <v>-1.6899640279083842E-4</v>
      </c>
    </row>
    <row r="1084" spans="1:3">
      <c r="A1084" s="3">
        <f ca="1">IFERROR(__xludf.UNSUPPORTED("""COMPUTED_VALUE"""),45036.6666666666)</f>
        <v>45036.666666666599</v>
      </c>
      <c r="B1084" s="1">
        <f ca="1">IFERROR(__xludf.UNSUPPORTED("""COMPUTED_VALUE"""),411.88)</f>
        <v>411.88</v>
      </c>
      <c r="C1084" s="2">
        <f t="shared" ca="1" si="4"/>
        <v>-5.457091804703702E-3</v>
      </c>
    </row>
    <row r="1085" spans="1:3">
      <c r="A1085" s="3">
        <f ca="1">IFERROR(__xludf.UNSUPPORTED("""COMPUTED_VALUE"""),45037.6666666666)</f>
        <v>45037.666666666599</v>
      </c>
      <c r="B1085" s="1">
        <f ca="1">IFERROR(__xludf.UNSUPPORTED("""COMPUTED_VALUE"""),412.2)</f>
        <v>412.2</v>
      </c>
      <c r="C1085" s="2">
        <f t="shared" ca="1" si="4"/>
        <v>7.7692531805378549E-4</v>
      </c>
    </row>
    <row r="1086" spans="1:3">
      <c r="A1086" s="3">
        <f ca="1">IFERROR(__xludf.UNSUPPORTED("""COMPUTED_VALUE"""),45040.6666666666)</f>
        <v>45040.666666666599</v>
      </c>
      <c r="B1086" s="1">
        <f ca="1">IFERROR(__xludf.UNSUPPORTED("""COMPUTED_VALUE"""),412.63)</f>
        <v>412.63</v>
      </c>
      <c r="C1086" s="2">
        <f t="shared" ca="1" si="4"/>
        <v>1.0431829209121952E-3</v>
      </c>
    </row>
    <row r="1087" spans="1:3">
      <c r="A1087" s="3">
        <f ca="1">IFERROR(__xludf.UNSUPPORTED("""COMPUTED_VALUE"""),45041.6666666666)</f>
        <v>45041.666666666599</v>
      </c>
      <c r="B1087" s="1">
        <f ca="1">IFERROR(__xludf.UNSUPPORTED("""COMPUTED_VALUE"""),406.08)</f>
        <v>406.08</v>
      </c>
      <c r="C1087" s="2">
        <f t="shared" ca="1" si="4"/>
        <v>-1.5873785231321064E-2</v>
      </c>
    </row>
    <row r="1088" spans="1:3">
      <c r="A1088" s="3">
        <f ca="1">IFERROR(__xludf.UNSUPPORTED("""COMPUTED_VALUE"""),45042.6666666666)</f>
        <v>45042.666666666599</v>
      </c>
      <c r="B1088" s="1">
        <f ca="1">IFERROR(__xludf.UNSUPPORTED("""COMPUTED_VALUE"""),404.36)</f>
        <v>404.36</v>
      </c>
      <c r="C1088" s="2">
        <f t="shared" ca="1" si="4"/>
        <v>-4.2356185973206522E-3</v>
      </c>
    </row>
    <row r="1089" spans="1:3">
      <c r="A1089" s="3">
        <f ca="1">IFERROR(__xludf.UNSUPPORTED("""COMPUTED_VALUE"""),45043.6666666666)</f>
        <v>45043.666666666599</v>
      </c>
      <c r="B1089" s="1">
        <f ca="1">IFERROR(__xludf.UNSUPPORTED("""COMPUTED_VALUE"""),412.41)</f>
        <v>412.41</v>
      </c>
      <c r="C1089" s="2">
        <f t="shared" ca="1" si="4"/>
        <v>1.990800276980911E-2</v>
      </c>
    </row>
    <row r="1090" spans="1:3">
      <c r="A1090" s="3">
        <f ca="1">IFERROR(__xludf.UNSUPPORTED("""COMPUTED_VALUE"""),45044.6666666666)</f>
        <v>45044.666666666599</v>
      </c>
      <c r="B1090" s="1">
        <f ca="1">IFERROR(__xludf.UNSUPPORTED("""COMPUTED_VALUE"""),415.93)</f>
        <v>415.93</v>
      </c>
      <c r="C1090" s="2">
        <f t="shared" ca="1" si="4"/>
        <v>8.5351955578186305E-3</v>
      </c>
    </row>
    <row r="1091" spans="1:3">
      <c r="A1091" s="3">
        <f ca="1">IFERROR(__xludf.UNSUPPORTED("""COMPUTED_VALUE"""),45047.6666666666)</f>
        <v>45047.666666666599</v>
      </c>
      <c r="B1091" s="1">
        <f ca="1">IFERROR(__xludf.UNSUPPORTED("""COMPUTED_VALUE"""),415.51)</f>
        <v>415.51</v>
      </c>
      <c r="C1091" s="2">
        <f t="shared" ca="1" si="4"/>
        <v>-1.0097853004111652E-3</v>
      </c>
    </row>
    <row r="1092" spans="1:3">
      <c r="A1092" s="3">
        <f ca="1">IFERROR(__xludf.UNSUPPORTED("""COMPUTED_VALUE"""),45048.6666666666)</f>
        <v>45048.666666666599</v>
      </c>
      <c r="B1092" s="1">
        <f ca="1">IFERROR(__xludf.UNSUPPORTED("""COMPUTED_VALUE"""),410.84)</f>
        <v>410.84</v>
      </c>
      <c r="C1092" s="2">
        <f t="shared" ca="1" si="4"/>
        <v>-1.1239200019253485E-2</v>
      </c>
    </row>
    <row r="1093" spans="1:3">
      <c r="A1093" s="3">
        <f ca="1">IFERROR(__xludf.UNSUPPORTED("""COMPUTED_VALUE"""),45049.6666666666)</f>
        <v>45049.666666666599</v>
      </c>
      <c r="B1093" s="1">
        <f ca="1">IFERROR(__xludf.UNSUPPORTED("""COMPUTED_VALUE"""),408.02)</f>
        <v>408.02</v>
      </c>
      <c r="C1093" s="2">
        <f t="shared" ca="1" si="4"/>
        <v>-6.8639859799435139E-3</v>
      </c>
    </row>
    <row r="1094" spans="1:3">
      <c r="A1094" s="3">
        <f ca="1">IFERROR(__xludf.UNSUPPORTED("""COMPUTED_VALUE"""),45050.6666666666)</f>
        <v>45050.666666666599</v>
      </c>
      <c r="B1094" s="1">
        <f ca="1">IFERROR(__xludf.UNSUPPORTED("""COMPUTED_VALUE"""),405.13)</f>
        <v>405.13</v>
      </c>
      <c r="C1094" s="2">
        <f t="shared" ca="1" si="4"/>
        <v>-7.0829861281309411E-3</v>
      </c>
    </row>
    <row r="1095" spans="1:3">
      <c r="A1095" s="3">
        <f ca="1">IFERROR(__xludf.UNSUPPORTED("""COMPUTED_VALUE"""),45051.6666666666)</f>
        <v>45051.666666666599</v>
      </c>
      <c r="B1095" s="1">
        <f ca="1">IFERROR(__xludf.UNSUPPORTED("""COMPUTED_VALUE"""),412.63)</f>
        <v>412.63</v>
      </c>
      <c r="C1095" s="2">
        <f t="shared" ca="1" si="4"/>
        <v>1.8512576210105398E-2</v>
      </c>
    </row>
    <row r="1096" spans="1:3">
      <c r="A1096" s="3">
        <f ca="1">IFERROR(__xludf.UNSUPPORTED("""COMPUTED_VALUE"""),45054.6666666666)</f>
        <v>45054.666666666599</v>
      </c>
      <c r="B1096" s="1">
        <f ca="1">IFERROR(__xludf.UNSUPPORTED("""COMPUTED_VALUE"""),412.74)</f>
        <v>412.74</v>
      </c>
      <c r="C1096" s="2">
        <f t="shared" ca="1" si="4"/>
        <v>2.6658265273977571E-4</v>
      </c>
    </row>
    <row r="1097" spans="1:3">
      <c r="A1097" s="3">
        <f ca="1">IFERROR(__xludf.UNSUPPORTED("""COMPUTED_VALUE"""),45055.6666666666)</f>
        <v>45055.666666666599</v>
      </c>
      <c r="B1097" s="1">
        <f ca="1">IFERROR(__xludf.UNSUPPORTED("""COMPUTED_VALUE"""),410.93)</f>
        <v>410.93</v>
      </c>
      <c r="C1097" s="2">
        <f t="shared" ca="1" si="4"/>
        <v>-4.3853273247080543E-3</v>
      </c>
    </row>
    <row r="1098" spans="1:3">
      <c r="A1098" s="3">
        <f ca="1">IFERROR(__xludf.UNSUPPORTED("""COMPUTED_VALUE"""),45056.6666666666)</f>
        <v>45056.666666666599</v>
      </c>
      <c r="B1098" s="1">
        <f ca="1">IFERROR(__xludf.UNSUPPORTED("""COMPUTED_VALUE"""),412.85)</f>
        <v>412.85</v>
      </c>
      <c r="C1098" s="2">
        <f t="shared" ca="1" si="4"/>
        <v>4.6723286204463435E-3</v>
      </c>
    </row>
    <row r="1099" spans="1:3">
      <c r="A1099" s="3">
        <f ca="1">IFERROR(__xludf.UNSUPPORTED("""COMPUTED_VALUE"""),45057.6666666666)</f>
        <v>45057.666666666599</v>
      </c>
      <c r="B1099" s="1">
        <f ca="1">IFERROR(__xludf.UNSUPPORTED("""COMPUTED_VALUE"""),412.13)</f>
        <v>412.13</v>
      </c>
      <c r="C1099" s="2">
        <f t="shared" ca="1" si="4"/>
        <v>-1.7439748092528211E-3</v>
      </c>
    </row>
    <row r="1100" spans="1:3">
      <c r="A1100" s="3">
        <f ca="1">IFERROR(__xludf.UNSUPPORTED("""COMPUTED_VALUE"""),45058.6666666666)</f>
        <v>45058.666666666599</v>
      </c>
      <c r="B1100" s="1">
        <f ca="1">IFERROR(__xludf.UNSUPPORTED("""COMPUTED_VALUE"""),411.59)</f>
        <v>411.59</v>
      </c>
      <c r="C1100" s="2">
        <f t="shared" ca="1" si="4"/>
        <v>-1.3102661781477214E-3</v>
      </c>
    </row>
    <row r="1101" spans="1:3">
      <c r="A1101" s="3">
        <f ca="1">IFERROR(__xludf.UNSUPPORTED("""COMPUTED_VALUE"""),45061.6666666666)</f>
        <v>45061.666666666599</v>
      </c>
      <c r="B1101" s="1">
        <f ca="1">IFERROR(__xludf.UNSUPPORTED("""COMPUTED_VALUE"""),413.01)</f>
        <v>413.01</v>
      </c>
      <c r="C1101" s="2">
        <f t="shared" ca="1" si="4"/>
        <v>3.4500352292330134E-3</v>
      </c>
    </row>
    <row r="1102" spans="1:3">
      <c r="A1102" s="3">
        <f ca="1">IFERROR(__xludf.UNSUPPORTED("""COMPUTED_VALUE"""),45062.6666666666)</f>
        <v>45062.666666666599</v>
      </c>
      <c r="B1102" s="1">
        <f ca="1">IFERROR(__xludf.UNSUPPORTED("""COMPUTED_VALUE"""),410.25)</f>
        <v>410.25</v>
      </c>
      <c r="C1102" s="2">
        <f t="shared" ca="1" si="4"/>
        <v>-6.6826469092757827E-3</v>
      </c>
    </row>
    <row r="1103" spans="1:3">
      <c r="A1103" s="3">
        <f ca="1">IFERROR(__xludf.UNSUPPORTED("""COMPUTED_VALUE"""),45063.6666666666)</f>
        <v>45063.666666666599</v>
      </c>
      <c r="B1103" s="1">
        <f ca="1">IFERROR(__xludf.UNSUPPORTED("""COMPUTED_VALUE"""),415.23)</f>
        <v>415.23</v>
      </c>
      <c r="C1103" s="2">
        <f t="shared" ca="1" si="4"/>
        <v>1.2138939670932403E-2</v>
      </c>
    </row>
    <row r="1104" spans="1:3">
      <c r="A1104" s="3">
        <f ca="1">IFERROR(__xludf.UNSUPPORTED("""COMPUTED_VALUE"""),45064.6666666666)</f>
        <v>45064.666666666599</v>
      </c>
      <c r="B1104" s="1">
        <f ca="1">IFERROR(__xludf.UNSUPPORTED("""COMPUTED_VALUE"""),419.23)</f>
        <v>419.23</v>
      </c>
      <c r="C1104" s="2">
        <f t="shared" ca="1" si="4"/>
        <v>9.6332153264455846E-3</v>
      </c>
    </row>
    <row r="1105" spans="1:3">
      <c r="A1105" s="3">
        <f ca="1">IFERROR(__xludf.UNSUPPORTED("""COMPUTED_VALUE"""),45065.6666666666)</f>
        <v>45065.666666666599</v>
      </c>
      <c r="B1105" s="1">
        <f ca="1">IFERROR(__xludf.UNSUPPORTED("""COMPUTED_VALUE"""),418.62)</f>
        <v>418.62</v>
      </c>
      <c r="C1105" s="2">
        <f t="shared" ca="1" si="4"/>
        <v>-1.4550485413735029E-3</v>
      </c>
    </row>
    <row r="1106" spans="1:3">
      <c r="A1106" s="3">
        <f ca="1">IFERROR(__xludf.UNSUPPORTED("""COMPUTED_VALUE"""),45068.6666666666)</f>
        <v>45068.666666666599</v>
      </c>
      <c r="B1106" s="1">
        <f ca="1">IFERROR(__xludf.UNSUPPORTED("""COMPUTED_VALUE"""),418.79)</f>
        <v>418.79</v>
      </c>
      <c r="C1106" s="2">
        <f t="shared" ca="1" si="4"/>
        <v>4.0609622091638219E-4</v>
      </c>
    </row>
    <row r="1107" spans="1:3">
      <c r="A1107" s="3">
        <f ca="1">IFERROR(__xludf.UNSUPPORTED("""COMPUTED_VALUE"""),45069.6666666666)</f>
        <v>45069.666666666599</v>
      </c>
      <c r="B1107" s="1">
        <f ca="1">IFERROR(__xludf.UNSUPPORTED("""COMPUTED_VALUE"""),414.09)</f>
        <v>414.09</v>
      </c>
      <c r="C1107" s="2">
        <f t="shared" ca="1" si="4"/>
        <v>-1.1222808567539926E-2</v>
      </c>
    </row>
    <row r="1108" spans="1:3">
      <c r="A1108" s="3">
        <f ca="1">IFERROR(__xludf.UNSUPPORTED("""COMPUTED_VALUE"""),45070.6666666666)</f>
        <v>45070.666666666599</v>
      </c>
      <c r="B1108" s="1">
        <f ca="1">IFERROR(__xludf.UNSUPPORTED("""COMPUTED_VALUE"""),411.09)</f>
        <v>411.09</v>
      </c>
      <c r="C1108" s="2">
        <f t="shared" ca="1" si="4"/>
        <v>-7.244801854669275E-3</v>
      </c>
    </row>
    <row r="1109" spans="1:3">
      <c r="A1109" s="3">
        <f ca="1">IFERROR(__xludf.UNSUPPORTED("""COMPUTED_VALUE"""),45071.6666666666)</f>
        <v>45071.666666666599</v>
      </c>
      <c r="B1109" s="1">
        <f ca="1">IFERROR(__xludf.UNSUPPORTED("""COMPUTED_VALUE"""),414.65)</f>
        <v>414.65</v>
      </c>
      <c r="C1109" s="2">
        <f t="shared" ca="1" si="4"/>
        <v>8.6599041572405135E-3</v>
      </c>
    </row>
    <row r="1110" spans="1:3">
      <c r="A1110" s="3">
        <f ca="1">IFERROR(__xludf.UNSUPPORTED("""COMPUTED_VALUE"""),45072.6666666666)</f>
        <v>45072.666666666599</v>
      </c>
      <c r="B1110" s="1">
        <f ca="1">IFERROR(__xludf.UNSUPPORTED("""COMPUTED_VALUE"""),420.02)</f>
        <v>420.02</v>
      </c>
      <c r="C1110" s="2">
        <f t="shared" ca="1" si="4"/>
        <v>1.2950681297479814E-2</v>
      </c>
    </row>
    <row r="1111" spans="1:3">
      <c r="A1111" s="3">
        <f ca="1">IFERROR(__xludf.UNSUPPORTED("""COMPUTED_VALUE"""),45076.6666666666)</f>
        <v>45076.666666666599</v>
      </c>
      <c r="B1111" s="1">
        <f ca="1">IFERROR(__xludf.UNSUPPORTED("""COMPUTED_VALUE"""),420.18)</f>
        <v>420.18</v>
      </c>
      <c r="C1111" s="2">
        <f t="shared" ca="1" si="4"/>
        <v>3.809342412266678E-4</v>
      </c>
    </row>
    <row r="1112" spans="1:3">
      <c r="A1112" s="3">
        <f ca="1">IFERROR(__xludf.UNSUPPORTED("""COMPUTED_VALUE"""),45077.6666666666)</f>
        <v>45077.666666666599</v>
      </c>
      <c r="B1112" s="1">
        <f ca="1">IFERROR(__xludf.UNSUPPORTED("""COMPUTED_VALUE"""),417.85)</f>
        <v>417.85</v>
      </c>
      <c r="C1112" s="2">
        <f t="shared" ca="1" si="4"/>
        <v>-5.5452425151125331E-3</v>
      </c>
    </row>
    <row r="1113" spans="1:3">
      <c r="A1113" s="3">
        <f ca="1">IFERROR(__xludf.UNSUPPORTED("""COMPUTED_VALUE"""),45078.6666666666)</f>
        <v>45078.666666666599</v>
      </c>
      <c r="B1113" s="1">
        <f ca="1">IFERROR(__xludf.UNSUPPORTED("""COMPUTED_VALUE"""),421.82)</f>
        <v>421.82</v>
      </c>
      <c r="C1113" s="2">
        <f t="shared" ca="1" si="4"/>
        <v>9.5010171114035431E-3</v>
      </c>
    </row>
    <row r="1114" spans="1:3">
      <c r="A1114" s="3">
        <f ca="1">IFERROR(__xludf.UNSUPPORTED("""COMPUTED_VALUE"""),45079.6666666666)</f>
        <v>45079.666666666599</v>
      </c>
      <c r="B1114" s="1">
        <f ca="1">IFERROR(__xludf.UNSUPPORTED("""COMPUTED_VALUE"""),427.92)</f>
        <v>427.92</v>
      </c>
      <c r="C1114" s="2">
        <f t="shared" ca="1" si="4"/>
        <v>1.4461144564032106E-2</v>
      </c>
    </row>
    <row r="1115" spans="1:3">
      <c r="A1115" s="3">
        <f ca="1">IFERROR(__xludf.UNSUPPORTED("""COMPUTED_VALUE"""),45082.6666666666)</f>
        <v>45082.666666666599</v>
      </c>
      <c r="B1115" s="1">
        <f ca="1">IFERROR(__xludf.UNSUPPORTED("""COMPUTED_VALUE"""),427.1)</f>
        <v>427.1</v>
      </c>
      <c r="C1115" s="2">
        <f t="shared" ca="1" si="4"/>
        <v>-1.9162460272948054E-3</v>
      </c>
    </row>
    <row r="1116" spans="1:3">
      <c r="A1116" s="3">
        <f ca="1">IFERROR(__xludf.UNSUPPORTED("""COMPUTED_VALUE"""),45083.6666666666)</f>
        <v>45083.666666666599</v>
      </c>
      <c r="B1116" s="1">
        <f ca="1">IFERROR(__xludf.UNSUPPORTED("""COMPUTED_VALUE"""),428.03)</f>
        <v>428.03</v>
      </c>
      <c r="C1116" s="2">
        <f t="shared" ca="1" si="4"/>
        <v>2.1774760009364317E-3</v>
      </c>
    </row>
    <row r="1117" spans="1:3">
      <c r="A1117" s="3">
        <f ca="1">IFERROR(__xludf.UNSUPPORTED("""COMPUTED_VALUE"""),45084.6666666666)</f>
        <v>45084.666666666599</v>
      </c>
      <c r="B1117" s="1">
        <f ca="1">IFERROR(__xludf.UNSUPPORTED("""COMPUTED_VALUE"""),426.55)</f>
        <v>426.55</v>
      </c>
      <c r="C1117" s="2">
        <f t="shared" ca="1" si="4"/>
        <v>-3.4577015629744679E-3</v>
      </c>
    </row>
    <row r="1118" spans="1:3">
      <c r="A1118" s="3">
        <f ca="1">IFERROR(__xludf.UNSUPPORTED("""COMPUTED_VALUE"""),45085.6666666666)</f>
        <v>45085.666666666599</v>
      </c>
      <c r="B1118" s="1">
        <f ca="1">IFERROR(__xludf.UNSUPPORTED("""COMPUTED_VALUE"""),429.13)</f>
        <v>429.13</v>
      </c>
      <c r="C1118" s="2">
        <f t="shared" ca="1" si="4"/>
        <v>6.0485288946195851E-3</v>
      </c>
    </row>
    <row r="1119" spans="1:3">
      <c r="A1119" s="3">
        <f ca="1">IFERROR(__xludf.UNSUPPORTED("""COMPUTED_VALUE"""),45086.6666666666)</f>
        <v>45086.666666666599</v>
      </c>
      <c r="B1119" s="1">
        <f ca="1">IFERROR(__xludf.UNSUPPORTED("""COMPUTED_VALUE"""),429.9)</f>
        <v>429.9</v>
      </c>
      <c r="C1119" s="2">
        <f t="shared" ca="1" si="4"/>
        <v>1.7943280590962689E-3</v>
      </c>
    </row>
    <row r="1120" spans="1:3">
      <c r="A1120" s="3">
        <f ca="1">IFERROR(__xludf.UNSUPPORTED("""COMPUTED_VALUE"""),45089.6666666666)</f>
        <v>45089.666666666599</v>
      </c>
      <c r="B1120" s="1">
        <f ca="1">IFERROR(__xludf.UNSUPPORTED("""COMPUTED_VALUE"""),433.8)</f>
        <v>433.8</v>
      </c>
      <c r="C1120" s="2">
        <f t="shared" ca="1" si="4"/>
        <v>9.0718771807397867E-3</v>
      </c>
    </row>
    <row r="1121" spans="1:3">
      <c r="A1121" s="3">
        <f ca="1">IFERROR(__xludf.UNSUPPORTED("""COMPUTED_VALUE"""),45090.6666666666)</f>
        <v>45090.666666666599</v>
      </c>
      <c r="B1121" s="1">
        <f ca="1">IFERROR(__xludf.UNSUPPORTED("""COMPUTED_VALUE"""),436.66)</f>
        <v>436.66</v>
      </c>
      <c r="C1121" s="2">
        <f t="shared" ca="1" si="4"/>
        <v>6.5928999538958357E-3</v>
      </c>
    </row>
    <row r="1122" spans="1:3">
      <c r="A1122" s="3">
        <f ca="1">IFERROR(__xludf.UNSUPPORTED("""COMPUTED_VALUE"""),45091.6666666666)</f>
        <v>45091.666666666599</v>
      </c>
      <c r="B1122" s="1">
        <f ca="1">IFERROR(__xludf.UNSUPPORTED("""COMPUTED_VALUE"""),437.18)</f>
        <v>437.18</v>
      </c>
      <c r="C1122" s="2">
        <f t="shared" ca="1" si="4"/>
        <v>1.1908578756927169E-3</v>
      </c>
    </row>
    <row r="1123" spans="1:3">
      <c r="A1123" s="3">
        <f ca="1">IFERROR(__xludf.UNSUPPORTED("""COMPUTED_VALUE"""),45092.6666666666)</f>
        <v>45092.666666666599</v>
      </c>
      <c r="B1123" s="1">
        <f ca="1">IFERROR(__xludf.UNSUPPORTED("""COMPUTED_VALUE"""),442.6)</f>
        <v>442.6</v>
      </c>
      <c r="C1123" s="2">
        <f t="shared" ca="1" si="4"/>
        <v>1.2397639416258785E-2</v>
      </c>
    </row>
    <row r="1124" spans="1:3">
      <c r="A1124" s="3">
        <f ca="1">IFERROR(__xludf.UNSUPPORTED("""COMPUTED_VALUE"""),45093.6666666666)</f>
        <v>45093.666666666599</v>
      </c>
      <c r="B1124" s="1">
        <f ca="1">IFERROR(__xludf.UNSUPPORTED("""COMPUTED_VALUE"""),439.46)</f>
        <v>439.46</v>
      </c>
      <c r="C1124" s="2">
        <f t="shared" ca="1" si="4"/>
        <v>-7.0944419340263059E-3</v>
      </c>
    </row>
    <row r="1125" spans="1:3">
      <c r="A1125" s="3">
        <f ca="1">IFERROR(__xludf.UNSUPPORTED("""COMPUTED_VALUE"""),45097.6666666666)</f>
        <v>45097.666666666599</v>
      </c>
      <c r="B1125" s="1">
        <f ca="1">IFERROR(__xludf.UNSUPPORTED("""COMPUTED_VALUE"""),437.18)</f>
        <v>437.18</v>
      </c>
      <c r="C1125" s="2">
        <f t="shared" ca="1" si="4"/>
        <v>-5.1881855003867768E-3</v>
      </c>
    </row>
    <row r="1126" spans="1:3">
      <c r="A1126" s="3">
        <f ca="1">IFERROR(__xludf.UNSUPPORTED("""COMPUTED_VALUE"""),45098.6666666666)</f>
        <v>45098.666666666599</v>
      </c>
      <c r="B1126" s="1">
        <f ca="1">IFERROR(__xludf.UNSUPPORTED("""COMPUTED_VALUE"""),434.94)</f>
        <v>434.94</v>
      </c>
      <c r="C1126" s="2">
        <f t="shared" ca="1" si="4"/>
        <v>-5.1237476554279911E-3</v>
      </c>
    </row>
    <row r="1127" spans="1:3">
      <c r="A1127" s="3">
        <f ca="1">IFERROR(__xludf.UNSUPPORTED("""COMPUTED_VALUE"""),45099.6666666666)</f>
        <v>45099.666666666599</v>
      </c>
      <c r="B1127" s="1">
        <f ca="1">IFERROR(__xludf.UNSUPPORTED("""COMPUTED_VALUE"""),436.51)</f>
        <v>436.51</v>
      </c>
      <c r="C1127" s="2">
        <f t="shared" ca="1" si="4"/>
        <v>3.6096932910286319E-3</v>
      </c>
    </row>
    <row r="1128" spans="1:3">
      <c r="A1128" s="3">
        <f ca="1">IFERROR(__xludf.UNSUPPORTED("""COMPUTED_VALUE"""),45100.6666666666)</f>
        <v>45100.666666666599</v>
      </c>
      <c r="B1128" s="1">
        <f ca="1">IFERROR(__xludf.UNSUPPORTED("""COMPUTED_VALUE"""),433.21)</f>
        <v>433.21</v>
      </c>
      <c r="C1128" s="2">
        <f t="shared" ca="1" si="4"/>
        <v>-7.5599642619871513E-3</v>
      </c>
    </row>
    <row r="1129" spans="1:3">
      <c r="A1129" s="3">
        <f ca="1">IFERROR(__xludf.UNSUPPORTED("""COMPUTED_VALUE"""),45103.6666666666)</f>
        <v>45103.666666666599</v>
      </c>
      <c r="B1129" s="1">
        <f ca="1">IFERROR(__xludf.UNSUPPORTED("""COMPUTED_VALUE"""),431.44)</f>
        <v>431.44</v>
      </c>
      <c r="C1129" s="2">
        <f t="shared" ca="1" si="4"/>
        <v>-4.085778259966256E-3</v>
      </c>
    </row>
    <row r="1130" spans="1:3">
      <c r="A1130" s="3">
        <f ca="1">IFERROR(__xludf.UNSUPPORTED("""COMPUTED_VALUE"""),45104.6666666666)</f>
        <v>45104.666666666599</v>
      </c>
      <c r="B1130" s="1">
        <f ca="1">IFERROR(__xludf.UNSUPPORTED("""COMPUTED_VALUE"""),436.17)</f>
        <v>436.17</v>
      </c>
      <c r="C1130" s="2">
        <f t="shared" ca="1" si="4"/>
        <v>1.0963285740775121E-2</v>
      </c>
    </row>
    <row r="1131" spans="1:3">
      <c r="A1131" s="3">
        <f ca="1">IFERROR(__xludf.UNSUPPORTED("""COMPUTED_VALUE"""),45105.6666666666)</f>
        <v>45105.666666666599</v>
      </c>
      <c r="B1131" s="1">
        <f ca="1">IFERROR(__xludf.UNSUPPORTED("""COMPUTED_VALUE"""),436.39)</f>
        <v>436.39</v>
      </c>
      <c r="C1131" s="2">
        <f t="shared" ca="1" si="4"/>
        <v>5.0439048994651268E-4</v>
      </c>
    </row>
    <row r="1132" spans="1:3">
      <c r="A1132" s="3">
        <f ca="1">IFERROR(__xludf.UNSUPPORTED("""COMPUTED_VALUE"""),45106.6666666666)</f>
        <v>45106.666666666599</v>
      </c>
      <c r="B1132" s="1">
        <f ca="1">IFERROR(__xludf.UNSUPPORTED("""COMPUTED_VALUE"""),438.11)</f>
        <v>438.11</v>
      </c>
      <c r="C1132" s="2">
        <f t="shared" ca="1" si="4"/>
        <v>3.9414285386925162E-3</v>
      </c>
    </row>
    <row r="1133" spans="1:3">
      <c r="A1133" s="3">
        <f ca="1">IFERROR(__xludf.UNSUPPORTED("""COMPUTED_VALUE"""),45107.6666666666)</f>
        <v>45107.666666666599</v>
      </c>
      <c r="B1133" s="1">
        <f ca="1">IFERROR(__xludf.UNSUPPORTED("""COMPUTED_VALUE"""),443.28)</f>
        <v>443.28</v>
      </c>
      <c r="C1133" s="2">
        <f t="shared" ca="1" si="4"/>
        <v>1.1800689324598752E-2</v>
      </c>
    </row>
    <row r="1134" spans="1:3">
      <c r="A1134" s="3">
        <f ca="1">IFERROR(__xludf.UNSUPPORTED("""COMPUTED_VALUE"""),45110.5520833333)</f>
        <v>45110.552083333299</v>
      </c>
      <c r="B1134" s="1">
        <f ca="1">IFERROR(__xludf.UNSUPPORTED("""COMPUTED_VALUE"""),443.79)</f>
        <v>443.79</v>
      </c>
      <c r="C1134" s="2">
        <f t="shared" ca="1" si="4"/>
        <v>1.1505143475907954E-3</v>
      </c>
    </row>
    <row r="1135" spans="1:3">
      <c r="A1135" s="3">
        <f ca="1">IFERROR(__xludf.UNSUPPORTED("""COMPUTED_VALUE"""),45112.6666666666)</f>
        <v>45112.666666666599</v>
      </c>
      <c r="B1135" s="1">
        <f ca="1">IFERROR(__xludf.UNSUPPORTED("""COMPUTED_VALUE"""),443.13)</f>
        <v>443.13</v>
      </c>
      <c r="C1135" s="2">
        <f t="shared" ca="1" si="4"/>
        <v>-1.487189887108824E-3</v>
      </c>
    </row>
    <row r="1136" spans="1:3">
      <c r="A1136" s="3">
        <f ca="1">IFERROR(__xludf.UNSUPPORTED("""COMPUTED_VALUE"""),45113.6666666666)</f>
        <v>45113.666666666599</v>
      </c>
      <c r="B1136" s="1">
        <f ca="1">IFERROR(__xludf.UNSUPPORTED("""COMPUTED_VALUE"""),439.66)</f>
        <v>439.66</v>
      </c>
      <c r="C1136" s="2">
        <f t="shared" ca="1" si="4"/>
        <v>-7.8306591745085433E-3</v>
      </c>
    </row>
    <row r="1137" spans="1:3">
      <c r="A1137" s="3">
        <f ca="1">IFERROR(__xludf.UNSUPPORTED("""COMPUTED_VALUE"""),45114.6666666666)</f>
        <v>45114.666666666599</v>
      </c>
      <c r="B1137" s="1">
        <f ca="1">IFERROR(__xludf.UNSUPPORTED("""COMPUTED_VALUE"""),438.55)</f>
        <v>438.55</v>
      </c>
      <c r="C1137" s="2">
        <f t="shared" ca="1" si="4"/>
        <v>-2.5246781603967009E-3</v>
      </c>
    </row>
    <row r="1138" spans="1:3">
      <c r="A1138" s="3">
        <f ca="1">IFERROR(__xludf.UNSUPPORTED("""COMPUTED_VALUE"""),45117.6666666666)</f>
        <v>45117.666666666599</v>
      </c>
      <c r="B1138" s="1">
        <f ca="1">IFERROR(__xludf.UNSUPPORTED("""COMPUTED_VALUE"""),439.66)</f>
        <v>439.66</v>
      </c>
      <c r="C1138" s="2">
        <f t="shared" ca="1" si="4"/>
        <v>2.5310682932391144E-3</v>
      </c>
    </row>
    <row r="1139" spans="1:3">
      <c r="A1139" s="3">
        <f ca="1">IFERROR(__xludf.UNSUPPORTED("""COMPUTED_VALUE"""),45118.6666666666)</f>
        <v>45118.666666666599</v>
      </c>
      <c r="B1139" s="1">
        <f ca="1">IFERROR(__xludf.UNSUPPORTED("""COMPUTED_VALUE"""),442.46)</f>
        <v>442.46</v>
      </c>
      <c r="C1139" s="2">
        <f t="shared" ca="1" si="4"/>
        <v>6.3685575217212265E-3</v>
      </c>
    </row>
    <row r="1140" spans="1:3">
      <c r="A1140" s="3">
        <f ca="1">IFERROR(__xludf.UNSUPPORTED("""COMPUTED_VALUE"""),45119.6666666666)</f>
        <v>45119.666666666599</v>
      </c>
      <c r="B1140" s="1">
        <f ca="1">IFERROR(__xludf.UNSUPPORTED("""COMPUTED_VALUE"""),446.02)</f>
        <v>446.02</v>
      </c>
      <c r="C1140" s="2">
        <f t="shared" ca="1" si="4"/>
        <v>8.0459250553722422E-3</v>
      </c>
    </row>
    <row r="1141" spans="1:3">
      <c r="A1141" s="3">
        <f ca="1">IFERROR(__xludf.UNSUPPORTED("""COMPUTED_VALUE"""),45120.6666666666)</f>
        <v>45120.666666666599</v>
      </c>
      <c r="B1141" s="1">
        <f ca="1">IFERROR(__xludf.UNSUPPORTED("""COMPUTED_VALUE"""),449.56)</f>
        <v>449.56</v>
      </c>
      <c r="C1141" s="2">
        <f t="shared" ca="1" si="4"/>
        <v>7.9368638177660655E-3</v>
      </c>
    </row>
    <row r="1142" spans="1:3">
      <c r="A1142" s="3">
        <f ca="1">IFERROR(__xludf.UNSUPPORTED("""COMPUTED_VALUE"""),45121.6666666666)</f>
        <v>45121.666666666599</v>
      </c>
      <c r="B1142" s="1">
        <f ca="1">IFERROR(__xludf.UNSUPPORTED("""COMPUTED_VALUE"""),449.28)</f>
        <v>449.28</v>
      </c>
      <c r="C1142" s="2">
        <f t="shared" ca="1" si="4"/>
        <v>-6.2283121274141282E-4</v>
      </c>
    </row>
    <row r="1143" spans="1:3">
      <c r="A1143" s="3">
        <f ca="1">IFERROR(__xludf.UNSUPPORTED("""COMPUTED_VALUE"""),45124.6666666666)</f>
        <v>45124.666666666599</v>
      </c>
      <c r="B1143" s="1">
        <f ca="1">IFERROR(__xludf.UNSUPPORTED("""COMPUTED_VALUE"""),450.84)</f>
        <v>450.84</v>
      </c>
      <c r="C1143" s="2">
        <f t="shared" ca="1" si="4"/>
        <v>3.4722222222222277E-3</v>
      </c>
    </row>
    <row r="1144" spans="1:3">
      <c r="A1144" s="3">
        <f ca="1">IFERROR(__xludf.UNSUPPORTED("""COMPUTED_VALUE"""),45125.6666666666)</f>
        <v>45125.666666666599</v>
      </c>
      <c r="B1144" s="1">
        <f ca="1">IFERROR(__xludf.UNSUPPORTED("""COMPUTED_VALUE"""),454.19)</f>
        <v>454.19</v>
      </c>
      <c r="C1144" s="2">
        <f t="shared" ca="1" si="4"/>
        <v>7.4305740395706303E-3</v>
      </c>
    </row>
    <row r="1145" spans="1:3">
      <c r="A1145" s="3">
        <f ca="1">IFERROR(__xludf.UNSUPPORTED("""COMPUTED_VALUE"""),45126.6666666666)</f>
        <v>45126.666666666599</v>
      </c>
      <c r="B1145" s="1">
        <f ca="1">IFERROR(__xludf.UNSUPPORTED("""COMPUTED_VALUE"""),455.2)</f>
        <v>455.2</v>
      </c>
      <c r="C1145" s="2">
        <f t="shared" ca="1" si="4"/>
        <v>2.2237389638697261E-3</v>
      </c>
    </row>
    <row r="1146" spans="1:3">
      <c r="A1146" s="3">
        <f ca="1">IFERROR(__xludf.UNSUPPORTED("""COMPUTED_VALUE"""),45127.6666666666)</f>
        <v>45127.666666666599</v>
      </c>
      <c r="B1146" s="1">
        <f ca="1">IFERROR(__xludf.UNSUPPORTED("""COMPUTED_VALUE"""),452.18)</f>
        <v>452.18</v>
      </c>
      <c r="C1146" s="2">
        <f t="shared" ca="1" si="4"/>
        <v>-6.6344463971880095E-3</v>
      </c>
    </row>
    <row r="1147" spans="1:3">
      <c r="A1147" s="3">
        <f ca="1">IFERROR(__xludf.UNSUPPORTED("""COMPUTED_VALUE"""),45128.6666666666)</f>
        <v>45128.666666666599</v>
      </c>
      <c r="B1147" s="1">
        <f ca="1">IFERROR(__xludf.UNSUPPORTED("""COMPUTED_VALUE"""),452.18)</f>
        <v>452.18</v>
      </c>
      <c r="C1147" s="2">
        <f t="shared" ca="1" si="4"/>
        <v>0</v>
      </c>
    </row>
    <row r="1148" spans="1:3">
      <c r="A1148" s="3">
        <f ca="1">IFERROR(__xludf.UNSUPPORTED("""COMPUTED_VALUE"""),45131.6666666666)</f>
        <v>45131.666666666599</v>
      </c>
      <c r="B1148" s="1">
        <f ca="1">IFERROR(__xludf.UNSUPPORTED("""COMPUTED_VALUE"""),454.2)</f>
        <v>454.2</v>
      </c>
      <c r="C1148" s="2">
        <f t="shared" ca="1" si="4"/>
        <v>4.4672475562828563E-3</v>
      </c>
    </row>
    <row r="1149" spans="1:3">
      <c r="A1149" s="3">
        <f ca="1">IFERROR(__xludf.UNSUPPORTED("""COMPUTED_VALUE"""),45132.6666666666)</f>
        <v>45132.666666666599</v>
      </c>
      <c r="B1149" s="1">
        <f ca="1">IFERROR(__xludf.UNSUPPORTED("""COMPUTED_VALUE"""),455.44)</f>
        <v>455.44</v>
      </c>
      <c r="C1149" s="2">
        <f t="shared" ca="1" si="4"/>
        <v>2.7300748568912575E-3</v>
      </c>
    </row>
    <row r="1150" spans="1:3">
      <c r="A1150" s="3">
        <f ca="1">IFERROR(__xludf.UNSUPPORTED("""COMPUTED_VALUE"""),45133.6666666666)</f>
        <v>45133.666666666599</v>
      </c>
      <c r="B1150" s="1">
        <f ca="1">IFERROR(__xludf.UNSUPPORTED("""COMPUTED_VALUE"""),455.51)</f>
        <v>455.51</v>
      </c>
      <c r="C1150" s="2">
        <f t="shared" ca="1" si="4"/>
        <v>1.5369752327418139E-4</v>
      </c>
    </row>
    <row r="1151" spans="1:3">
      <c r="A1151" s="3">
        <f ca="1">IFERROR(__xludf.UNSUPPORTED("""COMPUTED_VALUE"""),45134.6666666666)</f>
        <v>45134.666666666599</v>
      </c>
      <c r="B1151" s="1">
        <f ca="1">IFERROR(__xludf.UNSUPPORTED("""COMPUTED_VALUE"""),452.49)</f>
        <v>452.49</v>
      </c>
      <c r="C1151" s="2">
        <f t="shared" ca="1" si="4"/>
        <v>-6.6299312858114686E-3</v>
      </c>
    </row>
    <row r="1152" spans="1:3">
      <c r="A1152" s="3">
        <f ca="1">IFERROR(__xludf.UNSUPPORTED("""COMPUTED_VALUE"""),45135.6666666666)</f>
        <v>45135.666666666599</v>
      </c>
      <c r="B1152" s="1">
        <f ca="1">IFERROR(__xludf.UNSUPPORTED("""COMPUTED_VALUE"""),456.92)</f>
        <v>456.92</v>
      </c>
      <c r="C1152" s="2">
        <f t="shared" ca="1" si="4"/>
        <v>9.7902716082123517E-3</v>
      </c>
    </row>
    <row r="1153" spans="1:3">
      <c r="A1153" s="3">
        <f ca="1">IFERROR(__xludf.UNSUPPORTED("""COMPUTED_VALUE"""),45138.6666666666)</f>
        <v>45138.666666666599</v>
      </c>
      <c r="B1153" s="1">
        <f ca="1">IFERROR(__xludf.UNSUPPORTED("""COMPUTED_VALUE"""),457.79)</f>
        <v>457.79</v>
      </c>
      <c r="C1153" s="2">
        <f t="shared" ca="1" si="4"/>
        <v>1.9040532259476594E-3</v>
      </c>
    </row>
    <row r="1154" spans="1:3">
      <c r="A1154" s="3">
        <f ca="1">IFERROR(__xludf.UNSUPPORTED("""COMPUTED_VALUE"""),45139.6666666666)</f>
        <v>45139.666666666599</v>
      </c>
      <c r="B1154" s="1">
        <f ca="1">IFERROR(__xludf.UNSUPPORTED("""COMPUTED_VALUE"""),456.48)</f>
        <v>456.48</v>
      </c>
      <c r="C1154" s="2">
        <f t="shared" ca="1" si="4"/>
        <v>-2.8615740841870774E-3</v>
      </c>
    </row>
    <row r="1155" spans="1:3">
      <c r="A1155" s="3">
        <f ca="1">IFERROR(__xludf.UNSUPPORTED("""COMPUTED_VALUE"""),45140.6666666666)</f>
        <v>45140.666666666599</v>
      </c>
      <c r="B1155" s="1">
        <f ca="1">IFERROR(__xludf.UNSUPPORTED("""COMPUTED_VALUE"""),450.13)</f>
        <v>450.13</v>
      </c>
      <c r="C1155" s="2">
        <f t="shared" ca="1" si="4"/>
        <v>-1.3910795653697912E-2</v>
      </c>
    </row>
    <row r="1156" spans="1:3">
      <c r="A1156" s="3">
        <f ca="1">IFERROR(__xludf.UNSUPPORTED("""COMPUTED_VALUE"""),45141.6666666666)</f>
        <v>45141.666666666599</v>
      </c>
      <c r="B1156" s="1">
        <f ca="1">IFERROR(__xludf.UNSUPPORTED("""COMPUTED_VALUE"""),448.84)</f>
        <v>448.84</v>
      </c>
      <c r="C1156" s="2">
        <f t="shared" ca="1" si="4"/>
        <v>-2.8658387576922678E-3</v>
      </c>
    </row>
    <row r="1157" spans="1:3">
      <c r="A1157" s="3">
        <f ca="1">IFERROR(__xludf.UNSUPPORTED("""COMPUTED_VALUE"""),45142.6666666666)</f>
        <v>45142.666666666599</v>
      </c>
      <c r="B1157" s="1">
        <f ca="1">IFERROR(__xludf.UNSUPPORTED("""COMPUTED_VALUE"""),446.81)</f>
        <v>446.81</v>
      </c>
      <c r="C1157" s="2">
        <f t="shared" ca="1" si="4"/>
        <v>-4.5227698066125409E-3</v>
      </c>
    </row>
    <row r="1158" spans="1:3">
      <c r="A1158" s="3">
        <f ca="1">IFERROR(__xludf.UNSUPPORTED("""COMPUTED_VALUE"""),45145.6666666666)</f>
        <v>45145.666666666599</v>
      </c>
      <c r="B1158" s="1">
        <f ca="1">IFERROR(__xludf.UNSUPPORTED("""COMPUTED_VALUE"""),450.71)</f>
        <v>450.71</v>
      </c>
      <c r="C1158" s="2">
        <f t="shared" ca="1" si="4"/>
        <v>8.7285423334302666E-3</v>
      </c>
    </row>
    <row r="1159" spans="1:3">
      <c r="A1159" s="3">
        <f ca="1">IFERROR(__xludf.UNSUPPORTED("""COMPUTED_VALUE"""),45146.6666666666)</f>
        <v>45146.666666666599</v>
      </c>
      <c r="B1159" s="1">
        <f ca="1">IFERROR(__xludf.UNSUPPORTED("""COMPUTED_VALUE"""),448.75)</f>
        <v>448.75</v>
      </c>
      <c r="C1159" s="2">
        <f t="shared" ca="1" si="4"/>
        <v>-4.348694282354462E-3</v>
      </c>
    </row>
    <row r="1160" spans="1:3">
      <c r="A1160" s="3">
        <f ca="1">IFERROR(__xludf.UNSUPPORTED("""COMPUTED_VALUE"""),45147.6666666666)</f>
        <v>45147.666666666599</v>
      </c>
      <c r="B1160" s="1">
        <f ca="1">IFERROR(__xludf.UNSUPPORTED("""COMPUTED_VALUE"""),445.75)</f>
        <v>445.75</v>
      </c>
      <c r="C1160" s="2">
        <f t="shared" ca="1" si="4"/>
        <v>-6.6852367688022283E-3</v>
      </c>
    </row>
    <row r="1161" spans="1:3">
      <c r="A1161" s="3">
        <f ca="1">IFERROR(__xludf.UNSUPPORTED("""COMPUTED_VALUE"""),45148.6666666666)</f>
        <v>45148.666666666599</v>
      </c>
      <c r="B1161" s="1">
        <f ca="1">IFERROR(__xludf.UNSUPPORTED("""COMPUTED_VALUE"""),445.91)</f>
        <v>445.91</v>
      </c>
      <c r="C1161" s="2">
        <f t="shared" ca="1" si="4"/>
        <v>3.5894559730796416E-4</v>
      </c>
    </row>
    <row r="1162" spans="1:3">
      <c r="A1162" s="3">
        <f ca="1">IFERROR(__xludf.UNSUPPORTED("""COMPUTED_VALUE"""),45149.6666666666)</f>
        <v>45149.666666666599</v>
      </c>
      <c r="B1162" s="1">
        <f ca="1">IFERROR(__xludf.UNSUPPORTED("""COMPUTED_VALUE"""),445.65)</f>
        <v>445.65</v>
      </c>
      <c r="C1162" s="2">
        <f t="shared" ca="1" si="4"/>
        <v>-5.8307730259480109E-4</v>
      </c>
    </row>
    <row r="1163" spans="1:3">
      <c r="A1163" s="3">
        <f ca="1">IFERROR(__xludf.UNSUPPORTED("""COMPUTED_VALUE"""),45152.6666666666)</f>
        <v>45152.666666666599</v>
      </c>
      <c r="B1163" s="1">
        <f ca="1">IFERROR(__xludf.UNSUPPORTED("""COMPUTED_VALUE"""),448.11)</f>
        <v>448.11</v>
      </c>
      <c r="C1163" s="2">
        <f t="shared" ca="1" si="4"/>
        <v>5.5200269269607008E-3</v>
      </c>
    </row>
    <row r="1164" spans="1:3">
      <c r="A1164" s="3">
        <f ca="1">IFERROR(__xludf.UNSUPPORTED("""COMPUTED_VALUE"""),45153.6666666666)</f>
        <v>45153.666666666599</v>
      </c>
      <c r="B1164" s="1">
        <f ca="1">IFERROR(__xludf.UNSUPPORTED("""COMPUTED_VALUE"""),442.89)</f>
        <v>442.89</v>
      </c>
      <c r="C1164" s="2">
        <f t="shared" ca="1" si="4"/>
        <v>-1.1648925487045651E-2</v>
      </c>
    </row>
    <row r="1165" spans="1:3">
      <c r="A1165" s="3">
        <f ca="1">IFERROR(__xludf.UNSUPPORTED("""COMPUTED_VALUE"""),45154.6666666666)</f>
        <v>45154.666666666599</v>
      </c>
      <c r="B1165" s="1">
        <f ca="1">IFERROR(__xludf.UNSUPPORTED("""COMPUTED_VALUE"""),439.64)</f>
        <v>439.64</v>
      </c>
      <c r="C1165" s="2">
        <f t="shared" ca="1" si="4"/>
        <v>-7.338165232902075E-3</v>
      </c>
    </row>
    <row r="1166" spans="1:3">
      <c r="A1166" s="3">
        <f ca="1">IFERROR(__xludf.UNSUPPORTED("""COMPUTED_VALUE"""),45155.6666666666)</f>
        <v>45155.666666666599</v>
      </c>
      <c r="B1166" s="1">
        <f ca="1">IFERROR(__xludf.UNSUPPORTED("""COMPUTED_VALUE"""),436.29)</f>
        <v>436.29</v>
      </c>
      <c r="C1166" s="2">
        <f t="shared" ca="1" si="4"/>
        <v>-7.6198708033845099E-3</v>
      </c>
    </row>
    <row r="1167" spans="1:3">
      <c r="A1167" s="3">
        <f ca="1">IFERROR(__xludf.UNSUPPORTED("""COMPUTED_VALUE"""),45156.6666666666)</f>
        <v>45156.666666666599</v>
      </c>
      <c r="B1167" s="1">
        <f ca="1">IFERROR(__xludf.UNSUPPORTED("""COMPUTED_VALUE"""),436.5)</f>
        <v>436.5</v>
      </c>
      <c r="C1167" s="2">
        <f t="shared" ca="1" si="4"/>
        <v>4.8133122464411179E-4</v>
      </c>
    </row>
    <row r="1168" spans="1:3">
      <c r="A1168" s="3">
        <f ca="1">IFERROR(__xludf.UNSUPPORTED("""COMPUTED_VALUE"""),45159.6666666666)</f>
        <v>45159.666666666599</v>
      </c>
      <c r="B1168" s="1">
        <f ca="1">IFERROR(__xludf.UNSUPPORTED("""COMPUTED_VALUE"""),439.34)</f>
        <v>439.34</v>
      </c>
      <c r="C1168" s="2">
        <f t="shared" ca="1" si="4"/>
        <v>6.5063001145474796E-3</v>
      </c>
    </row>
    <row r="1169" spans="1:3">
      <c r="A1169" s="3">
        <f ca="1">IFERROR(__xludf.UNSUPPORTED("""COMPUTED_VALUE"""),45160.6666666666)</f>
        <v>45160.666666666599</v>
      </c>
      <c r="B1169" s="1">
        <f ca="1">IFERROR(__xludf.UNSUPPORTED("""COMPUTED_VALUE"""),438.15)</f>
        <v>438.15</v>
      </c>
      <c r="C1169" s="2">
        <f t="shared" ca="1" si="4"/>
        <v>-2.7086083670960935E-3</v>
      </c>
    </row>
    <row r="1170" spans="1:3">
      <c r="A1170" s="3">
        <f ca="1">IFERROR(__xludf.UNSUPPORTED("""COMPUTED_VALUE"""),45161.6666666666)</f>
        <v>45161.666666666599</v>
      </c>
      <c r="B1170" s="1">
        <f ca="1">IFERROR(__xludf.UNSUPPORTED("""COMPUTED_VALUE"""),443.03)</f>
        <v>443.03</v>
      </c>
      <c r="C1170" s="2">
        <f t="shared" ca="1" si="4"/>
        <v>1.1137738217505411E-2</v>
      </c>
    </row>
    <row r="1171" spans="1:3">
      <c r="A1171" s="3">
        <f ca="1">IFERROR(__xludf.UNSUPPORTED("""COMPUTED_VALUE"""),45162.6666666666)</f>
        <v>45162.666666666599</v>
      </c>
      <c r="B1171" s="1">
        <f ca="1">IFERROR(__xludf.UNSUPPORTED("""COMPUTED_VALUE"""),436.89)</f>
        <v>436.89</v>
      </c>
      <c r="C1171" s="2">
        <f t="shared" ca="1" si="4"/>
        <v>-1.3859106606776035E-2</v>
      </c>
    </row>
    <row r="1172" spans="1:3">
      <c r="A1172" s="3">
        <f ca="1">IFERROR(__xludf.UNSUPPORTED("""COMPUTED_VALUE"""),45163.6666666666)</f>
        <v>45163.666666666599</v>
      </c>
      <c r="B1172" s="1">
        <f ca="1">IFERROR(__xludf.UNSUPPORTED("""COMPUTED_VALUE"""),439.97)</f>
        <v>439.97</v>
      </c>
      <c r="C1172" s="2">
        <f t="shared" ca="1" si="4"/>
        <v>7.0498294765273658E-3</v>
      </c>
    </row>
    <row r="1173" spans="1:3">
      <c r="A1173" s="3">
        <f ca="1">IFERROR(__xludf.UNSUPPORTED("""COMPUTED_VALUE"""),45166.6666666666)</f>
        <v>45166.666666666599</v>
      </c>
      <c r="B1173" s="1">
        <f ca="1">IFERROR(__xludf.UNSUPPORTED("""COMPUTED_VALUE"""),442.76)</f>
        <v>442.76</v>
      </c>
      <c r="C1173" s="2">
        <f t="shared" ca="1" si="4"/>
        <v>6.341341455099128E-3</v>
      </c>
    </row>
    <row r="1174" spans="1:3">
      <c r="A1174" s="3">
        <f ca="1">IFERROR(__xludf.UNSUPPORTED("""COMPUTED_VALUE"""),45167.6666666666)</f>
        <v>45167.666666666599</v>
      </c>
      <c r="B1174" s="1">
        <f ca="1">IFERROR(__xludf.UNSUPPORTED("""COMPUTED_VALUE"""),449.16)</f>
        <v>449.16</v>
      </c>
      <c r="C1174" s="2">
        <f t="shared" ca="1" si="4"/>
        <v>1.4454783629957616E-2</v>
      </c>
    </row>
    <row r="1175" spans="1:3">
      <c r="A1175" s="3">
        <f ca="1">IFERROR(__xludf.UNSUPPORTED("""COMPUTED_VALUE"""),45168.6666666666)</f>
        <v>45168.666666666599</v>
      </c>
      <c r="B1175" s="1">
        <f ca="1">IFERROR(__xludf.UNSUPPORTED("""COMPUTED_VALUE"""),451.01)</f>
        <v>451.01</v>
      </c>
      <c r="C1175" s="2">
        <f t="shared" ca="1" si="4"/>
        <v>4.1187995369132736E-3</v>
      </c>
    </row>
    <row r="1176" spans="1:3">
      <c r="A1176" s="3">
        <f ca="1">IFERROR(__xludf.UNSUPPORTED("""COMPUTED_VALUE"""),45169.6666666666)</f>
        <v>45169.666666666599</v>
      </c>
      <c r="B1176" s="1">
        <f ca="1">IFERROR(__xludf.UNSUPPORTED("""COMPUTED_VALUE"""),450.35)</f>
        <v>450.35</v>
      </c>
      <c r="C1176" s="2">
        <f t="shared" ca="1" si="4"/>
        <v>-1.4633821866476757E-3</v>
      </c>
    </row>
    <row r="1177" spans="1:3">
      <c r="A1177" s="3">
        <f ca="1">IFERROR(__xludf.UNSUPPORTED("""COMPUTED_VALUE"""),45170.6666666666)</f>
        <v>45170.666666666599</v>
      </c>
      <c r="B1177" s="1">
        <f ca="1">IFERROR(__xludf.UNSUPPORTED("""COMPUTED_VALUE"""),451.19)</f>
        <v>451.19</v>
      </c>
      <c r="C1177" s="2">
        <f t="shared" ca="1" si="4"/>
        <v>1.865215943155268E-3</v>
      </c>
    </row>
    <row r="1178" spans="1:3">
      <c r="A1178" s="3">
        <f ca="1">IFERROR(__xludf.UNSUPPORTED("""COMPUTED_VALUE"""),45174.6666666666)</f>
        <v>45174.666666666599</v>
      </c>
      <c r="B1178" s="1">
        <f ca="1">IFERROR(__xludf.UNSUPPORTED("""COMPUTED_VALUE"""),449.24)</f>
        <v>449.24</v>
      </c>
      <c r="C1178" s="2">
        <f t="shared" ca="1" si="4"/>
        <v>-4.3219042975242991E-3</v>
      </c>
    </row>
    <row r="1179" spans="1:3">
      <c r="A1179" s="3">
        <f ca="1">IFERROR(__xludf.UNSUPPORTED("""COMPUTED_VALUE"""),45175.6666666666)</f>
        <v>45175.666666666599</v>
      </c>
      <c r="B1179" s="1">
        <f ca="1">IFERROR(__xludf.UNSUPPORTED("""COMPUTED_VALUE"""),446.22)</f>
        <v>446.22</v>
      </c>
      <c r="C1179" s="2">
        <f t="shared" ca="1" si="4"/>
        <v>-6.7224646068915987E-3</v>
      </c>
    </row>
    <row r="1180" spans="1:3">
      <c r="A1180" s="3">
        <f ca="1">IFERROR(__xludf.UNSUPPORTED("""COMPUTED_VALUE"""),45176.6666666666)</f>
        <v>45176.666666666599</v>
      </c>
      <c r="B1180" s="1">
        <f ca="1">IFERROR(__xludf.UNSUPPORTED("""COMPUTED_VALUE"""),444.85)</f>
        <v>444.85</v>
      </c>
      <c r="C1180" s="2">
        <f t="shared" ca="1" si="4"/>
        <v>-3.0702344135180057E-3</v>
      </c>
    </row>
    <row r="1181" spans="1:3">
      <c r="A1181" s="3">
        <f ca="1">IFERROR(__xludf.UNSUPPORTED("""COMPUTED_VALUE"""),45177.6666666666)</f>
        <v>45177.666666666599</v>
      </c>
      <c r="B1181" s="1">
        <f ca="1">IFERROR(__xludf.UNSUPPORTED("""COMPUTED_VALUE"""),445.52)</f>
        <v>445.52</v>
      </c>
      <c r="C1181" s="2">
        <f t="shared" ca="1" si="4"/>
        <v>1.5061256603348522E-3</v>
      </c>
    </row>
    <row r="1182" spans="1:3">
      <c r="A1182" s="3">
        <f ca="1">IFERROR(__xludf.UNSUPPORTED("""COMPUTED_VALUE"""),45180.6666666666)</f>
        <v>45180.666666666599</v>
      </c>
      <c r="B1182" s="1">
        <f ca="1">IFERROR(__xludf.UNSUPPORTED("""COMPUTED_VALUE"""),448.45)</f>
        <v>448.45</v>
      </c>
      <c r="C1182" s="2">
        <f t="shared" ca="1" si="4"/>
        <v>6.5765846651104484E-3</v>
      </c>
    </row>
    <row r="1183" spans="1:3">
      <c r="A1183" s="3">
        <f ca="1">IFERROR(__xludf.UNSUPPORTED("""COMPUTED_VALUE"""),45181.6666666666)</f>
        <v>45181.666666666599</v>
      </c>
      <c r="B1183" s="1">
        <f ca="1">IFERROR(__xludf.UNSUPPORTED("""COMPUTED_VALUE"""),445.99)</f>
        <v>445.99</v>
      </c>
      <c r="C1183" s="2">
        <f t="shared" ca="1" si="4"/>
        <v>-5.4855613780800082E-3</v>
      </c>
    </row>
    <row r="1184" spans="1:3">
      <c r="A1184" s="3">
        <f ca="1">IFERROR(__xludf.UNSUPPORTED("""COMPUTED_VALUE"""),45182.6666666666)</f>
        <v>45182.666666666599</v>
      </c>
      <c r="B1184" s="1">
        <f ca="1">IFERROR(__xludf.UNSUPPORTED("""COMPUTED_VALUE"""),446.51)</f>
        <v>446.51</v>
      </c>
      <c r="C1184" s="2">
        <f t="shared" ca="1" si="4"/>
        <v>1.1659454247852682E-3</v>
      </c>
    </row>
    <row r="1185" spans="1:3">
      <c r="A1185" s="3">
        <f ca="1">IFERROR(__xludf.UNSUPPORTED("""COMPUTED_VALUE"""),45183.6666666666)</f>
        <v>45183.666666666599</v>
      </c>
      <c r="B1185" s="1">
        <f ca="1">IFERROR(__xludf.UNSUPPORTED("""COMPUTED_VALUE"""),450.36)</f>
        <v>450.36</v>
      </c>
      <c r="C1185" s="2">
        <f t="shared" ca="1" si="4"/>
        <v>8.6224272692661374E-3</v>
      </c>
    </row>
    <row r="1186" spans="1:3">
      <c r="A1186" s="3">
        <f ca="1">IFERROR(__xludf.UNSUPPORTED("""COMPUTED_VALUE"""),45184.6666666666)</f>
        <v>45184.666666666599</v>
      </c>
      <c r="B1186" s="1">
        <f ca="1">IFERROR(__xludf.UNSUPPORTED("""COMPUTED_VALUE"""),443.37)</f>
        <v>443.37</v>
      </c>
      <c r="C1186" s="2">
        <f t="shared" ca="1" si="4"/>
        <v>-1.552091660005331E-2</v>
      </c>
    </row>
    <row r="1187" spans="1:3">
      <c r="A1187" s="3">
        <f ca="1">IFERROR(__xludf.UNSUPPORTED("""COMPUTED_VALUE"""),45187.6666666666)</f>
        <v>45187.666666666599</v>
      </c>
      <c r="B1187" s="1">
        <f ca="1">IFERROR(__xludf.UNSUPPORTED("""COMPUTED_VALUE"""),443.63)</f>
        <v>443.63</v>
      </c>
      <c r="C1187" s="2">
        <f t="shared" ca="1" si="4"/>
        <v>5.8641766470440241E-4</v>
      </c>
    </row>
    <row r="1188" spans="1:3">
      <c r="A1188" s="3">
        <f ca="1">IFERROR(__xludf.UNSUPPORTED("""COMPUTED_VALUE"""),45188.6666666666)</f>
        <v>45188.666666666599</v>
      </c>
      <c r="B1188" s="1">
        <f ca="1">IFERROR(__xludf.UNSUPPORTED("""COMPUTED_VALUE"""),442.71)</f>
        <v>442.71</v>
      </c>
      <c r="C1188" s="2">
        <f t="shared" ca="1" si="4"/>
        <v>-2.0738002389378896E-3</v>
      </c>
    </row>
    <row r="1189" spans="1:3">
      <c r="A1189" s="3">
        <f ca="1">IFERROR(__xludf.UNSUPPORTED("""COMPUTED_VALUE"""),45189.6666666666)</f>
        <v>45189.666666666599</v>
      </c>
      <c r="B1189" s="1">
        <f ca="1">IFERROR(__xludf.UNSUPPORTED("""COMPUTED_VALUE"""),438.64)</f>
        <v>438.64</v>
      </c>
      <c r="C1189" s="2">
        <f t="shared" ca="1" si="4"/>
        <v>-9.1933771543448155E-3</v>
      </c>
    </row>
    <row r="1190" spans="1:3">
      <c r="A1190" s="3">
        <f ca="1">IFERROR(__xludf.UNSUPPORTED("""COMPUTED_VALUE"""),45190.6666666666)</f>
        <v>45190.666666666599</v>
      </c>
      <c r="B1190" s="1">
        <f ca="1">IFERROR(__xludf.UNSUPPORTED("""COMPUTED_VALUE"""),431.39)</f>
        <v>431.39</v>
      </c>
      <c r="C1190" s="2">
        <f t="shared" ca="1" si="4"/>
        <v>-1.6528360386649645E-2</v>
      </c>
    </row>
    <row r="1191" spans="1:3">
      <c r="A1191" s="3">
        <f ca="1">IFERROR(__xludf.UNSUPPORTED("""COMPUTED_VALUE"""),45191.6666666666)</f>
        <v>45191.666666666599</v>
      </c>
      <c r="B1191" s="1">
        <f ca="1">IFERROR(__xludf.UNSUPPORTED("""COMPUTED_VALUE"""),430.42)</f>
        <v>430.42</v>
      </c>
      <c r="C1191" s="2">
        <f t="shared" ca="1" si="4"/>
        <v>-2.2485453997542143E-3</v>
      </c>
    </row>
    <row r="1192" spans="1:3">
      <c r="A1192" s="3">
        <f ca="1">IFERROR(__xludf.UNSUPPORTED("""COMPUTED_VALUE"""),45194.6666666666)</f>
        <v>45194.666666666599</v>
      </c>
      <c r="B1192" s="1">
        <f ca="1">IFERROR(__xludf.UNSUPPORTED("""COMPUTED_VALUE"""),432.23)</f>
        <v>432.23</v>
      </c>
      <c r="C1192" s="2">
        <f t="shared" ca="1" si="4"/>
        <v>4.2051949258863483E-3</v>
      </c>
    </row>
    <row r="1193" spans="1:3">
      <c r="A1193" s="3">
        <f ca="1">IFERROR(__xludf.UNSUPPORTED("""COMPUTED_VALUE"""),45195.6666666666)</f>
        <v>45195.666666666599</v>
      </c>
      <c r="B1193" s="1">
        <f ca="1">IFERROR(__xludf.UNSUPPORTED("""COMPUTED_VALUE"""),425.88)</f>
        <v>425.88</v>
      </c>
      <c r="C1193" s="2">
        <f t="shared" ca="1" si="4"/>
        <v>-1.4691252342502886E-2</v>
      </c>
    </row>
    <row r="1194" spans="1:3">
      <c r="A1194" s="3">
        <f ca="1">IFERROR(__xludf.UNSUPPORTED("""COMPUTED_VALUE"""),45196.6666666666)</f>
        <v>45196.666666666599</v>
      </c>
      <c r="B1194" s="1">
        <f ca="1">IFERROR(__xludf.UNSUPPORTED("""COMPUTED_VALUE"""),426.05)</f>
        <v>426.05</v>
      </c>
      <c r="C1194" s="2">
        <f t="shared" ca="1" si="4"/>
        <v>3.9917347609659038E-4</v>
      </c>
    </row>
    <row r="1195" spans="1:3">
      <c r="A1195" s="3">
        <f ca="1">IFERROR(__xludf.UNSUPPORTED("""COMPUTED_VALUE"""),45197.6666666666)</f>
        <v>45197.666666666599</v>
      </c>
      <c r="B1195" s="1">
        <f ca="1">IFERROR(__xludf.UNSUPPORTED("""COMPUTED_VALUE"""),428.52)</f>
        <v>428.52</v>
      </c>
      <c r="C1195" s="2">
        <f t="shared" ca="1" si="4"/>
        <v>5.79744161483387E-3</v>
      </c>
    </row>
    <row r="1196" spans="1:3">
      <c r="A1196" s="3">
        <f ca="1">IFERROR(__xludf.UNSUPPORTED("""COMPUTED_VALUE"""),45198.6666666666)</f>
        <v>45198.666666666599</v>
      </c>
      <c r="B1196" s="1">
        <f ca="1">IFERROR(__xludf.UNSUPPORTED("""COMPUTED_VALUE"""),427.48)</f>
        <v>427.48</v>
      </c>
      <c r="C1196" s="2">
        <f t="shared" ca="1" si="4"/>
        <v>-2.4269579016147754E-3</v>
      </c>
    </row>
    <row r="1197" spans="1:3">
      <c r="A1197" s="3">
        <f ca="1">IFERROR(__xludf.UNSUPPORTED("""COMPUTED_VALUE"""),45201.6666666666)</f>
        <v>45201.666666666599</v>
      </c>
      <c r="B1197" s="1">
        <f ca="1">IFERROR(__xludf.UNSUPPORTED("""COMPUTED_VALUE"""),427.31)</f>
        <v>427.31</v>
      </c>
      <c r="C1197" s="2">
        <f t="shared" ca="1" si="4"/>
        <v>-3.9767942359880204E-4</v>
      </c>
    </row>
    <row r="1198" spans="1:3">
      <c r="A1198" s="3">
        <f ca="1">IFERROR(__xludf.UNSUPPORTED("""COMPUTED_VALUE"""),45202.6666666666)</f>
        <v>45202.666666666599</v>
      </c>
      <c r="B1198" s="1">
        <f ca="1">IFERROR(__xludf.UNSUPPORTED("""COMPUTED_VALUE"""),421.59)</f>
        <v>421.59</v>
      </c>
      <c r="C1198" s="2">
        <f t="shared" ca="1" si="4"/>
        <v>-1.3386066321874113E-2</v>
      </c>
    </row>
    <row r="1199" spans="1:3">
      <c r="A1199" s="3">
        <f ca="1">IFERROR(__xludf.UNSUPPORTED("""COMPUTED_VALUE"""),45203.6666666666)</f>
        <v>45203.666666666599</v>
      </c>
      <c r="B1199" s="1">
        <f ca="1">IFERROR(__xludf.UNSUPPORTED("""COMPUTED_VALUE"""),424.66)</f>
        <v>424.66</v>
      </c>
      <c r="C1199" s="2">
        <f t="shared" ca="1" si="4"/>
        <v>7.2819564031406112E-3</v>
      </c>
    </row>
    <row r="1200" spans="1:3">
      <c r="A1200" s="3">
        <f ca="1">IFERROR(__xludf.UNSUPPORTED("""COMPUTED_VALUE"""),45204.6666666666)</f>
        <v>45204.666666666599</v>
      </c>
      <c r="B1200" s="1">
        <f ca="1">IFERROR(__xludf.UNSUPPORTED("""COMPUTED_VALUE"""),424.5)</f>
        <v>424.5</v>
      </c>
      <c r="C1200" s="2">
        <f t="shared" ca="1" si="4"/>
        <v>-3.7677200584002496E-4</v>
      </c>
    </row>
    <row r="1201" spans="1:3">
      <c r="A1201" s="3">
        <f ca="1">IFERROR(__xludf.UNSUPPORTED("""COMPUTED_VALUE"""),45205.6666666666)</f>
        <v>45205.666666666599</v>
      </c>
      <c r="B1201" s="1">
        <f ca="1">IFERROR(__xludf.UNSUPPORTED("""COMPUTED_VALUE"""),429.54)</f>
        <v>429.54</v>
      </c>
      <c r="C1201" s="2">
        <f t="shared" ca="1" si="4"/>
        <v>1.1872791519434676E-2</v>
      </c>
    </row>
    <row r="1202" spans="1:3">
      <c r="A1202" s="3">
        <f ca="1">IFERROR(__xludf.UNSUPPORTED("""COMPUTED_VALUE"""),45208.6666666666)</f>
        <v>45208.666666666599</v>
      </c>
      <c r="B1202" s="1">
        <f ca="1">IFERROR(__xludf.UNSUPPORTED("""COMPUTED_VALUE"""),432.29)</f>
        <v>432.29</v>
      </c>
      <c r="C1202" s="2">
        <f t="shared" ca="1" si="4"/>
        <v>6.4021976998649716E-3</v>
      </c>
    </row>
    <row r="1203" spans="1:3">
      <c r="A1203" s="3">
        <f ca="1">IFERROR(__xludf.UNSUPPORTED("""COMPUTED_VALUE"""),45209.6666666666)</f>
        <v>45209.666666666599</v>
      </c>
      <c r="B1203" s="1">
        <f ca="1">IFERROR(__xludf.UNSUPPORTED("""COMPUTED_VALUE"""),434.54)</f>
        <v>434.54</v>
      </c>
      <c r="C1203" s="2">
        <f t="shared" ca="1" si="4"/>
        <v>5.2048393439589162E-3</v>
      </c>
    </row>
    <row r="1204" spans="1:3">
      <c r="A1204" s="3">
        <f ca="1">IFERROR(__xludf.UNSUPPORTED("""COMPUTED_VALUE"""),45210.6666666666)</f>
        <v>45210.666666666599</v>
      </c>
      <c r="B1204" s="1">
        <f ca="1">IFERROR(__xludf.UNSUPPORTED("""COMPUTED_VALUE"""),436.32)</f>
        <v>436.32</v>
      </c>
      <c r="C1204" s="2">
        <f t="shared" ca="1" si="4"/>
        <v>4.0962857274358467E-3</v>
      </c>
    </row>
    <row r="1205" spans="1:3">
      <c r="A1205" s="3">
        <f ca="1">IFERROR(__xludf.UNSUPPORTED("""COMPUTED_VALUE"""),45211.6666666666)</f>
        <v>45211.666666666599</v>
      </c>
      <c r="B1205" s="1">
        <f ca="1">IFERROR(__xludf.UNSUPPORTED("""COMPUTED_VALUE"""),433.66)</f>
        <v>433.66</v>
      </c>
      <c r="C1205" s="2">
        <f t="shared" ca="1" si="4"/>
        <v>-6.0964429776310235E-3</v>
      </c>
    </row>
    <row r="1206" spans="1:3">
      <c r="A1206" s="3">
        <f ca="1">IFERROR(__xludf.UNSUPPORTED("""COMPUTED_VALUE"""),45212.6666666666)</f>
        <v>45212.666666666599</v>
      </c>
      <c r="B1206" s="1">
        <f ca="1">IFERROR(__xludf.UNSUPPORTED("""COMPUTED_VALUE"""),431.5)</f>
        <v>431.5</v>
      </c>
      <c r="C1206" s="2">
        <f t="shared" ca="1" si="4"/>
        <v>-4.9808605820228398E-3</v>
      </c>
    </row>
    <row r="1207" spans="1:3">
      <c r="A1207" s="3">
        <f ca="1">IFERROR(__xludf.UNSUPPORTED("""COMPUTED_VALUE"""),45215.6666666666)</f>
        <v>45215.666666666599</v>
      </c>
      <c r="B1207" s="1">
        <f ca="1">IFERROR(__xludf.UNSUPPORTED("""COMPUTED_VALUE"""),436.04)</f>
        <v>436.04</v>
      </c>
      <c r="C1207" s="2">
        <f t="shared" ca="1" si="4"/>
        <v>1.0521436848203987E-2</v>
      </c>
    </row>
    <row r="1208" spans="1:3">
      <c r="A1208" s="3">
        <f ca="1">IFERROR(__xludf.UNSUPPORTED("""COMPUTED_VALUE"""),45216.6666666666)</f>
        <v>45216.666666666599</v>
      </c>
      <c r="B1208" s="1">
        <f ca="1">IFERROR(__xludf.UNSUPPORTED("""COMPUTED_VALUE"""),436.02)</f>
        <v>436.02</v>
      </c>
      <c r="C1208" s="2">
        <f t="shared" ca="1" si="4"/>
        <v>-4.5867351619206157E-5</v>
      </c>
    </row>
    <row r="1209" spans="1:3">
      <c r="A1209" s="3">
        <f ca="1">IFERROR(__xludf.UNSUPPORTED("""COMPUTED_VALUE"""),45217.6666666666)</f>
        <v>45217.666666666599</v>
      </c>
      <c r="B1209" s="1">
        <f ca="1">IFERROR(__xludf.UNSUPPORTED("""COMPUTED_VALUE"""),430.21)</f>
        <v>430.21</v>
      </c>
      <c r="C1209" s="2">
        <f t="shared" ca="1" si="4"/>
        <v>-1.3325076831338017E-2</v>
      </c>
    </row>
    <row r="1210" spans="1:3">
      <c r="A1210" s="3">
        <f ca="1">IFERROR(__xludf.UNSUPPORTED("""COMPUTED_VALUE"""),45218.6666666666)</f>
        <v>45218.666666666599</v>
      </c>
      <c r="B1210" s="1">
        <f ca="1">IFERROR(__xludf.UNSUPPORTED("""COMPUTED_VALUE"""),426.43)</f>
        <v>426.43</v>
      </c>
      <c r="C1210" s="2">
        <f t="shared" ca="1" si="4"/>
        <v>-8.7864066386182868E-3</v>
      </c>
    </row>
    <row r="1211" spans="1:3">
      <c r="A1211" s="3">
        <f ca="1">IFERROR(__xludf.UNSUPPORTED("""COMPUTED_VALUE"""),45219.6666666666)</f>
        <v>45219.666666666599</v>
      </c>
      <c r="B1211" s="1">
        <f ca="1">IFERROR(__xludf.UNSUPPORTED("""COMPUTED_VALUE"""),421.19)</f>
        <v>421.19</v>
      </c>
      <c r="C1211" s="2">
        <f t="shared" ca="1" si="4"/>
        <v>-1.2288066036629713E-2</v>
      </c>
    </row>
    <row r="1212" spans="1:3">
      <c r="A1212" s="3">
        <f ca="1">IFERROR(__xludf.UNSUPPORTED("""COMPUTED_VALUE"""),45222.6666666666)</f>
        <v>45222.666666666599</v>
      </c>
      <c r="B1212" s="1">
        <f ca="1">IFERROR(__xludf.UNSUPPORTED("""COMPUTED_VALUE"""),420.46)</f>
        <v>420.46</v>
      </c>
      <c r="C1212" s="2">
        <f t="shared" ca="1" si="4"/>
        <v>-1.7331845485410817E-3</v>
      </c>
    </row>
    <row r="1213" spans="1:3">
      <c r="A1213" s="3">
        <f ca="1">IFERROR(__xludf.UNSUPPORTED("""COMPUTED_VALUE"""),45223.6666666666)</f>
        <v>45223.666666666599</v>
      </c>
      <c r="B1213" s="1">
        <f ca="1">IFERROR(__xludf.UNSUPPORTED("""COMPUTED_VALUE"""),423.63)</f>
        <v>423.63</v>
      </c>
      <c r="C1213" s="2">
        <f t="shared" ca="1" si="4"/>
        <v>7.5393616515245588E-3</v>
      </c>
    </row>
    <row r="1214" spans="1:3">
      <c r="A1214" s="3">
        <f ca="1">IFERROR(__xludf.UNSUPPORTED("""COMPUTED_VALUE"""),45224.6666666666)</f>
        <v>45224.666666666599</v>
      </c>
      <c r="B1214" s="1">
        <f ca="1">IFERROR(__xludf.UNSUPPORTED("""COMPUTED_VALUE"""),417.55)</f>
        <v>417.55</v>
      </c>
      <c r="C1214" s="2">
        <f t="shared" ca="1" si="4"/>
        <v>-1.4352146920661861E-2</v>
      </c>
    </row>
    <row r="1215" spans="1:3">
      <c r="A1215" s="3">
        <f ca="1">IFERROR(__xludf.UNSUPPORTED("""COMPUTED_VALUE"""),45225.6666666666)</f>
        <v>45225.666666666599</v>
      </c>
      <c r="B1215" s="1">
        <f ca="1">IFERROR(__xludf.UNSUPPORTED("""COMPUTED_VALUE"""),412.55)</f>
        <v>412.55</v>
      </c>
      <c r="C1215" s="2">
        <f t="shared" ca="1" si="4"/>
        <v>-1.1974613818704346E-2</v>
      </c>
    </row>
    <row r="1216" spans="1:3">
      <c r="A1216" s="3">
        <f ca="1">IFERROR(__xludf.UNSUPPORTED("""COMPUTED_VALUE"""),45226.6666666666)</f>
        <v>45226.666666666599</v>
      </c>
      <c r="B1216" s="1">
        <f ca="1">IFERROR(__xludf.UNSUPPORTED("""COMPUTED_VALUE"""),410.68)</f>
        <v>410.68</v>
      </c>
      <c r="C1216" s="2">
        <f t="shared" ca="1" si="4"/>
        <v>-4.5327839049812257E-3</v>
      </c>
    </row>
    <row r="1217" spans="1:3">
      <c r="A1217" s="3">
        <f ca="1">IFERROR(__xludf.UNSUPPORTED("""COMPUTED_VALUE"""),45229.6666666666)</f>
        <v>45229.666666666599</v>
      </c>
      <c r="B1217" s="1">
        <f ca="1">IFERROR(__xludf.UNSUPPORTED("""COMPUTED_VALUE"""),415.59)</f>
        <v>415.59</v>
      </c>
      <c r="C1217" s="2">
        <f t="shared" ca="1" si="4"/>
        <v>1.1955780656472115E-2</v>
      </c>
    </row>
    <row r="1218" spans="1:3">
      <c r="A1218" s="3">
        <f ca="1">IFERROR(__xludf.UNSUPPORTED("""COMPUTED_VALUE"""),45230.6666666666)</f>
        <v>45230.666666666599</v>
      </c>
      <c r="B1218" s="1">
        <f ca="1">IFERROR(__xludf.UNSUPPORTED("""COMPUTED_VALUE"""),418.2)</f>
        <v>418.2</v>
      </c>
      <c r="C1218" s="2">
        <f t="shared" ca="1" si="4"/>
        <v>6.2802281094348125E-3</v>
      </c>
    </row>
    <row r="1219" spans="1:3">
      <c r="A1219" s="3">
        <f ca="1">IFERROR(__xludf.UNSUPPORTED("""COMPUTED_VALUE"""),45231.6666666666)</f>
        <v>45231.666666666599</v>
      </c>
      <c r="B1219" s="1">
        <f ca="1">IFERROR(__xludf.UNSUPPORTED("""COMPUTED_VALUE"""),422.66)</f>
        <v>422.66</v>
      </c>
      <c r="C1219" s="2">
        <f t="shared" ca="1" si="4"/>
        <v>1.0664753706360681E-2</v>
      </c>
    </row>
    <row r="1220" spans="1:3">
      <c r="A1220" s="3">
        <f ca="1">IFERROR(__xludf.UNSUPPORTED("""COMPUTED_VALUE"""),45232.6666666666)</f>
        <v>45232.666666666599</v>
      </c>
      <c r="B1220" s="1">
        <f ca="1">IFERROR(__xludf.UNSUPPORTED("""COMPUTED_VALUE"""),430.76)</f>
        <v>430.76</v>
      </c>
      <c r="C1220" s="2">
        <f t="shared" ca="1" si="4"/>
        <v>1.9164340131547733E-2</v>
      </c>
    </row>
    <row r="1221" spans="1:3">
      <c r="A1221" s="3">
        <f ca="1">IFERROR(__xludf.UNSUPPORTED("""COMPUTED_VALUE"""),45233.6666666666)</f>
        <v>45233.666666666599</v>
      </c>
      <c r="B1221" s="1">
        <f ca="1">IFERROR(__xludf.UNSUPPORTED("""COMPUTED_VALUE"""),434.69)</f>
        <v>434.69</v>
      </c>
      <c r="C1221" s="2">
        <f t="shared" ca="1" si="4"/>
        <v>9.1234097873526022E-3</v>
      </c>
    </row>
    <row r="1222" spans="1:3">
      <c r="A1222" s="3">
        <f ca="1">IFERROR(__xludf.UNSUPPORTED("""COMPUTED_VALUE"""),45236.6666666666)</f>
        <v>45236.666666666599</v>
      </c>
      <c r="B1222" s="1">
        <f ca="1">IFERROR(__xludf.UNSUPPORTED("""COMPUTED_VALUE"""),435.69)</f>
        <v>435.69</v>
      </c>
      <c r="C1222" s="2">
        <f t="shared" ca="1" si="4"/>
        <v>2.3004900043709312E-3</v>
      </c>
    </row>
    <row r="1223" spans="1:3">
      <c r="A1223" s="3">
        <f ca="1">IFERROR(__xludf.UNSUPPORTED("""COMPUTED_VALUE"""),45237.6666666666)</f>
        <v>45237.666666666599</v>
      </c>
      <c r="B1223" s="1">
        <f ca="1">IFERROR(__xludf.UNSUPPORTED("""COMPUTED_VALUE"""),436.93)</f>
        <v>436.93</v>
      </c>
      <c r="C1223" s="2">
        <f t="shared" ca="1" si="4"/>
        <v>2.8460602722119146E-3</v>
      </c>
    </row>
    <row r="1224" spans="1:3">
      <c r="A1224" s="3">
        <f ca="1">IFERROR(__xludf.UNSUPPORTED("""COMPUTED_VALUE"""),45238.6666666666)</f>
        <v>45238.666666666599</v>
      </c>
      <c r="B1224" s="1">
        <f ca="1">IFERROR(__xludf.UNSUPPORTED("""COMPUTED_VALUE"""),437.25)</f>
        <v>437.25</v>
      </c>
      <c r="C1224" s="2">
        <f t="shared" ca="1" si="4"/>
        <v>7.3238276154073462E-4</v>
      </c>
    </row>
    <row r="1225" spans="1:3">
      <c r="A1225" s="3">
        <f ca="1">IFERROR(__xludf.UNSUPPORTED("""COMPUTED_VALUE"""),45239.6666666666)</f>
        <v>45239.666666666599</v>
      </c>
      <c r="B1225" s="1">
        <f ca="1">IFERROR(__xludf.UNSUPPORTED("""COMPUTED_VALUE"""),433.84)</f>
        <v>433.84</v>
      </c>
      <c r="C1225" s="2">
        <f t="shared" ca="1" si="4"/>
        <v>-7.7987421383648369E-3</v>
      </c>
    </row>
    <row r="1226" spans="1:3">
      <c r="A1226" s="3">
        <f ca="1">IFERROR(__xludf.UNSUPPORTED("""COMPUTED_VALUE"""),45240.6666666666)</f>
        <v>45240.666666666599</v>
      </c>
      <c r="B1226" s="1">
        <f ca="1">IFERROR(__xludf.UNSUPPORTED("""COMPUTED_VALUE"""),440.61)</f>
        <v>440.61</v>
      </c>
      <c r="C1226" s="2">
        <f t="shared" ca="1" si="4"/>
        <v>1.5604831274202561E-2</v>
      </c>
    </row>
    <row r="1227" spans="1:3">
      <c r="A1227" s="3">
        <f ca="1">IFERROR(__xludf.UNSUPPORTED("""COMPUTED_VALUE"""),45243.6666666666)</f>
        <v>45243.666666666599</v>
      </c>
      <c r="B1227" s="1">
        <f ca="1">IFERROR(__xludf.UNSUPPORTED("""COMPUTED_VALUE"""),440.19)</f>
        <v>440.19</v>
      </c>
      <c r="C1227" s="2">
        <f t="shared" ca="1" si="4"/>
        <v>-9.5322393953840335E-4</v>
      </c>
    </row>
    <row r="1228" spans="1:3">
      <c r="A1228" s="3">
        <f ca="1">IFERROR(__xludf.UNSUPPORTED("""COMPUTED_VALUE"""),45244.6666666666)</f>
        <v>45244.666666666599</v>
      </c>
      <c r="B1228" s="1">
        <f ca="1">IFERROR(__xludf.UNSUPPORTED("""COMPUTED_VALUE"""),448.73)</f>
        <v>448.73</v>
      </c>
      <c r="C1228" s="2">
        <f t="shared" ca="1" si="4"/>
        <v>1.9400713328335539E-2</v>
      </c>
    </row>
    <row r="1229" spans="1:3">
      <c r="A1229" s="3">
        <f ca="1">IFERROR(__xludf.UNSUPPORTED("""COMPUTED_VALUE"""),45245.6666666666)</f>
        <v>45245.666666666599</v>
      </c>
      <c r="B1229" s="1">
        <f ca="1">IFERROR(__xludf.UNSUPPORTED("""COMPUTED_VALUE"""),449.68)</f>
        <v>449.68</v>
      </c>
      <c r="C1229" s="2">
        <f t="shared" ca="1" si="4"/>
        <v>2.1170859982617357E-3</v>
      </c>
    </row>
    <row r="1230" spans="1:3">
      <c r="A1230" s="3">
        <f ca="1">IFERROR(__xludf.UNSUPPORTED("""COMPUTED_VALUE"""),45246.6666666666)</f>
        <v>45246.666666666599</v>
      </c>
      <c r="B1230" s="1">
        <f ca="1">IFERROR(__xludf.UNSUPPORTED("""COMPUTED_VALUE"""),450.23)</f>
        <v>450.23</v>
      </c>
      <c r="C1230" s="2">
        <f t="shared" ca="1" si="4"/>
        <v>1.2230919765166594E-3</v>
      </c>
    </row>
    <row r="1231" spans="1:3">
      <c r="A1231" s="3">
        <f ca="1">IFERROR(__xludf.UNSUPPORTED("""COMPUTED_VALUE"""),45247.6666666666)</f>
        <v>45247.666666666599</v>
      </c>
      <c r="B1231" s="1">
        <f ca="1">IFERROR(__xludf.UNSUPPORTED("""COMPUTED_VALUE"""),450.79)</f>
        <v>450.79</v>
      </c>
      <c r="C1231" s="2">
        <f t="shared" ca="1" si="4"/>
        <v>1.2438087199875669E-3</v>
      </c>
    </row>
    <row r="1232" spans="1:3">
      <c r="A1232" s="3">
        <f ca="1">IFERROR(__xludf.UNSUPPORTED("""COMPUTED_VALUE"""),45250.6666666666)</f>
        <v>45250.666666666599</v>
      </c>
      <c r="B1232" s="1">
        <f ca="1">IFERROR(__xludf.UNSUPPORTED("""COMPUTED_VALUE"""),454.26)</f>
        <v>454.26</v>
      </c>
      <c r="C1232" s="2">
        <f t="shared" ca="1" si="4"/>
        <v>7.6975975509660155E-3</v>
      </c>
    </row>
    <row r="1233" spans="1:3">
      <c r="A1233" s="3">
        <f ca="1">IFERROR(__xludf.UNSUPPORTED("""COMPUTED_VALUE"""),45251.6666666666)</f>
        <v>45251.666666666599</v>
      </c>
      <c r="B1233" s="1">
        <f ca="1">IFERROR(__xludf.UNSUPPORTED("""COMPUTED_VALUE"""),453.27)</f>
        <v>453.27</v>
      </c>
      <c r="C1233" s="2">
        <f t="shared" ca="1" si="4"/>
        <v>-2.1793686435081431E-3</v>
      </c>
    </row>
    <row r="1234" spans="1:3">
      <c r="A1234" s="3">
        <f ca="1">IFERROR(__xludf.UNSUPPORTED("""COMPUTED_VALUE"""),45252.6666666666)</f>
        <v>45252.666666666599</v>
      </c>
      <c r="B1234" s="1">
        <f ca="1">IFERROR(__xludf.UNSUPPORTED("""COMPUTED_VALUE"""),455.02)</f>
        <v>455.02</v>
      </c>
      <c r="C1234" s="2">
        <f t="shared" ca="1" si="4"/>
        <v>3.8608334987976262E-3</v>
      </c>
    </row>
    <row r="1235" spans="1:3">
      <c r="A1235" s="3">
        <f ca="1">IFERROR(__xludf.UNSUPPORTED("""COMPUTED_VALUE"""),45254.5520833333)</f>
        <v>45254.552083333299</v>
      </c>
      <c r="B1235" s="1">
        <f ca="1">IFERROR(__xludf.UNSUPPORTED("""COMPUTED_VALUE"""),455.3)</f>
        <v>455.3</v>
      </c>
      <c r="C1235" s="2">
        <f t="shared" ca="1" si="4"/>
        <v>6.1535756670042983E-4</v>
      </c>
    </row>
    <row r="1236" spans="1:3">
      <c r="A1236" s="3">
        <f ca="1">IFERROR(__xludf.UNSUPPORTED("""COMPUTED_VALUE"""),45257.6666666666)</f>
        <v>45257.666666666599</v>
      </c>
      <c r="B1236" s="1">
        <f ca="1">IFERROR(__xludf.UNSUPPORTED("""COMPUTED_VALUE"""),454.48)</f>
        <v>454.48</v>
      </c>
      <c r="C1236" s="2">
        <f t="shared" ca="1" si="4"/>
        <v>-1.8010103228640307E-3</v>
      </c>
    </row>
    <row r="1237" spans="1:3">
      <c r="A1237" s="3">
        <f ca="1">IFERROR(__xludf.UNSUPPORTED("""COMPUTED_VALUE"""),45258.6666666666)</f>
        <v>45258.666666666599</v>
      </c>
      <c r="B1237" s="1">
        <f ca="1">IFERROR(__xludf.UNSUPPORTED("""COMPUTED_VALUE"""),454.93)</f>
        <v>454.93</v>
      </c>
      <c r="C1237" s="2">
        <f t="shared" ca="1" si="4"/>
        <v>9.9014258053157144E-4</v>
      </c>
    </row>
    <row r="1238" spans="1:3">
      <c r="A1238" s="3">
        <f ca="1">IFERROR(__xludf.UNSUPPORTED("""COMPUTED_VALUE"""),45259.6666666666)</f>
        <v>45259.666666666599</v>
      </c>
      <c r="B1238" s="1">
        <f ca="1">IFERROR(__xludf.UNSUPPORTED("""COMPUTED_VALUE"""),454.61)</f>
        <v>454.61</v>
      </c>
      <c r="C1238" s="2">
        <f t="shared" ca="1" si="4"/>
        <v>-7.0340491943814035E-4</v>
      </c>
    </row>
    <row r="1239" spans="1:3">
      <c r="A1239" s="3">
        <f ca="1">IFERROR(__xludf.UNSUPPORTED("""COMPUTED_VALUE"""),45260.6666666666)</f>
        <v>45260.666666666599</v>
      </c>
      <c r="B1239" s="1">
        <f ca="1">IFERROR(__xludf.UNSUPPORTED("""COMPUTED_VALUE"""),456.4)</f>
        <v>456.4</v>
      </c>
      <c r="C1239" s="2">
        <f t="shared" ca="1" si="4"/>
        <v>3.9374408833944777E-3</v>
      </c>
    </row>
    <row r="1240" spans="1:3">
      <c r="A1240" s="3">
        <f ca="1">IFERROR(__xludf.UNSUPPORTED("""COMPUTED_VALUE"""),45261.6666666666)</f>
        <v>45261.666666666599</v>
      </c>
      <c r="B1240" s="1">
        <f ca="1">IFERROR(__xludf.UNSUPPORTED("""COMPUTED_VALUE"""),459.1)</f>
        <v>459.1</v>
      </c>
      <c r="C1240" s="2">
        <f t="shared" ca="1" si="4"/>
        <v>5.9158632778265677E-3</v>
      </c>
    </row>
    <row r="1241" spans="1:3">
      <c r="A1241" s="3">
        <f ca="1">IFERROR(__xludf.UNSUPPORTED("""COMPUTED_VALUE"""),45264.6666666666)</f>
        <v>45264.666666666599</v>
      </c>
      <c r="B1241" s="1">
        <f ca="1">IFERROR(__xludf.UNSUPPORTED("""COMPUTED_VALUE"""),456.69)</f>
        <v>456.69</v>
      </c>
      <c r="C1241" s="2">
        <f t="shared" ca="1" si="4"/>
        <v>-5.2494010019604118E-3</v>
      </c>
    </row>
    <row r="1242" spans="1:3">
      <c r="A1242" s="3">
        <f ca="1">IFERROR(__xludf.UNSUPPORTED("""COMPUTED_VALUE"""),45265.6666666666)</f>
        <v>45265.666666666599</v>
      </c>
      <c r="B1242" s="1">
        <f ca="1">IFERROR(__xludf.UNSUPPORTED("""COMPUTED_VALUE"""),456.6)</f>
        <v>456.6</v>
      </c>
      <c r="C1242" s="2">
        <f t="shared" ca="1" si="4"/>
        <v>-1.9707022268929686E-4</v>
      </c>
    </row>
    <row r="1243" spans="1:3">
      <c r="A1243" s="3">
        <f ca="1">IFERROR(__xludf.UNSUPPORTED("""COMPUTED_VALUE"""),45266.6666666666)</f>
        <v>45266.666666666599</v>
      </c>
      <c r="B1243" s="1">
        <f ca="1">IFERROR(__xludf.UNSUPPORTED("""COMPUTED_VALUE"""),454.76)</f>
        <v>454.76</v>
      </c>
      <c r="C1243" s="2">
        <f t="shared" ca="1" si="4"/>
        <v>-4.0297853701270958E-3</v>
      </c>
    </row>
    <row r="1244" spans="1:3">
      <c r="A1244" s="3">
        <f ca="1">IFERROR(__xludf.UNSUPPORTED("""COMPUTED_VALUE"""),45267.6666666666)</f>
        <v>45267.666666666599</v>
      </c>
      <c r="B1244" s="1">
        <f ca="1">IFERROR(__xludf.UNSUPPORTED("""COMPUTED_VALUE"""),458.23)</f>
        <v>458.23</v>
      </c>
      <c r="C1244" s="2">
        <f t="shared" ca="1" si="4"/>
        <v>7.6303984519307489E-3</v>
      </c>
    </row>
    <row r="1245" spans="1:3">
      <c r="A1245" s="3">
        <f ca="1">IFERROR(__xludf.UNSUPPORTED("""COMPUTED_VALUE"""),45268.6666666666)</f>
        <v>45268.666666666599</v>
      </c>
      <c r="B1245" s="1">
        <f ca="1">IFERROR(__xludf.UNSUPPORTED("""COMPUTED_VALUE"""),460.2)</f>
        <v>460.2</v>
      </c>
      <c r="C1245" s="2">
        <f t="shared" ca="1" si="4"/>
        <v>4.2991510813346363E-3</v>
      </c>
    </row>
    <row r="1246" spans="1:3">
      <c r="A1246" s="3">
        <f ca="1">IFERROR(__xludf.UNSUPPORTED("""COMPUTED_VALUE"""),45271.6666666666)</f>
        <v>45271.666666666599</v>
      </c>
      <c r="B1246" s="1">
        <f ca="1">IFERROR(__xludf.UNSUPPORTED("""COMPUTED_VALUE"""),461.99)</f>
        <v>461.99</v>
      </c>
      <c r="C1246" s="2">
        <f t="shared" ca="1" si="4"/>
        <v>3.8896132116471543E-3</v>
      </c>
    </row>
    <row r="1247" spans="1:3">
      <c r="A1247" s="3">
        <f ca="1">IFERROR(__xludf.UNSUPPORTED("""COMPUTED_VALUE"""),45272.6666666666)</f>
        <v>45272.666666666599</v>
      </c>
      <c r="B1247" s="1">
        <f ca="1">IFERROR(__xludf.UNSUPPORTED("""COMPUTED_VALUE"""),464.1)</f>
        <v>464.1</v>
      </c>
      <c r="C1247" s="2">
        <f t="shared" ca="1" si="4"/>
        <v>4.5671984242083453E-3</v>
      </c>
    </row>
    <row r="1248" spans="1:3">
      <c r="A1248" s="3">
        <f ca="1">IFERROR(__xludf.UNSUPPORTED("""COMPUTED_VALUE"""),45273.6666666666)</f>
        <v>45273.666666666599</v>
      </c>
      <c r="B1248" s="1">
        <f ca="1">IFERROR(__xludf.UNSUPPORTED("""COMPUTED_VALUE"""),470.5)</f>
        <v>470.5</v>
      </c>
      <c r="C1248" s="2">
        <f t="shared" ca="1" si="4"/>
        <v>1.3790131437190212E-2</v>
      </c>
    </row>
    <row r="1249" spans="1:3">
      <c r="A1249" s="3">
        <f ca="1">IFERROR(__xludf.UNSUPPORTED("""COMPUTED_VALUE"""),45274.6666666666)</f>
        <v>45274.666666666599</v>
      </c>
      <c r="B1249" s="1">
        <f ca="1">IFERROR(__xludf.UNSUPPORTED("""COMPUTED_VALUE"""),472.01)</f>
        <v>472.01</v>
      </c>
      <c r="C1249" s="2">
        <f t="shared" ca="1" si="4"/>
        <v>3.2093517534537534E-3</v>
      </c>
    </row>
    <row r="1250" spans="1:3">
      <c r="A1250" s="3">
        <f ca="1">IFERROR(__xludf.UNSUPPORTED("""COMPUTED_VALUE"""),45275.6666666666)</f>
        <v>45275.666666666599</v>
      </c>
      <c r="B1250" s="1">
        <f ca="1">IFERROR(__xludf.UNSUPPORTED("""COMPUTED_VALUE"""),469.33)</f>
        <v>469.33</v>
      </c>
      <c r="C1250" s="2">
        <f t="shared" ca="1" si="4"/>
        <v>-5.6778458083515324E-3</v>
      </c>
    </row>
    <row r="1251" spans="1:3">
      <c r="A1251" s="3">
        <f ca="1">IFERROR(__xludf.UNSUPPORTED("""COMPUTED_VALUE"""),45278.6666666666)</f>
        <v>45278.666666666599</v>
      </c>
      <c r="B1251" s="1">
        <f ca="1">IFERROR(__xludf.UNSUPPORTED("""COMPUTED_VALUE"""),471.97)</f>
        <v>471.97</v>
      </c>
      <c r="C1251" s="2">
        <f t="shared" ca="1" si="4"/>
        <v>5.6250399505679231E-3</v>
      </c>
    </row>
    <row r="1252" spans="1:3">
      <c r="A1252" s="3">
        <f ca="1">IFERROR(__xludf.UNSUPPORTED("""COMPUTED_VALUE"""),45279.6666666666)</f>
        <v>45279.666666666599</v>
      </c>
      <c r="B1252" s="1">
        <f ca="1">IFERROR(__xludf.UNSUPPORTED("""COMPUTED_VALUE"""),474.84)</f>
        <v>474.84</v>
      </c>
      <c r="C1252" s="2">
        <f t="shared" ca="1" si="4"/>
        <v>6.0808949721379481E-3</v>
      </c>
    </row>
    <row r="1253" spans="1:3">
      <c r="A1253" s="3">
        <f ca="1">IFERROR(__xludf.UNSUPPORTED("""COMPUTED_VALUE"""),45280.6666666666)</f>
        <v>45280.666666666599</v>
      </c>
      <c r="B1253" s="1">
        <f ca="1">IFERROR(__xludf.UNSUPPORTED("""COMPUTED_VALUE"""),468.26)</f>
        <v>468.26</v>
      </c>
      <c r="C1253" s="2">
        <f t="shared" ca="1" si="4"/>
        <v>-1.3857299300817085E-2</v>
      </c>
    </row>
    <row r="1254" spans="1:3">
      <c r="A1254" s="3">
        <f ca="1">IFERROR(__xludf.UNSUPPORTED("""COMPUTED_VALUE"""),45281.6666666666)</f>
        <v>45281.666666666599</v>
      </c>
      <c r="B1254" s="1">
        <f ca="1">IFERROR(__xludf.UNSUPPORTED("""COMPUTED_VALUE"""),472.7)</f>
        <v>472.7</v>
      </c>
      <c r="C1254" s="2">
        <f t="shared" ca="1" si="4"/>
        <v>9.4819117584248012E-3</v>
      </c>
    </row>
    <row r="1255" spans="1:3">
      <c r="A1255" s="3">
        <f ca="1">IFERROR(__xludf.UNSUPPORTED("""COMPUTED_VALUE"""),45282.6666666666)</f>
        <v>45282.666666666599</v>
      </c>
      <c r="B1255" s="1">
        <f ca="1">IFERROR(__xludf.UNSUPPORTED("""COMPUTED_VALUE"""),473.65)</f>
        <v>473.65</v>
      </c>
      <c r="C1255" s="2">
        <f t="shared" ca="1" si="4"/>
        <v>2.0097313306536675E-3</v>
      </c>
    </row>
    <row r="1256" spans="1:3">
      <c r="A1256" s="3">
        <f ca="1">IFERROR(__xludf.UNSUPPORTED("""COMPUTED_VALUE"""),45286.6666666666)</f>
        <v>45286.666666666599</v>
      </c>
      <c r="B1256" s="1">
        <f ca="1">IFERROR(__xludf.UNSUPPORTED("""COMPUTED_VALUE"""),475.65)</f>
        <v>475.65</v>
      </c>
      <c r="C1256" s="2">
        <f t="shared" ca="1" si="4"/>
        <v>4.2225271825187373E-3</v>
      </c>
    </row>
    <row r="1257" spans="1:3">
      <c r="A1257" s="3">
        <f ca="1">IFERROR(__xludf.UNSUPPORTED("""COMPUTED_VALUE"""),45287.6666666666)</f>
        <v>45287.666666666599</v>
      </c>
      <c r="B1257" s="1">
        <f ca="1">IFERROR(__xludf.UNSUPPORTED("""COMPUTED_VALUE"""),476.51)</f>
        <v>476.51</v>
      </c>
      <c r="C1257" s="2">
        <f t="shared" ca="1" si="4"/>
        <v>1.8080521391779958E-3</v>
      </c>
    </row>
    <row r="1258" spans="1:3">
      <c r="A1258" s="3">
        <f ca="1">IFERROR(__xludf.UNSUPPORTED("""COMPUTED_VALUE"""),45288.6666666666)</f>
        <v>45288.666666666599</v>
      </c>
      <c r="B1258" s="1">
        <f ca="1">IFERROR(__xludf.UNSUPPORTED("""COMPUTED_VALUE"""),476.69)</f>
        <v>476.69</v>
      </c>
      <c r="C1258" s="2">
        <f t="shared" ca="1" si="4"/>
        <v>3.7774653207699069E-4</v>
      </c>
    </row>
    <row r="1259" spans="1:3">
      <c r="A1259" s="3">
        <f ca="1">IFERROR(__xludf.UNSUPPORTED("""COMPUTED_VALUE"""),45289.6666666666)</f>
        <v>45289.666666666599</v>
      </c>
      <c r="B1259" s="1">
        <f ca="1">IFERROR(__xludf.UNSUPPORTED("""COMPUTED_VALUE"""),475.31)</f>
        <v>475.31</v>
      </c>
      <c r="C1259" s="2">
        <f t="shared" ca="1" si="4"/>
        <v>-2.8949631836203728E-3</v>
      </c>
    </row>
    <row r="1260" spans="1:3">
      <c r="A1260" s="3">
        <f ca="1">IFERROR(__xludf.UNSUPPORTED("""COMPUTED_VALUE"""),45293.6666666666)</f>
        <v>45293.666666666599</v>
      </c>
      <c r="B1260" s="1">
        <f ca="1">IFERROR(__xludf.UNSUPPORTED("""COMPUTED_VALUE"""),472.65)</f>
        <v>472.65</v>
      </c>
      <c r="C1260" s="2">
        <f t="shared" ca="1" si="4"/>
        <v>-5.5963476467989839E-3</v>
      </c>
    </row>
    <row r="1261" spans="1:3">
      <c r="A1261" s="3">
        <f ca="1">IFERROR(__xludf.UNSUPPORTED("""COMPUTED_VALUE"""),45294.6666666666)</f>
        <v>45294.666666666599</v>
      </c>
      <c r="B1261" s="1">
        <f ca="1">IFERROR(__xludf.UNSUPPORTED("""COMPUTED_VALUE"""),468.79)</f>
        <v>468.79</v>
      </c>
      <c r="C1261" s="2">
        <f t="shared" ca="1" si="4"/>
        <v>-8.1667195599279749E-3</v>
      </c>
    </row>
    <row r="1262" spans="1:3">
      <c r="A1262" s="3">
        <f ca="1">IFERROR(__xludf.UNSUPPORTED("""COMPUTED_VALUE"""),45295.6666666666)</f>
        <v>45295.666666666599</v>
      </c>
      <c r="B1262" s="1">
        <f ca="1">IFERROR(__xludf.UNSUPPORTED("""COMPUTED_VALUE"""),467.28)</f>
        <v>467.28</v>
      </c>
      <c r="C1262" s="2">
        <f t="shared" ca="1" si="4"/>
        <v>-3.2210584696773558E-3</v>
      </c>
    </row>
    <row r="1263" spans="1:3">
      <c r="A1263" s="3">
        <f ca="1">IFERROR(__xludf.UNSUPPORTED("""COMPUTED_VALUE"""),45296.6666666666)</f>
        <v>45296.666666666599</v>
      </c>
      <c r="B1263" s="1">
        <f ca="1">IFERROR(__xludf.UNSUPPORTED("""COMPUTED_VALUE"""),467.92)</f>
        <v>467.92</v>
      </c>
      <c r="C1263" s="2">
        <f t="shared" ca="1" si="4"/>
        <v>1.3696284882726486E-3</v>
      </c>
    </row>
    <row r="1264" spans="1:3">
      <c r="A1264" s="3">
        <f ca="1">IFERROR(__xludf.UNSUPPORTED("""COMPUTED_VALUE"""),45299.6666666666)</f>
        <v>45299.666666666599</v>
      </c>
      <c r="B1264" s="1">
        <f ca="1">IFERROR(__xludf.UNSUPPORTED("""COMPUTED_VALUE"""),474.6)</f>
        <v>474.6</v>
      </c>
      <c r="C1264" s="2">
        <f t="shared" ca="1" si="4"/>
        <v>1.4275944605915556E-2</v>
      </c>
    </row>
    <row r="1265" spans="1:3">
      <c r="A1265" s="3">
        <f ca="1">IFERROR(__xludf.UNSUPPORTED("""COMPUTED_VALUE"""),45300.6666666666)</f>
        <v>45300.666666666599</v>
      </c>
      <c r="B1265" s="1">
        <f ca="1">IFERROR(__xludf.UNSUPPORTED("""COMPUTED_VALUE"""),473.88)</f>
        <v>473.88</v>
      </c>
      <c r="C1265" s="2">
        <f t="shared" ca="1" si="4"/>
        <v>-1.517067003792725E-3</v>
      </c>
    </row>
    <row r="1266" spans="1:3">
      <c r="A1266" s="3">
        <f ca="1">IFERROR(__xludf.UNSUPPORTED("""COMPUTED_VALUE"""),45301.6666666666)</f>
        <v>45301.666666666599</v>
      </c>
      <c r="B1266" s="1">
        <f ca="1">IFERROR(__xludf.UNSUPPORTED("""COMPUTED_VALUE"""),476.56)</f>
        <v>476.56</v>
      </c>
      <c r="C1266" s="2">
        <f t="shared" ca="1" si="4"/>
        <v>5.6554401958301822E-3</v>
      </c>
    </row>
    <row r="1267" spans="1:3">
      <c r="A1267" s="3">
        <f ca="1">IFERROR(__xludf.UNSUPPORTED("""COMPUTED_VALUE"""),45302.6666666666)</f>
        <v>45302.666666666599</v>
      </c>
      <c r="B1267" s="1">
        <f ca="1">IFERROR(__xludf.UNSUPPORTED("""COMPUTED_VALUE"""),476.35)</f>
        <v>476.35</v>
      </c>
      <c r="C1267" s="2">
        <f t="shared" ca="1" si="4"/>
        <v>-4.4065804935365861E-4</v>
      </c>
    </row>
    <row r="1268" spans="1:3">
      <c r="A1268" s="3">
        <f ca="1">IFERROR(__xludf.UNSUPPORTED("""COMPUTED_VALUE"""),45303.6666666666)</f>
        <v>45303.666666666599</v>
      </c>
      <c r="B1268" s="1">
        <f ca="1">IFERROR(__xludf.UNSUPPORTED("""COMPUTED_VALUE"""),476.68)</f>
        <v>476.68</v>
      </c>
      <c r="C1268" s="2">
        <f t="shared" ca="1" si="4"/>
        <v>6.9276792274584669E-4</v>
      </c>
    </row>
    <row r="1269" spans="1:3">
      <c r="A1269" s="3">
        <f ca="1">IFERROR(__xludf.UNSUPPORTED("""COMPUTED_VALUE"""),45307.6666666666)</f>
        <v>45307.666666666599</v>
      </c>
      <c r="B1269" s="1">
        <f ca="1">IFERROR(__xludf.UNSUPPORTED("""COMPUTED_VALUE"""),474.93)</f>
        <v>474.93</v>
      </c>
      <c r="C1269" s="2">
        <f t="shared" ca="1" si="4"/>
        <v>-3.6712259796928756E-3</v>
      </c>
    </row>
    <row r="1270" spans="1:3">
      <c r="A1270" s="3">
        <f ca="1">IFERROR(__xludf.UNSUPPORTED("""COMPUTED_VALUE"""),45308.6666666666)</f>
        <v>45308.666666666599</v>
      </c>
      <c r="B1270" s="1">
        <f ca="1">IFERROR(__xludf.UNSUPPORTED("""COMPUTED_VALUE"""),472.29)</f>
        <v>472.29</v>
      </c>
      <c r="C1270" s="2">
        <f t="shared" ca="1" si="4"/>
        <v>-5.5587139157349218E-3</v>
      </c>
    </row>
    <row r="1271" spans="1:3">
      <c r="A1271" s="3">
        <f ca="1">IFERROR(__xludf.UNSUPPORTED("""COMPUTED_VALUE"""),45309.6666666666)</f>
        <v>45309.666666666599</v>
      </c>
      <c r="B1271" s="1">
        <f ca="1">IFERROR(__xludf.UNSUPPORTED("""COMPUTED_VALUE"""),476.49)</f>
        <v>476.49</v>
      </c>
      <c r="C1271" s="2">
        <f t="shared" ca="1" si="4"/>
        <v>8.8928412627834342E-3</v>
      </c>
    </row>
    <row r="1272" spans="1:3">
      <c r="A1272" s="3">
        <f ca="1">IFERROR(__xludf.UNSUPPORTED("""COMPUTED_VALUE"""),45310.6666666666)</f>
        <v>45310.666666666599</v>
      </c>
      <c r="B1272" s="1">
        <f ca="1">IFERROR(__xludf.UNSUPPORTED("""COMPUTED_VALUE"""),482.43)</f>
        <v>482.43</v>
      </c>
      <c r="C1272" s="2">
        <f t="shared" ca="1" si="4"/>
        <v>1.2466158786123524E-2</v>
      </c>
    </row>
    <row r="1273" spans="1:3">
      <c r="A1273" s="3">
        <f ca="1">IFERROR(__xludf.UNSUPPORTED("""COMPUTED_VALUE"""),45313.6666666666)</f>
        <v>45313.666666666599</v>
      </c>
      <c r="B1273" s="1">
        <f ca="1">IFERROR(__xludf.UNSUPPORTED("""COMPUTED_VALUE"""),483.45)</f>
        <v>483.45</v>
      </c>
      <c r="C1273" s="2">
        <f t="shared" ca="1" si="4"/>
        <v>2.1142963746035317E-3</v>
      </c>
    </row>
    <row r="1274" spans="1:3">
      <c r="A1274" s="3">
        <f ca="1">IFERROR(__xludf.UNSUPPORTED("""COMPUTED_VALUE"""),45314.6666666666)</f>
        <v>45314.666666666599</v>
      </c>
      <c r="B1274" s="1">
        <f ca="1">IFERROR(__xludf.UNSUPPORTED("""COMPUTED_VALUE"""),484.86)</f>
        <v>484.86</v>
      </c>
      <c r="C1274" s="2">
        <f t="shared" ca="1" si="4"/>
        <v>2.9165373875272003E-3</v>
      </c>
    </row>
    <row r="1275" spans="1:3">
      <c r="A1275" s="3">
        <f ca="1">IFERROR(__xludf.UNSUPPORTED("""COMPUTED_VALUE"""),45315.6666666666)</f>
        <v>45315.666666666599</v>
      </c>
      <c r="B1275" s="1">
        <f ca="1">IFERROR(__xludf.UNSUPPORTED("""COMPUTED_VALUE"""),485.39)</f>
        <v>485.39</v>
      </c>
      <c r="C1275" s="2">
        <f t="shared" ca="1" si="4"/>
        <v>1.0930990388977699E-3</v>
      </c>
    </row>
    <row r="1276" spans="1:3">
      <c r="A1276" s="3">
        <f ca="1">IFERROR(__xludf.UNSUPPORTED("""COMPUTED_VALUE"""),45316.6666666666)</f>
        <v>45316.666666666599</v>
      </c>
      <c r="B1276" s="1">
        <f ca="1">IFERROR(__xludf.UNSUPPORTED("""COMPUTED_VALUE"""),488.03)</f>
        <v>488.03</v>
      </c>
      <c r="C1276" s="2">
        <f t="shared" ca="1" si="4"/>
        <v>5.4389254001936307E-3</v>
      </c>
    </row>
    <row r="1277" spans="1:3">
      <c r="A1277" s="3">
        <f ca="1">IFERROR(__xludf.UNSUPPORTED("""COMPUTED_VALUE"""),45317.6666666666)</f>
        <v>45317.666666666599</v>
      </c>
      <c r="B1277" s="1">
        <f ca="1">IFERROR(__xludf.UNSUPPORTED("""COMPUTED_VALUE"""),487.41)</f>
        <v>487.41</v>
      </c>
      <c r="C1277" s="2">
        <f t="shared" ca="1" si="4"/>
        <v>-1.270413704075462E-3</v>
      </c>
    </row>
    <row r="1278" spans="1:3">
      <c r="A1278" s="3">
        <f ca="1">IFERROR(__xludf.UNSUPPORTED("""COMPUTED_VALUE"""),45320.6666666666)</f>
        <v>45320.666666666599</v>
      </c>
      <c r="B1278" s="1">
        <f ca="1">IFERROR(__xludf.UNSUPPORTED("""COMPUTED_VALUE"""),491.27)</f>
        <v>491.27</v>
      </c>
      <c r="C1278" s="2">
        <f t="shared" ref="C1278:C1532" ca="1" si="5">(B1278-B1277)/B1277</f>
        <v>7.9194107630125698E-3</v>
      </c>
    </row>
    <row r="1279" spans="1:3">
      <c r="A1279" s="3">
        <f ca="1">IFERROR(__xludf.UNSUPPORTED("""COMPUTED_VALUE"""),45321.6666666666)</f>
        <v>45321.666666666599</v>
      </c>
      <c r="B1279" s="1">
        <f ca="1">IFERROR(__xludf.UNSUPPORTED("""COMPUTED_VALUE"""),490.89)</f>
        <v>490.89</v>
      </c>
      <c r="C1279" s="2">
        <f t="shared" ca="1" si="5"/>
        <v>-7.7350540436011859E-4</v>
      </c>
    </row>
    <row r="1280" spans="1:3">
      <c r="A1280" s="3">
        <f ca="1">IFERROR(__xludf.UNSUPPORTED("""COMPUTED_VALUE"""),45322.6666666666)</f>
        <v>45322.666666666599</v>
      </c>
      <c r="B1280" s="1">
        <f ca="1">IFERROR(__xludf.UNSUPPORTED("""COMPUTED_VALUE"""),482.88)</f>
        <v>482.88</v>
      </c>
      <c r="C1280" s="2">
        <f t="shared" ca="1" si="5"/>
        <v>-1.6317301228381084E-2</v>
      </c>
    </row>
    <row r="1281" spans="1:3">
      <c r="A1281" s="3">
        <f ca="1">IFERROR(__xludf.UNSUPPORTED("""COMPUTED_VALUE"""),45323.6666666666)</f>
        <v>45323.666666666599</v>
      </c>
      <c r="B1281" s="1">
        <f ca="1">IFERROR(__xludf.UNSUPPORTED("""COMPUTED_VALUE"""),489.2)</f>
        <v>489.2</v>
      </c>
      <c r="C1281" s="2">
        <f t="shared" ca="1" si="5"/>
        <v>1.308813783962888E-2</v>
      </c>
    </row>
    <row r="1282" spans="1:3">
      <c r="A1282" s="3">
        <f ca="1">IFERROR(__xludf.UNSUPPORTED("""COMPUTED_VALUE"""),45324.6666666666)</f>
        <v>45324.666666666599</v>
      </c>
      <c r="B1282" s="1">
        <f ca="1">IFERROR(__xludf.UNSUPPORTED("""COMPUTED_VALUE"""),494.35)</f>
        <v>494.35</v>
      </c>
      <c r="C1282" s="2">
        <f t="shared" ca="1" si="5"/>
        <v>1.0527391659852892E-2</v>
      </c>
    </row>
    <row r="1283" spans="1:3">
      <c r="A1283" s="3">
        <f ca="1">IFERROR(__xludf.UNSUPPORTED("""COMPUTED_VALUE"""),45327.6666666666)</f>
        <v>45327.666666666599</v>
      </c>
      <c r="B1283" s="1">
        <f ca="1">IFERROR(__xludf.UNSUPPORTED("""COMPUTED_VALUE"""),492.55)</f>
        <v>492.55</v>
      </c>
      <c r="C1283" s="2">
        <f t="shared" ca="1" si="5"/>
        <v>-3.6411449377971301E-3</v>
      </c>
    </row>
    <row r="1284" spans="1:3">
      <c r="A1284" s="3">
        <f ca="1">IFERROR(__xludf.UNSUPPORTED("""COMPUTED_VALUE"""),45328.6666666666)</f>
        <v>45328.666666666599</v>
      </c>
      <c r="B1284" s="1">
        <f ca="1">IFERROR(__xludf.UNSUPPORTED("""COMPUTED_VALUE"""),493.98)</f>
        <v>493.98</v>
      </c>
      <c r="C1284" s="2">
        <f t="shared" ca="1" si="5"/>
        <v>2.9032585524312389E-3</v>
      </c>
    </row>
    <row r="1285" spans="1:3">
      <c r="A1285" s="3">
        <f ca="1">IFERROR(__xludf.UNSUPPORTED("""COMPUTED_VALUE"""),45329.6666666666)</f>
        <v>45329.666666666599</v>
      </c>
      <c r="B1285" s="1">
        <f ca="1">IFERROR(__xludf.UNSUPPORTED("""COMPUTED_VALUE"""),498.1)</f>
        <v>498.1</v>
      </c>
      <c r="C1285" s="2">
        <f t="shared" ca="1" si="5"/>
        <v>8.3404186404307957E-3</v>
      </c>
    </row>
    <row r="1286" spans="1:3">
      <c r="A1286" s="3">
        <f ca="1">IFERROR(__xludf.UNSUPPORTED("""COMPUTED_VALUE"""),45330.6666666666)</f>
        <v>45330.666666666599</v>
      </c>
      <c r="B1286" s="1">
        <f ca="1">IFERROR(__xludf.UNSUPPORTED("""COMPUTED_VALUE"""),498.32)</f>
        <v>498.32</v>
      </c>
      <c r="C1286" s="2">
        <f t="shared" ca="1" si="5"/>
        <v>4.4167837783571658E-4</v>
      </c>
    </row>
    <row r="1287" spans="1:3">
      <c r="A1287" s="3">
        <f ca="1">IFERROR(__xludf.UNSUPPORTED("""COMPUTED_VALUE"""),45331.6666666666)</f>
        <v>45331.666666666599</v>
      </c>
      <c r="B1287" s="1">
        <f ca="1">IFERROR(__xludf.UNSUPPORTED("""COMPUTED_VALUE"""),501.2)</f>
        <v>501.2</v>
      </c>
      <c r="C1287" s="2">
        <f t="shared" ca="1" si="5"/>
        <v>5.7794188473270095E-3</v>
      </c>
    </row>
    <row r="1288" spans="1:3">
      <c r="A1288" s="3">
        <f ca="1">IFERROR(__xludf.UNSUPPORTED("""COMPUTED_VALUE"""),45334.6666666666)</f>
        <v>45334.666666666599</v>
      </c>
      <c r="B1288" s="1">
        <f ca="1">IFERROR(__xludf.UNSUPPORTED("""COMPUTED_VALUE"""),500.98)</f>
        <v>500.98</v>
      </c>
      <c r="C1288" s="2">
        <f t="shared" ca="1" si="5"/>
        <v>-4.3894652833194423E-4</v>
      </c>
    </row>
    <row r="1289" spans="1:3">
      <c r="A1289" s="3">
        <f ca="1">IFERROR(__xludf.UNSUPPORTED("""COMPUTED_VALUE"""),45335.6666666666)</f>
        <v>45335.666666666599</v>
      </c>
      <c r="B1289" s="1">
        <f ca="1">IFERROR(__xludf.UNSUPPORTED("""COMPUTED_VALUE"""),494.08)</f>
        <v>494.08</v>
      </c>
      <c r="C1289" s="2">
        <f t="shared" ca="1" si="5"/>
        <v>-1.3773004910375732E-2</v>
      </c>
    </row>
    <row r="1290" spans="1:3">
      <c r="A1290" s="3">
        <f ca="1">IFERROR(__xludf.UNSUPPORTED("""COMPUTED_VALUE"""),45336.6666666666)</f>
        <v>45336.666666666599</v>
      </c>
      <c r="B1290" s="1">
        <f ca="1">IFERROR(__xludf.UNSUPPORTED("""COMPUTED_VALUE"""),498.57)</f>
        <v>498.57</v>
      </c>
      <c r="C1290" s="2">
        <f t="shared" ca="1" si="5"/>
        <v>9.0875971502590858E-3</v>
      </c>
    </row>
    <row r="1291" spans="1:3">
      <c r="A1291" s="3">
        <f ca="1">IFERROR(__xludf.UNSUPPORTED("""COMPUTED_VALUE"""),45337.6666666666)</f>
        <v>45337.666666666599</v>
      </c>
      <c r="B1291" s="1">
        <f ca="1">IFERROR(__xludf.UNSUPPORTED("""COMPUTED_VALUE"""),502.01)</f>
        <v>502.01</v>
      </c>
      <c r="C1291" s="2">
        <f t="shared" ca="1" si="5"/>
        <v>6.8997332370579817E-3</v>
      </c>
    </row>
    <row r="1292" spans="1:3">
      <c r="A1292" s="3">
        <f ca="1">IFERROR(__xludf.UNSUPPORTED("""COMPUTED_VALUE"""),45338.6666666666)</f>
        <v>45338.666666666599</v>
      </c>
      <c r="B1292" s="1">
        <f ca="1">IFERROR(__xludf.UNSUPPORTED("""COMPUTED_VALUE"""),499.51)</f>
        <v>499.51</v>
      </c>
      <c r="C1292" s="2">
        <f t="shared" ca="1" si="5"/>
        <v>-4.9799804784765242E-3</v>
      </c>
    </row>
    <row r="1293" spans="1:3">
      <c r="A1293" s="3">
        <f ca="1">IFERROR(__xludf.UNSUPPORTED("""COMPUTED_VALUE"""),45342.6666666666)</f>
        <v>45342.666666666599</v>
      </c>
      <c r="B1293" s="1">
        <f ca="1">IFERROR(__xludf.UNSUPPORTED("""COMPUTED_VALUE"""),496.76)</f>
        <v>496.76</v>
      </c>
      <c r="C1293" s="2">
        <f t="shared" ca="1" si="5"/>
        <v>-5.5053952873816338E-3</v>
      </c>
    </row>
    <row r="1294" spans="1:3">
      <c r="A1294" s="3">
        <f ca="1">IFERROR(__xludf.UNSUPPORTED("""COMPUTED_VALUE"""),45343.6666666666)</f>
        <v>45343.666666666599</v>
      </c>
      <c r="B1294" s="1">
        <f ca="1">IFERROR(__xludf.UNSUPPORTED("""COMPUTED_VALUE"""),497.21)</f>
        <v>497.21</v>
      </c>
      <c r="C1294" s="2">
        <f t="shared" ca="1" si="5"/>
        <v>9.0587003784521429E-4</v>
      </c>
    </row>
    <row r="1295" spans="1:3">
      <c r="A1295" s="3">
        <f ca="1">IFERROR(__xludf.UNSUPPORTED("""COMPUTED_VALUE"""),45344.6666666666)</f>
        <v>45344.666666666599</v>
      </c>
      <c r="B1295" s="1">
        <f ca="1">IFERROR(__xludf.UNSUPPORTED("""COMPUTED_VALUE"""),507.5)</f>
        <v>507.5</v>
      </c>
      <c r="C1295" s="2">
        <f t="shared" ca="1" si="5"/>
        <v>2.0695480782767887E-2</v>
      </c>
    </row>
    <row r="1296" spans="1:3">
      <c r="A1296" s="3">
        <f ca="1">IFERROR(__xludf.UNSUPPORTED("""COMPUTED_VALUE"""),45345.6666666666)</f>
        <v>45345.666666666599</v>
      </c>
      <c r="B1296" s="1">
        <f ca="1">IFERROR(__xludf.UNSUPPORTED("""COMPUTED_VALUE"""),507.85)</f>
        <v>507.85</v>
      </c>
      <c r="C1296" s="2">
        <f t="shared" ca="1" si="5"/>
        <v>6.8965517241383794E-4</v>
      </c>
    </row>
    <row r="1297" spans="1:3">
      <c r="A1297" s="3">
        <f ca="1">IFERROR(__xludf.UNSUPPORTED("""COMPUTED_VALUE"""),45348.6666666666)</f>
        <v>45348.666666666599</v>
      </c>
      <c r="B1297" s="1">
        <f ca="1">IFERROR(__xludf.UNSUPPORTED("""COMPUTED_VALUE"""),505.99)</f>
        <v>505.99</v>
      </c>
      <c r="C1297" s="2">
        <f t="shared" ca="1" si="5"/>
        <v>-3.6624987693216768E-3</v>
      </c>
    </row>
    <row r="1298" spans="1:3">
      <c r="A1298" s="3">
        <f ca="1">IFERROR(__xludf.UNSUPPORTED("""COMPUTED_VALUE"""),45349.6666666666)</f>
        <v>45349.666666666599</v>
      </c>
      <c r="B1298" s="1">
        <f ca="1">IFERROR(__xludf.UNSUPPORTED("""COMPUTED_VALUE"""),506.93)</f>
        <v>506.93</v>
      </c>
      <c r="C1298" s="2">
        <f t="shared" ca="1" si="5"/>
        <v>1.8577442241941495E-3</v>
      </c>
    </row>
    <row r="1299" spans="1:3">
      <c r="A1299" s="3">
        <f ca="1">IFERROR(__xludf.UNSUPPORTED("""COMPUTED_VALUE"""),45350.6666666666)</f>
        <v>45350.666666666599</v>
      </c>
      <c r="B1299" s="1">
        <f ca="1">IFERROR(__xludf.UNSUPPORTED("""COMPUTED_VALUE"""),506.26)</f>
        <v>506.26</v>
      </c>
      <c r="C1299" s="2">
        <f t="shared" ca="1" si="5"/>
        <v>-1.3216814944864495E-3</v>
      </c>
    </row>
    <row r="1300" spans="1:3">
      <c r="A1300" s="3">
        <f ca="1">IFERROR(__xludf.UNSUPPORTED("""COMPUTED_VALUE"""),45351.6666666666)</f>
        <v>45351.666666666599</v>
      </c>
      <c r="B1300" s="1">
        <f ca="1">IFERROR(__xludf.UNSUPPORTED("""COMPUTED_VALUE"""),508.08)</f>
        <v>508.08</v>
      </c>
      <c r="C1300" s="2">
        <f t="shared" ca="1" si="5"/>
        <v>3.5949907162327525E-3</v>
      </c>
    </row>
    <row r="1301" spans="1:3">
      <c r="A1301" s="3">
        <f ca="1">IFERROR(__xludf.UNSUPPORTED("""COMPUTED_VALUE"""),45352.6666666666)</f>
        <v>45352.666666666599</v>
      </c>
      <c r="B1301" s="1">
        <f ca="1">IFERROR(__xludf.UNSUPPORTED("""COMPUTED_VALUE"""),512.85)</f>
        <v>512.85</v>
      </c>
      <c r="C1301" s="2">
        <f t="shared" ca="1" si="5"/>
        <v>9.3882853094001701E-3</v>
      </c>
    </row>
    <row r="1302" spans="1:3">
      <c r="A1302" s="3">
        <f ca="1">IFERROR(__xludf.UNSUPPORTED("""COMPUTED_VALUE"""),45355.6666666666)</f>
        <v>45355.666666666599</v>
      </c>
      <c r="B1302" s="1">
        <f ca="1">IFERROR(__xludf.UNSUPPORTED("""COMPUTED_VALUE"""),512.3)</f>
        <v>512.29999999999995</v>
      </c>
      <c r="C1302" s="2">
        <f t="shared" ca="1" si="5"/>
        <v>-1.0724383347958822E-3</v>
      </c>
    </row>
    <row r="1303" spans="1:3">
      <c r="A1303" s="3">
        <f ca="1">IFERROR(__xludf.UNSUPPORTED("""COMPUTED_VALUE"""),45356.6666666666)</f>
        <v>45356.666666666599</v>
      </c>
      <c r="B1303" s="1">
        <f ca="1">IFERROR(__xludf.UNSUPPORTED("""COMPUTED_VALUE"""),507.18)</f>
        <v>507.18</v>
      </c>
      <c r="C1303" s="2">
        <f t="shared" ca="1" si="5"/>
        <v>-9.9941440562169599E-3</v>
      </c>
    </row>
    <row r="1304" spans="1:3">
      <c r="A1304" s="3">
        <f ca="1">IFERROR(__xludf.UNSUPPORTED("""COMPUTED_VALUE"""),45357.6666666666)</f>
        <v>45357.666666666599</v>
      </c>
      <c r="B1304" s="1">
        <f ca="1">IFERROR(__xludf.UNSUPPORTED("""COMPUTED_VALUE"""),509.75)</f>
        <v>509.75</v>
      </c>
      <c r="C1304" s="2">
        <f t="shared" ca="1" si="5"/>
        <v>5.0672345124018947E-3</v>
      </c>
    </row>
    <row r="1305" spans="1:3">
      <c r="A1305" s="3">
        <f ca="1">IFERROR(__xludf.UNSUPPORTED("""COMPUTED_VALUE"""),45358.6666666666)</f>
        <v>45358.666666666599</v>
      </c>
      <c r="B1305" s="1">
        <f ca="1">IFERROR(__xludf.UNSUPPORTED("""COMPUTED_VALUE"""),514.81)</f>
        <v>514.80999999999995</v>
      </c>
      <c r="C1305" s="2">
        <f t="shared" ca="1" si="5"/>
        <v>9.9264345267286811E-3</v>
      </c>
    </row>
    <row r="1306" spans="1:3">
      <c r="A1306" s="3">
        <f ca="1">IFERROR(__xludf.UNSUPPORTED("""COMPUTED_VALUE"""),45359.6666666666)</f>
        <v>45359.666666666599</v>
      </c>
      <c r="B1306" s="1">
        <f ca="1">IFERROR(__xludf.UNSUPPORTED("""COMPUTED_VALUE"""),511.72)</f>
        <v>511.72</v>
      </c>
      <c r="C1306" s="2">
        <f t="shared" ca="1" si="5"/>
        <v>-6.002214409199352E-3</v>
      </c>
    </row>
    <row r="1307" spans="1:3">
      <c r="A1307" s="3">
        <f ca="1">IFERROR(__xludf.UNSUPPORTED("""COMPUTED_VALUE"""),45362.6666666666)</f>
        <v>45362.666666666599</v>
      </c>
      <c r="B1307" s="1">
        <f ca="1">IFERROR(__xludf.UNSUPPORTED("""COMPUTED_VALUE"""),511.28)</f>
        <v>511.28</v>
      </c>
      <c r="C1307" s="2">
        <f t="shared" ca="1" si="5"/>
        <v>-8.5984522785909198E-4</v>
      </c>
    </row>
    <row r="1308" spans="1:3">
      <c r="A1308" s="3">
        <f ca="1">IFERROR(__xludf.UNSUPPORTED("""COMPUTED_VALUE"""),45363.6666666666)</f>
        <v>45363.666666666599</v>
      </c>
      <c r="B1308" s="1">
        <f ca="1">IFERROR(__xludf.UNSUPPORTED("""COMPUTED_VALUE"""),516.78)</f>
        <v>516.78</v>
      </c>
      <c r="C1308" s="2">
        <f t="shared" ca="1" si="5"/>
        <v>1.0757314974182445E-2</v>
      </c>
    </row>
    <row r="1309" spans="1:3">
      <c r="A1309" s="3">
        <f ca="1">IFERROR(__xludf.UNSUPPORTED("""COMPUTED_VALUE"""),45364.6666666666)</f>
        <v>45364.666666666599</v>
      </c>
      <c r="B1309" s="1">
        <f ca="1">IFERROR(__xludf.UNSUPPORTED("""COMPUTED_VALUE"""),515.97)</f>
        <v>515.97</v>
      </c>
      <c r="C1309" s="2">
        <f t="shared" ca="1" si="5"/>
        <v>-1.5673981191221516E-3</v>
      </c>
    </row>
    <row r="1310" spans="1:3">
      <c r="A1310" s="3">
        <f ca="1">IFERROR(__xludf.UNSUPPORTED("""COMPUTED_VALUE"""),45365.6666666666)</f>
        <v>45365.666666666599</v>
      </c>
      <c r="B1310" s="1">
        <f ca="1">IFERROR(__xludf.UNSUPPORTED("""COMPUTED_VALUE"""),514.95)</f>
        <v>514.95000000000005</v>
      </c>
      <c r="C1310" s="2">
        <f t="shared" ca="1" si="5"/>
        <v>-1.976859119716227E-3</v>
      </c>
    </row>
    <row r="1311" spans="1:3">
      <c r="A1311" s="3">
        <f ca="1">IFERROR(__xludf.UNSUPPORTED("""COMPUTED_VALUE"""),45366.6666666666)</f>
        <v>45366.666666666599</v>
      </c>
      <c r="B1311" s="1">
        <f ca="1">IFERROR(__xludf.UNSUPPORTED("""COMPUTED_VALUE"""),509.83)</f>
        <v>509.83</v>
      </c>
      <c r="C1311" s="2">
        <f t="shared" ca="1" si="5"/>
        <v>-9.9427128847462097E-3</v>
      </c>
    </row>
    <row r="1312" spans="1:3">
      <c r="A1312" s="3">
        <f ca="1">IFERROR(__xludf.UNSUPPORTED("""COMPUTED_VALUE"""),45369.6666666666)</f>
        <v>45369.666666666599</v>
      </c>
      <c r="B1312" s="1">
        <f ca="1">IFERROR(__xludf.UNSUPPORTED("""COMPUTED_VALUE"""),512.86)</f>
        <v>512.86</v>
      </c>
      <c r="C1312" s="2">
        <f t="shared" ca="1" si="5"/>
        <v>5.943157523095992E-3</v>
      </c>
    </row>
    <row r="1313" spans="1:3">
      <c r="A1313" s="3">
        <f ca="1">IFERROR(__xludf.UNSUPPORTED("""COMPUTED_VALUE"""),45370.6666666666)</f>
        <v>45370.666666666599</v>
      </c>
      <c r="B1313" s="1">
        <f ca="1">IFERROR(__xludf.UNSUPPORTED("""COMPUTED_VALUE"""),515.71)</f>
        <v>515.71</v>
      </c>
      <c r="C1313" s="2">
        <f t="shared" ca="1" si="5"/>
        <v>5.5570721054479244E-3</v>
      </c>
    </row>
    <row r="1314" spans="1:3">
      <c r="A1314" s="3">
        <f ca="1">IFERROR(__xludf.UNSUPPORTED("""COMPUTED_VALUE"""),45371.6666666666)</f>
        <v>45371.666666666599</v>
      </c>
      <c r="B1314" s="1">
        <f ca="1">IFERROR(__xludf.UNSUPPORTED("""COMPUTED_VALUE"""),520.48)</f>
        <v>520.48</v>
      </c>
      <c r="C1314" s="2">
        <f t="shared" ca="1" si="5"/>
        <v>9.2493843439141795E-3</v>
      </c>
    </row>
    <row r="1315" spans="1:3">
      <c r="A1315" s="3">
        <f ca="1">IFERROR(__xludf.UNSUPPORTED("""COMPUTED_VALUE"""),45372.6666666666)</f>
        <v>45372.666666666599</v>
      </c>
      <c r="B1315" s="1">
        <f ca="1">IFERROR(__xludf.UNSUPPORTED("""COMPUTED_VALUE"""),522.2)</f>
        <v>522.20000000000005</v>
      </c>
      <c r="C1315" s="2">
        <f t="shared" ca="1" si="5"/>
        <v>3.3046418690440118E-3</v>
      </c>
    </row>
    <row r="1316" spans="1:3">
      <c r="A1316" s="3">
        <f ca="1">IFERROR(__xludf.UNSUPPORTED("""COMPUTED_VALUE"""),45373.6666666666)</f>
        <v>45373.666666666599</v>
      </c>
      <c r="B1316" s="1">
        <f ca="1">IFERROR(__xludf.UNSUPPORTED("""COMPUTED_VALUE"""),521.21)</f>
        <v>521.21</v>
      </c>
      <c r="C1316" s="2">
        <f t="shared" ca="1" si="5"/>
        <v>-1.8958253542704117E-3</v>
      </c>
    </row>
    <row r="1317" spans="1:3">
      <c r="A1317" s="3">
        <f ca="1">IFERROR(__xludf.UNSUPPORTED("""COMPUTED_VALUE"""),45376.6666666666)</f>
        <v>45376.666666666599</v>
      </c>
      <c r="B1317" s="1">
        <f ca="1">IFERROR(__xludf.UNSUPPORTED("""COMPUTED_VALUE"""),519.77)</f>
        <v>519.77</v>
      </c>
      <c r="C1317" s="2">
        <f t="shared" ca="1" si="5"/>
        <v>-2.7628019416359134E-3</v>
      </c>
    </row>
    <row r="1318" spans="1:3">
      <c r="A1318" s="3">
        <f ca="1">IFERROR(__xludf.UNSUPPORTED("""COMPUTED_VALUE"""),45377.6666666666)</f>
        <v>45377.666666666599</v>
      </c>
      <c r="B1318" s="1">
        <f ca="1">IFERROR(__xludf.UNSUPPORTED("""COMPUTED_VALUE"""),518.81)</f>
        <v>518.80999999999995</v>
      </c>
      <c r="C1318" s="2">
        <f t="shared" ca="1" si="5"/>
        <v>-1.8469707755354029E-3</v>
      </c>
    </row>
    <row r="1319" spans="1:3">
      <c r="A1319" s="3">
        <f ca="1">IFERROR(__xludf.UNSUPPORTED("""COMPUTED_VALUE"""),45378.6666666666)</f>
        <v>45378.666666666599</v>
      </c>
      <c r="B1319" s="1">
        <f ca="1">IFERROR(__xludf.UNSUPPORTED("""COMPUTED_VALUE"""),523.17)</f>
        <v>523.16999999999996</v>
      </c>
      <c r="C1319" s="2">
        <f t="shared" ca="1" si="5"/>
        <v>8.4038472658584332E-3</v>
      </c>
    </row>
    <row r="1320" spans="1:3">
      <c r="A1320" s="3">
        <f ca="1">IFERROR(__xludf.UNSUPPORTED("""COMPUTED_VALUE"""),45379.6666666666)</f>
        <v>45379.666666666599</v>
      </c>
      <c r="B1320" s="1">
        <f ca="1">IFERROR(__xludf.UNSUPPORTED("""COMPUTED_VALUE"""),523.07)</f>
        <v>523.07000000000005</v>
      </c>
      <c r="C1320" s="2">
        <f t="shared" ca="1" si="5"/>
        <v>-1.9114245847412706E-4</v>
      </c>
    </row>
    <row r="1321" spans="1:3">
      <c r="A1321" s="3">
        <f ca="1">IFERROR(__xludf.UNSUPPORTED("""COMPUTED_VALUE"""),45383.6666666666)</f>
        <v>45383.666666666599</v>
      </c>
      <c r="B1321" s="1">
        <f ca="1">IFERROR(__xludf.UNSUPPORTED("""COMPUTED_VALUE"""),522.16)</f>
        <v>522.16</v>
      </c>
      <c r="C1321" s="2">
        <f t="shared" ca="1" si="5"/>
        <v>-1.7397289081768823E-3</v>
      </c>
    </row>
    <row r="1322" spans="1:3">
      <c r="A1322" s="3">
        <f ca="1">IFERROR(__xludf.UNSUPPORTED("""COMPUTED_VALUE"""),45384.6666666666)</f>
        <v>45384.666666666599</v>
      </c>
      <c r="B1322" s="1">
        <f ca="1">IFERROR(__xludf.UNSUPPORTED("""COMPUTED_VALUE"""),518.84)</f>
        <v>518.84</v>
      </c>
      <c r="C1322" s="2">
        <f t="shared" ca="1" si="5"/>
        <v>-6.3582043817985608E-3</v>
      </c>
    </row>
    <row r="1323" spans="1:3">
      <c r="A1323" s="3">
        <f ca="1">IFERROR(__xludf.UNSUPPORTED("""COMPUTED_VALUE"""),45385.6666666666)</f>
        <v>45385.666666666599</v>
      </c>
      <c r="B1323" s="1">
        <f ca="1">IFERROR(__xludf.UNSUPPORTED("""COMPUTED_VALUE"""),519.41)</f>
        <v>519.41</v>
      </c>
      <c r="C1323" s="2">
        <f t="shared" ca="1" si="5"/>
        <v>1.0986045794463347E-3</v>
      </c>
    </row>
    <row r="1324" spans="1:3">
      <c r="A1324" s="3">
        <f ca="1">IFERROR(__xludf.UNSUPPORTED("""COMPUTED_VALUE"""),45386.6666666666)</f>
        <v>45386.666666666599</v>
      </c>
      <c r="B1324" s="1">
        <f ca="1">IFERROR(__xludf.UNSUPPORTED("""COMPUTED_VALUE"""),513.07)</f>
        <v>513.07000000000005</v>
      </c>
      <c r="C1324" s="2">
        <f t="shared" ca="1" si="5"/>
        <v>-1.2206156985810667E-2</v>
      </c>
    </row>
    <row r="1325" spans="1:3">
      <c r="A1325" s="3">
        <f ca="1">IFERROR(__xludf.UNSUPPORTED("""COMPUTED_VALUE"""),45387.6666666666)</f>
        <v>45387.666666666599</v>
      </c>
      <c r="B1325" s="1">
        <f ca="1">IFERROR(__xludf.UNSUPPORTED("""COMPUTED_VALUE"""),518.43)</f>
        <v>518.42999999999995</v>
      </c>
      <c r="C1325" s="2">
        <f t="shared" ca="1" si="5"/>
        <v>1.0446917574599762E-2</v>
      </c>
    </row>
    <row r="1326" spans="1:3">
      <c r="A1326" s="3">
        <f ca="1">IFERROR(__xludf.UNSUPPORTED("""COMPUTED_VALUE"""),45390.6666666666)</f>
        <v>45390.666666666599</v>
      </c>
      <c r="B1326" s="1">
        <f ca="1">IFERROR(__xludf.UNSUPPORTED("""COMPUTED_VALUE"""),518.72)</f>
        <v>518.72</v>
      </c>
      <c r="C1326" s="2">
        <f t="shared" ca="1" si="5"/>
        <v>5.5938120864933996E-4</v>
      </c>
    </row>
    <row r="1327" spans="1:3">
      <c r="A1327" s="3">
        <f ca="1">IFERROR(__xludf.UNSUPPORTED("""COMPUTED_VALUE"""),45391.6666666666)</f>
        <v>45391.666666666599</v>
      </c>
      <c r="B1327" s="1">
        <f ca="1">IFERROR(__xludf.UNSUPPORTED("""COMPUTED_VALUE"""),519.32)</f>
        <v>519.32000000000005</v>
      </c>
      <c r="C1327" s="2">
        <f t="shared" ca="1" si="5"/>
        <v>1.1566933991363794E-3</v>
      </c>
    </row>
    <row r="1328" spans="1:3">
      <c r="A1328" s="3">
        <f ca="1">IFERROR(__xludf.UNSUPPORTED("""COMPUTED_VALUE"""),45392.6666666666)</f>
        <v>45392.666666666599</v>
      </c>
      <c r="B1328" s="1">
        <f ca="1">IFERROR(__xludf.UNSUPPORTED("""COMPUTED_VALUE"""),514.12)</f>
        <v>514.12</v>
      </c>
      <c r="C1328" s="2">
        <f t="shared" ca="1" si="5"/>
        <v>-1.0013094046060319E-2</v>
      </c>
    </row>
    <row r="1329" spans="1:3">
      <c r="A1329" s="3">
        <f ca="1">IFERROR(__xludf.UNSUPPORTED("""COMPUTED_VALUE"""),45393.6666666666)</f>
        <v>45393.666666666599</v>
      </c>
      <c r="B1329" s="1">
        <f ca="1">IFERROR(__xludf.UNSUPPORTED("""COMPUTED_VALUE"""),518)</f>
        <v>518</v>
      </c>
      <c r="C1329" s="2">
        <f t="shared" ca="1" si="5"/>
        <v>7.546876215669485E-3</v>
      </c>
    </row>
    <row r="1330" spans="1:3">
      <c r="A1330" s="3">
        <f ca="1">IFERROR(__xludf.UNSUPPORTED("""COMPUTED_VALUE"""),45394.6666666666)</f>
        <v>45394.666666666599</v>
      </c>
      <c r="B1330" s="1">
        <f ca="1">IFERROR(__xludf.UNSUPPORTED("""COMPUTED_VALUE"""),510.85)</f>
        <v>510.85</v>
      </c>
      <c r="C1330" s="2">
        <f t="shared" ca="1" si="5"/>
        <v>-1.3803088803088759E-2</v>
      </c>
    </row>
    <row r="1331" spans="1:3">
      <c r="A1331" s="3">
        <f ca="1">IFERROR(__xludf.UNSUPPORTED("""COMPUTED_VALUE"""),45397.6666666666)</f>
        <v>45397.666666666599</v>
      </c>
      <c r="B1331" s="1">
        <f ca="1">IFERROR(__xludf.UNSUPPORTED("""COMPUTED_VALUE"""),504.45)</f>
        <v>504.45</v>
      </c>
      <c r="C1331" s="2">
        <f t="shared" ca="1" si="5"/>
        <v>-1.2528139375550619E-2</v>
      </c>
    </row>
    <row r="1332" spans="1:3">
      <c r="A1332" s="3">
        <f ca="1">IFERROR(__xludf.UNSUPPORTED("""COMPUTED_VALUE"""),45398.6666666666)</f>
        <v>45398.666666666599</v>
      </c>
      <c r="B1332" s="1">
        <f ca="1">IFERROR(__xludf.UNSUPPORTED("""COMPUTED_VALUE"""),503.53)</f>
        <v>503.53</v>
      </c>
      <c r="C1332" s="2">
        <f t="shared" ca="1" si="5"/>
        <v>-1.8237684606998035E-3</v>
      </c>
    </row>
    <row r="1333" spans="1:3">
      <c r="A1333" s="3">
        <f ca="1">IFERROR(__xludf.UNSUPPORTED("""COMPUTED_VALUE"""),45399.6666666666)</f>
        <v>45399.666666666599</v>
      </c>
      <c r="B1333" s="1">
        <f ca="1">IFERROR(__xludf.UNSUPPORTED("""COMPUTED_VALUE"""),500.55)</f>
        <v>500.55</v>
      </c>
      <c r="C1333" s="2">
        <f t="shared" ca="1" si="5"/>
        <v>-5.9182173852599879E-3</v>
      </c>
    </row>
    <row r="1334" spans="1:3">
      <c r="A1334" s="3">
        <f ca="1">IFERROR(__xludf.UNSUPPORTED("""COMPUTED_VALUE"""),45400.6666666666)</f>
        <v>45400.666666666599</v>
      </c>
      <c r="B1334" s="1">
        <f ca="1">IFERROR(__xludf.UNSUPPORTED("""COMPUTED_VALUE"""),499.52)</f>
        <v>499.52</v>
      </c>
      <c r="C1334" s="2">
        <f t="shared" ca="1" si="5"/>
        <v>-2.0577364898612116E-3</v>
      </c>
    </row>
    <row r="1335" spans="1:3">
      <c r="A1335" s="3">
        <f ca="1">IFERROR(__xludf.UNSUPPORTED("""COMPUTED_VALUE"""),45401.6666666666)</f>
        <v>45401.666666666599</v>
      </c>
      <c r="B1335" s="1">
        <f ca="1">IFERROR(__xludf.UNSUPPORTED("""COMPUTED_VALUE"""),495.16)</f>
        <v>495.16</v>
      </c>
      <c r="C1335" s="2">
        <f t="shared" ca="1" si="5"/>
        <v>-8.7283792440742258E-3</v>
      </c>
    </row>
    <row r="1336" spans="1:3">
      <c r="A1336" s="3">
        <f ca="1">IFERROR(__xludf.UNSUPPORTED("""COMPUTED_VALUE"""),45404.6666666666)</f>
        <v>45404.666666666599</v>
      </c>
      <c r="B1336" s="1">
        <f ca="1">IFERROR(__xludf.UNSUPPORTED("""COMPUTED_VALUE"""),499.72)</f>
        <v>499.72</v>
      </c>
      <c r="C1336" s="2">
        <f t="shared" ca="1" si="5"/>
        <v>9.2091445189433768E-3</v>
      </c>
    </row>
    <row r="1337" spans="1:3">
      <c r="A1337" s="3">
        <f ca="1">IFERROR(__xludf.UNSUPPORTED("""COMPUTED_VALUE"""),45405.6666666666)</f>
        <v>45405.666666666599</v>
      </c>
      <c r="B1337" s="1">
        <f ca="1">IFERROR(__xludf.UNSUPPORTED("""COMPUTED_VALUE"""),505.65)</f>
        <v>505.65</v>
      </c>
      <c r="C1337" s="2">
        <f t="shared" ca="1" si="5"/>
        <v>1.1866645321379873E-2</v>
      </c>
    </row>
    <row r="1338" spans="1:3">
      <c r="A1338" s="3">
        <f ca="1">IFERROR(__xludf.UNSUPPORTED("""COMPUTED_VALUE"""),45406.6666666666)</f>
        <v>45406.666666666599</v>
      </c>
      <c r="B1338" s="1">
        <f ca="1">IFERROR(__xludf.UNSUPPORTED("""COMPUTED_VALUE"""),505.41)</f>
        <v>505.41</v>
      </c>
      <c r="C1338" s="2">
        <f t="shared" ca="1" si="5"/>
        <v>-4.746366063481702E-4</v>
      </c>
    </row>
    <row r="1339" spans="1:3">
      <c r="A1339" s="3">
        <f ca="1">IFERROR(__xludf.UNSUPPORTED("""COMPUTED_VALUE"""),45407.6666666666)</f>
        <v>45407.666666666599</v>
      </c>
      <c r="B1339" s="1">
        <f ca="1">IFERROR(__xludf.UNSUPPORTED("""COMPUTED_VALUE"""),503.49)</f>
        <v>503.49</v>
      </c>
      <c r="C1339" s="2">
        <f t="shared" ca="1" si="5"/>
        <v>-3.7988959458657642E-3</v>
      </c>
    </row>
    <row r="1340" spans="1:3">
      <c r="A1340" s="3">
        <f ca="1">IFERROR(__xludf.UNSUPPORTED("""COMPUTED_VALUE"""),45408.6666666666)</f>
        <v>45408.666666666599</v>
      </c>
      <c r="B1340" s="1">
        <f ca="1">IFERROR(__xludf.UNSUPPORTED("""COMPUTED_VALUE"""),508.26)</f>
        <v>508.26</v>
      </c>
      <c r="C1340" s="2">
        <f t="shared" ca="1" si="5"/>
        <v>9.4738723708514203E-3</v>
      </c>
    </row>
    <row r="1341" spans="1:3">
      <c r="A1341" s="3">
        <f ca="1">IFERROR(__xludf.UNSUPPORTED("""COMPUTED_VALUE"""),45411.6666666666)</f>
        <v>45411.666666666599</v>
      </c>
      <c r="B1341" s="1">
        <f ca="1">IFERROR(__xludf.UNSUPPORTED("""COMPUTED_VALUE"""),510.06)</f>
        <v>510.06</v>
      </c>
      <c r="C1341" s="2">
        <f t="shared" ca="1" si="5"/>
        <v>3.5414945106835307E-3</v>
      </c>
    </row>
    <row r="1342" spans="1:3">
      <c r="A1342" s="3">
        <f ca="1">IFERROR(__xludf.UNSUPPORTED("""COMPUTED_VALUE"""),45412.6666666666)</f>
        <v>45412.666666666599</v>
      </c>
      <c r="B1342" s="1">
        <f ca="1">IFERROR(__xludf.UNSUPPORTED("""COMPUTED_VALUE"""),501.98)</f>
        <v>501.98</v>
      </c>
      <c r="C1342" s="2">
        <f t="shared" ca="1" si="5"/>
        <v>-1.5841273575657733E-2</v>
      </c>
    </row>
    <row r="1343" spans="1:3">
      <c r="A1343" s="3">
        <f ca="1">IFERROR(__xludf.UNSUPPORTED("""COMPUTED_VALUE"""),45413.6666666666)</f>
        <v>45413.666666666599</v>
      </c>
      <c r="B1343" s="1">
        <f ca="1">IFERROR(__xludf.UNSUPPORTED("""COMPUTED_VALUE"""),500.35)</f>
        <v>500.35</v>
      </c>
      <c r="C1343" s="2">
        <f t="shared" ca="1" si="5"/>
        <v>-3.2471413203713204E-3</v>
      </c>
    </row>
    <row r="1344" spans="1:3">
      <c r="A1344" s="3">
        <f ca="1">IFERROR(__xludf.UNSUPPORTED("""COMPUTED_VALUE"""),45414.6666666666)</f>
        <v>45414.666666666599</v>
      </c>
      <c r="B1344" s="1">
        <f ca="1">IFERROR(__xludf.UNSUPPORTED("""COMPUTED_VALUE"""),505.03)</f>
        <v>505.03</v>
      </c>
      <c r="C1344" s="2">
        <f t="shared" ca="1" si="5"/>
        <v>9.353452583191665E-3</v>
      </c>
    </row>
    <row r="1345" spans="1:3">
      <c r="A1345" s="3">
        <f ca="1">IFERROR(__xludf.UNSUPPORTED("""COMPUTED_VALUE"""),45415.6666666666)</f>
        <v>45415.666666666599</v>
      </c>
      <c r="B1345" s="1">
        <f ca="1">IFERROR(__xludf.UNSUPPORTED("""COMPUTED_VALUE"""),511.29)</f>
        <v>511.29</v>
      </c>
      <c r="C1345" s="2">
        <f t="shared" ca="1" si="5"/>
        <v>1.2395303249312017E-2</v>
      </c>
    </row>
    <row r="1346" spans="1:3">
      <c r="A1346" s="3">
        <f ca="1">IFERROR(__xludf.UNSUPPORTED("""COMPUTED_VALUE"""),45418.6666666666)</f>
        <v>45418.666666666599</v>
      </c>
      <c r="B1346" s="1">
        <f ca="1">IFERROR(__xludf.UNSUPPORTED("""COMPUTED_VALUE"""),516.57)</f>
        <v>516.57000000000005</v>
      </c>
      <c r="C1346" s="2">
        <f t="shared" ca="1" si="5"/>
        <v>1.0326820395470339E-2</v>
      </c>
    </row>
    <row r="1347" spans="1:3">
      <c r="A1347" s="3">
        <f ca="1">IFERROR(__xludf.UNSUPPORTED("""COMPUTED_VALUE"""),45419.6666666666)</f>
        <v>45419.666666666599</v>
      </c>
      <c r="B1347" s="1">
        <f ca="1">IFERROR(__xludf.UNSUPPORTED("""COMPUTED_VALUE"""),517.14)</f>
        <v>517.14</v>
      </c>
      <c r="C1347" s="2">
        <f t="shared" ca="1" si="5"/>
        <v>1.1034322550669538E-3</v>
      </c>
    </row>
    <row r="1348" spans="1:3">
      <c r="A1348" s="3">
        <f ca="1">IFERROR(__xludf.UNSUPPORTED("""COMPUTED_VALUE"""),45420.6666666666)</f>
        <v>45420.666666666599</v>
      </c>
      <c r="B1348" s="1">
        <f ca="1">IFERROR(__xludf.UNSUPPORTED("""COMPUTED_VALUE"""),517.19)</f>
        <v>517.19000000000005</v>
      </c>
      <c r="C1348" s="2">
        <f t="shared" ca="1" si="5"/>
        <v>9.6685617047739903E-5</v>
      </c>
    </row>
    <row r="1349" spans="1:3">
      <c r="A1349" s="3">
        <f ca="1">IFERROR(__xludf.UNSUPPORTED("""COMPUTED_VALUE"""),45421.6666666666)</f>
        <v>45421.666666666599</v>
      </c>
      <c r="B1349" s="1">
        <f ca="1">IFERROR(__xludf.UNSUPPORTED("""COMPUTED_VALUE"""),520.17)</f>
        <v>520.16999999999996</v>
      </c>
      <c r="C1349" s="2">
        <f t="shared" ca="1" si="5"/>
        <v>5.7619056826309564E-3</v>
      </c>
    </row>
    <row r="1350" spans="1:3">
      <c r="A1350" s="3">
        <f ca="1">IFERROR(__xludf.UNSUPPORTED("""COMPUTED_VALUE"""),45422.6666666666)</f>
        <v>45422.666666666599</v>
      </c>
      <c r="B1350" s="1">
        <f ca="1">IFERROR(__xludf.UNSUPPORTED("""COMPUTED_VALUE"""),520.84)</f>
        <v>520.84</v>
      </c>
      <c r="C1350" s="2">
        <f t="shared" ca="1" si="5"/>
        <v>1.2880404483151138E-3</v>
      </c>
    </row>
    <row r="1351" spans="1:3">
      <c r="A1351" s="3">
        <f ca="1">IFERROR(__xludf.UNSUPPORTED("""COMPUTED_VALUE"""),45425.6666666666)</f>
        <v>45425.666666666599</v>
      </c>
      <c r="B1351" s="1">
        <f ca="1">IFERROR(__xludf.UNSUPPORTED("""COMPUTED_VALUE"""),520.91)</f>
        <v>520.91</v>
      </c>
      <c r="C1351" s="2">
        <f t="shared" ca="1" si="5"/>
        <v>1.3439827970189756E-4</v>
      </c>
    </row>
    <row r="1352" spans="1:3">
      <c r="A1352" s="3">
        <f ca="1">IFERROR(__xludf.UNSUPPORTED("""COMPUTED_VALUE"""),45426.6666666666)</f>
        <v>45426.666666666599</v>
      </c>
      <c r="B1352" s="1">
        <f ca="1">IFERROR(__xludf.UNSUPPORTED("""COMPUTED_VALUE"""),523.3)</f>
        <v>523.29999999999995</v>
      </c>
      <c r="C1352" s="2">
        <f t="shared" ca="1" si="5"/>
        <v>4.5881246280547244E-3</v>
      </c>
    </row>
    <row r="1353" spans="1:3">
      <c r="A1353" s="3">
        <f ca="1">IFERROR(__xludf.UNSUPPORTED("""COMPUTED_VALUE"""),45427.6666666666)</f>
        <v>45427.666666666599</v>
      </c>
      <c r="B1353" s="1">
        <f ca="1">IFERROR(__xludf.UNSUPPORTED("""COMPUTED_VALUE"""),529.78)</f>
        <v>529.78</v>
      </c>
      <c r="C1353" s="2">
        <f t="shared" ca="1" si="5"/>
        <v>1.2382954328301202E-2</v>
      </c>
    </row>
    <row r="1354" spans="1:3">
      <c r="A1354" s="3">
        <f ca="1">IFERROR(__xludf.UNSUPPORTED("""COMPUTED_VALUE"""),45428.6666666666)</f>
        <v>45428.666666666599</v>
      </c>
      <c r="B1354" s="1">
        <f ca="1">IFERROR(__xludf.UNSUPPORTED("""COMPUTED_VALUE"""),528.69)</f>
        <v>528.69000000000005</v>
      </c>
      <c r="C1354" s="2">
        <f t="shared" ca="1" si="5"/>
        <v>-2.057457812676806E-3</v>
      </c>
    </row>
    <row r="1355" spans="1:3">
      <c r="A1355" s="3">
        <f ca="1">IFERROR(__xludf.UNSUPPORTED("""COMPUTED_VALUE"""),45429.6666666666)</f>
        <v>45429.666666666599</v>
      </c>
      <c r="B1355" s="1">
        <f ca="1">IFERROR(__xludf.UNSUPPORTED("""COMPUTED_VALUE"""),529.45)</f>
        <v>529.45000000000005</v>
      </c>
      <c r="C1355" s="2">
        <f t="shared" ca="1" si="5"/>
        <v>1.437515368174149E-3</v>
      </c>
    </row>
    <row r="1356" spans="1:3">
      <c r="A1356" s="3">
        <f ca="1">IFERROR(__xludf.UNSUPPORTED("""COMPUTED_VALUE"""),45432.6666666666)</f>
        <v>45432.666666666599</v>
      </c>
      <c r="B1356" s="1">
        <f ca="1">IFERROR(__xludf.UNSUPPORTED("""COMPUTED_VALUE"""),530.06)</f>
        <v>530.05999999999995</v>
      </c>
      <c r="C1356" s="2">
        <f t="shared" ca="1" si="5"/>
        <v>1.1521390121822645E-3</v>
      </c>
    </row>
    <row r="1357" spans="1:3">
      <c r="A1357" s="3">
        <f ca="1">IFERROR(__xludf.UNSUPPORTED("""COMPUTED_VALUE"""),45433.6666666666)</f>
        <v>45433.666666666599</v>
      </c>
      <c r="B1357" s="1">
        <f ca="1">IFERROR(__xludf.UNSUPPORTED("""COMPUTED_VALUE"""),531.36)</f>
        <v>531.36</v>
      </c>
      <c r="C1357" s="2">
        <f t="shared" ca="1" si="5"/>
        <v>2.4525525412218774E-3</v>
      </c>
    </row>
    <row r="1358" spans="1:3">
      <c r="A1358" s="3">
        <f ca="1">IFERROR(__xludf.UNSUPPORTED("""COMPUTED_VALUE"""),45434.6666666666)</f>
        <v>45434.666666666599</v>
      </c>
      <c r="B1358" s="1">
        <f ca="1">IFERROR(__xludf.UNSUPPORTED("""COMPUTED_VALUE"""),529.83)</f>
        <v>529.83000000000004</v>
      </c>
      <c r="C1358" s="2">
        <f t="shared" ca="1" si="5"/>
        <v>-2.8794037940378888E-3</v>
      </c>
    </row>
    <row r="1359" spans="1:3">
      <c r="A1359" s="3">
        <f ca="1">IFERROR(__xludf.UNSUPPORTED("""COMPUTED_VALUE"""),45435.6666666666)</f>
        <v>45435.666666666599</v>
      </c>
      <c r="B1359" s="1">
        <f ca="1">IFERROR(__xludf.UNSUPPORTED("""COMPUTED_VALUE"""),525.96)</f>
        <v>525.96</v>
      </c>
      <c r="C1359" s="2">
        <f t="shared" ca="1" si="5"/>
        <v>-7.3042296585697376E-3</v>
      </c>
    </row>
    <row r="1360" spans="1:3">
      <c r="A1360" s="3">
        <f ca="1">IFERROR(__xludf.UNSUPPORTED("""COMPUTED_VALUE"""),45436.6666666666)</f>
        <v>45436.666666666599</v>
      </c>
      <c r="B1360" s="1">
        <f ca="1">IFERROR(__xludf.UNSUPPORTED("""COMPUTED_VALUE"""),529.44)</f>
        <v>529.44000000000005</v>
      </c>
      <c r="C1360" s="2">
        <f t="shared" ca="1" si="5"/>
        <v>6.6164727355692791E-3</v>
      </c>
    </row>
    <row r="1361" spans="1:3">
      <c r="A1361" s="3">
        <f ca="1">IFERROR(__xludf.UNSUPPORTED("""COMPUTED_VALUE"""),45440.6666666666)</f>
        <v>45440.666666666599</v>
      </c>
      <c r="B1361" s="1">
        <f ca="1">IFERROR(__xludf.UNSUPPORTED("""COMPUTED_VALUE"""),529.81)</f>
        <v>529.80999999999995</v>
      </c>
      <c r="C1361" s="2">
        <f t="shared" ca="1" si="5"/>
        <v>6.988516168024532E-4</v>
      </c>
    </row>
    <row r="1362" spans="1:3">
      <c r="A1362" s="3">
        <f ca="1">IFERROR(__xludf.UNSUPPORTED("""COMPUTED_VALUE"""),45441.6666666666)</f>
        <v>45441.666666666599</v>
      </c>
      <c r="B1362" s="1">
        <f ca="1">IFERROR(__xludf.UNSUPPORTED("""COMPUTED_VALUE"""),526.1)</f>
        <v>526.1</v>
      </c>
      <c r="C1362" s="2">
        <f t="shared" ca="1" si="5"/>
        <v>-7.0025103338931371E-3</v>
      </c>
    </row>
    <row r="1363" spans="1:3">
      <c r="A1363" s="3">
        <f ca="1">IFERROR(__xludf.UNSUPPORTED("""COMPUTED_VALUE"""),45442.6666666666)</f>
        <v>45442.666666666599</v>
      </c>
      <c r="B1363" s="1">
        <f ca="1">IFERROR(__xludf.UNSUPPORTED("""COMPUTED_VALUE"""),522.61)</f>
        <v>522.61</v>
      </c>
      <c r="C1363" s="2">
        <f t="shared" ca="1" si="5"/>
        <v>-6.6337198251283196E-3</v>
      </c>
    </row>
    <row r="1364" spans="1:3">
      <c r="A1364" s="3">
        <f ca="1">IFERROR(__xludf.UNSUPPORTED("""COMPUTED_VALUE"""),45443.6666666666)</f>
        <v>45443.666666666599</v>
      </c>
      <c r="B1364" s="1">
        <f ca="1">IFERROR(__xludf.UNSUPPORTED("""COMPUTED_VALUE"""),527.37)</f>
        <v>527.37</v>
      </c>
      <c r="C1364" s="2">
        <f t="shared" ca="1" si="5"/>
        <v>9.1081303457645098E-3</v>
      </c>
    </row>
    <row r="1365" spans="1:3">
      <c r="A1365" s="3">
        <f ca="1">IFERROR(__xludf.UNSUPPORTED("""COMPUTED_VALUE"""),45446.6666666666)</f>
        <v>45446.666666666599</v>
      </c>
      <c r="B1365" s="1">
        <f ca="1">IFERROR(__xludf.UNSUPPORTED("""COMPUTED_VALUE"""),527.8)</f>
        <v>527.79999999999995</v>
      </c>
      <c r="C1365" s="2">
        <f t="shared" ca="1" si="5"/>
        <v>8.1536682025892631E-4</v>
      </c>
    </row>
    <row r="1366" spans="1:3">
      <c r="A1366" s="3">
        <f ca="1">IFERROR(__xludf.UNSUPPORTED("""COMPUTED_VALUE"""),45447.6666666666)</f>
        <v>45447.666666666599</v>
      </c>
      <c r="B1366" s="1">
        <f ca="1">IFERROR(__xludf.UNSUPPORTED("""COMPUTED_VALUE"""),528.39)</f>
        <v>528.39</v>
      </c>
      <c r="C1366" s="2">
        <f t="shared" ca="1" si="5"/>
        <v>1.1178476695718679E-3</v>
      </c>
    </row>
    <row r="1367" spans="1:3">
      <c r="A1367" s="3">
        <f ca="1">IFERROR(__xludf.UNSUPPORTED("""COMPUTED_VALUE"""),45448.6666666666)</f>
        <v>45448.666666666599</v>
      </c>
      <c r="B1367" s="1">
        <f ca="1">IFERROR(__xludf.UNSUPPORTED("""COMPUTED_VALUE"""),534.67)</f>
        <v>534.66999999999996</v>
      </c>
      <c r="C1367" s="2">
        <f t="shared" ca="1" si="5"/>
        <v>1.1885160582145712E-2</v>
      </c>
    </row>
    <row r="1368" spans="1:3">
      <c r="A1368" s="3">
        <f ca="1">IFERROR(__xludf.UNSUPPORTED("""COMPUTED_VALUE"""),45449.6666666666)</f>
        <v>45449.666666666599</v>
      </c>
      <c r="B1368" s="1">
        <f ca="1">IFERROR(__xludf.UNSUPPORTED("""COMPUTED_VALUE"""),534.66)</f>
        <v>534.66</v>
      </c>
      <c r="C1368" s="2">
        <f t="shared" ca="1" si="5"/>
        <v>-1.8703125292219325E-5</v>
      </c>
    </row>
    <row r="1369" spans="1:3">
      <c r="A1369" s="3">
        <f ca="1">IFERROR(__xludf.UNSUPPORTED("""COMPUTED_VALUE"""),45450.6666666666)</f>
        <v>45450.666666666599</v>
      </c>
      <c r="B1369" s="1">
        <f ca="1">IFERROR(__xludf.UNSUPPORTED("""COMPUTED_VALUE"""),534.01)</f>
        <v>534.01</v>
      </c>
      <c r="C1369" s="2">
        <f t="shared" ca="1" si="5"/>
        <v>-1.2157258818688088E-3</v>
      </c>
    </row>
    <row r="1370" spans="1:3">
      <c r="A1370" s="3">
        <f ca="1">IFERROR(__xludf.UNSUPPORTED("""COMPUTED_VALUE"""),45453.6666666666)</f>
        <v>45453.666666666599</v>
      </c>
      <c r="B1370" s="1">
        <f ca="1">IFERROR(__xludf.UNSUPPORTED("""COMPUTED_VALUE"""),535.66)</f>
        <v>535.66</v>
      </c>
      <c r="C1370" s="2">
        <f t="shared" ca="1" si="5"/>
        <v>3.0898297784685254E-3</v>
      </c>
    </row>
    <row r="1371" spans="1:3">
      <c r="A1371" s="3">
        <f ca="1">IFERROR(__xludf.UNSUPPORTED("""COMPUTED_VALUE"""),45454.6666666666)</f>
        <v>45454.666666666599</v>
      </c>
      <c r="B1371" s="1">
        <f ca="1">IFERROR(__xludf.UNSUPPORTED("""COMPUTED_VALUE"""),536.95)</f>
        <v>536.95000000000005</v>
      </c>
      <c r="C1371" s="2">
        <f t="shared" ca="1" si="5"/>
        <v>2.4082440353957314E-3</v>
      </c>
    </row>
    <row r="1372" spans="1:3">
      <c r="A1372" s="3">
        <f ca="1">IFERROR(__xludf.UNSUPPORTED("""COMPUTED_VALUE"""),45455.6666666666)</f>
        <v>45455.666666666599</v>
      </c>
      <c r="B1372" s="1">
        <f ca="1">IFERROR(__xludf.UNSUPPORTED("""COMPUTED_VALUE"""),541.36)</f>
        <v>541.36</v>
      </c>
      <c r="C1372" s="2">
        <f t="shared" ca="1" si="5"/>
        <v>8.2130552192941023E-3</v>
      </c>
    </row>
    <row r="1373" spans="1:3">
      <c r="A1373" s="3">
        <f ca="1">IFERROR(__xludf.UNSUPPORTED("""COMPUTED_VALUE"""),45456.6666666666)</f>
        <v>45456.666666666599</v>
      </c>
      <c r="B1373" s="1">
        <f ca="1">IFERROR(__xludf.UNSUPPORTED("""COMPUTED_VALUE"""),542.45)</f>
        <v>542.45000000000005</v>
      </c>
      <c r="C1373" s="2">
        <f t="shared" ca="1" si="5"/>
        <v>2.0134476134181169E-3</v>
      </c>
    </row>
    <row r="1374" spans="1:3">
      <c r="A1374" s="3">
        <f ca="1">IFERROR(__xludf.UNSUPPORTED("""COMPUTED_VALUE"""),45457.6666666666)</f>
        <v>45457.666666666599</v>
      </c>
      <c r="B1374" s="1">
        <f ca="1">IFERROR(__xludf.UNSUPPORTED("""COMPUTED_VALUE"""),542.78)</f>
        <v>542.78</v>
      </c>
      <c r="C1374" s="2">
        <f t="shared" ca="1" si="5"/>
        <v>6.0835100009204023E-4</v>
      </c>
    </row>
    <row r="1375" spans="1:3">
      <c r="A1375" s="3">
        <f ca="1">IFERROR(__xludf.UNSUPPORTED("""COMPUTED_VALUE"""),45460.6666666666)</f>
        <v>45460.666666666599</v>
      </c>
      <c r="B1375" s="1">
        <f ca="1">IFERROR(__xludf.UNSUPPORTED("""COMPUTED_VALUE"""),547.1)</f>
        <v>547.1</v>
      </c>
      <c r="C1375" s="2">
        <f t="shared" ca="1" si="5"/>
        <v>7.9590257562917755E-3</v>
      </c>
    </row>
    <row r="1376" spans="1:3">
      <c r="A1376" s="3">
        <f ca="1">IFERROR(__xludf.UNSUPPORTED("""COMPUTED_VALUE"""),45461.6666666666)</f>
        <v>45461.666666666599</v>
      </c>
      <c r="B1376" s="1">
        <f ca="1">IFERROR(__xludf.UNSUPPORTED("""COMPUTED_VALUE"""),548.49)</f>
        <v>548.49</v>
      </c>
      <c r="C1376" s="2">
        <f t="shared" ca="1" si="5"/>
        <v>2.5406689819045627E-3</v>
      </c>
    </row>
    <row r="1377" spans="1:3">
      <c r="A1377" s="3">
        <f ca="1">IFERROR(__xludf.UNSUPPORTED("""COMPUTED_VALUE"""),45463.6666666666)</f>
        <v>45463.666666666599</v>
      </c>
      <c r="B1377" s="1">
        <f ca="1">IFERROR(__xludf.UNSUPPORTED("""COMPUTED_VALUE"""),547)</f>
        <v>547</v>
      </c>
      <c r="C1377" s="2">
        <f t="shared" ca="1" si="5"/>
        <v>-2.7165490710860892E-3</v>
      </c>
    </row>
    <row r="1378" spans="1:3">
      <c r="A1378" s="3">
        <f ca="1">IFERROR(__xludf.UNSUPPORTED("""COMPUTED_VALUE"""),45464.6666666666)</f>
        <v>45464.666666666599</v>
      </c>
      <c r="B1378" s="1">
        <f ca="1">IFERROR(__xludf.UNSUPPORTED("""COMPUTED_VALUE"""),544.51)</f>
        <v>544.51</v>
      </c>
      <c r="C1378" s="2">
        <f t="shared" ca="1" si="5"/>
        <v>-4.5521023765996513E-3</v>
      </c>
    </row>
    <row r="1379" spans="1:3">
      <c r="A1379" s="3">
        <f ca="1">IFERROR(__xludf.UNSUPPORTED("""COMPUTED_VALUE"""),45467.6666666666)</f>
        <v>45467.666666666599</v>
      </c>
      <c r="B1379" s="1">
        <f ca="1">IFERROR(__xludf.UNSUPPORTED("""COMPUTED_VALUE"""),542.74)</f>
        <v>542.74</v>
      </c>
      <c r="C1379" s="2">
        <f t="shared" ca="1" si="5"/>
        <v>-3.2506290058951751E-3</v>
      </c>
    </row>
    <row r="1380" spans="1:3">
      <c r="A1380" s="3">
        <f ca="1">IFERROR(__xludf.UNSUPPORTED("""COMPUTED_VALUE"""),45468.6666666666)</f>
        <v>45468.666666666599</v>
      </c>
      <c r="B1380" s="1">
        <f ca="1">IFERROR(__xludf.UNSUPPORTED("""COMPUTED_VALUE"""),544.83)</f>
        <v>544.83000000000004</v>
      </c>
      <c r="C1380" s="2">
        <f t="shared" ca="1" si="5"/>
        <v>3.8508309687880602E-3</v>
      </c>
    </row>
    <row r="1381" spans="1:3">
      <c r="A1381" s="3">
        <f ca="1">IFERROR(__xludf.UNSUPPORTED("""COMPUTED_VALUE"""),45469.6666666666)</f>
        <v>45469.666666666599</v>
      </c>
      <c r="B1381" s="1">
        <f ca="1">IFERROR(__xludf.UNSUPPORTED("""COMPUTED_VALUE"""),545.51)</f>
        <v>545.51</v>
      </c>
      <c r="C1381" s="2">
        <f t="shared" ca="1" si="5"/>
        <v>1.2480957362846208E-3</v>
      </c>
    </row>
    <row r="1382" spans="1:3">
      <c r="A1382" s="3">
        <f ca="1">IFERROR(__xludf.UNSUPPORTED("""COMPUTED_VALUE"""),45470.6666666666)</f>
        <v>45470.666666666599</v>
      </c>
      <c r="B1382" s="1">
        <f ca="1">IFERROR(__xludf.UNSUPPORTED("""COMPUTED_VALUE"""),546.37)</f>
        <v>546.37</v>
      </c>
      <c r="C1382" s="2">
        <f t="shared" ca="1" si="5"/>
        <v>1.5765063885171925E-3</v>
      </c>
    </row>
    <row r="1383" spans="1:3">
      <c r="A1383" s="3">
        <f ca="1">IFERROR(__xludf.UNSUPPORTED("""COMPUTED_VALUE"""),45471.6666666666)</f>
        <v>45471.666666666599</v>
      </c>
      <c r="B1383" s="1">
        <f ca="1">IFERROR(__xludf.UNSUPPORTED("""COMPUTED_VALUE"""),544.22)</f>
        <v>544.22</v>
      </c>
      <c r="C1383" s="2">
        <f t="shared" ca="1" si="5"/>
        <v>-3.9350623204055446E-3</v>
      </c>
    </row>
    <row r="1384" spans="1:3">
      <c r="A1384" s="3">
        <f ca="1">IFERROR(__xludf.UNSUPPORTED("""COMPUTED_VALUE"""),45474.6666666666)</f>
        <v>45474.666666666599</v>
      </c>
      <c r="B1384" s="1">
        <f ca="1">IFERROR(__xludf.UNSUPPORTED("""COMPUTED_VALUE"""),545.34)</f>
        <v>545.34</v>
      </c>
      <c r="C1384" s="2">
        <f t="shared" ca="1" si="5"/>
        <v>2.0579912535371807E-3</v>
      </c>
    </row>
    <row r="1385" spans="1:3">
      <c r="A1385" s="3">
        <f ca="1">IFERROR(__xludf.UNSUPPORTED("""COMPUTED_VALUE"""),45475.6666666666)</f>
        <v>45475.666666666599</v>
      </c>
      <c r="B1385" s="1">
        <f ca="1">IFERROR(__xludf.UNSUPPORTED("""COMPUTED_VALUE"""),549.01)</f>
        <v>549.01</v>
      </c>
      <c r="C1385" s="2">
        <f t="shared" ca="1" si="5"/>
        <v>6.7297465801150818E-3</v>
      </c>
    </row>
    <row r="1386" spans="1:3">
      <c r="A1386" s="3">
        <f ca="1">IFERROR(__xludf.UNSUPPORTED("""COMPUTED_VALUE"""),45476.5520833333)</f>
        <v>45476.552083333299</v>
      </c>
      <c r="B1386" s="1">
        <f ca="1">IFERROR(__xludf.UNSUPPORTED("""COMPUTED_VALUE"""),551.46)</f>
        <v>551.46</v>
      </c>
      <c r="C1386" s="2">
        <f t="shared" ca="1" si="5"/>
        <v>4.4625780951167478E-3</v>
      </c>
    </row>
    <row r="1387" spans="1:3">
      <c r="A1387" s="3">
        <f ca="1">IFERROR(__xludf.UNSUPPORTED("""COMPUTED_VALUE"""),45478.6666666666)</f>
        <v>45478.666666666599</v>
      </c>
      <c r="B1387" s="1">
        <f ca="1">IFERROR(__xludf.UNSUPPORTED("""COMPUTED_VALUE"""),554.64)</f>
        <v>554.64</v>
      </c>
      <c r="C1387" s="2">
        <f t="shared" ca="1" si="5"/>
        <v>5.7665107170056752E-3</v>
      </c>
    </row>
    <row r="1388" spans="1:3">
      <c r="A1388" s="3">
        <f ca="1">IFERROR(__xludf.UNSUPPORTED("""COMPUTED_VALUE"""),45481.6666666666)</f>
        <v>45481.666666666599</v>
      </c>
      <c r="B1388" s="1">
        <f ca="1">IFERROR(__xludf.UNSUPPORTED("""COMPUTED_VALUE"""),555.28)</f>
        <v>555.28</v>
      </c>
      <c r="C1388" s="2">
        <f t="shared" ca="1" si="5"/>
        <v>1.1539016298860276E-3</v>
      </c>
    </row>
    <row r="1389" spans="1:3">
      <c r="A1389" s="3">
        <f ca="1">IFERROR(__xludf.UNSUPPORTED("""COMPUTED_VALUE"""),45482.6666666666)</f>
        <v>45482.666666666599</v>
      </c>
      <c r="B1389" s="1">
        <f ca="1">IFERROR(__xludf.UNSUPPORTED("""COMPUTED_VALUE"""),555.82)</f>
        <v>555.82000000000005</v>
      </c>
      <c r="C1389" s="2">
        <f t="shared" ca="1" si="5"/>
        <v>9.724823512463574E-4</v>
      </c>
    </row>
    <row r="1390" spans="1:3">
      <c r="A1390" s="3">
        <f ca="1">IFERROR(__xludf.UNSUPPORTED("""COMPUTED_VALUE"""),45483.6666666666)</f>
        <v>45483.666666666599</v>
      </c>
      <c r="B1390" s="1">
        <f ca="1">IFERROR(__xludf.UNSUPPORTED("""COMPUTED_VALUE"""),561.32)</f>
        <v>561.32000000000005</v>
      </c>
      <c r="C1390" s="2">
        <f t="shared" ca="1" si="5"/>
        <v>9.8952898420351897E-3</v>
      </c>
    </row>
    <row r="1391" spans="1:3">
      <c r="A1391" s="3">
        <f ca="1">IFERROR(__xludf.UNSUPPORTED("""COMPUTED_VALUE"""),45484.6666666666)</f>
        <v>45484.666666666599</v>
      </c>
      <c r="B1391" s="1">
        <f ca="1">IFERROR(__xludf.UNSUPPORTED("""COMPUTED_VALUE"""),556.48)</f>
        <v>556.48</v>
      </c>
      <c r="C1391" s="2">
        <f t="shared" ca="1" si="5"/>
        <v>-8.622532601724563E-3</v>
      </c>
    </row>
    <row r="1392" spans="1:3">
      <c r="A1392" s="3">
        <f ca="1">IFERROR(__xludf.UNSUPPORTED("""COMPUTED_VALUE"""),45485.6666666666)</f>
        <v>45485.666666666599</v>
      </c>
      <c r="B1392" s="1">
        <f ca="1">IFERROR(__xludf.UNSUPPORTED("""COMPUTED_VALUE"""),559.99)</f>
        <v>559.99</v>
      </c>
      <c r="C1392" s="2">
        <f t="shared" ca="1" si="5"/>
        <v>6.3075043128234453E-3</v>
      </c>
    </row>
    <row r="1393" spans="1:3">
      <c r="A1393" s="3">
        <f ca="1">IFERROR(__xludf.UNSUPPORTED("""COMPUTED_VALUE"""),45488.6666666666)</f>
        <v>45488.666666666599</v>
      </c>
      <c r="B1393" s="1">
        <f ca="1">IFERROR(__xludf.UNSUPPORTED("""COMPUTED_VALUE"""),561.53)</f>
        <v>561.53</v>
      </c>
      <c r="C1393" s="2">
        <f t="shared" ca="1" si="5"/>
        <v>2.7500491080197208E-3</v>
      </c>
    </row>
    <row r="1394" spans="1:3">
      <c r="A1394" s="3">
        <f ca="1">IFERROR(__xludf.UNSUPPORTED("""COMPUTED_VALUE"""),45489.6666666666)</f>
        <v>45489.666666666599</v>
      </c>
      <c r="B1394" s="1">
        <f ca="1">IFERROR(__xludf.UNSUPPORTED("""COMPUTED_VALUE"""),564.86)</f>
        <v>564.86</v>
      </c>
      <c r="C1394" s="2">
        <f t="shared" ca="1" si="5"/>
        <v>5.9302263458765178E-3</v>
      </c>
    </row>
    <row r="1395" spans="1:3">
      <c r="A1395" s="3">
        <f ca="1">IFERROR(__xludf.UNSUPPORTED("""COMPUTED_VALUE"""),45490.6666666666)</f>
        <v>45490.666666666599</v>
      </c>
      <c r="B1395" s="1">
        <f ca="1">IFERROR(__xludf.UNSUPPORTED("""COMPUTED_VALUE"""),556.94)</f>
        <v>556.94000000000005</v>
      </c>
      <c r="C1395" s="2">
        <f t="shared" ca="1" si="5"/>
        <v>-1.4021173388096093E-2</v>
      </c>
    </row>
    <row r="1396" spans="1:3">
      <c r="A1396" s="3">
        <f ca="1">IFERROR(__xludf.UNSUPPORTED("""COMPUTED_VALUE"""),45491.6666666666)</f>
        <v>45491.666666666599</v>
      </c>
      <c r="B1396" s="1">
        <f ca="1">IFERROR(__xludf.UNSUPPORTED("""COMPUTED_VALUE"""),552.66)</f>
        <v>552.66</v>
      </c>
      <c r="C1396" s="2">
        <f t="shared" ca="1" si="5"/>
        <v>-7.6848493554064817E-3</v>
      </c>
    </row>
    <row r="1397" spans="1:3">
      <c r="A1397" s="3">
        <f ca="1">IFERROR(__xludf.UNSUPPORTED("""COMPUTED_VALUE"""),45492.6666666666)</f>
        <v>45492.666666666599</v>
      </c>
      <c r="B1397" s="1">
        <f ca="1">IFERROR(__xludf.UNSUPPORTED("""COMPUTED_VALUE"""),548.99)</f>
        <v>548.99</v>
      </c>
      <c r="C1397" s="2">
        <f t="shared" ca="1" si="5"/>
        <v>-6.6406108638221682E-3</v>
      </c>
    </row>
    <row r="1398" spans="1:3">
      <c r="A1398" s="3">
        <f ca="1">IFERROR(__xludf.UNSUPPORTED("""COMPUTED_VALUE"""),45495.6666666666)</f>
        <v>45495.666666666599</v>
      </c>
      <c r="B1398" s="1">
        <f ca="1">IFERROR(__xludf.UNSUPPORTED("""COMPUTED_VALUE"""),554.65)</f>
        <v>554.65</v>
      </c>
      <c r="C1398" s="2">
        <f t="shared" ca="1" si="5"/>
        <v>1.0309841709320694E-2</v>
      </c>
    </row>
    <row r="1399" spans="1:3">
      <c r="A1399" s="3">
        <f ca="1">IFERROR(__xludf.UNSUPPORTED("""COMPUTED_VALUE"""),45496.6666666666)</f>
        <v>45496.666666666599</v>
      </c>
      <c r="B1399" s="1">
        <f ca="1">IFERROR(__xludf.UNSUPPORTED("""COMPUTED_VALUE"""),553.78)</f>
        <v>553.78</v>
      </c>
      <c r="C1399" s="2">
        <f t="shared" ca="1" si="5"/>
        <v>-1.5685567474984306E-3</v>
      </c>
    </row>
    <row r="1400" spans="1:3">
      <c r="A1400" s="3">
        <f ca="1">IFERROR(__xludf.UNSUPPORTED("""COMPUTED_VALUE"""),45497.6666666666)</f>
        <v>45497.666666666599</v>
      </c>
      <c r="B1400" s="1">
        <f ca="1">IFERROR(__xludf.UNSUPPORTED("""COMPUTED_VALUE"""),541.23)</f>
        <v>541.23</v>
      </c>
      <c r="C1400" s="2">
        <f t="shared" ca="1" si="5"/>
        <v>-2.2662429123478555E-2</v>
      </c>
    </row>
    <row r="1401" spans="1:3">
      <c r="A1401" s="3">
        <f ca="1">IFERROR(__xludf.UNSUPPORTED("""COMPUTED_VALUE"""),45498.6666666666)</f>
        <v>45498.666666666599</v>
      </c>
      <c r="B1401" s="1">
        <f ca="1">IFERROR(__xludf.UNSUPPORTED("""COMPUTED_VALUE"""),538.41)</f>
        <v>538.41</v>
      </c>
      <c r="C1401" s="2">
        <f t="shared" ca="1" si="5"/>
        <v>-5.2103541932266321E-3</v>
      </c>
    </row>
    <row r="1402" spans="1:3">
      <c r="A1402" s="3">
        <f ca="1">IFERROR(__xludf.UNSUPPORTED("""COMPUTED_VALUE"""),45499.6666666666)</f>
        <v>45499.666666666599</v>
      </c>
      <c r="B1402" s="1">
        <f ca="1">IFERROR(__xludf.UNSUPPORTED("""COMPUTED_VALUE"""),544.44)</f>
        <v>544.44000000000005</v>
      </c>
      <c r="C1402" s="2">
        <f t="shared" ca="1" si="5"/>
        <v>1.1199643394439343E-2</v>
      </c>
    </row>
    <row r="1403" spans="1:3">
      <c r="A1403" s="3">
        <f ca="1">IFERROR(__xludf.UNSUPPORTED("""COMPUTED_VALUE"""),45502.6666666666)</f>
        <v>45502.666666666599</v>
      </c>
      <c r="B1403" s="1">
        <f ca="1">IFERROR(__xludf.UNSUPPORTED("""COMPUTED_VALUE"""),544.76)</f>
        <v>544.76</v>
      </c>
      <c r="C1403" s="2">
        <f t="shared" ca="1" si="5"/>
        <v>5.8775990008069995E-4</v>
      </c>
    </row>
    <row r="1404" spans="1:3">
      <c r="A1404" s="3">
        <f ca="1">IFERROR(__xludf.UNSUPPORTED("""COMPUTED_VALUE"""),45503.6666666666)</f>
        <v>45503.666666666599</v>
      </c>
      <c r="B1404" s="1">
        <f ca="1">IFERROR(__xludf.UNSUPPORTED("""COMPUTED_VALUE"""),542)</f>
        <v>542</v>
      </c>
      <c r="C1404" s="2">
        <f t="shared" ca="1" si="5"/>
        <v>-5.0664512812981701E-3</v>
      </c>
    </row>
    <row r="1405" spans="1:3">
      <c r="A1405" s="3">
        <f ca="1">IFERROR(__xludf.UNSUPPORTED("""COMPUTED_VALUE"""),45504.6666666666)</f>
        <v>45504.666666666599</v>
      </c>
      <c r="B1405" s="1">
        <f ca="1">IFERROR(__xludf.UNSUPPORTED("""COMPUTED_VALUE"""),550.81)</f>
        <v>550.80999999999995</v>
      </c>
      <c r="C1405" s="2">
        <f t="shared" ca="1" si="5"/>
        <v>1.6254612546125362E-2</v>
      </c>
    </row>
    <row r="1406" spans="1:3">
      <c r="A1406" s="3">
        <f ca="1">IFERROR(__xludf.UNSUPPORTED("""COMPUTED_VALUE"""),45505.6666666666)</f>
        <v>45505.666666666599</v>
      </c>
      <c r="B1406" s="1">
        <f ca="1">IFERROR(__xludf.UNSUPPORTED("""COMPUTED_VALUE"""),543.01)</f>
        <v>543.01</v>
      </c>
      <c r="C1406" s="2">
        <f t="shared" ca="1" si="5"/>
        <v>-1.4160962945480211E-2</v>
      </c>
    </row>
    <row r="1407" spans="1:3">
      <c r="A1407" s="3">
        <f ca="1">IFERROR(__xludf.UNSUPPORTED("""COMPUTED_VALUE"""),45506.6666666666)</f>
        <v>45506.666666666599</v>
      </c>
      <c r="B1407" s="1">
        <f ca="1">IFERROR(__xludf.UNSUPPORTED("""COMPUTED_VALUE"""),532.9)</f>
        <v>532.9</v>
      </c>
      <c r="C1407" s="2">
        <f t="shared" ca="1" si="5"/>
        <v>-1.8618441649325083E-2</v>
      </c>
    </row>
    <row r="1408" spans="1:3">
      <c r="A1408" s="3">
        <f ca="1">IFERROR(__xludf.UNSUPPORTED("""COMPUTED_VALUE"""),45509.6666666666)</f>
        <v>45509.666666666599</v>
      </c>
      <c r="B1408" s="1">
        <f ca="1">IFERROR(__xludf.UNSUPPORTED("""COMPUTED_VALUE"""),517.38)</f>
        <v>517.38</v>
      </c>
      <c r="C1408" s="2">
        <f t="shared" ca="1" si="5"/>
        <v>-2.9123662976168103E-2</v>
      </c>
    </row>
    <row r="1409" spans="1:3">
      <c r="A1409" s="3">
        <f ca="1">IFERROR(__xludf.UNSUPPORTED("""COMPUTED_VALUE"""),45510.6666666666)</f>
        <v>45510.666666666599</v>
      </c>
      <c r="B1409" s="1">
        <f ca="1">IFERROR(__xludf.UNSUPPORTED("""COMPUTED_VALUE"""),522.15)</f>
        <v>522.15</v>
      </c>
      <c r="C1409" s="2">
        <f t="shared" ca="1" si="5"/>
        <v>9.219529166183427E-3</v>
      </c>
    </row>
    <row r="1410" spans="1:3">
      <c r="A1410" s="3">
        <f ca="1">IFERROR(__xludf.UNSUPPORTED("""COMPUTED_VALUE"""),45511.6666666666)</f>
        <v>45511.666666666599</v>
      </c>
      <c r="B1410" s="1">
        <f ca="1">IFERROR(__xludf.UNSUPPORTED("""COMPUTED_VALUE"""),518.66)</f>
        <v>518.66</v>
      </c>
      <c r="C1410" s="2">
        <f t="shared" ca="1" si="5"/>
        <v>-6.6839030929809621E-3</v>
      </c>
    </row>
    <row r="1411" spans="1:3">
      <c r="A1411" s="3">
        <f ca="1">IFERROR(__xludf.UNSUPPORTED("""COMPUTED_VALUE"""),45512.6666666666)</f>
        <v>45512.666666666599</v>
      </c>
      <c r="B1411" s="1">
        <f ca="1">IFERROR(__xludf.UNSUPPORTED("""COMPUTED_VALUE"""),530.65)</f>
        <v>530.65</v>
      </c>
      <c r="C1411" s="2">
        <f t="shared" ca="1" si="5"/>
        <v>2.3117263718042666E-2</v>
      </c>
    </row>
    <row r="1412" spans="1:3">
      <c r="A1412" s="3">
        <f ca="1">IFERROR(__xludf.UNSUPPORTED("""COMPUTED_VALUE"""),45513.6666666666)</f>
        <v>45513.666666666599</v>
      </c>
      <c r="B1412" s="1">
        <f ca="1">IFERROR(__xludf.UNSUPPORTED("""COMPUTED_VALUE"""),532.99)</f>
        <v>532.99</v>
      </c>
      <c r="C1412" s="2">
        <f t="shared" ca="1" si="5"/>
        <v>4.4096862338641888E-3</v>
      </c>
    </row>
    <row r="1413" spans="1:3">
      <c r="A1413" s="3">
        <f ca="1">IFERROR(__xludf.UNSUPPORTED("""COMPUTED_VALUE"""),45516.6666666666)</f>
        <v>45516.666666666599</v>
      </c>
      <c r="B1413" s="1">
        <f ca="1">IFERROR(__xludf.UNSUPPORTED("""COMPUTED_VALUE"""),533.27)</f>
        <v>533.27</v>
      </c>
      <c r="C1413" s="2">
        <f t="shared" ca="1" si="5"/>
        <v>5.2533818645748083E-4</v>
      </c>
    </row>
    <row r="1414" spans="1:3">
      <c r="A1414" s="3">
        <f ca="1">IFERROR(__xludf.UNSUPPORTED("""COMPUTED_VALUE"""),45517.6666666666)</f>
        <v>45517.666666666599</v>
      </c>
      <c r="B1414" s="1">
        <f ca="1">IFERROR(__xludf.UNSUPPORTED("""COMPUTED_VALUE"""),542.04)</f>
        <v>542.04</v>
      </c>
      <c r="C1414" s="2">
        <f t="shared" ca="1" si="5"/>
        <v>1.6445702927222573E-2</v>
      </c>
    </row>
    <row r="1415" spans="1:3">
      <c r="A1415" s="3">
        <f ca="1">IFERROR(__xludf.UNSUPPORTED("""COMPUTED_VALUE"""),45518.6666666666)</f>
        <v>45518.666666666599</v>
      </c>
      <c r="B1415" s="1">
        <f ca="1">IFERROR(__xludf.UNSUPPORTED("""COMPUTED_VALUE"""),543.75)</f>
        <v>543.75</v>
      </c>
      <c r="C1415" s="2">
        <f t="shared" ca="1" si="5"/>
        <v>3.1547487270312826E-3</v>
      </c>
    </row>
    <row r="1416" spans="1:3">
      <c r="A1416" s="3">
        <f ca="1">IFERROR(__xludf.UNSUPPORTED("""COMPUTED_VALUE"""),45519.6666666666)</f>
        <v>45519.666666666599</v>
      </c>
      <c r="B1416" s="1">
        <f ca="1">IFERROR(__xludf.UNSUPPORTED("""COMPUTED_VALUE"""),553.07)</f>
        <v>553.07000000000005</v>
      </c>
      <c r="C1416" s="2">
        <f t="shared" ca="1" si="5"/>
        <v>1.7140229885057562E-2</v>
      </c>
    </row>
    <row r="1417" spans="1:3">
      <c r="A1417" s="3">
        <f ca="1">IFERROR(__xludf.UNSUPPORTED("""COMPUTED_VALUE"""),45520.6666666666)</f>
        <v>45520.666666666599</v>
      </c>
      <c r="B1417" s="1">
        <f ca="1">IFERROR(__xludf.UNSUPPORTED("""COMPUTED_VALUE"""),554.31)</f>
        <v>554.30999999999995</v>
      </c>
      <c r="C1417" s="2">
        <f t="shared" ca="1" si="5"/>
        <v>2.2420308460048373E-3</v>
      </c>
    </row>
    <row r="1418" spans="1:3">
      <c r="A1418" s="3">
        <f ca="1">IFERROR(__xludf.UNSUPPORTED("""COMPUTED_VALUE"""),45523.6666666666)</f>
        <v>45523.666666666599</v>
      </c>
      <c r="B1418" s="1">
        <f ca="1">IFERROR(__xludf.UNSUPPORTED("""COMPUTED_VALUE"""),559.61)</f>
        <v>559.61</v>
      </c>
      <c r="C1418" s="2">
        <f t="shared" ca="1" si="5"/>
        <v>9.5614367411738354E-3</v>
      </c>
    </row>
    <row r="1419" spans="1:3">
      <c r="A1419" s="3">
        <f ca="1">IFERROR(__xludf.UNSUPPORTED("""COMPUTED_VALUE"""),45524.6666666666)</f>
        <v>45524.666666666599</v>
      </c>
      <c r="B1419" s="1">
        <f ca="1">IFERROR(__xludf.UNSUPPORTED("""COMPUTED_VALUE"""),558.7)</f>
        <v>558.70000000000005</v>
      </c>
      <c r="C1419" s="2">
        <f t="shared" ca="1" si="5"/>
        <v>-1.6261324851235112E-3</v>
      </c>
    </row>
    <row r="1420" spans="1:3">
      <c r="A1420" s="3">
        <f ca="1">IFERROR(__xludf.UNSUPPORTED("""COMPUTED_VALUE"""),45525.6666666666)</f>
        <v>45525.666666666599</v>
      </c>
      <c r="B1420" s="1">
        <f ca="1">IFERROR(__xludf.UNSUPPORTED("""COMPUTED_VALUE"""),560.62)</f>
        <v>560.62</v>
      </c>
      <c r="C1420" s="2">
        <f t="shared" ca="1" si="5"/>
        <v>3.4365491319132968E-3</v>
      </c>
    </row>
    <row r="1421" spans="1:3">
      <c r="A1421" s="3">
        <f ca="1">IFERROR(__xludf.UNSUPPORTED("""COMPUTED_VALUE"""),45526.6666666666)</f>
        <v>45526.666666666599</v>
      </c>
      <c r="B1421" s="1">
        <f ca="1">IFERROR(__xludf.UNSUPPORTED("""COMPUTED_VALUE"""),556.22)</f>
        <v>556.22</v>
      </c>
      <c r="C1421" s="2">
        <f t="shared" ca="1" si="5"/>
        <v>-7.8484534979129834E-3</v>
      </c>
    </row>
    <row r="1422" spans="1:3">
      <c r="A1422" s="3">
        <f ca="1">IFERROR(__xludf.UNSUPPORTED("""COMPUTED_VALUE"""),45527.6666666666)</f>
        <v>45527.666666666599</v>
      </c>
      <c r="B1422" s="1">
        <f ca="1">IFERROR(__xludf.UNSUPPORTED("""COMPUTED_VALUE"""),562.13)</f>
        <v>562.13</v>
      </c>
      <c r="C1422" s="2">
        <f t="shared" ca="1" si="5"/>
        <v>1.0625292150587839E-2</v>
      </c>
    </row>
    <row r="1423" spans="1:3">
      <c r="A1423" s="3">
        <f ca="1">IFERROR(__xludf.UNSUPPORTED("""COMPUTED_VALUE"""),45530.6666666666)</f>
        <v>45530.666666666599</v>
      </c>
      <c r="B1423" s="1">
        <f ca="1">IFERROR(__xludf.UNSUPPORTED("""COMPUTED_VALUE"""),560.79)</f>
        <v>560.79</v>
      </c>
      <c r="C1423" s="2">
        <f t="shared" ca="1" si="5"/>
        <v>-2.3837902264601282E-3</v>
      </c>
    </row>
    <row r="1424" spans="1:3">
      <c r="A1424" s="3">
        <f ca="1">IFERROR(__xludf.UNSUPPORTED("""COMPUTED_VALUE"""),45531.6666666666)</f>
        <v>45531.666666666599</v>
      </c>
      <c r="B1424" s="1">
        <f ca="1">IFERROR(__xludf.UNSUPPORTED("""COMPUTED_VALUE"""),561.56)</f>
        <v>561.55999999999995</v>
      </c>
      <c r="C1424" s="2">
        <f t="shared" ca="1" si="5"/>
        <v>1.3730630004101033E-3</v>
      </c>
    </row>
    <row r="1425" spans="1:3">
      <c r="A1425" s="3">
        <f ca="1">IFERROR(__xludf.UNSUPPORTED("""COMPUTED_VALUE"""),45532.6666666666)</f>
        <v>45532.666666666599</v>
      </c>
      <c r="B1425" s="1">
        <f ca="1">IFERROR(__xludf.UNSUPPORTED("""COMPUTED_VALUE"""),558.3)</f>
        <v>558.29999999999995</v>
      </c>
      <c r="C1425" s="2">
        <f t="shared" ca="1" si="5"/>
        <v>-5.8052567846712576E-3</v>
      </c>
    </row>
    <row r="1426" spans="1:3">
      <c r="A1426" s="3">
        <f ca="1">IFERROR(__xludf.UNSUPPORTED("""COMPUTED_VALUE"""),45533.6666666666)</f>
        <v>45533.666666666599</v>
      </c>
      <c r="B1426" s="1">
        <f ca="1">IFERROR(__xludf.UNSUPPORTED("""COMPUTED_VALUE"""),558.35)</f>
        <v>558.35</v>
      </c>
      <c r="C1426" s="2">
        <f t="shared" ca="1" si="5"/>
        <v>8.9557585527616366E-5</v>
      </c>
    </row>
    <row r="1427" spans="1:3">
      <c r="A1427" s="3">
        <f ca="1">IFERROR(__xludf.UNSUPPORTED("""COMPUTED_VALUE"""),45534.6666666666)</f>
        <v>45534.666666666599</v>
      </c>
      <c r="B1427" s="1">
        <f ca="1">IFERROR(__xludf.UNSUPPORTED("""COMPUTED_VALUE"""),563.68)</f>
        <v>563.67999999999995</v>
      </c>
      <c r="C1427" s="2">
        <f t="shared" ca="1" si="5"/>
        <v>9.5459837019789152E-3</v>
      </c>
    </row>
    <row r="1428" spans="1:3">
      <c r="A1428" s="3">
        <f ca="1">IFERROR(__xludf.UNSUPPORTED("""COMPUTED_VALUE"""),45538.6666666666)</f>
        <v>45538.666666666599</v>
      </c>
      <c r="B1428" s="1">
        <f ca="1">IFERROR(__xludf.UNSUPPORTED("""COMPUTED_VALUE"""),552.08)</f>
        <v>552.08000000000004</v>
      </c>
      <c r="C1428" s="2">
        <f t="shared" ca="1" si="5"/>
        <v>-2.0579051944365438E-2</v>
      </c>
    </row>
    <row r="1429" spans="1:3">
      <c r="A1429" s="3">
        <f ca="1">IFERROR(__xludf.UNSUPPORTED("""COMPUTED_VALUE"""),45539.6666666666)</f>
        <v>45539.666666666599</v>
      </c>
      <c r="B1429" s="1">
        <f ca="1">IFERROR(__xludf.UNSUPPORTED("""COMPUTED_VALUE"""),550.95)</f>
        <v>550.95000000000005</v>
      </c>
      <c r="C1429" s="2">
        <f t="shared" ca="1" si="5"/>
        <v>-2.046804810896963E-3</v>
      </c>
    </row>
    <row r="1430" spans="1:3">
      <c r="A1430" s="3">
        <f ca="1">IFERROR(__xludf.UNSUPPORTED("""COMPUTED_VALUE"""),45540.6666666666)</f>
        <v>45540.666666666599</v>
      </c>
      <c r="B1430" s="1">
        <f ca="1">IFERROR(__xludf.UNSUPPORTED("""COMPUTED_VALUE"""),549.61)</f>
        <v>549.61</v>
      </c>
      <c r="C1430" s="2">
        <f t="shared" ca="1" si="5"/>
        <v>-2.4321626281877335E-3</v>
      </c>
    </row>
    <row r="1431" spans="1:3">
      <c r="A1431" s="3">
        <f ca="1">IFERROR(__xludf.UNSUPPORTED("""COMPUTED_VALUE"""),45541.6666666666)</f>
        <v>45541.666666666599</v>
      </c>
      <c r="B1431" s="1">
        <f ca="1">IFERROR(__xludf.UNSUPPORTED("""COMPUTED_VALUE"""),540.36)</f>
        <v>540.36</v>
      </c>
      <c r="C1431" s="2">
        <f t="shared" ca="1" si="5"/>
        <v>-1.6830115900365712E-2</v>
      </c>
    </row>
    <row r="1432" spans="1:3">
      <c r="A1432" s="3">
        <f ca="1">IFERROR(__xludf.UNSUPPORTED("""COMPUTED_VALUE"""),45544.6666666666)</f>
        <v>45544.666666666599</v>
      </c>
      <c r="B1432" s="1">
        <f ca="1">IFERROR(__xludf.UNSUPPORTED("""COMPUTED_VALUE"""),546.41)</f>
        <v>546.41</v>
      </c>
      <c r="C1432" s="2">
        <f t="shared" ca="1" si="5"/>
        <v>1.1196239544007613E-2</v>
      </c>
    </row>
    <row r="1433" spans="1:3">
      <c r="A1433" s="3">
        <f ca="1">IFERROR(__xludf.UNSUPPORTED("""COMPUTED_VALUE"""),45545.6666666666)</f>
        <v>45545.666666666599</v>
      </c>
      <c r="B1433" s="1">
        <f ca="1">IFERROR(__xludf.UNSUPPORTED("""COMPUTED_VALUE"""),548.79)</f>
        <v>548.79</v>
      </c>
      <c r="C1433" s="2">
        <f t="shared" ca="1" si="5"/>
        <v>4.3557035925403916E-3</v>
      </c>
    </row>
    <row r="1434" spans="1:3">
      <c r="A1434" s="3">
        <f ca="1">IFERROR(__xludf.UNSUPPORTED("""COMPUTED_VALUE"""),45546.6666666666)</f>
        <v>45546.666666666599</v>
      </c>
      <c r="B1434" s="1">
        <f ca="1">IFERROR(__xludf.UNSUPPORTED("""COMPUTED_VALUE"""),554.42)</f>
        <v>554.41999999999996</v>
      </c>
      <c r="C1434" s="2">
        <f t="shared" ca="1" si="5"/>
        <v>1.0258933289600751E-2</v>
      </c>
    </row>
    <row r="1435" spans="1:3">
      <c r="A1435" s="3">
        <f ca="1">IFERROR(__xludf.UNSUPPORTED("""COMPUTED_VALUE"""),45547.6666666666)</f>
        <v>45547.666666666599</v>
      </c>
      <c r="B1435" s="1">
        <f ca="1">IFERROR(__xludf.UNSUPPORTED("""COMPUTED_VALUE"""),559.09)</f>
        <v>559.09</v>
      </c>
      <c r="C1435" s="2">
        <f t="shared" ca="1" si="5"/>
        <v>8.4232170556619041E-3</v>
      </c>
    </row>
    <row r="1436" spans="1:3">
      <c r="A1436" s="3">
        <f ca="1">IFERROR(__xludf.UNSUPPORTED("""COMPUTED_VALUE"""),45548.6666666666)</f>
        <v>45548.666666666599</v>
      </c>
      <c r="B1436" s="1">
        <f ca="1">IFERROR(__xludf.UNSUPPORTED("""COMPUTED_VALUE"""),562.01)</f>
        <v>562.01</v>
      </c>
      <c r="C1436" s="2">
        <f t="shared" ca="1" si="5"/>
        <v>5.2227727199555688E-3</v>
      </c>
    </row>
    <row r="1437" spans="1:3">
      <c r="A1437" s="3">
        <f ca="1">IFERROR(__xludf.UNSUPPORTED("""COMPUTED_VALUE"""),45551.6666666666)</f>
        <v>45551.666666666599</v>
      </c>
      <c r="B1437" s="1">
        <f ca="1">IFERROR(__xludf.UNSUPPORTED("""COMPUTED_VALUE"""),562.84)</f>
        <v>562.84</v>
      </c>
      <c r="C1437" s="2">
        <f t="shared" ca="1" si="5"/>
        <v>1.4768420490739328E-3</v>
      </c>
    </row>
    <row r="1438" spans="1:3">
      <c r="A1438" s="3">
        <f ca="1">IFERROR(__xludf.UNSUPPORTED("""COMPUTED_VALUE"""),45552.6666666666)</f>
        <v>45552.666666666599</v>
      </c>
      <c r="B1438" s="1">
        <f ca="1">IFERROR(__xludf.UNSUPPORTED("""COMPUTED_VALUE"""),563.07)</f>
        <v>563.07000000000005</v>
      </c>
      <c r="C1438" s="2">
        <f t="shared" ca="1" si="5"/>
        <v>4.086418875702121E-4</v>
      </c>
    </row>
    <row r="1439" spans="1:3">
      <c r="A1439" s="3">
        <f ca="1">IFERROR(__xludf.UNSUPPORTED("""COMPUTED_VALUE"""),45553.6666666666)</f>
        <v>45553.666666666599</v>
      </c>
      <c r="B1439" s="1">
        <f ca="1">IFERROR(__xludf.UNSUPPORTED("""COMPUTED_VALUE"""),561.4)</f>
        <v>561.4</v>
      </c>
      <c r="C1439" s="2">
        <f t="shared" ca="1" si="5"/>
        <v>-2.9658834603158977E-3</v>
      </c>
    </row>
    <row r="1440" spans="1:3">
      <c r="A1440" s="3">
        <f ca="1">IFERROR(__xludf.UNSUPPORTED("""COMPUTED_VALUE"""),45554.6666666666)</f>
        <v>45554.666666666599</v>
      </c>
      <c r="B1440" s="1">
        <f ca="1">IFERROR(__xludf.UNSUPPORTED("""COMPUTED_VALUE"""),570.98)</f>
        <v>570.98</v>
      </c>
      <c r="C1440" s="2">
        <f t="shared" ca="1" si="5"/>
        <v>1.7064481653010406E-2</v>
      </c>
    </row>
    <row r="1441" spans="1:3">
      <c r="A1441" s="3">
        <f ca="1">IFERROR(__xludf.UNSUPPORTED("""COMPUTED_VALUE"""),45555.6666666666)</f>
        <v>45555.666666666599</v>
      </c>
      <c r="B1441" s="1">
        <f ca="1">IFERROR(__xludf.UNSUPPORTED("""COMPUTED_VALUE"""),568.25)</f>
        <v>568.25</v>
      </c>
      <c r="C1441" s="2">
        <f t="shared" ca="1" si="5"/>
        <v>-4.7812532838278363E-3</v>
      </c>
    </row>
    <row r="1442" spans="1:3">
      <c r="A1442" s="3">
        <f ca="1">IFERROR(__xludf.UNSUPPORTED("""COMPUTED_VALUE"""),45558.6666666666)</f>
        <v>45558.666666666599</v>
      </c>
      <c r="B1442" s="1">
        <f ca="1">IFERROR(__xludf.UNSUPPORTED("""COMPUTED_VALUE"""),569.67)</f>
        <v>569.66999999999996</v>
      </c>
      <c r="C1442" s="2">
        <f t="shared" ca="1" si="5"/>
        <v>2.49890013198409E-3</v>
      </c>
    </row>
    <row r="1443" spans="1:3">
      <c r="A1443" s="3">
        <f ca="1">IFERROR(__xludf.UNSUPPORTED("""COMPUTED_VALUE"""),45559.6666666666)</f>
        <v>45559.666666666599</v>
      </c>
      <c r="B1443" s="1">
        <f ca="1">IFERROR(__xludf.UNSUPPORTED("""COMPUTED_VALUE"""),571.3)</f>
        <v>571.29999999999995</v>
      </c>
      <c r="C1443" s="2">
        <f t="shared" ca="1" si="5"/>
        <v>2.8613056681938589E-3</v>
      </c>
    </row>
    <row r="1444" spans="1:3">
      <c r="A1444" s="3">
        <f ca="1">IFERROR(__xludf.UNSUPPORTED("""COMPUTED_VALUE"""),45560.6666666666)</f>
        <v>45560.666666666599</v>
      </c>
      <c r="B1444" s="1">
        <f ca="1">IFERROR(__xludf.UNSUPPORTED("""COMPUTED_VALUE"""),570.04)</f>
        <v>570.04</v>
      </c>
      <c r="C1444" s="2">
        <f t="shared" ca="1" si="5"/>
        <v>-2.2054962366532312E-3</v>
      </c>
    </row>
    <row r="1445" spans="1:3">
      <c r="A1445" s="3">
        <f ca="1">IFERROR(__xludf.UNSUPPORTED("""COMPUTED_VALUE"""),45561.6666666666)</f>
        <v>45561.666666666599</v>
      </c>
      <c r="B1445" s="1">
        <f ca="1">IFERROR(__xludf.UNSUPPORTED("""COMPUTED_VALUE"""),572.3)</f>
        <v>572.29999999999995</v>
      </c>
      <c r="C1445" s="2">
        <f t="shared" ca="1" si="5"/>
        <v>3.9646340607676495E-3</v>
      </c>
    </row>
    <row r="1446" spans="1:3">
      <c r="A1446" s="3">
        <f ca="1">IFERROR(__xludf.UNSUPPORTED("""COMPUTED_VALUE"""),45562.6666666666)</f>
        <v>45562.666666666599</v>
      </c>
      <c r="B1446" s="1">
        <f ca="1">IFERROR(__xludf.UNSUPPORTED("""COMPUTED_VALUE"""),571.47)</f>
        <v>571.47</v>
      </c>
      <c r="C1446" s="2">
        <f t="shared" ca="1" si="5"/>
        <v>-1.4502883103266247E-3</v>
      </c>
    </row>
    <row r="1447" spans="1:3">
      <c r="A1447" s="3">
        <f ca="1">IFERROR(__xludf.UNSUPPORTED("""COMPUTED_VALUE"""),45565.6666666666)</f>
        <v>45565.666666666599</v>
      </c>
      <c r="B1447" s="1">
        <f ca="1">IFERROR(__xludf.UNSUPPORTED("""COMPUTED_VALUE"""),573.76)</f>
        <v>573.76</v>
      </c>
      <c r="C1447" s="2">
        <f t="shared" ca="1" si="5"/>
        <v>4.007209477312831E-3</v>
      </c>
    </row>
    <row r="1448" spans="1:3">
      <c r="A1448" s="3">
        <f ca="1">IFERROR(__xludf.UNSUPPORTED("""COMPUTED_VALUE"""),45566.6666666666)</f>
        <v>45566.666666666599</v>
      </c>
      <c r="B1448" s="1">
        <f ca="1">IFERROR(__xludf.UNSUPPORTED("""COMPUTED_VALUE"""),568.62)</f>
        <v>568.62</v>
      </c>
      <c r="C1448" s="2">
        <f t="shared" ca="1" si="5"/>
        <v>-8.9584495259341645E-3</v>
      </c>
    </row>
    <row r="1449" spans="1:3">
      <c r="A1449" s="3">
        <f ca="1">IFERROR(__xludf.UNSUPPORTED("""COMPUTED_VALUE"""),45567.6666666666)</f>
        <v>45567.666666666599</v>
      </c>
      <c r="B1449" s="1">
        <f ca="1">IFERROR(__xludf.UNSUPPORTED("""COMPUTED_VALUE"""),568.86)</f>
        <v>568.86</v>
      </c>
      <c r="C1449" s="2">
        <f t="shared" ca="1" si="5"/>
        <v>4.2207449614858623E-4</v>
      </c>
    </row>
    <row r="1450" spans="1:3">
      <c r="A1450" s="3">
        <f ca="1">IFERROR(__xludf.UNSUPPORTED("""COMPUTED_VALUE"""),45568.6666666666)</f>
        <v>45568.666666666599</v>
      </c>
      <c r="B1450" s="1">
        <f ca="1">IFERROR(__xludf.UNSUPPORTED("""COMPUTED_VALUE"""),567.82)</f>
        <v>567.82000000000005</v>
      </c>
      <c r="C1450" s="2">
        <f t="shared" ca="1" si="5"/>
        <v>-1.8282178391870823E-3</v>
      </c>
    </row>
    <row r="1451" spans="1:3">
      <c r="A1451" s="3">
        <f ca="1">IFERROR(__xludf.UNSUPPORTED("""COMPUTED_VALUE"""),45569.6666666666)</f>
        <v>45569.666666666599</v>
      </c>
      <c r="B1451" s="1">
        <f ca="1">IFERROR(__xludf.UNSUPPORTED("""COMPUTED_VALUE"""),572.98)</f>
        <v>572.98</v>
      </c>
      <c r="C1451" s="2">
        <f t="shared" ca="1" si="5"/>
        <v>9.0873868479447138E-3</v>
      </c>
    </row>
    <row r="1452" spans="1:3">
      <c r="A1452" s="3">
        <f ca="1">IFERROR(__xludf.UNSUPPORTED("""COMPUTED_VALUE"""),45572.6666666666)</f>
        <v>45572.666666666599</v>
      </c>
      <c r="B1452" s="1">
        <f ca="1">IFERROR(__xludf.UNSUPPORTED("""COMPUTED_VALUE"""),567.8)</f>
        <v>567.79999999999995</v>
      </c>
      <c r="C1452" s="2">
        <f t="shared" ca="1" si="5"/>
        <v>-9.0404551642292285E-3</v>
      </c>
    </row>
    <row r="1453" spans="1:3">
      <c r="A1453" s="3">
        <f ca="1">IFERROR(__xludf.UNSUPPORTED("""COMPUTED_VALUE"""),45573.6666666666)</f>
        <v>45573.666666666599</v>
      </c>
      <c r="B1453" s="1">
        <f ca="1">IFERROR(__xludf.UNSUPPORTED("""COMPUTED_VALUE"""),573.17)</f>
        <v>573.16999999999996</v>
      </c>
      <c r="C1453" s="2">
        <f t="shared" ca="1" si="5"/>
        <v>9.4575554772807421E-3</v>
      </c>
    </row>
    <row r="1454" spans="1:3">
      <c r="A1454" s="3">
        <f ca="1">IFERROR(__xludf.UNSUPPORTED("""COMPUTED_VALUE"""),45574.6666666666)</f>
        <v>45574.666666666599</v>
      </c>
      <c r="B1454" s="1">
        <f ca="1">IFERROR(__xludf.UNSUPPORTED("""COMPUTED_VALUE"""),577.14)</f>
        <v>577.14</v>
      </c>
      <c r="C1454" s="2">
        <f t="shared" ca="1" si="5"/>
        <v>6.9263918209257766E-3</v>
      </c>
    </row>
    <row r="1455" spans="1:3">
      <c r="A1455" s="3">
        <f ca="1">IFERROR(__xludf.UNSUPPORTED("""COMPUTED_VALUE"""),45575.6666666666)</f>
        <v>45575.666666666599</v>
      </c>
      <c r="B1455" s="1">
        <f ca="1">IFERROR(__xludf.UNSUPPORTED("""COMPUTED_VALUE"""),576.13)</f>
        <v>576.13</v>
      </c>
      <c r="C1455" s="2">
        <f t="shared" ca="1" si="5"/>
        <v>-1.750008663409209E-3</v>
      </c>
    </row>
    <row r="1456" spans="1:3">
      <c r="A1456" s="3">
        <f ca="1">IFERROR(__xludf.UNSUPPORTED("""COMPUTED_VALUE"""),45576.6666666666)</f>
        <v>45576.666666666599</v>
      </c>
      <c r="B1456" s="1">
        <f ca="1">IFERROR(__xludf.UNSUPPORTED("""COMPUTED_VALUE"""),579.58)</f>
        <v>579.58000000000004</v>
      </c>
      <c r="C1456" s="2">
        <f t="shared" ca="1" si="5"/>
        <v>5.9882318226789884E-3</v>
      </c>
    </row>
    <row r="1457" spans="1:3">
      <c r="A1457" s="3">
        <f ca="1">IFERROR(__xludf.UNSUPPORTED("""COMPUTED_VALUE"""),45579.6666666666)</f>
        <v>45579.666666666599</v>
      </c>
      <c r="B1457" s="1">
        <f ca="1">IFERROR(__xludf.UNSUPPORTED("""COMPUTED_VALUE"""),584.32)</f>
        <v>584.32000000000005</v>
      </c>
      <c r="C1457" s="2">
        <f t="shared" ca="1" si="5"/>
        <v>8.1783360364401959E-3</v>
      </c>
    </row>
    <row r="1458" spans="1:3">
      <c r="A1458" s="3">
        <f ca="1">IFERROR(__xludf.UNSUPPORTED("""COMPUTED_VALUE"""),45580.6666666666)</f>
        <v>45580.666666666599</v>
      </c>
      <c r="B1458" s="1">
        <f ca="1">IFERROR(__xludf.UNSUPPORTED("""COMPUTED_VALUE"""),579.78)</f>
        <v>579.78</v>
      </c>
      <c r="C1458" s="2">
        <f t="shared" ca="1" si="5"/>
        <v>-7.769715224534633E-3</v>
      </c>
    </row>
    <row r="1459" spans="1:3">
      <c r="A1459" s="3">
        <f ca="1">IFERROR(__xludf.UNSUPPORTED("""COMPUTED_VALUE"""),45581.6666666666)</f>
        <v>45581.666666666599</v>
      </c>
      <c r="B1459" s="1">
        <f ca="1">IFERROR(__xludf.UNSUPPORTED("""COMPUTED_VALUE"""),582.3)</f>
        <v>582.29999999999995</v>
      </c>
      <c r="C1459" s="2">
        <f t="shared" ca="1" si="5"/>
        <v>4.3464762496118903E-3</v>
      </c>
    </row>
    <row r="1460" spans="1:3">
      <c r="A1460" s="3">
        <f ca="1">IFERROR(__xludf.UNSUPPORTED("""COMPUTED_VALUE"""),45582.6666666666)</f>
        <v>45582.666666666599</v>
      </c>
      <c r="B1460" s="1">
        <f ca="1">IFERROR(__xludf.UNSUPPORTED("""COMPUTED_VALUE"""),582.35)</f>
        <v>582.35</v>
      </c>
      <c r="C1460" s="2">
        <f t="shared" ca="1" si="5"/>
        <v>8.5866391894329753E-5</v>
      </c>
    </row>
    <row r="1461" spans="1:3">
      <c r="A1461" s="3">
        <f ca="1">IFERROR(__xludf.UNSUPPORTED("""COMPUTED_VALUE"""),45583.6666666666)</f>
        <v>45583.666666666599</v>
      </c>
      <c r="B1461" s="1">
        <f ca="1">IFERROR(__xludf.UNSUPPORTED("""COMPUTED_VALUE"""),584.59)</f>
        <v>584.59</v>
      </c>
      <c r="C1461" s="2">
        <f t="shared" ca="1" si="5"/>
        <v>3.8464840731519002E-3</v>
      </c>
    </row>
    <row r="1462" spans="1:3">
      <c r="A1462" s="3">
        <f ca="1">IFERROR(__xludf.UNSUPPORTED("""COMPUTED_VALUE"""),45586.6666666666)</f>
        <v>45586.666666666599</v>
      </c>
      <c r="B1462" s="1">
        <f ca="1">IFERROR(__xludf.UNSUPPORTED("""COMPUTED_VALUE"""),583.63)</f>
        <v>583.63</v>
      </c>
      <c r="C1462" s="2">
        <f t="shared" ca="1" si="5"/>
        <v>-1.6421765681931548E-3</v>
      </c>
    </row>
    <row r="1463" spans="1:3">
      <c r="A1463" s="3">
        <f ca="1">IFERROR(__xludf.UNSUPPORTED("""COMPUTED_VALUE"""),45587.6666666666)</f>
        <v>45587.666666666599</v>
      </c>
      <c r="B1463" s="1">
        <f ca="1">IFERROR(__xludf.UNSUPPORTED("""COMPUTED_VALUE"""),583.32)</f>
        <v>583.32000000000005</v>
      </c>
      <c r="C1463" s="2">
        <f t="shared" ca="1" si="5"/>
        <v>-5.311584394221432E-4</v>
      </c>
    </row>
    <row r="1464" spans="1:3">
      <c r="A1464" s="3">
        <f ca="1">IFERROR(__xludf.UNSUPPORTED("""COMPUTED_VALUE"""),45588.6666666666)</f>
        <v>45588.666666666599</v>
      </c>
      <c r="B1464" s="1">
        <f ca="1">IFERROR(__xludf.UNSUPPORTED("""COMPUTED_VALUE"""),577.99)</f>
        <v>577.99</v>
      </c>
      <c r="C1464" s="2">
        <f t="shared" ca="1" si="5"/>
        <v>-9.1373517108963177E-3</v>
      </c>
    </row>
    <row r="1465" spans="1:3">
      <c r="A1465" s="3">
        <f ca="1">IFERROR(__xludf.UNSUPPORTED("""COMPUTED_VALUE"""),45589.6666666666)</f>
        <v>45589.666666666599</v>
      </c>
      <c r="B1465" s="1">
        <f ca="1">IFERROR(__xludf.UNSUPPORTED("""COMPUTED_VALUE"""),579.24)</f>
        <v>579.24</v>
      </c>
      <c r="C1465" s="2">
        <f t="shared" ca="1" si="5"/>
        <v>2.1626671741725636E-3</v>
      </c>
    </row>
    <row r="1466" spans="1:3">
      <c r="A1466" s="3">
        <f ca="1">IFERROR(__xludf.UNSUPPORTED("""COMPUTED_VALUE"""),45590.6666666666)</f>
        <v>45590.666666666599</v>
      </c>
      <c r="B1466" s="1">
        <f ca="1">IFERROR(__xludf.UNSUPPORTED("""COMPUTED_VALUE"""),579.04)</f>
        <v>579.04</v>
      </c>
      <c r="C1466" s="2">
        <f t="shared" ca="1" si="5"/>
        <v>-3.4528002209799992E-4</v>
      </c>
    </row>
    <row r="1467" spans="1:3">
      <c r="A1467" s="3">
        <f ca="1">IFERROR(__xludf.UNSUPPORTED("""COMPUTED_VALUE"""),45593.6666666666)</f>
        <v>45593.666666666599</v>
      </c>
      <c r="B1467" s="1">
        <f ca="1">IFERROR(__xludf.UNSUPPORTED("""COMPUTED_VALUE"""),580.83)</f>
        <v>580.83000000000004</v>
      </c>
      <c r="C1467" s="2">
        <f t="shared" ca="1" si="5"/>
        <v>3.091323570047108E-3</v>
      </c>
    </row>
    <row r="1468" spans="1:3">
      <c r="A1468" s="3">
        <f ca="1">IFERROR(__xludf.UNSUPPORTED("""COMPUTED_VALUE"""),45594.6666666666)</f>
        <v>45594.666666666599</v>
      </c>
      <c r="B1468" s="1">
        <f ca="1">IFERROR(__xludf.UNSUPPORTED("""COMPUTED_VALUE"""),581.77)</f>
        <v>581.77</v>
      </c>
      <c r="C1468" s="2">
        <f t="shared" ca="1" si="5"/>
        <v>1.6183737065921884E-3</v>
      </c>
    </row>
    <row r="1469" spans="1:3">
      <c r="A1469" s="3">
        <f ca="1">IFERROR(__xludf.UNSUPPORTED("""COMPUTED_VALUE"""),45595.6666666666)</f>
        <v>45595.666666666599</v>
      </c>
      <c r="B1469" s="1">
        <f ca="1">IFERROR(__xludf.UNSUPPORTED("""COMPUTED_VALUE"""),580.01)</f>
        <v>580.01</v>
      </c>
      <c r="C1469" s="2">
        <f t="shared" ca="1" si="5"/>
        <v>-3.0252505285593809E-3</v>
      </c>
    </row>
    <row r="1470" spans="1:3">
      <c r="A1470" s="3">
        <f ca="1">IFERROR(__xludf.UNSUPPORTED("""COMPUTED_VALUE"""),45596.6666666666)</f>
        <v>45596.666666666599</v>
      </c>
      <c r="B1470" s="1">
        <f ca="1">IFERROR(__xludf.UNSUPPORTED("""COMPUTED_VALUE"""),568.64)</f>
        <v>568.64</v>
      </c>
      <c r="C1470" s="2">
        <f t="shared" ca="1" si="5"/>
        <v>-1.9603110291201886E-2</v>
      </c>
    </row>
    <row r="1471" spans="1:3">
      <c r="A1471" s="3">
        <f ca="1">IFERROR(__xludf.UNSUPPORTED("""COMPUTED_VALUE"""),45597.6666666666)</f>
        <v>45597.666666666599</v>
      </c>
      <c r="B1471" s="1">
        <f ca="1">IFERROR(__xludf.UNSUPPORTED("""COMPUTED_VALUE"""),571.04)</f>
        <v>571.04</v>
      </c>
      <c r="C1471" s="2">
        <f t="shared" ca="1" si="5"/>
        <v>4.220596510973511E-3</v>
      </c>
    </row>
    <row r="1472" spans="1:3">
      <c r="A1472" s="3">
        <f ca="1">IFERROR(__xludf.UNSUPPORTED("""COMPUTED_VALUE"""),45600.6666666666)</f>
        <v>45600.666666666599</v>
      </c>
      <c r="B1472" s="1">
        <f ca="1">IFERROR(__xludf.UNSUPPORTED("""COMPUTED_VALUE"""),569.81)</f>
        <v>569.80999999999995</v>
      </c>
      <c r="C1472" s="2">
        <f t="shared" ca="1" si="5"/>
        <v>-2.1539646959933072E-3</v>
      </c>
    </row>
    <row r="1473" spans="1:3">
      <c r="A1473" s="3">
        <f ca="1">IFERROR(__xludf.UNSUPPORTED("""COMPUTED_VALUE"""),45601.6666666666)</f>
        <v>45601.666666666599</v>
      </c>
      <c r="B1473" s="1">
        <f ca="1">IFERROR(__xludf.UNSUPPORTED("""COMPUTED_VALUE"""),576.7)</f>
        <v>576.70000000000005</v>
      </c>
      <c r="C1473" s="2">
        <f t="shared" ca="1" si="5"/>
        <v>1.2091749881539637E-2</v>
      </c>
    </row>
    <row r="1474" spans="1:3">
      <c r="A1474" s="3">
        <f ca="1">IFERROR(__xludf.UNSUPPORTED("""COMPUTED_VALUE"""),45602.6666666666)</f>
        <v>45602.666666666599</v>
      </c>
      <c r="B1474" s="1">
        <f ca="1">IFERROR(__xludf.UNSUPPORTED("""COMPUTED_VALUE"""),591.04)</f>
        <v>591.04</v>
      </c>
      <c r="C1474" s="2">
        <f t="shared" ca="1" si="5"/>
        <v>2.4865614704352206E-2</v>
      </c>
    </row>
    <row r="1475" spans="1:3">
      <c r="A1475" s="3">
        <f ca="1">IFERROR(__xludf.UNSUPPORTED("""COMPUTED_VALUE"""),45603.6666666666)</f>
        <v>45603.666666666599</v>
      </c>
      <c r="B1475" s="1">
        <f ca="1">IFERROR(__xludf.UNSUPPORTED("""COMPUTED_VALUE"""),595.61)</f>
        <v>595.61</v>
      </c>
      <c r="C1475" s="2">
        <f t="shared" ca="1" si="5"/>
        <v>7.7321331889551471E-3</v>
      </c>
    </row>
    <row r="1476" spans="1:3">
      <c r="A1476" s="3">
        <f ca="1">IFERROR(__xludf.UNSUPPORTED("""COMPUTED_VALUE"""),45604.6666666666)</f>
        <v>45604.666666666599</v>
      </c>
      <c r="B1476" s="1">
        <f ca="1">IFERROR(__xludf.UNSUPPORTED("""COMPUTED_VALUE"""),598.19)</f>
        <v>598.19000000000005</v>
      </c>
      <c r="C1476" s="2">
        <f t="shared" ca="1" si="5"/>
        <v>4.3316935578651145E-3</v>
      </c>
    </row>
    <row r="1477" spans="1:3">
      <c r="A1477" s="3">
        <f ca="1">IFERROR(__xludf.UNSUPPORTED("""COMPUTED_VALUE"""),45607.6666666666)</f>
        <v>45607.666666666599</v>
      </c>
      <c r="B1477" s="1">
        <f ca="1">IFERROR(__xludf.UNSUPPORTED("""COMPUTED_VALUE"""),598.76)</f>
        <v>598.76</v>
      </c>
      <c r="C1477" s="2">
        <f t="shared" ca="1" si="5"/>
        <v>9.5287450475590747E-4</v>
      </c>
    </row>
    <row r="1478" spans="1:3">
      <c r="A1478" s="3">
        <f ca="1">IFERROR(__xludf.UNSUPPORTED("""COMPUTED_VALUE"""),45608.6666666666)</f>
        <v>45608.666666666599</v>
      </c>
      <c r="B1478" s="1">
        <f ca="1">IFERROR(__xludf.UNSUPPORTED("""COMPUTED_VALUE"""),596.9)</f>
        <v>596.9</v>
      </c>
      <c r="C1478" s="2">
        <f t="shared" ca="1" si="5"/>
        <v>-3.1064199345313876E-3</v>
      </c>
    </row>
    <row r="1479" spans="1:3">
      <c r="A1479" s="3">
        <f ca="1">IFERROR(__xludf.UNSUPPORTED("""COMPUTED_VALUE"""),45609.6666666666)</f>
        <v>45609.666666666599</v>
      </c>
      <c r="B1479" s="1">
        <f ca="1">IFERROR(__xludf.UNSUPPORTED("""COMPUTED_VALUE"""),597.19)</f>
        <v>597.19000000000005</v>
      </c>
      <c r="C1479" s="2">
        <f t="shared" ca="1" si="5"/>
        <v>4.8584352487866865E-4</v>
      </c>
    </row>
    <row r="1480" spans="1:3">
      <c r="A1480" s="3">
        <f ca="1">IFERROR(__xludf.UNSUPPORTED("""COMPUTED_VALUE"""),45610.6666666666)</f>
        <v>45610.666666666599</v>
      </c>
      <c r="B1480" s="1">
        <f ca="1">IFERROR(__xludf.UNSUPPORTED("""COMPUTED_VALUE"""),593.35)</f>
        <v>593.35</v>
      </c>
      <c r="C1480" s="2">
        <f t="shared" ca="1" si="5"/>
        <v>-6.4301143689613552E-3</v>
      </c>
    </row>
    <row r="1481" spans="1:3">
      <c r="A1481" s="3">
        <f ca="1">IFERROR(__xludf.UNSUPPORTED("""COMPUTED_VALUE"""),45611.6666666666)</f>
        <v>45611.666666666599</v>
      </c>
      <c r="B1481" s="1">
        <f ca="1">IFERROR(__xludf.UNSUPPORTED("""COMPUTED_VALUE"""),585.75)</f>
        <v>585.75</v>
      </c>
      <c r="C1481" s="2">
        <f t="shared" ca="1" si="5"/>
        <v>-1.2808628971096355E-2</v>
      </c>
    </row>
    <row r="1482" spans="1:3">
      <c r="A1482" s="3">
        <f ca="1">IFERROR(__xludf.UNSUPPORTED("""COMPUTED_VALUE"""),45614.6666666666)</f>
        <v>45614.666666666599</v>
      </c>
      <c r="B1482" s="1">
        <f ca="1">IFERROR(__xludf.UNSUPPORTED("""COMPUTED_VALUE"""),588.15)</f>
        <v>588.15</v>
      </c>
      <c r="C1482" s="2">
        <f t="shared" ca="1" si="5"/>
        <v>4.0973111395646222E-3</v>
      </c>
    </row>
    <row r="1483" spans="1:3">
      <c r="A1483" s="3">
        <f ca="1">IFERROR(__xludf.UNSUPPORTED("""COMPUTED_VALUE"""),45615.6666666666)</f>
        <v>45615.666666666599</v>
      </c>
      <c r="B1483" s="1">
        <f ca="1">IFERROR(__xludf.UNSUPPORTED("""COMPUTED_VALUE"""),590.3)</f>
        <v>590.29999999999995</v>
      </c>
      <c r="C1483" s="2">
        <f t="shared" ca="1" si="5"/>
        <v>3.6555300518574807E-3</v>
      </c>
    </row>
    <row r="1484" spans="1:3">
      <c r="A1484" s="3">
        <f ca="1">IFERROR(__xludf.UNSUPPORTED("""COMPUTED_VALUE"""),45616.6666666666)</f>
        <v>45616.666666666599</v>
      </c>
      <c r="B1484" s="1">
        <f ca="1">IFERROR(__xludf.UNSUPPORTED("""COMPUTED_VALUE"""),590.5)</f>
        <v>590.5</v>
      </c>
      <c r="C1484" s="2">
        <f t="shared" ca="1" si="5"/>
        <v>3.3881077418269608E-4</v>
      </c>
    </row>
    <row r="1485" spans="1:3">
      <c r="A1485" s="3">
        <f ca="1">IFERROR(__xludf.UNSUPPORTED("""COMPUTED_VALUE"""),45617.6666666666)</f>
        <v>45617.666666666599</v>
      </c>
      <c r="B1485" s="1">
        <f ca="1">IFERROR(__xludf.UNSUPPORTED("""COMPUTED_VALUE"""),593.67)</f>
        <v>593.66999999999996</v>
      </c>
      <c r="C1485" s="2">
        <f t="shared" ca="1" si="5"/>
        <v>5.3683319220998458E-3</v>
      </c>
    </row>
    <row r="1486" spans="1:3">
      <c r="A1486" s="3">
        <f ca="1">IFERROR(__xludf.UNSUPPORTED("""COMPUTED_VALUE"""),45618.6666666666)</f>
        <v>45618.666666666599</v>
      </c>
      <c r="B1486" s="1">
        <f ca="1">IFERROR(__xludf.UNSUPPORTED("""COMPUTED_VALUE"""),595.51)</f>
        <v>595.51</v>
      </c>
      <c r="C1486" s="2">
        <f t="shared" ca="1" si="5"/>
        <v>3.0993649670693012E-3</v>
      </c>
    </row>
    <row r="1487" spans="1:3">
      <c r="A1487" s="3">
        <f ca="1">IFERROR(__xludf.UNSUPPORTED("""COMPUTED_VALUE"""),45621.6666666666)</f>
        <v>45621.666666666599</v>
      </c>
      <c r="B1487" s="1">
        <f ca="1">IFERROR(__xludf.UNSUPPORTED("""COMPUTED_VALUE"""),597.53)</f>
        <v>597.53</v>
      </c>
      <c r="C1487" s="2">
        <f t="shared" ca="1" si="5"/>
        <v>3.3920505113263955E-3</v>
      </c>
    </row>
    <row r="1488" spans="1:3">
      <c r="A1488" s="3">
        <f ca="1">IFERROR(__xludf.UNSUPPORTED("""COMPUTED_VALUE"""),45622.6666666666)</f>
        <v>45622.666666666599</v>
      </c>
      <c r="B1488" s="1">
        <f ca="1">IFERROR(__xludf.UNSUPPORTED("""COMPUTED_VALUE"""),600.65)</f>
        <v>600.65</v>
      </c>
      <c r="C1488" s="2">
        <f t="shared" ca="1" si="5"/>
        <v>5.2214951550549841E-3</v>
      </c>
    </row>
    <row r="1489" spans="1:3">
      <c r="A1489" s="3">
        <f ca="1">IFERROR(__xludf.UNSUPPORTED("""COMPUTED_VALUE"""),45623.6666666666)</f>
        <v>45623.666666666599</v>
      </c>
      <c r="B1489" s="1">
        <f ca="1">IFERROR(__xludf.UNSUPPORTED("""COMPUTED_VALUE"""),598.83)</f>
        <v>598.83000000000004</v>
      </c>
      <c r="C1489" s="2">
        <f t="shared" ca="1" si="5"/>
        <v>-3.0300507783233769E-3</v>
      </c>
    </row>
    <row r="1490" spans="1:3">
      <c r="A1490" s="3">
        <f ca="1">IFERROR(__xludf.UNSUPPORTED("""COMPUTED_VALUE"""),45625.5520833333)</f>
        <v>45625.552083333299</v>
      </c>
      <c r="B1490" s="1">
        <f ca="1">IFERROR(__xludf.UNSUPPORTED("""COMPUTED_VALUE"""),602.55)</f>
        <v>602.54999999999995</v>
      </c>
      <c r="C1490" s="2">
        <f t="shared" ca="1" si="5"/>
        <v>6.2121136215619009E-3</v>
      </c>
    </row>
    <row r="1491" spans="1:3">
      <c r="A1491" s="3">
        <f ca="1">IFERROR(__xludf.UNSUPPORTED("""COMPUTED_VALUE"""),45628.6666666666)</f>
        <v>45628.666666666599</v>
      </c>
      <c r="B1491" s="1">
        <f ca="1">IFERROR(__xludf.UNSUPPORTED("""COMPUTED_VALUE"""),603.63)</f>
        <v>603.63</v>
      </c>
      <c r="C1491" s="2">
        <f t="shared" ca="1" si="5"/>
        <v>1.7923823749067147E-3</v>
      </c>
    </row>
    <row r="1492" spans="1:3">
      <c r="A1492" s="3">
        <f ca="1">IFERROR(__xludf.UNSUPPORTED("""COMPUTED_VALUE"""),45629.6666666666)</f>
        <v>45629.666666666599</v>
      </c>
      <c r="B1492" s="1">
        <f ca="1">IFERROR(__xludf.UNSUPPORTED("""COMPUTED_VALUE"""),603.91)</f>
        <v>603.91</v>
      </c>
      <c r="C1492" s="2">
        <f t="shared" ca="1" si="5"/>
        <v>4.6386031178035009E-4</v>
      </c>
    </row>
    <row r="1493" spans="1:3">
      <c r="A1493" s="3">
        <f ca="1">IFERROR(__xludf.UNSUPPORTED("""COMPUTED_VALUE"""),45630.6666666666)</f>
        <v>45630.666666666599</v>
      </c>
      <c r="B1493" s="1">
        <f ca="1">IFERROR(__xludf.UNSUPPORTED("""COMPUTED_VALUE"""),607.66)</f>
        <v>607.66</v>
      </c>
      <c r="C1493" s="2">
        <f t="shared" ca="1" si="5"/>
        <v>6.2095345332913851E-3</v>
      </c>
    </row>
    <row r="1494" spans="1:3">
      <c r="A1494" s="3">
        <f ca="1">IFERROR(__xludf.UNSUPPORTED("""COMPUTED_VALUE"""),45631.6666666666)</f>
        <v>45631.666666666599</v>
      </c>
      <c r="B1494" s="1">
        <f ca="1">IFERROR(__xludf.UNSUPPORTED("""COMPUTED_VALUE"""),606.66)</f>
        <v>606.66</v>
      </c>
      <c r="C1494" s="2">
        <f t="shared" ca="1" si="5"/>
        <v>-1.6456571108843761E-3</v>
      </c>
    </row>
    <row r="1495" spans="1:3">
      <c r="A1495" s="3">
        <f ca="1">IFERROR(__xludf.UNSUPPORTED("""COMPUTED_VALUE"""),45632.6666666666)</f>
        <v>45632.666666666599</v>
      </c>
      <c r="B1495" s="1">
        <f ca="1">IFERROR(__xludf.UNSUPPORTED("""COMPUTED_VALUE"""),607.81)</f>
        <v>607.80999999999995</v>
      </c>
      <c r="C1495" s="2">
        <f t="shared" ca="1" si="5"/>
        <v>1.8956252266508049E-3</v>
      </c>
    </row>
    <row r="1496" spans="1:3">
      <c r="A1496" s="3">
        <f ca="1">IFERROR(__xludf.UNSUPPORTED("""COMPUTED_VALUE"""),45635.6666666666)</f>
        <v>45635.666666666599</v>
      </c>
      <c r="B1496" s="1">
        <f ca="1">IFERROR(__xludf.UNSUPPORTED("""COMPUTED_VALUE"""),604.68)</f>
        <v>604.67999999999995</v>
      </c>
      <c r="C1496" s="2">
        <f t="shared" ca="1" si="5"/>
        <v>-5.1496355769072499E-3</v>
      </c>
    </row>
    <row r="1497" spans="1:3">
      <c r="A1497" s="3">
        <f ca="1">IFERROR(__xludf.UNSUPPORTED("""COMPUTED_VALUE"""),45636.6666666666)</f>
        <v>45636.666666666599</v>
      </c>
      <c r="B1497" s="1">
        <f ca="1">IFERROR(__xludf.UNSUPPORTED("""COMPUTED_VALUE"""),602.8)</f>
        <v>602.79999999999995</v>
      </c>
      <c r="C1497" s="2">
        <f t="shared" ca="1" si="5"/>
        <v>-3.1090824899120124E-3</v>
      </c>
    </row>
    <row r="1498" spans="1:3">
      <c r="A1498" s="3">
        <f ca="1">IFERROR(__xludf.UNSUPPORTED("""COMPUTED_VALUE"""),45637.6666666666)</f>
        <v>45637.666666666599</v>
      </c>
      <c r="B1498" s="1">
        <f ca="1">IFERROR(__xludf.UNSUPPORTED("""COMPUTED_VALUE"""),607.46)</f>
        <v>607.46</v>
      </c>
      <c r="C1498" s="2">
        <f t="shared" ca="1" si="5"/>
        <v>7.7305905773060422E-3</v>
      </c>
    </row>
    <row r="1499" spans="1:3">
      <c r="A1499" s="3">
        <f ca="1">IFERROR(__xludf.UNSUPPORTED("""COMPUTED_VALUE"""),45638.6666666666)</f>
        <v>45638.666666666599</v>
      </c>
      <c r="B1499" s="1">
        <f ca="1">IFERROR(__xludf.UNSUPPORTED("""COMPUTED_VALUE"""),604.33)</f>
        <v>604.33000000000004</v>
      </c>
      <c r="C1499" s="2">
        <f t="shared" ca="1" si="5"/>
        <v>-5.1526026405030708E-3</v>
      </c>
    </row>
    <row r="1500" spans="1:3">
      <c r="A1500" s="3">
        <f ca="1">IFERROR(__xludf.UNSUPPORTED("""COMPUTED_VALUE"""),45639.6666666666)</f>
        <v>45639.666666666599</v>
      </c>
      <c r="B1500" s="1">
        <f ca="1">IFERROR(__xludf.UNSUPPORTED("""COMPUTED_VALUE"""),604.21)</f>
        <v>604.21</v>
      </c>
      <c r="C1500" s="2">
        <f t="shared" ca="1" si="5"/>
        <v>-1.985670080916131E-4</v>
      </c>
    </row>
    <row r="1501" spans="1:3">
      <c r="A1501" s="3">
        <f ca="1">IFERROR(__xludf.UNSUPPORTED("""COMPUTED_VALUE"""),45642.6666666666)</f>
        <v>45642.666666666599</v>
      </c>
      <c r="B1501" s="1">
        <f ca="1">IFERROR(__xludf.UNSUPPORTED("""COMPUTED_VALUE"""),606.79)</f>
        <v>606.79</v>
      </c>
      <c r="C1501" s="2">
        <f t="shared" ca="1" si="5"/>
        <v>4.2700385627512409E-3</v>
      </c>
    </row>
    <row r="1502" spans="1:3">
      <c r="A1502" s="3">
        <f ca="1">IFERROR(__xludf.UNSUPPORTED("""COMPUTED_VALUE"""),45643.6666666666)</f>
        <v>45643.666666666599</v>
      </c>
      <c r="B1502" s="1">
        <f ca="1">IFERROR(__xludf.UNSUPPORTED("""COMPUTED_VALUE"""),604.29)</f>
        <v>604.29</v>
      </c>
      <c r="C1502" s="2">
        <f t="shared" ca="1" si="5"/>
        <v>-4.1200415300186232E-3</v>
      </c>
    </row>
    <row r="1503" spans="1:3">
      <c r="A1503" s="3">
        <f ca="1">IFERROR(__xludf.UNSUPPORTED("""COMPUTED_VALUE"""),45644.6666666666)</f>
        <v>45644.666666666599</v>
      </c>
      <c r="B1503" s="1">
        <f ca="1">IFERROR(__xludf.UNSUPPORTED("""COMPUTED_VALUE"""),586.28)</f>
        <v>586.28</v>
      </c>
      <c r="C1503" s="2">
        <f t="shared" ca="1" si="5"/>
        <v>-2.9803571133065237E-2</v>
      </c>
    </row>
    <row r="1504" spans="1:3">
      <c r="A1504" s="3">
        <f ca="1">IFERROR(__xludf.UNSUPPORTED("""COMPUTED_VALUE"""),45645.6666666666)</f>
        <v>45645.666666666599</v>
      </c>
      <c r="B1504" s="1">
        <f ca="1">IFERROR(__xludf.UNSUPPORTED("""COMPUTED_VALUE"""),586.1)</f>
        <v>586.1</v>
      </c>
      <c r="C1504" s="2">
        <f t="shared" ca="1" si="5"/>
        <v>-3.0702053626245135E-4</v>
      </c>
    </row>
    <row r="1505" spans="1:3">
      <c r="A1505" s="3">
        <f ca="1">IFERROR(__xludf.UNSUPPORTED("""COMPUTED_VALUE"""),45646.6666666666)</f>
        <v>45646.666666666599</v>
      </c>
      <c r="B1505" s="1">
        <f ca="1">IFERROR(__xludf.UNSUPPORTED("""COMPUTED_VALUE"""),591.15)</f>
        <v>591.15</v>
      </c>
      <c r="C1505" s="2">
        <f t="shared" ca="1" si="5"/>
        <v>8.6162770858214544E-3</v>
      </c>
    </row>
    <row r="1506" spans="1:3">
      <c r="A1506" s="3">
        <f ca="1">IFERROR(__xludf.UNSUPPORTED("""COMPUTED_VALUE"""),45649.6666666666)</f>
        <v>45649.666666666599</v>
      </c>
      <c r="B1506" s="1">
        <f ca="1">IFERROR(__xludf.UNSUPPORTED("""COMPUTED_VALUE"""),594.69)</f>
        <v>594.69000000000005</v>
      </c>
      <c r="C1506" s="2">
        <f t="shared" ca="1" si="5"/>
        <v>5.9883278355748583E-3</v>
      </c>
    </row>
    <row r="1507" spans="1:3">
      <c r="A1507" s="3">
        <f ca="1">IFERROR(__xludf.UNSUPPORTED("""COMPUTED_VALUE"""),45650.5416666666)</f>
        <v>45650.541666666599</v>
      </c>
      <c r="B1507" s="1">
        <f ca="1">IFERROR(__xludf.UNSUPPORTED("""COMPUTED_VALUE"""),601.3)</f>
        <v>601.29999999999995</v>
      </c>
      <c r="C1507" s="2">
        <f t="shared" ca="1" si="5"/>
        <v>1.1115034723973665E-2</v>
      </c>
    </row>
    <row r="1508" spans="1:3">
      <c r="A1508" s="3">
        <f ca="1">IFERROR(__xludf.UNSUPPORTED("""COMPUTED_VALUE"""),45652.6666666666)</f>
        <v>45652.666666666599</v>
      </c>
      <c r="B1508" s="1">
        <f ca="1">IFERROR(__xludf.UNSUPPORTED("""COMPUTED_VALUE"""),601.34)</f>
        <v>601.34</v>
      </c>
      <c r="C1508" s="2">
        <f t="shared" ca="1" si="5"/>
        <v>6.6522534508693353E-5</v>
      </c>
    </row>
    <row r="1509" spans="1:3">
      <c r="A1509" s="3">
        <f ca="1">IFERROR(__xludf.UNSUPPORTED("""COMPUTED_VALUE"""),45653.6666666666)</f>
        <v>45653.666666666599</v>
      </c>
      <c r="B1509" s="1">
        <f ca="1">IFERROR(__xludf.UNSUPPORTED("""COMPUTED_VALUE"""),595.01)</f>
        <v>595.01</v>
      </c>
      <c r="C1509" s="2">
        <f t="shared" ca="1" si="5"/>
        <v>-1.0526490837130476E-2</v>
      </c>
    </row>
    <row r="1510" spans="1:3">
      <c r="A1510" s="3">
        <f ca="1">IFERROR(__xludf.UNSUPPORTED("""COMPUTED_VALUE"""),45656.6666666666)</f>
        <v>45656.666666666599</v>
      </c>
      <c r="B1510" s="1">
        <f ca="1">IFERROR(__xludf.UNSUPPORTED("""COMPUTED_VALUE"""),588.22)</f>
        <v>588.22</v>
      </c>
      <c r="C1510" s="2">
        <f t="shared" ca="1" si="5"/>
        <v>-1.1411572914740868E-2</v>
      </c>
    </row>
    <row r="1511" spans="1:3">
      <c r="A1511" s="3">
        <f ca="1">IFERROR(__xludf.UNSUPPORTED("""COMPUTED_VALUE"""),45657.6666666666)</f>
        <v>45657.666666666599</v>
      </c>
      <c r="B1511" s="1">
        <f ca="1">IFERROR(__xludf.UNSUPPORTED("""COMPUTED_VALUE"""),586.08)</f>
        <v>586.08000000000004</v>
      </c>
      <c r="C1511" s="2">
        <f t="shared" ca="1" si="5"/>
        <v>-3.6380945904593287E-3</v>
      </c>
    </row>
    <row r="1512" spans="1:3">
      <c r="A1512" s="3">
        <f ca="1">IFERROR(__xludf.UNSUPPORTED("""COMPUTED_VALUE"""),45659.6666666666)</f>
        <v>45659.666666666599</v>
      </c>
      <c r="B1512" s="1">
        <f ca="1">IFERROR(__xludf.UNSUPPORTED("""COMPUTED_VALUE"""),584.64)</f>
        <v>584.64</v>
      </c>
      <c r="C1512" s="2">
        <f t="shared" ca="1" si="5"/>
        <v>-2.4570024570025497E-3</v>
      </c>
    </row>
    <row r="1513" spans="1:3">
      <c r="A1513" s="3">
        <f ca="1">IFERROR(__xludf.UNSUPPORTED("""COMPUTED_VALUE"""),45660.6666666666)</f>
        <v>45660.666666666599</v>
      </c>
      <c r="B1513" s="1">
        <f ca="1">IFERROR(__xludf.UNSUPPORTED("""COMPUTED_VALUE"""),591.95)</f>
        <v>591.95000000000005</v>
      </c>
      <c r="C1513" s="2">
        <f t="shared" ca="1" si="5"/>
        <v>1.2503420908593424E-2</v>
      </c>
    </row>
    <row r="1514" spans="1:3">
      <c r="A1514" s="3">
        <f ca="1">IFERROR(__xludf.UNSUPPORTED("""COMPUTED_VALUE"""),45663.6666666666)</f>
        <v>45663.666666666599</v>
      </c>
      <c r="B1514" s="1">
        <f ca="1">IFERROR(__xludf.UNSUPPORTED("""COMPUTED_VALUE"""),595.36)</f>
        <v>595.36</v>
      </c>
      <c r="C1514" s="2">
        <f t="shared" ca="1" si="5"/>
        <v>5.7606216741278278E-3</v>
      </c>
    </row>
    <row r="1515" spans="1:3">
      <c r="A1515" s="3">
        <f ca="1">IFERROR(__xludf.UNSUPPORTED("""COMPUTED_VALUE"""),45664.6666666666)</f>
        <v>45664.666666666599</v>
      </c>
      <c r="B1515" s="1">
        <f ca="1">IFERROR(__xludf.UNSUPPORTED("""COMPUTED_VALUE"""),588.63)</f>
        <v>588.63</v>
      </c>
      <c r="C1515" s="2">
        <f t="shared" ca="1" si="5"/>
        <v>-1.1304084923407716E-2</v>
      </c>
    </row>
    <row r="1516" spans="1:3">
      <c r="A1516" s="3">
        <f ca="1">IFERROR(__xludf.UNSUPPORTED("""COMPUTED_VALUE"""),45665.6666666666)</f>
        <v>45665.666666666599</v>
      </c>
      <c r="B1516" s="1">
        <f ca="1">IFERROR(__xludf.UNSUPPORTED("""COMPUTED_VALUE"""),589.49)</f>
        <v>589.49</v>
      </c>
      <c r="C1516" s="2">
        <f t="shared" ca="1" si="5"/>
        <v>1.4610196558109741E-3</v>
      </c>
    </row>
    <row r="1517" spans="1:3">
      <c r="A1517" s="3">
        <f ca="1">IFERROR(__xludf.UNSUPPORTED("""COMPUTED_VALUE"""),45667.6666666666)</f>
        <v>45667.666666666599</v>
      </c>
      <c r="B1517" s="1">
        <f ca="1">IFERROR(__xludf.UNSUPPORTED("""COMPUTED_VALUE"""),580.49)</f>
        <v>580.49</v>
      </c>
      <c r="C1517" s="2">
        <f t="shared" ca="1" si="5"/>
        <v>-1.5267434562079085E-2</v>
      </c>
    </row>
    <row r="1518" spans="1:3">
      <c r="A1518" s="3">
        <f ca="1">IFERROR(__xludf.UNSUPPORTED("""COMPUTED_VALUE"""),45670.6666666666)</f>
        <v>45670.666666666599</v>
      </c>
      <c r="B1518" s="1">
        <f ca="1">IFERROR(__xludf.UNSUPPORTED("""COMPUTED_VALUE"""),581.39)</f>
        <v>581.39</v>
      </c>
      <c r="C1518" s="2">
        <f t="shared" ca="1" si="5"/>
        <v>1.5504143051559497E-3</v>
      </c>
    </row>
    <row r="1519" spans="1:3">
      <c r="A1519" s="3">
        <f ca="1">IFERROR(__xludf.UNSUPPORTED("""COMPUTED_VALUE"""),45671.6666666666)</f>
        <v>45671.666666666599</v>
      </c>
      <c r="B1519" s="1">
        <f ca="1">IFERROR(__xludf.UNSUPPORTED("""COMPUTED_VALUE"""),582.19)</f>
        <v>582.19000000000005</v>
      </c>
      <c r="C1519" s="2">
        <f t="shared" ca="1" si="5"/>
        <v>1.3760126593165831E-3</v>
      </c>
    </row>
    <row r="1520" spans="1:3">
      <c r="A1520" s="3">
        <f ca="1">IFERROR(__xludf.UNSUPPORTED("""COMPUTED_VALUE"""),45672.6666666666)</f>
        <v>45672.666666666599</v>
      </c>
      <c r="B1520" s="1">
        <f ca="1">IFERROR(__xludf.UNSUPPORTED("""COMPUTED_VALUE"""),592.78)</f>
        <v>592.78</v>
      </c>
      <c r="C1520" s="2">
        <f t="shared" ca="1" si="5"/>
        <v>1.8189937992751364E-2</v>
      </c>
    </row>
    <row r="1521" spans="1:3">
      <c r="A1521" s="3">
        <f ca="1">IFERROR(__xludf.UNSUPPORTED("""COMPUTED_VALUE"""),45673.6666666666)</f>
        <v>45673.666666666599</v>
      </c>
      <c r="B1521" s="1">
        <f ca="1">IFERROR(__xludf.UNSUPPORTED("""COMPUTED_VALUE"""),591.64)</f>
        <v>591.64</v>
      </c>
      <c r="C1521" s="2">
        <f t="shared" ca="1" si="5"/>
        <v>-1.9231418064037018E-3</v>
      </c>
    </row>
    <row r="1522" spans="1:3">
      <c r="A1522" s="3">
        <f ca="1">IFERROR(__xludf.UNSUPPORTED("""COMPUTED_VALUE"""),45674.6666666666)</f>
        <v>45674.666666666599</v>
      </c>
      <c r="B1522" s="1">
        <f ca="1">IFERROR(__xludf.UNSUPPORTED("""COMPUTED_VALUE"""),597.58)</f>
        <v>597.58000000000004</v>
      </c>
      <c r="C1522" s="2">
        <f t="shared" ca="1" si="5"/>
        <v>1.0039889121763327E-2</v>
      </c>
    </row>
    <row r="1523" spans="1:3">
      <c r="A1523" s="3">
        <f ca="1">IFERROR(__xludf.UNSUPPORTED("""COMPUTED_VALUE"""),45678.6666666666)</f>
        <v>45678.666666666599</v>
      </c>
      <c r="B1523" s="1">
        <f ca="1">IFERROR(__xludf.UNSUPPORTED("""COMPUTED_VALUE"""),603.05)</f>
        <v>603.04999999999995</v>
      </c>
      <c r="C1523" s="2">
        <f t="shared" ca="1" si="5"/>
        <v>9.1535861307271219E-3</v>
      </c>
    </row>
    <row r="1524" spans="1:3">
      <c r="A1524" s="3">
        <f ca="1">IFERROR(__xludf.UNSUPPORTED("""COMPUTED_VALUE"""),45679.6666666666)</f>
        <v>45679.666666666599</v>
      </c>
      <c r="B1524" s="1">
        <f ca="1">IFERROR(__xludf.UNSUPPORTED("""COMPUTED_VALUE"""),606.44)</f>
        <v>606.44000000000005</v>
      </c>
      <c r="C1524" s="2">
        <f t="shared" ca="1" si="5"/>
        <v>5.621424425835503E-3</v>
      </c>
    </row>
    <row r="1525" spans="1:3">
      <c r="A1525" s="3">
        <f ca="1">IFERROR(__xludf.UNSUPPORTED("""COMPUTED_VALUE"""),45680.6666666666)</f>
        <v>45680.666666666599</v>
      </c>
      <c r="B1525" s="1">
        <f ca="1">IFERROR(__xludf.UNSUPPORTED("""COMPUTED_VALUE"""),609.75)</f>
        <v>609.75</v>
      </c>
      <c r="C1525" s="2">
        <f t="shared" ca="1" si="5"/>
        <v>5.4580832398917374E-3</v>
      </c>
    </row>
    <row r="1526" spans="1:3">
      <c r="A1526" s="3">
        <f ca="1">IFERROR(__xludf.UNSUPPORTED("""COMPUTED_VALUE"""),45681.6666666666)</f>
        <v>45681.666666666599</v>
      </c>
      <c r="B1526" s="1">
        <f ca="1">IFERROR(__xludf.UNSUPPORTED("""COMPUTED_VALUE"""),607.97)</f>
        <v>607.97</v>
      </c>
      <c r="C1526" s="2">
        <f t="shared" ca="1" si="5"/>
        <v>-2.9192291922918783E-3</v>
      </c>
    </row>
    <row r="1527" spans="1:3">
      <c r="A1527" s="3">
        <f ca="1">IFERROR(__xludf.UNSUPPORTED("""COMPUTED_VALUE"""),45684.6666666666)</f>
        <v>45684.666666666599</v>
      </c>
      <c r="B1527" s="1">
        <f ca="1">IFERROR(__xludf.UNSUPPORTED("""COMPUTED_VALUE"""),599.37)</f>
        <v>599.37</v>
      </c>
      <c r="C1527" s="2">
        <f t="shared" ca="1" si="5"/>
        <v>-1.4145434807638571E-2</v>
      </c>
    </row>
    <row r="1528" spans="1:3">
      <c r="A1528" s="3">
        <f ca="1">IFERROR(__xludf.UNSUPPORTED("""COMPUTED_VALUE"""),45685.6666666666)</f>
        <v>45685.666666666599</v>
      </c>
      <c r="B1528" s="1">
        <f ca="1">IFERROR(__xludf.UNSUPPORTED("""COMPUTED_VALUE"""),604.52)</f>
        <v>604.52</v>
      </c>
      <c r="C1528" s="2">
        <f t="shared" ca="1" si="5"/>
        <v>8.5923553064050206E-3</v>
      </c>
    </row>
    <row r="1529" spans="1:3">
      <c r="A1529" s="3">
        <f ca="1">IFERROR(__xludf.UNSUPPORTED("""COMPUTED_VALUE"""),45686.6666666666)</f>
        <v>45686.666666666599</v>
      </c>
      <c r="B1529" s="1">
        <f ca="1">IFERROR(__xludf.UNSUPPORTED("""COMPUTED_VALUE"""),601.81)</f>
        <v>601.80999999999995</v>
      </c>
      <c r="C1529" s="2">
        <f t="shared" ca="1" si="5"/>
        <v>-4.4828955204129495E-3</v>
      </c>
    </row>
    <row r="1530" spans="1:3">
      <c r="A1530" s="3">
        <f ca="1">IFERROR(__xludf.UNSUPPORTED("""COMPUTED_VALUE"""),45687.6666666666)</f>
        <v>45687.666666666599</v>
      </c>
      <c r="B1530" s="1">
        <f ca="1">IFERROR(__xludf.UNSUPPORTED("""COMPUTED_VALUE"""),605.04)</f>
        <v>605.04</v>
      </c>
      <c r="C1530" s="2">
        <f t="shared" ca="1" si="5"/>
        <v>5.3671424535983421E-3</v>
      </c>
    </row>
    <row r="1531" spans="1:3">
      <c r="A1531" s="3">
        <f ca="1">IFERROR(__xludf.UNSUPPORTED("""COMPUTED_VALUE"""),45688.6666666666)</f>
        <v>45688.666666666599</v>
      </c>
      <c r="B1531" s="1">
        <f ca="1">IFERROR(__xludf.UNSUPPORTED("""COMPUTED_VALUE"""),601.82)</f>
        <v>601.82000000000005</v>
      </c>
      <c r="C1531" s="2">
        <f t="shared" ca="1" si="5"/>
        <v>-5.3219621843182494E-3</v>
      </c>
    </row>
    <row r="1532" spans="1:3">
      <c r="A1532" s="3">
        <f ca="1">IFERROR(__xludf.UNSUPPORTED("""COMPUTED_VALUE"""),45691.6666666666)</f>
        <v>45691.666666666599</v>
      </c>
      <c r="B1532" s="1">
        <f ca="1">IFERROR(__xludf.UNSUPPORTED("""COMPUTED_VALUE"""),597.77)</f>
        <v>597.77</v>
      </c>
      <c r="C1532" s="2">
        <f t="shared" ca="1" si="5"/>
        <v>-6.7295869196770924E-3</v>
      </c>
    </row>
    <row r="1533" spans="1:3">
      <c r="A1533" s="3">
        <f ca="1">IFERROR(__xludf.UNSUPPORTED("""COMPUTED_VALUE"""),45692.6666666666)</f>
        <v>45692.666666666599</v>
      </c>
      <c r="B1533" s="1">
        <f ca="1">IFERROR(__xludf.UNSUPPORTED("""COMPUTED_VALUE"""),601.78)</f>
        <v>601.78</v>
      </c>
      <c r="C1533" s="2">
        <f t="shared" ref="C1533:C1775" ca="1" si="6">(B1533-B1532)/B1532</f>
        <v>6.7082657209294391E-3</v>
      </c>
    </row>
    <row r="1534" spans="1:3">
      <c r="A1534" s="3">
        <f ca="1">IFERROR(__xludf.UNSUPPORTED("""COMPUTED_VALUE"""),45693.6666666666)</f>
        <v>45693.666666666599</v>
      </c>
      <c r="B1534" s="1">
        <f ca="1">IFERROR(__xludf.UNSUPPORTED("""COMPUTED_VALUE"""),604.22)</f>
        <v>604.22</v>
      </c>
      <c r="C1534" s="2">
        <f t="shared" ca="1" si="6"/>
        <v>4.0546379075410525E-3</v>
      </c>
    </row>
    <row r="1535" spans="1:3">
      <c r="A1535" s="3">
        <f ca="1">IFERROR(__xludf.UNSUPPORTED("""COMPUTED_VALUE"""),45694.6666666666)</f>
        <v>45694.666666666599</v>
      </c>
      <c r="B1535" s="1">
        <f ca="1">IFERROR(__xludf.UNSUPPORTED("""COMPUTED_VALUE"""),606.32)</f>
        <v>606.32000000000005</v>
      </c>
      <c r="C1535" s="2">
        <f t="shared" ca="1" si="6"/>
        <v>3.4755552613286926E-3</v>
      </c>
    </row>
    <row r="1536" spans="1:3">
      <c r="A1536" s="3">
        <f ca="1">IFERROR(__xludf.UNSUPPORTED("""COMPUTED_VALUE"""),45695.6666666666)</f>
        <v>45695.666666666599</v>
      </c>
      <c r="B1536" s="1">
        <f ca="1">IFERROR(__xludf.UNSUPPORTED("""COMPUTED_VALUE"""),600.77)</f>
        <v>600.77</v>
      </c>
      <c r="C1536" s="2">
        <f t="shared" ca="1" si="6"/>
        <v>-9.1535822667899256E-3</v>
      </c>
    </row>
    <row r="1537" spans="1:3">
      <c r="A1537" s="3">
        <f ca="1">IFERROR(__xludf.UNSUPPORTED("""COMPUTED_VALUE"""),45698.6666666666)</f>
        <v>45698.666666666599</v>
      </c>
      <c r="B1537" s="1">
        <f ca="1">IFERROR(__xludf.UNSUPPORTED("""COMPUTED_VALUE"""),604.85)</f>
        <v>604.85</v>
      </c>
      <c r="C1537" s="2">
        <f t="shared" ca="1" si="6"/>
        <v>6.7912845182017097E-3</v>
      </c>
    </row>
    <row r="1538" spans="1:3">
      <c r="A1538" s="3">
        <f ca="1">IFERROR(__xludf.UNSUPPORTED("""COMPUTED_VALUE"""),45699.6666666666)</f>
        <v>45699.666666666599</v>
      </c>
      <c r="B1538" s="1">
        <f ca="1">IFERROR(__xludf.UNSUPPORTED("""COMPUTED_VALUE"""),605.31)</f>
        <v>605.30999999999995</v>
      </c>
      <c r="C1538" s="2">
        <f t="shared" ca="1" si="6"/>
        <v>7.6051913697598196E-4</v>
      </c>
    </row>
    <row r="1539" spans="1:3">
      <c r="A1539" s="3">
        <f ca="1">IFERROR(__xludf.UNSUPPORTED("""COMPUTED_VALUE"""),45700.6666666666)</f>
        <v>45700.666666666599</v>
      </c>
      <c r="B1539" s="1">
        <f ca="1">IFERROR(__xludf.UNSUPPORTED("""COMPUTED_VALUE"""),603.36)</f>
        <v>603.36</v>
      </c>
      <c r="C1539" s="2">
        <f t="shared" ca="1" si="6"/>
        <v>-3.2214898151359337E-3</v>
      </c>
    </row>
    <row r="1540" spans="1:3">
      <c r="A1540" s="3">
        <f ca="1">IFERROR(__xludf.UNSUPPORTED("""COMPUTED_VALUE"""),45701.6666666666)</f>
        <v>45701.666666666599</v>
      </c>
      <c r="B1540" s="1">
        <f ca="1">IFERROR(__xludf.UNSUPPORTED("""COMPUTED_VALUE"""),609.73)</f>
        <v>609.73</v>
      </c>
      <c r="C1540" s="2">
        <f t="shared" ca="1" si="6"/>
        <v>1.0557544417926288E-2</v>
      </c>
    </row>
    <row r="1541" spans="1:3">
      <c r="A1541" s="3">
        <f ca="1">IFERROR(__xludf.UNSUPPORTED("""COMPUTED_VALUE"""),45702.6666666666)</f>
        <v>45702.666666666599</v>
      </c>
      <c r="B1541" s="1">
        <f ca="1">IFERROR(__xludf.UNSUPPORTED("""COMPUTED_VALUE"""),609.7)</f>
        <v>609.70000000000005</v>
      </c>
      <c r="C1541" s="2">
        <f t="shared" ca="1" si="6"/>
        <v>-4.9202105850085635E-5</v>
      </c>
    </row>
    <row r="1542" spans="1:3">
      <c r="A1542" s="3">
        <f ca="1">IFERROR(__xludf.UNSUPPORTED("""COMPUTED_VALUE"""),45706.6666666666)</f>
        <v>45706.666666666599</v>
      </c>
      <c r="B1542" s="1">
        <f ca="1">IFERROR(__xludf.UNSUPPORTED("""COMPUTED_VALUE"""),611.49)</f>
        <v>611.49</v>
      </c>
      <c r="C1542" s="2">
        <f t="shared" ca="1" si="6"/>
        <v>2.9358701000491445E-3</v>
      </c>
    </row>
    <row r="1543" spans="1:3">
      <c r="A1543" s="3">
        <f ca="1">IFERROR(__xludf.UNSUPPORTED("""COMPUTED_VALUE"""),45707.6666666666)</f>
        <v>45707.666666666599</v>
      </c>
      <c r="B1543" s="1">
        <f ca="1">IFERROR(__xludf.UNSUPPORTED("""COMPUTED_VALUE"""),612.93)</f>
        <v>612.92999999999995</v>
      </c>
      <c r="C1543" s="2">
        <f t="shared" ca="1" si="6"/>
        <v>2.3549035961339367E-3</v>
      </c>
    </row>
    <row r="1544" spans="1:3">
      <c r="A1544" s="3">
        <f ca="1">IFERROR(__xludf.UNSUPPORTED("""COMPUTED_VALUE"""),45708.6666666666)</f>
        <v>45708.666666666599</v>
      </c>
      <c r="B1544" s="1">
        <f ca="1">IFERROR(__xludf.UNSUPPORTED("""COMPUTED_VALUE"""),610.38)</f>
        <v>610.38</v>
      </c>
      <c r="C1544" s="2">
        <f t="shared" ca="1" si="6"/>
        <v>-4.1603445744211485E-3</v>
      </c>
    </row>
    <row r="1545" spans="1:3">
      <c r="A1545" s="3">
        <f ca="1">IFERROR(__xludf.UNSUPPORTED("""COMPUTED_VALUE"""),45709.6666666666)</f>
        <v>45709.666666666599</v>
      </c>
      <c r="B1545" s="1">
        <f ca="1">IFERROR(__xludf.UNSUPPORTED("""COMPUTED_VALUE"""),599.94)</f>
        <v>599.94000000000005</v>
      </c>
      <c r="C1545" s="2">
        <f t="shared" ca="1" si="6"/>
        <v>-1.7104099085815297E-2</v>
      </c>
    </row>
    <row r="1546" spans="1:3">
      <c r="A1546" s="3">
        <f ca="1">IFERROR(__xludf.UNSUPPORTED("""COMPUTED_VALUE"""),45712.6666666666)</f>
        <v>45712.666666666599</v>
      </c>
      <c r="B1546" s="1">
        <f ca="1">IFERROR(__xludf.UNSUPPORTED("""COMPUTED_VALUE"""),597.21)</f>
        <v>597.21</v>
      </c>
      <c r="C1546" s="2">
        <f t="shared" ca="1" si="6"/>
        <v>-4.5504550455045803E-3</v>
      </c>
    </row>
    <row r="1547" spans="1:3">
      <c r="A1547" s="3">
        <f ca="1">IFERROR(__xludf.UNSUPPORTED("""COMPUTED_VALUE"""),45713.6666666666)</f>
        <v>45713.666666666599</v>
      </c>
      <c r="B1547" s="1">
        <f ca="1">IFERROR(__xludf.UNSUPPORTED("""COMPUTED_VALUE"""),594.24)</f>
        <v>594.24</v>
      </c>
      <c r="C1547" s="2">
        <f t="shared" ca="1" si="6"/>
        <v>-4.9731250313960369E-3</v>
      </c>
    </row>
    <row r="1548" spans="1:3">
      <c r="A1548" s="3">
        <f ca="1">IFERROR(__xludf.UNSUPPORTED("""COMPUTED_VALUE"""),45714.6666666666)</f>
        <v>45714.666666666599</v>
      </c>
      <c r="B1548" s="1">
        <f ca="1">IFERROR(__xludf.UNSUPPORTED("""COMPUTED_VALUE"""),594.54)</f>
        <v>594.54</v>
      </c>
      <c r="C1548" s="2">
        <f t="shared" ca="1" si="6"/>
        <v>5.0484652665582007E-4</v>
      </c>
    </row>
    <row r="1549" spans="1:3">
      <c r="A1549" s="3">
        <f ca="1">IFERROR(__xludf.UNSUPPORTED("""COMPUTED_VALUE"""),45715.6666666666)</f>
        <v>45715.666666666599</v>
      </c>
      <c r="B1549" s="1">
        <f ca="1">IFERROR(__xludf.UNSUPPORTED("""COMPUTED_VALUE"""),585.05)</f>
        <v>585.04999999999995</v>
      </c>
      <c r="C1549" s="2">
        <f t="shared" ca="1" si="6"/>
        <v>-1.5961920139940137E-2</v>
      </c>
    </row>
    <row r="1550" spans="1:3">
      <c r="A1550" s="3">
        <f ca="1">IFERROR(__xludf.UNSUPPORTED("""COMPUTED_VALUE"""),45716.6666666666)</f>
        <v>45716.666666666599</v>
      </c>
      <c r="B1550" s="1">
        <f ca="1">IFERROR(__xludf.UNSUPPORTED("""COMPUTED_VALUE"""),594.18)</f>
        <v>594.17999999999995</v>
      </c>
      <c r="C1550" s="2">
        <f t="shared" ca="1" si="6"/>
        <v>1.5605503803093746E-2</v>
      </c>
    </row>
    <row r="1551" spans="1:3">
      <c r="A1551" s="3">
        <f ca="1">IFERROR(__xludf.UNSUPPORTED("""COMPUTED_VALUE"""),45719.6666666666)</f>
        <v>45719.666666666599</v>
      </c>
      <c r="B1551" s="1">
        <f ca="1">IFERROR(__xludf.UNSUPPORTED("""COMPUTED_VALUE"""),583.77)</f>
        <v>583.77</v>
      </c>
      <c r="C1551" s="2">
        <f t="shared" ca="1" si="6"/>
        <v>-1.7519943451479298E-2</v>
      </c>
    </row>
    <row r="1552" spans="1:3">
      <c r="A1552" s="3">
        <f ca="1">IFERROR(__xludf.UNSUPPORTED("""COMPUTED_VALUE"""),45720.6666666666)</f>
        <v>45720.666666666599</v>
      </c>
      <c r="B1552" s="1">
        <f ca="1">IFERROR(__xludf.UNSUPPORTED("""COMPUTED_VALUE"""),576.86)</f>
        <v>576.86</v>
      </c>
      <c r="C1552" s="2">
        <f t="shared" ca="1" si="6"/>
        <v>-1.1836853555338521E-2</v>
      </c>
    </row>
    <row r="1553" spans="1:3">
      <c r="A1553" s="3">
        <f ca="1">IFERROR(__xludf.UNSUPPORTED("""COMPUTED_VALUE"""),45721.6666666666)</f>
        <v>45721.666666666599</v>
      </c>
      <c r="B1553" s="1">
        <f ca="1">IFERROR(__xludf.UNSUPPORTED("""COMPUTED_VALUE"""),583.06)</f>
        <v>583.05999999999995</v>
      </c>
      <c r="C1553" s="2">
        <f t="shared" ca="1" si="6"/>
        <v>1.074784176403275E-2</v>
      </c>
    </row>
    <row r="1554" spans="1:3">
      <c r="A1554" s="3">
        <f ca="1">IFERROR(__xludf.UNSUPPORTED("""COMPUTED_VALUE"""),45722.6666666666)</f>
        <v>45722.666666666599</v>
      </c>
      <c r="B1554" s="1">
        <f ca="1">IFERROR(__xludf.UNSUPPORTED("""COMPUTED_VALUE"""),572.71)</f>
        <v>572.71</v>
      </c>
      <c r="C1554" s="2">
        <f t="shared" ca="1" si="6"/>
        <v>-1.7751174836208812E-2</v>
      </c>
    </row>
    <row r="1555" spans="1:3">
      <c r="A1555" s="3">
        <f ca="1">IFERROR(__xludf.UNSUPPORTED("""COMPUTED_VALUE"""),45723.6666666666)</f>
        <v>45723.666666666599</v>
      </c>
      <c r="B1555" s="1">
        <f ca="1">IFERROR(__xludf.UNSUPPORTED("""COMPUTED_VALUE"""),575.92)</f>
        <v>575.91999999999996</v>
      </c>
      <c r="C1555" s="2">
        <f t="shared" ca="1" si="6"/>
        <v>5.6049309423616186E-3</v>
      </c>
    </row>
    <row r="1556" spans="1:3">
      <c r="A1556" s="3">
        <f ca="1">IFERROR(__xludf.UNSUPPORTED("""COMPUTED_VALUE"""),45726.6666666666)</f>
        <v>45726.666666666599</v>
      </c>
      <c r="B1556" s="1">
        <f ca="1">IFERROR(__xludf.UNSUPPORTED("""COMPUTED_VALUE"""),560.58)</f>
        <v>560.58000000000004</v>
      </c>
      <c r="C1556" s="2">
        <f t="shared" ca="1" si="6"/>
        <v>-2.6635643839422001E-2</v>
      </c>
    </row>
    <row r="1557" spans="1:3">
      <c r="A1557" s="3">
        <f ca="1">IFERROR(__xludf.UNSUPPORTED("""COMPUTED_VALUE"""),45727.6666666666)</f>
        <v>45727.666666666599</v>
      </c>
      <c r="B1557" s="1">
        <f ca="1">IFERROR(__xludf.UNSUPPORTED("""COMPUTED_VALUE"""),555.92)</f>
        <v>555.91999999999996</v>
      </c>
      <c r="C1557" s="2">
        <f t="shared" ca="1" si="6"/>
        <v>-8.3128188661744651E-3</v>
      </c>
    </row>
    <row r="1558" spans="1:3">
      <c r="A1558" s="3">
        <f ca="1">IFERROR(__xludf.UNSUPPORTED("""COMPUTED_VALUE"""),45728.6666666666)</f>
        <v>45728.666666666599</v>
      </c>
      <c r="B1558" s="1">
        <f ca="1">IFERROR(__xludf.UNSUPPORTED("""COMPUTED_VALUE"""),558.87)</f>
        <v>558.87</v>
      </c>
      <c r="C1558" s="2">
        <f t="shared" ca="1" si="6"/>
        <v>5.3065189235862098E-3</v>
      </c>
    </row>
    <row r="1559" spans="1:3">
      <c r="A1559" s="3">
        <f ca="1">IFERROR(__xludf.UNSUPPORTED("""COMPUTED_VALUE"""),45729.6666666666)</f>
        <v>45729.666666666599</v>
      </c>
      <c r="B1559" s="1">
        <f ca="1">IFERROR(__xludf.UNSUPPORTED("""COMPUTED_VALUE"""),551.42)</f>
        <v>551.41999999999996</v>
      </c>
      <c r="C1559" s="2">
        <f t="shared" ca="1" si="6"/>
        <v>-1.3330470413513063E-2</v>
      </c>
    </row>
    <row r="1560" spans="1:3">
      <c r="A1560" s="3">
        <f ca="1">IFERROR(__xludf.UNSUPPORTED("""COMPUTED_VALUE"""),45730.6666666666)</f>
        <v>45730.666666666599</v>
      </c>
      <c r="B1560" s="1">
        <f ca="1">IFERROR(__xludf.UNSUPPORTED("""COMPUTED_VALUE"""),562.81)</f>
        <v>562.80999999999995</v>
      </c>
      <c r="C1560" s="2">
        <f t="shared" ca="1" si="6"/>
        <v>2.0655761488520524E-2</v>
      </c>
    </row>
    <row r="1561" spans="1:3">
      <c r="A1561" s="3">
        <f ca="1">IFERROR(__xludf.UNSUPPORTED("""COMPUTED_VALUE"""),45733.6666666666)</f>
        <v>45733.666666666599</v>
      </c>
      <c r="B1561" s="1">
        <f ca="1">IFERROR(__xludf.UNSUPPORTED("""COMPUTED_VALUE"""),567.15)</f>
        <v>567.15</v>
      </c>
      <c r="C1561" s="2">
        <f t="shared" ca="1" si="6"/>
        <v>7.7113057692649953E-3</v>
      </c>
    </row>
    <row r="1562" spans="1:3">
      <c r="A1562" s="3">
        <f ca="1">IFERROR(__xludf.UNSUPPORTED("""COMPUTED_VALUE"""),45734.6666666666)</f>
        <v>45734.666666666599</v>
      </c>
      <c r="B1562" s="1">
        <f ca="1">IFERROR(__xludf.UNSUPPORTED("""COMPUTED_VALUE"""),561.02)</f>
        <v>561.02</v>
      </c>
      <c r="C1562" s="2">
        <f t="shared" ca="1" si="6"/>
        <v>-1.080842810543947E-2</v>
      </c>
    </row>
    <row r="1563" spans="1:3">
      <c r="A1563" s="3">
        <f ca="1">IFERROR(__xludf.UNSUPPORTED("""COMPUTED_VALUE"""),45735.6666666666)</f>
        <v>45735.666666666599</v>
      </c>
      <c r="B1563" s="1">
        <f ca="1">IFERROR(__xludf.UNSUPPORTED("""COMPUTED_VALUE"""),567.13)</f>
        <v>567.13</v>
      </c>
      <c r="C1563" s="2">
        <f t="shared" ca="1" si="6"/>
        <v>1.0890877330576474E-2</v>
      </c>
    </row>
    <row r="1564" spans="1:3">
      <c r="A1564" s="3">
        <f ca="1">IFERROR(__xludf.UNSUPPORTED("""COMPUTED_VALUE"""),45736.6666666666)</f>
        <v>45736.666666666599</v>
      </c>
      <c r="B1564" s="1">
        <f ca="1">IFERROR(__xludf.UNSUPPORTED("""COMPUTED_VALUE"""),565.49)</f>
        <v>565.49</v>
      </c>
      <c r="C1564" s="2">
        <f t="shared" ca="1" si="6"/>
        <v>-2.8917532135488977E-3</v>
      </c>
    </row>
    <row r="1565" spans="1:3">
      <c r="A1565" s="3">
        <f ca="1">IFERROR(__xludf.UNSUPPORTED("""COMPUTED_VALUE"""),45737.6666666666)</f>
        <v>45737.666666666599</v>
      </c>
      <c r="B1565" s="1">
        <f ca="1">IFERROR(__xludf.UNSUPPORTED("""COMPUTED_VALUE"""),563.98)</f>
        <v>563.98</v>
      </c>
      <c r="C1565" s="2">
        <f t="shared" ca="1" si="6"/>
        <v>-2.6702505791437355E-3</v>
      </c>
    </row>
    <row r="1566" spans="1:3">
      <c r="A1566" s="3">
        <f ca="1">IFERROR(__xludf.UNSUPPORTED("""COMPUTED_VALUE"""),45740.6666666666)</f>
        <v>45740.666666666599</v>
      </c>
      <c r="B1566" s="1">
        <f ca="1">IFERROR(__xludf.UNSUPPORTED("""COMPUTED_VALUE"""),574.08)</f>
        <v>574.08000000000004</v>
      </c>
      <c r="C1566" s="2">
        <f t="shared" ca="1" si="6"/>
        <v>1.7908436469378387E-2</v>
      </c>
    </row>
    <row r="1567" spans="1:3">
      <c r="A1567" s="3">
        <f ca="1">IFERROR(__xludf.UNSUPPORTED("""COMPUTED_VALUE"""),45741.6666666666)</f>
        <v>45741.666666666599</v>
      </c>
      <c r="B1567" s="1">
        <f ca="1">IFERROR(__xludf.UNSUPPORTED("""COMPUTED_VALUE"""),575.46)</f>
        <v>575.46</v>
      </c>
      <c r="C1567" s="2">
        <f t="shared" ca="1" si="6"/>
        <v>2.4038461538461457E-3</v>
      </c>
    </row>
    <row r="1568" spans="1:3">
      <c r="A1568" s="3">
        <f ca="1">IFERROR(__xludf.UNSUPPORTED("""COMPUTED_VALUE"""),45742.6666666666)</f>
        <v>45742.666666666599</v>
      </c>
      <c r="B1568" s="1">
        <f ca="1">IFERROR(__xludf.UNSUPPORTED("""COMPUTED_VALUE"""),568.59)</f>
        <v>568.59</v>
      </c>
      <c r="C1568" s="2">
        <f t="shared" ca="1" si="6"/>
        <v>-1.1938275466583262E-2</v>
      </c>
    </row>
    <row r="1569" spans="1:3">
      <c r="A1569" s="3">
        <f ca="1">IFERROR(__xludf.UNSUPPORTED("""COMPUTED_VALUE"""),45743.6666666666)</f>
        <v>45743.666666666599</v>
      </c>
      <c r="B1569" s="1">
        <f ca="1">IFERROR(__xludf.UNSUPPORTED("""COMPUTED_VALUE"""),567.08)</f>
        <v>567.08000000000004</v>
      </c>
      <c r="C1569" s="2">
        <f t="shared" ca="1" si="6"/>
        <v>-2.6556921507588788E-3</v>
      </c>
    </row>
    <row r="1570" spans="1:3">
      <c r="A1570" s="3">
        <f ca="1">IFERROR(__xludf.UNSUPPORTED("""COMPUTED_VALUE"""),45744.6666666666)</f>
        <v>45744.666666666599</v>
      </c>
      <c r="B1570" s="1">
        <f ca="1">IFERROR(__xludf.UNSUPPORTED("""COMPUTED_VALUE"""),555.66)</f>
        <v>555.66</v>
      </c>
      <c r="C1570" s="2">
        <f t="shared" ca="1" si="6"/>
        <v>-2.0138252098469478E-2</v>
      </c>
    </row>
    <row r="1571" spans="1:3">
      <c r="A1571" s="3">
        <f ca="1">IFERROR(__xludf.UNSUPPORTED("""COMPUTED_VALUE"""),45747.6666666666)</f>
        <v>45747.666666666599</v>
      </c>
      <c r="B1571" s="1">
        <f ca="1">IFERROR(__xludf.UNSUPPORTED("""COMPUTED_VALUE"""),559.39)</f>
        <v>559.39</v>
      </c>
      <c r="C1571" s="2">
        <f t="shared" ca="1" si="6"/>
        <v>6.7127380052550449E-3</v>
      </c>
    </row>
    <row r="1572" spans="1:3">
      <c r="A1572" s="3">
        <f ca="1">IFERROR(__xludf.UNSUPPORTED("""COMPUTED_VALUE"""),45748.6666666666)</f>
        <v>45748.666666666599</v>
      </c>
      <c r="B1572" s="1">
        <f ca="1">IFERROR(__xludf.UNSUPPORTED("""COMPUTED_VALUE"""),560.97)</f>
        <v>560.97</v>
      </c>
      <c r="C1572" s="2">
        <f t="shared" ca="1" si="6"/>
        <v>2.8245052646633673E-3</v>
      </c>
    </row>
    <row r="1573" spans="1:3">
      <c r="A1573" s="3">
        <f ca="1">IFERROR(__xludf.UNSUPPORTED("""COMPUTED_VALUE"""),45749.6666666666)</f>
        <v>45749.666666666599</v>
      </c>
      <c r="B1573" s="1">
        <f ca="1">IFERROR(__xludf.UNSUPPORTED("""COMPUTED_VALUE"""),564.52)</f>
        <v>564.52</v>
      </c>
      <c r="C1573" s="2">
        <f t="shared" ca="1" si="6"/>
        <v>6.3283241528066638E-3</v>
      </c>
    </row>
    <row r="1574" spans="1:3">
      <c r="A1574" s="3">
        <f ca="1">IFERROR(__xludf.UNSUPPORTED("""COMPUTED_VALUE"""),45750.6666666666)</f>
        <v>45750.666666666599</v>
      </c>
      <c r="B1574" s="1">
        <f ca="1">IFERROR(__xludf.UNSUPPORTED("""COMPUTED_VALUE"""),536.7)</f>
        <v>536.70000000000005</v>
      </c>
      <c r="C1574" s="2">
        <f t="shared" ca="1" si="6"/>
        <v>-4.9280804931623214E-2</v>
      </c>
    </row>
    <row r="1575" spans="1:3">
      <c r="A1575" s="3">
        <f ca="1">IFERROR(__xludf.UNSUPPORTED("""COMPUTED_VALUE"""),45751.6666666666)</f>
        <v>45751.666666666599</v>
      </c>
      <c r="B1575" s="1">
        <f ca="1">IFERROR(__xludf.UNSUPPORTED("""COMPUTED_VALUE"""),505.28)</f>
        <v>505.28</v>
      </c>
      <c r="C1575" s="2">
        <f t="shared" ca="1" si="6"/>
        <v>-5.8542947643003669E-2</v>
      </c>
    </row>
    <row r="1576" spans="1:3">
      <c r="A1576" s="3">
        <f ca="1">IFERROR(__xludf.UNSUPPORTED("""COMPUTED_VALUE"""),45754.6666666666)</f>
        <v>45754.666666666599</v>
      </c>
      <c r="B1576" s="1">
        <f ca="1">IFERROR(__xludf.UNSUPPORTED("""COMPUTED_VALUE"""),504.38)</f>
        <v>504.38</v>
      </c>
      <c r="C1576" s="2">
        <f t="shared" ca="1" si="6"/>
        <v>-1.7811906269790559E-3</v>
      </c>
    </row>
    <row r="1577" spans="1:3">
      <c r="A1577" s="3">
        <f ca="1">IFERROR(__xludf.UNSUPPORTED("""COMPUTED_VALUE"""),45755.6666666666)</f>
        <v>45755.666666666599</v>
      </c>
      <c r="B1577" s="1">
        <f ca="1">IFERROR(__xludf.UNSUPPORTED("""COMPUTED_VALUE"""),496.48)</f>
        <v>496.48</v>
      </c>
      <c r="C1577" s="2">
        <f t="shared" ca="1" si="6"/>
        <v>-1.5662793925215069E-2</v>
      </c>
    </row>
    <row r="1578" spans="1:3">
      <c r="A1578" s="3">
        <f ca="1">IFERROR(__xludf.UNSUPPORTED("""COMPUTED_VALUE"""),45756.6666666666)</f>
        <v>45756.666666666599</v>
      </c>
      <c r="B1578" s="1">
        <f ca="1">IFERROR(__xludf.UNSUPPORTED("""COMPUTED_VALUE"""),548.62)</f>
        <v>548.62</v>
      </c>
      <c r="C1578" s="2">
        <f t="shared" ca="1" si="6"/>
        <v>0.10501933612632933</v>
      </c>
    </row>
    <row r="1579" spans="1:3">
      <c r="A1579" s="3">
        <f ca="1">IFERROR(__xludf.UNSUPPORTED("""COMPUTED_VALUE"""),45757.6666666666)</f>
        <v>45757.666666666599</v>
      </c>
      <c r="B1579" s="1">
        <f ca="1">IFERROR(__xludf.UNSUPPORTED("""COMPUTED_VALUE"""),524.58)</f>
        <v>524.58000000000004</v>
      </c>
      <c r="C1579" s="2">
        <f t="shared" ca="1" si="6"/>
        <v>-4.3819036856111632E-2</v>
      </c>
    </row>
    <row r="1580" spans="1:3">
      <c r="A1580" s="3">
        <f ca="1">IFERROR(__xludf.UNSUPPORTED("""COMPUTED_VALUE"""),45758.6666666666)</f>
        <v>45758.666666666599</v>
      </c>
      <c r="B1580" s="1">
        <f ca="1">IFERROR(__xludf.UNSUPPORTED("""COMPUTED_VALUE"""),533.94)</f>
        <v>533.94000000000005</v>
      </c>
      <c r="C1580" s="2">
        <f t="shared" ca="1" si="6"/>
        <v>1.7842845705135561E-2</v>
      </c>
    </row>
    <row r="1581" spans="1:3">
      <c r="A1581" s="3">
        <f ca="1">IFERROR(__xludf.UNSUPPORTED("""COMPUTED_VALUE"""),45761.6666666666)</f>
        <v>45761.666666666599</v>
      </c>
      <c r="B1581" s="1">
        <f ca="1">IFERROR(__xludf.UNSUPPORTED("""COMPUTED_VALUE"""),539.12)</f>
        <v>539.12</v>
      </c>
      <c r="C1581" s="2">
        <f t="shared" ca="1" si="6"/>
        <v>9.7014645840355646E-3</v>
      </c>
    </row>
    <row r="1582" spans="1:3">
      <c r="A1582" s="3">
        <f ca="1">IFERROR(__xludf.UNSUPPORTED("""COMPUTED_VALUE"""),45762.6666666666)</f>
        <v>45762.666666666599</v>
      </c>
      <c r="B1582" s="1">
        <f ca="1">IFERROR(__xludf.UNSUPPORTED("""COMPUTED_VALUE"""),537.61)</f>
        <v>537.61</v>
      </c>
      <c r="C1582" s="2">
        <f t="shared" ca="1" si="6"/>
        <v>-2.800860661819244E-3</v>
      </c>
    </row>
    <row r="1583" spans="1:3">
      <c r="A1583" s="3">
        <f ca="1">IFERROR(__xludf.UNSUPPORTED("""COMPUTED_VALUE"""),45763.6666666666)</f>
        <v>45763.666666666599</v>
      </c>
      <c r="B1583" s="1">
        <f ca="1">IFERROR(__xludf.UNSUPPORTED("""COMPUTED_VALUE"""),525.66)</f>
        <v>525.66</v>
      </c>
      <c r="C1583" s="2">
        <f t="shared" ca="1" si="6"/>
        <v>-2.2228009151615567E-2</v>
      </c>
    </row>
    <row r="1584" spans="1:3">
      <c r="A1584" s="3">
        <f ca="1">IFERROR(__xludf.UNSUPPORTED("""COMPUTED_VALUE"""),45764.6666666666)</f>
        <v>45764.666666666599</v>
      </c>
      <c r="B1584" s="1">
        <f ca="1">IFERROR(__xludf.UNSUPPORTED("""COMPUTED_VALUE"""),526.41)</f>
        <v>526.41</v>
      </c>
      <c r="C1584" s="2">
        <f t="shared" ca="1" si="6"/>
        <v>1.4267777650953089E-3</v>
      </c>
    </row>
    <row r="1585" spans="1:3">
      <c r="A1585" s="3">
        <f ca="1">IFERROR(__xludf.UNSUPPORTED("""COMPUTED_VALUE"""),45768.6666666666)</f>
        <v>45768.666666666599</v>
      </c>
      <c r="B1585" s="1">
        <f ca="1">IFERROR(__xludf.UNSUPPORTED("""COMPUTED_VALUE"""),513.88)</f>
        <v>513.88</v>
      </c>
      <c r="C1585" s="2">
        <f t="shared" ca="1" si="6"/>
        <v>-2.380273930966352E-2</v>
      </c>
    </row>
    <row r="1586" spans="1:3">
      <c r="A1586" s="3">
        <f ca="1">IFERROR(__xludf.UNSUPPORTED("""COMPUTED_VALUE"""),45769.6666666666)</f>
        <v>45769.666666666599</v>
      </c>
      <c r="B1586" s="1">
        <f ca="1">IFERROR(__xludf.UNSUPPORTED("""COMPUTED_VALUE"""),527.25)</f>
        <v>527.25</v>
      </c>
      <c r="C1586" s="2">
        <f t="shared" ca="1" si="6"/>
        <v>2.6017747334007947E-2</v>
      </c>
    </row>
    <row r="1587" spans="1:3">
      <c r="A1587" s="3">
        <f ca="1">IFERROR(__xludf.UNSUPPORTED("""COMPUTED_VALUE"""),45770.6666666666)</f>
        <v>45770.666666666599</v>
      </c>
      <c r="B1587" s="1">
        <f ca="1">IFERROR(__xludf.UNSUPPORTED("""COMPUTED_VALUE"""),535.42)</f>
        <v>535.41999999999996</v>
      </c>
      <c r="C1587" s="2">
        <f t="shared" ca="1" si="6"/>
        <v>1.5495495495495417E-2</v>
      </c>
    </row>
    <row r="1588" spans="1:3">
      <c r="A1588" s="3">
        <f ca="1">IFERROR(__xludf.UNSUPPORTED("""COMPUTED_VALUE"""),45771.6666666666)</f>
        <v>45771.666666666599</v>
      </c>
      <c r="B1588" s="1">
        <f ca="1">IFERROR(__xludf.UNSUPPORTED("""COMPUTED_VALUE"""),546.69)</f>
        <v>546.69000000000005</v>
      </c>
      <c r="C1588" s="2">
        <f t="shared" ca="1" si="6"/>
        <v>2.1048896193642554E-2</v>
      </c>
    </row>
    <row r="1589" spans="1:3">
      <c r="A1589" s="3">
        <f ca="1">IFERROR(__xludf.UNSUPPORTED("""COMPUTED_VALUE"""),45772.6666666666)</f>
        <v>45772.666666666599</v>
      </c>
      <c r="B1589" s="1">
        <f ca="1">IFERROR(__xludf.UNSUPPORTED("""COMPUTED_VALUE"""),550.64)</f>
        <v>550.64</v>
      </c>
      <c r="C1589" s="2">
        <f t="shared" ca="1" si="6"/>
        <v>7.2253013590882062E-3</v>
      </c>
    </row>
    <row r="1590" spans="1:3">
      <c r="A1590" s="3">
        <f ca="1">IFERROR(__xludf.UNSUPPORTED("""COMPUTED_VALUE"""),45775.6666666666)</f>
        <v>45775.666666666599</v>
      </c>
      <c r="B1590" s="1">
        <f ca="1">IFERROR(__xludf.UNSUPPORTED("""COMPUTED_VALUE"""),550.85)</f>
        <v>550.85</v>
      </c>
      <c r="C1590" s="2">
        <f t="shared" ca="1" si="6"/>
        <v>3.8137440069743641E-4</v>
      </c>
    </row>
    <row r="1591" spans="1:3">
      <c r="A1591" s="3">
        <f ca="1">IFERROR(__xludf.UNSUPPORTED("""COMPUTED_VALUE"""),45776.6666666666)</f>
        <v>45776.666666666599</v>
      </c>
      <c r="B1591" s="1">
        <f ca="1">IFERROR(__xludf.UNSUPPORTED("""COMPUTED_VALUE"""),554.32)</f>
        <v>554.32000000000005</v>
      </c>
      <c r="C1591" s="2">
        <f t="shared" ca="1" si="6"/>
        <v>6.2993555414360119E-3</v>
      </c>
    </row>
    <row r="1592" spans="1:3">
      <c r="A1592" s="3">
        <f ca="1">IFERROR(__xludf.UNSUPPORTED("""COMPUTED_VALUE"""),45777.6666666666)</f>
        <v>45777.666666666599</v>
      </c>
      <c r="B1592" s="1">
        <f ca="1">IFERROR(__xludf.UNSUPPORTED("""COMPUTED_VALUE"""),554.54)</f>
        <v>554.54</v>
      </c>
      <c r="C1592" s="2">
        <f t="shared" ca="1" si="6"/>
        <v>3.9688266705136666E-4</v>
      </c>
    </row>
    <row r="1593" spans="1:3">
      <c r="A1593" s="3">
        <f ca="1">IFERROR(__xludf.UNSUPPORTED("""COMPUTED_VALUE"""),45778.6666666666)</f>
        <v>45778.666666666599</v>
      </c>
      <c r="B1593" s="1">
        <f ca="1">IFERROR(__xludf.UNSUPPORTED("""COMPUTED_VALUE"""),558.47)</f>
        <v>558.47</v>
      </c>
      <c r="C1593" s="2">
        <f t="shared" ca="1" si="6"/>
        <v>7.0869549536553972E-3</v>
      </c>
    </row>
    <row r="1594" spans="1:3">
      <c r="A1594" s="3">
        <f ca="1">IFERROR(__xludf.UNSUPPORTED("""COMPUTED_VALUE"""),45779.6666666666)</f>
        <v>45779.666666666599</v>
      </c>
      <c r="B1594" s="1">
        <f ca="1">IFERROR(__xludf.UNSUPPORTED("""COMPUTED_VALUE"""),566.76)</f>
        <v>566.76</v>
      </c>
      <c r="C1594" s="2">
        <f t="shared" ca="1" si="6"/>
        <v>1.4844127706053974E-2</v>
      </c>
    </row>
    <row r="1595" spans="1:3">
      <c r="A1595" s="3">
        <f ca="1">IFERROR(__xludf.UNSUPPORTED("""COMPUTED_VALUE"""),45782.6666666666)</f>
        <v>45782.666666666599</v>
      </c>
      <c r="B1595" s="1">
        <f ca="1">IFERROR(__xludf.UNSUPPORTED("""COMPUTED_VALUE"""),563.51)</f>
        <v>563.51</v>
      </c>
      <c r="C1595" s="2">
        <f t="shared" ca="1" si="6"/>
        <v>-5.7343496365304539E-3</v>
      </c>
    </row>
    <row r="1596" spans="1:3">
      <c r="A1596" s="3">
        <f ca="1">IFERROR(__xludf.UNSUPPORTED("""COMPUTED_VALUE"""),45783.6666666666)</f>
        <v>45783.666666666599</v>
      </c>
      <c r="B1596" s="1">
        <f ca="1">IFERROR(__xludf.UNSUPPORTED("""COMPUTED_VALUE"""),558.8)</f>
        <v>558.79999999999995</v>
      </c>
      <c r="C1596" s="2">
        <f t="shared" ca="1" si="6"/>
        <v>-8.3583254955547134E-3</v>
      </c>
    </row>
    <row r="1597" spans="1:3">
      <c r="A1597" s="3">
        <f ca="1">IFERROR(__xludf.UNSUPPORTED("""COMPUTED_VALUE"""),45784.6666666666)</f>
        <v>45784.666666666599</v>
      </c>
      <c r="B1597" s="1">
        <f ca="1">IFERROR(__xludf.UNSUPPORTED("""COMPUTED_VALUE"""),561.15)</f>
        <v>561.15</v>
      </c>
      <c r="C1597" s="2">
        <f t="shared" ca="1" si="6"/>
        <v>4.2054402290623173E-3</v>
      </c>
    </row>
    <row r="1598" spans="1:3">
      <c r="A1598" s="3">
        <f ca="1">IFERROR(__xludf.UNSUPPORTED("""COMPUTED_VALUE"""),45785.6666666666)</f>
        <v>45785.666666666599</v>
      </c>
      <c r="B1598" s="1">
        <f ca="1">IFERROR(__xludf.UNSUPPORTED("""COMPUTED_VALUE"""),565.06)</f>
        <v>565.05999999999995</v>
      </c>
      <c r="C1598" s="2">
        <f t="shared" ca="1" si="6"/>
        <v>6.967833912501057E-3</v>
      </c>
    </row>
    <row r="1599" spans="1:3">
      <c r="A1599" s="3">
        <f ca="1">IFERROR(__xludf.UNSUPPORTED("""COMPUTED_VALUE"""),45786.6666666666)</f>
        <v>45786.666666666599</v>
      </c>
      <c r="B1599" s="1">
        <f ca="1">IFERROR(__xludf.UNSUPPORTED("""COMPUTED_VALUE"""),564.34)</f>
        <v>564.34</v>
      </c>
      <c r="C1599" s="2">
        <f t="shared" ca="1" si="6"/>
        <v>-1.274200969808363E-3</v>
      </c>
    </row>
    <row r="1600" spans="1:3">
      <c r="A1600" s="3">
        <f ca="1">IFERROR(__xludf.UNSUPPORTED("""COMPUTED_VALUE"""),45789.6666666666)</f>
        <v>45789.666666666599</v>
      </c>
      <c r="B1600" s="1">
        <f ca="1">IFERROR(__xludf.UNSUPPORTED("""COMPUTED_VALUE"""),582.99)</f>
        <v>582.99</v>
      </c>
      <c r="C1600" s="2">
        <f t="shared" ca="1" si="6"/>
        <v>3.3047453662685571E-2</v>
      </c>
    </row>
    <row r="1601" spans="1:3">
      <c r="A1601" s="3">
        <f ca="1">IFERROR(__xludf.UNSUPPORTED("""COMPUTED_VALUE"""),45790.6666666666)</f>
        <v>45790.666666666599</v>
      </c>
      <c r="B1601" s="1">
        <f ca="1">IFERROR(__xludf.UNSUPPORTED("""COMPUTED_VALUE"""),586.84)</f>
        <v>586.84</v>
      </c>
      <c r="C1601" s="2">
        <f t="shared" ca="1" si="6"/>
        <v>6.6038868591228369E-3</v>
      </c>
    </row>
    <row r="1602" spans="1:3">
      <c r="A1602" s="3">
        <f ca="1">IFERROR(__xludf.UNSUPPORTED("""COMPUTED_VALUE"""),45791.6666666666)</f>
        <v>45791.666666666599</v>
      </c>
      <c r="B1602" s="1">
        <f ca="1">IFERROR(__xludf.UNSUPPORTED("""COMPUTED_VALUE"""),587.59)</f>
        <v>587.59</v>
      </c>
      <c r="C1602" s="2">
        <f t="shared" ca="1" si="6"/>
        <v>1.2780314906959307E-3</v>
      </c>
    </row>
    <row r="1603" spans="1:3">
      <c r="A1603" s="3">
        <f ca="1">IFERROR(__xludf.UNSUPPORTED("""COMPUTED_VALUE"""),45792.6666666666)</f>
        <v>45792.666666666599</v>
      </c>
      <c r="B1603" s="1">
        <f ca="1">IFERROR(__xludf.UNSUPPORTED("""COMPUTED_VALUE"""),590.46)</f>
        <v>590.46</v>
      </c>
      <c r="C1603" s="2">
        <f t="shared" ca="1" si="6"/>
        <v>4.8843581408805539E-3</v>
      </c>
    </row>
    <row r="1604" spans="1:3">
      <c r="A1604" s="3">
        <f ca="1">IFERROR(__xludf.UNSUPPORTED("""COMPUTED_VALUE"""),45793.6666666666)</f>
        <v>45793.666666666599</v>
      </c>
      <c r="B1604" s="1">
        <f ca="1">IFERROR(__xludf.UNSUPPORTED("""COMPUTED_VALUE"""),594.2)</f>
        <v>594.20000000000005</v>
      </c>
      <c r="C1604" s="2">
        <f t="shared" ca="1" si="6"/>
        <v>6.3340446431595851E-3</v>
      </c>
    </row>
    <row r="1605" spans="1:3">
      <c r="A1605" s="3">
        <f ca="1">IFERROR(__xludf.UNSUPPORTED("""COMPUTED_VALUE"""),45796.6666666666)</f>
        <v>45796.666666666599</v>
      </c>
      <c r="B1605" s="1">
        <f ca="1">IFERROR(__xludf.UNSUPPORTED("""COMPUTED_VALUE"""),594.85)</f>
        <v>594.85</v>
      </c>
      <c r="C1605" s="2">
        <f t="shared" ca="1" si="6"/>
        <v>1.0939077751598405E-3</v>
      </c>
    </row>
    <row r="1606" spans="1:3">
      <c r="A1606" s="3">
        <f ca="1">IFERROR(__xludf.UNSUPPORTED("""COMPUTED_VALUE"""),45797.6666666666)</f>
        <v>45797.666666666599</v>
      </c>
      <c r="B1606" s="1">
        <f ca="1">IFERROR(__xludf.UNSUPPORTED("""COMPUTED_VALUE"""),592.85)</f>
        <v>592.85</v>
      </c>
      <c r="C1606" s="2">
        <f t="shared" ca="1" si="6"/>
        <v>-3.3621921492813312E-3</v>
      </c>
    </row>
    <row r="1607" spans="1:3">
      <c r="A1607" s="3">
        <f ca="1">IFERROR(__xludf.UNSUPPORTED("""COMPUTED_VALUE"""),45798.6666666666)</f>
        <v>45798.666666666599</v>
      </c>
      <c r="B1607" s="1">
        <f ca="1">IFERROR(__xludf.UNSUPPORTED("""COMPUTED_VALUE"""),582.86)</f>
        <v>582.86</v>
      </c>
      <c r="C1607" s="2">
        <f t="shared" ca="1" si="6"/>
        <v>-1.6850805431390753E-2</v>
      </c>
    </row>
    <row r="1608" spans="1:3">
      <c r="A1608" s="3">
        <f ca="1">IFERROR(__xludf.UNSUPPORTED("""COMPUTED_VALUE"""),45799.6666666666)</f>
        <v>45799.666666666599</v>
      </c>
      <c r="B1608" s="1">
        <f ca="1">IFERROR(__xludf.UNSUPPORTED("""COMPUTED_VALUE"""),582.86)</f>
        <v>582.86</v>
      </c>
      <c r="C1608" s="2">
        <f t="shared" ca="1" si="6"/>
        <v>0</v>
      </c>
    </row>
    <row r="1609" spans="1:3">
      <c r="A1609" s="3">
        <f ca="1">IFERROR(__xludf.UNSUPPORTED("""COMPUTED_VALUE"""),45800.6666666666)</f>
        <v>45800.666666666599</v>
      </c>
      <c r="B1609" s="1">
        <f ca="1">IFERROR(__xludf.UNSUPPORTED("""COMPUTED_VALUE"""),579.11)</f>
        <v>579.11</v>
      </c>
      <c r="C1609" s="2">
        <f t="shared" ca="1" si="6"/>
        <v>-6.4337919912157288E-3</v>
      </c>
    </row>
    <row r="1610" spans="1:3">
      <c r="A1610" s="3">
        <f ca="1">IFERROR(__xludf.UNSUPPORTED("""COMPUTED_VALUE"""),45804.6666666666)</f>
        <v>45804.666666666599</v>
      </c>
      <c r="B1610" s="1">
        <f ca="1">IFERROR(__xludf.UNSUPPORTED("""COMPUTED_VALUE"""),591.15)</f>
        <v>591.15</v>
      </c>
      <c r="C1610" s="2">
        <f t="shared" ca="1" si="6"/>
        <v>2.079052338933875E-2</v>
      </c>
    </row>
    <row r="1611" spans="1:3">
      <c r="A1611" s="3">
        <f ca="1">IFERROR(__xludf.UNSUPPORTED("""COMPUTED_VALUE"""),45805.6666666666)</f>
        <v>45805.666666666599</v>
      </c>
      <c r="B1611" s="1">
        <f ca="1">IFERROR(__xludf.UNSUPPORTED("""COMPUTED_VALUE"""),587.73)</f>
        <v>587.73</v>
      </c>
      <c r="C1611" s="2">
        <f t="shared" ca="1" si="6"/>
        <v>-5.7853336716568709E-3</v>
      </c>
    </row>
    <row r="1612" spans="1:3">
      <c r="A1612" s="3">
        <f ca="1">IFERROR(__xludf.UNSUPPORTED("""COMPUTED_VALUE"""),45806.6666666666)</f>
        <v>45806.666666666599</v>
      </c>
      <c r="B1612" s="1">
        <f ca="1">IFERROR(__xludf.UNSUPPORTED("""COMPUTED_VALUE"""),590.05)</f>
        <v>590.04999999999995</v>
      </c>
      <c r="C1612" s="2">
        <f t="shared" ca="1" si="6"/>
        <v>3.9473908087045689E-3</v>
      </c>
    </row>
    <row r="1613" spans="1:3">
      <c r="A1613" s="3">
        <f ca="1">IFERROR(__xludf.UNSUPPORTED("""COMPUTED_VALUE"""),45807.6666666666)</f>
        <v>45807.666666666599</v>
      </c>
      <c r="B1613" s="1">
        <f ca="1">IFERROR(__xludf.UNSUPPORTED("""COMPUTED_VALUE"""),589.39)</f>
        <v>589.39</v>
      </c>
      <c r="C1613" s="2">
        <f t="shared" ca="1" si="6"/>
        <v>-1.1185492754850746E-3</v>
      </c>
    </row>
    <row r="1614" spans="1:3">
      <c r="A1614" s="3">
        <f ca="1">IFERROR(__xludf.UNSUPPORTED("""COMPUTED_VALUE"""),45810.6666666666)</f>
        <v>45810.666666666599</v>
      </c>
      <c r="B1614" s="1">
        <f ca="1">IFERROR(__xludf.UNSUPPORTED("""COMPUTED_VALUE"""),592.71)</f>
        <v>592.71</v>
      </c>
      <c r="C1614" s="2">
        <f t="shared" ca="1" si="6"/>
        <v>5.6329425338062233E-3</v>
      </c>
    </row>
    <row r="1615" spans="1:3">
      <c r="A1615" s="3">
        <f ca="1">IFERROR(__xludf.UNSUPPORTED("""COMPUTED_VALUE"""),45811.6666666666)</f>
        <v>45811.666666666599</v>
      </c>
      <c r="B1615" s="1">
        <f ca="1">IFERROR(__xludf.UNSUPPORTED("""COMPUTED_VALUE"""),596.09)</f>
        <v>596.09</v>
      </c>
      <c r="C1615" s="2">
        <f t="shared" ca="1" si="6"/>
        <v>5.7026201683791321E-3</v>
      </c>
    </row>
    <row r="1616" spans="1:3">
      <c r="A1616" s="3">
        <f ca="1">IFERROR(__xludf.UNSUPPORTED("""COMPUTED_VALUE"""),45812.6666666666)</f>
        <v>45812.666666666599</v>
      </c>
      <c r="B1616" s="1">
        <f ca="1">IFERROR(__xludf.UNSUPPORTED("""COMPUTED_VALUE"""),595.93)</f>
        <v>595.92999999999995</v>
      </c>
      <c r="C1616" s="2">
        <f t="shared" ca="1" si="6"/>
        <v>-2.6841584324528483E-4</v>
      </c>
    </row>
    <row r="1617" spans="1:3">
      <c r="A1617" s="3">
        <f ca="1">IFERROR(__xludf.UNSUPPORTED("""COMPUTED_VALUE"""),45813.6666666666)</f>
        <v>45813.666666666599</v>
      </c>
      <c r="B1617" s="1">
        <f ca="1">IFERROR(__xludf.UNSUPPORTED("""COMPUTED_VALUE"""),593.05)</f>
        <v>593.04999999999995</v>
      </c>
      <c r="C1617" s="2">
        <f t="shared" ca="1" si="6"/>
        <v>-4.8327823737687242E-3</v>
      </c>
    </row>
    <row r="1618" spans="1:3">
      <c r="A1618" s="3">
        <f ca="1">IFERROR(__xludf.UNSUPPORTED("""COMPUTED_VALUE"""),45814.6666666666)</f>
        <v>45814.666666666599</v>
      </c>
      <c r="B1618" s="1">
        <f ca="1">IFERROR(__xludf.UNSUPPORTED("""COMPUTED_VALUE"""),599.14)</f>
        <v>599.14</v>
      </c>
      <c r="C1618" s="2">
        <f t="shared" ca="1" si="6"/>
        <v>1.0268948655256778E-2</v>
      </c>
    </row>
    <row r="1619" spans="1:3">
      <c r="A1619" s="3">
        <f ca="1">IFERROR(__xludf.UNSUPPORTED("""COMPUTED_VALUE"""),45817.6666666666)</f>
        <v>45817.666666666599</v>
      </c>
      <c r="B1619" s="1">
        <f ca="1">IFERROR(__xludf.UNSUPPORTED("""COMPUTED_VALUE"""),599.68)</f>
        <v>599.67999999999995</v>
      </c>
      <c r="C1619" s="2">
        <f t="shared" ca="1" si="6"/>
        <v>9.0129185165397675E-4</v>
      </c>
    </row>
    <row r="1620" spans="1:3">
      <c r="A1620" s="3">
        <f ca="1">IFERROR(__xludf.UNSUPPORTED("""COMPUTED_VALUE"""),45818.6666666666)</f>
        <v>45818.666666666599</v>
      </c>
      <c r="B1620" s="1">
        <f ca="1">IFERROR(__xludf.UNSUPPORTED("""COMPUTED_VALUE"""),603.08)</f>
        <v>603.08000000000004</v>
      </c>
      <c r="C1620" s="2">
        <f t="shared" ca="1" si="6"/>
        <v>5.6696905016010062E-3</v>
      </c>
    </row>
    <row r="1621" spans="1:3">
      <c r="A1621" s="3">
        <f ca="1">IFERROR(__xludf.UNSUPPORTED("""COMPUTED_VALUE"""),45819.6666666666)</f>
        <v>45819.666666666599</v>
      </c>
      <c r="B1621" s="1">
        <f ca="1">IFERROR(__xludf.UNSUPPORTED("""COMPUTED_VALUE"""),601.36)</f>
        <v>601.36</v>
      </c>
      <c r="C1621" s="2">
        <f t="shared" ca="1" si="6"/>
        <v>-2.8520262651721617E-3</v>
      </c>
    </row>
    <row r="1622" spans="1:3">
      <c r="A1622" s="3">
        <f ca="1">IFERROR(__xludf.UNSUPPORTED("""COMPUTED_VALUE"""),45820.6666666666)</f>
        <v>45820.666666666599</v>
      </c>
      <c r="B1622" s="1">
        <f ca="1">IFERROR(__xludf.UNSUPPORTED("""COMPUTED_VALUE"""),603.75)</f>
        <v>603.75</v>
      </c>
      <c r="C1622" s="2">
        <f t="shared" ca="1" si="6"/>
        <v>3.9743248636423881E-3</v>
      </c>
    </row>
    <row r="1623" spans="1:3">
      <c r="A1623" s="3">
        <f ca="1">IFERROR(__xludf.UNSUPPORTED("""COMPUTED_VALUE"""),45821.6666666666)</f>
        <v>45821.666666666599</v>
      </c>
      <c r="B1623" s="1">
        <f ca="1">IFERROR(__xludf.UNSUPPORTED("""COMPUTED_VALUE"""),597)</f>
        <v>597</v>
      </c>
      <c r="C1623" s="2">
        <f t="shared" ca="1" si="6"/>
        <v>-1.1180124223602485E-2</v>
      </c>
    </row>
    <row r="1624" spans="1:3">
      <c r="A1624" s="3">
        <f ca="1">IFERROR(__xludf.UNSUPPORTED("""COMPUTED_VALUE"""),45824.6666666666)</f>
        <v>45824.666666666599</v>
      </c>
      <c r="B1624" s="1">
        <f ca="1">IFERROR(__xludf.UNSUPPORTED("""COMPUTED_VALUE"""),602.68)</f>
        <v>602.67999999999995</v>
      </c>
      <c r="C1624" s="2">
        <f t="shared" ca="1" si="6"/>
        <v>9.5142378559463156E-3</v>
      </c>
    </row>
    <row r="1625" spans="1:3">
      <c r="A1625" s="3">
        <f ca="1">IFERROR(__xludf.UNSUPPORTED("""COMPUTED_VALUE"""),45825.6666666666)</f>
        <v>45825.666666666599</v>
      </c>
      <c r="B1625" s="1">
        <f ca="1">IFERROR(__xludf.UNSUPPORTED("""COMPUTED_VALUE"""),597.53)</f>
        <v>597.53</v>
      </c>
      <c r="C1625" s="2">
        <f t="shared" ca="1" si="6"/>
        <v>-8.5451649299793878E-3</v>
      </c>
    </row>
    <row r="1626" spans="1:3">
      <c r="A1626" s="3">
        <f ca="1">IFERROR(__xludf.UNSUPPORTED("""COMPUTED_VALUE"""),45826.6666666666)</f>
        <v>45826.666666666599</v>
      </c>
      <c r="B1626" s="1">
        <f ca="1">IFERROR(__xludf.UNSUPPORTED("""COMPUTED_VALUE"""),597.44)</f>
        <v>597.44000000000005</v>
      </c>
      <c r="C1626" s="2">
        <f t="shared" ca="1" si="6"/>
        <v>-1.5062005254952578E-4</v>
      </c>
    </row>
    <row r="1627" spans="1:3">
      <c r="A1627" s="3">
        <f ca="1">IFERROR(__xludf.UNSUPPORTED("""COMPUTED_VALUE"""),45828.6666666666)</f>
        <v>45828.666666666599</v>
      </c>
      <c r="B1627" s="1">
        <f ca="1">IFERROR(__xludf.UNSUPPORTED("""COMPUTED_VALUE"""),594.28)</f>
        <v>594.28</v>
      </c>
      <c r="C1627" s="2">
        <f t="shared" ca="1" si="6"/>
        <v>-5.2892340653456103E-3</v>
      </c>
    </row>
    <row r="1628" spans="1:3">
      <c r="A1628" s="3">
        <f ca="1">IFERROR(__xludf.UNSUPPORTED("""COMPUTED_VALUE"""),45831.6666666666)</f>
        <v>45831.666666666599</v>
      </c>
      <c r="B1628" s="1">
        <f ca="1">IFERROR(__xludf.UNSUPPORTED("""COMPUTED_VALUE"""),600.15)</f>
        <v>600.15</v>
      </c>
      <c r="C1628" s="2">
        <f t="shared" ca="1" si="6"/>
        <v>9.8774988221040673E-3</v>
      </c>
    </row>
    <row r="1629" spans="1:3">
      <c r="A1629" s="3">
        <f ca="1">IFERROR(__xludf.UNSUPPORTED("""COMPUTED_VALUE"""),45832.6666666666)</f>
        <v>45832.666666666599</v>
      </c>
      <c r="B1629" s="1">
        <f ca="1">IFERROR(__xludf.UNSUPPORTED("""COMPUTED_VALUE"""),606.78)</f>
        <v>606.78</v>
      </c>
      <c r="C1629" s="2">
        <f t="shared" ca="1" si="6"/>
        <v>1.104723819045238E-2</v>
      </c>
    </row>
    <row r="1630" spans="1:3">
      <c r="A1630" s="3">
        <f ca="1">IFERROR(__xludf.UNSUPPORTED("""COMPUTED_VALUE"""),45833.6666666666)</f>
        <v>45833.666666666599</v>
      </c>
      <c r="B1630" s="1">
        <f ca="1">IFERROR(__xludf.UNSUPPORTED("""COMPUTED_VALUE"""),607.12)</f>
        <v>607.12</v>
      </c>
      <c r="C1630" s="2">
        <f t="shared" ca="1" si="6"/>
        <v>5.6033488249453156E-4</v>
      </c>
    </row>
    <row r="1631" spans="1:3">
      <c r="A1631" s="3">
        <f ca="1">IFERROR(__xludf.UNSUPPORTED("""COMPUTED_VALUE"""),45834.6666666666)</f>
        <v>45834.666666666599</v>
      </c>
      <c r="B1631" s="1">
        <f ca="1">IFERROR(__xludf.UNSUPPORTED("""COMPUTED_VALUE"""),611.87)</f>
        <v>611.87</v>
      </c>
      <c r="C1631" s="2">
        <f t="shared" ca="1" si="6"/>
        <v>7.8238239557253918E-3</v>
      </c>
    </row>
    <row r="1632" spans="1:3">
      <c r="A1632" s="3">
        <f ca="1">IFERROR(__xludf.UNSUPPORTED("""COMPUTED_VALUE"""),45835.6666666666)</f>
        <v>45835.666666666599</v>
      </c>
      <c r="B1632" s="1">
        <f ca="1">IFERROR(__xludf.UNSUPPORTED("""COMPUTED_VALUE"""),614.91)</f>
        <v>614.91</v>
      </c>
      <c r="C1632" s="2">
        <f t="shared" ca="1" si="6"/>
        <v>4.9683756353473179E-3</v>
      </c>
    </row>
    <row r="1633" spans="1:3">
      <c r="A1633" s="3">
        <f ca="1">IFERROR(__xludf.UNSUPPORTED("""COMPUTED_VALUE"""),45838.6666666666)</f>
        <v>45838.666666666599</v>
      </c>
      <c r="B1633" s="1">
        <f ca="1">IFERROR(__xludf.UNSUPPORTED("""COMPUTED_VALUE"""),617.85)</f>
        <v>617.85</v>
      </c>
      <c r="C1633" s="2">
        <f t="shared" ca="1" si="6"/>
        <v>4.7811874908524092E-3</v>
      </c>
    </row>
    <row r="1634" spans="1:3">
      <c r="A1634" s="3">
        <f ca="1">IFERROR(__xludf.UNSUPPORTED("""COMPUTED_VALUE"""),45839.6666666666)</f>
        <v>45839.666666666599</v>
      </c>
      <c r="B1634" s="1">
        <f ca="1">IFERROR(__xludf.UNSUPPORTED("""COMPUTED_VALUE"""),617.65)</f>
        <v>617.65</v>
      </c>
      <c r="C1634" s="2">
        <f t="shared" ca="1" si="6"/>
        <v>-3.2370316419850364E-4</v>
      </c>
    </row>
    <row r="1635" spans="1:3">
      <c r="A1635" s="3">
        <f ca="1">IFERROR(__xludf.UNSUPPORTED("""COMPUTED_VALUE"""),45840.6666666666)</f>
        <v>45840.666666666599</v>
      </c>
      <c r="B1635" s="1">
        <f ca="1">IFERROR(__xludf.UNSUPPORTED("""COMPUTED_VALUE"""),620.45)</f>
        <v>620.45000000000005</v>
      </c>
      <c r="C1635" s="2">
        <f t="shared" ca="1" si="6"/>
        <v>4.5333117461346531E-3</v>
      </c>
    </row>
    <row r="1636" spans="1:3">
      <c r="A1636" s="3">
        <f ca="1">IFERROR(__xludf.UNSUPPORTED("""COMPUTED_VALUE"""),45841.5520833333)</f>
        <v>45841.552083333299</v>
      </c>
      <c r="B1636" s="1">
        <f ca="1">IFERROR(__xludf.UNSUPPORTED("""COMPUTED_VALUE"""),625.34)</f>
        <v>625.34</v>
      </c>
      <c r="C1636" s="2">
        <f t="shared" ca="1" si="6"/>
        <v>7.8813764203400534E-3</v>
      </c>
    </row>
    <row r="1637" spans="1:3">
      <c r="A1637" s="3">
        <f ca="1">IFERROR(__xludf.UNSUPPORTED("""COMPUTED_VALUE"""),45845.6666666666)</f>
        <v>45845.666666666599</v>
      </c>
      <c r="B1637" s="1">
        <f ca="1">IFERROR(__xludf.UNSUPPORTED("""COMPUTED_VALUE"""),620.68)</f>
        <v>620.67999999999995</v>
      </c>
      <c r="C1637" s="2">
        <f t="shared" ca="1" si="6"/>
        <v>-7.451946141299264E-3</v>
      </c>
    </row>
    <row r="1638" spans="1:3">
      <c r="A1638" s="3">
        <f ca="1">IFERROR(__xludf.UNSUPPORTED("""COMPUTED_VALUE"""),45846.6666666666)</f>
        <v>45846.666666666599</v>
      </c>
      <c r="B1638" s="1">
        <f ca="1">IFERROR(__xludf.UNSUPPORTED("""COMPUTED_VALUE"""),620.34)</f>
        <v>620.34</v>
      </c>
      <c r="C1638" s="2">
        <f t="shared" ca="1" si="6"/>
        <v>-5.47786298897851E-4</v>
      </c>
    </row>
    <row r="1639" spans="1:3">
      <c r="A1639" s="3">
        <f ca="1">IFERROR(__xludf.UNSUPPORTED("""COMPUTED_VALUE"""),45847.6666666666)</f>
        <v>45847.666666666599</v>
      </c>
      <c r="B1639" s="1">
        <f ca="1">IFERROR(__xludf.UNSUPPORTED("""COMPUTED_VALUE"""),624.06)</f>
        <v>624.05999999999995</v>
      </c>
      <c r="C1639" s="2">
        <f t="shared" ca="1" si="6"/>
        <v>5.9967114808007118E-3</v>
      </c>
    </row>
    <row r="1640" spans="1:3">
      <c r="A1640" s="3">
        <f ca="1">IFERROR(__xludf.UNSUPPORTED("""COMPUTED_VALUE"""),45848.6666666666)</f>
        <v>45848.666666666599</v>
      </c>
      <c r="B1640" s="1">
        <f ca="1">IFERROR(__xludf.UNSUPPORTED("""COMPUTED_VALUE"""),625.82)</f>
        <v>625.82000000000005</v>
      </c>
      <c r="C1640" s="2">
        <f t="shared" ca="1" si="6"/>
        <v>2.8202416434318892E-3</v>
      </c>
    </row>
    <row r="1641" spans="1:3">
      <c r="A1641" s="3">
        <f ca="1">IFERROR(__xludf.UNSUPPORTED("""COMPUTED_VALUE"""),45849.6666666666)</f>
        <v>45849.666666666599</v>
      </c>
      <c r="B1641" s="1">
        <f ca="1">IFERROR(__xludf.UNSUPPORTED("""COMPUTED_VALUE"""),623.62)</f>
        <v>623.62</v>
      </c>
      <c r="C1641" s="2">
        <f t="shared" ca="1" si="6"/>
        <v>-3.5153878111917887E-3</v>
      </c>
    </row>
    <row r="1642" spans="1:3">
      <c r="A1642" s="3">
        <f ca="1">IFERROR(__xludf.UNSUPPORTED("""COMPUTED_VALUE"""),45852.6666666666)</f>
        <v>45852.666666666599</v>
      </c>
      <c r="B1642" s="1">
        <f ca="1">IFERROR(__xludf.UNSUPPORTED("""COMPUTED_VALUE"""),624.81)</f>
        <v>624.80999999999995</v>
      </c>
      <c r="C1642" s="2">
        <f t="shared" ca="1" si="6"/>
        <v>1.9082133350436818E-3</v>
      </c>
    </row>
    <row r="1643" spans="1:3">
      <c r="A1643" s="3">
        <f ca="1">IFERROR(__xludf.UNSUPPORTED("""COMPUTED_VALUE"""),45853.6666666666)</f>
        <v>45853.666666666599</v>
      </c>
      <c r="B1643" s="1">
        <f ca="1">IFERROR(__xludf.UNSUPPORTED("""COMPUTED_VALUE"""),622.14)</f>
        <v>622.14</v>
      </c>
      <c r="C1643" s="2">
        <f t="shared" ca="1" si="6"/>
        <v>-4.2732990829211425E-3</v>
      </c>
    </row>
    <row r="1644" spans="1:3">
      <c r="A1644" s="3">
        <f ca="1">IFERROR(__xludf.UNSUPPORTED("""COMPUTED_VALUE"""),45854.6666666666)</f>
        <v>45854.666666666599</v>
      </c>
      <c r="B1644" s="1">
        <f ca="1">IFERROR(__xludf.UNSUPPORTED("""COMPUTED_VALUE"""),624.22)</f>
        <v>624.22</v>
      </c>
      <c r="C1644" s="2">
        <f t="shared" ca="1" si="6"/>
        <v>3.3432989359308855E-3</v>
      </c>
    </row>
    <row r="1645" spans="1:3">
      <c r="A1645" s="3">
        <f ca="1">IFERROR(__xludf.UNSUPPORTED("""COMPUTED_VALUE"""),45855.6666666666)</f>
        <v>45855.666666666599</v>
      </c>
      <c r="B1645" s="1">
        <f ca="1">IFERROR(__xludf.UNSUPPORTED("""COMPUTED_VALUE"""),628.04)</f>
        <v>628.04</v>
      </c>
      <c r="C1645" s="2">
        <f t="shared" ca="1" si="6"/>
        <v>6.1196373073594823E-3</v>
      </c>
    </row>
    <row r="1646" spans="1:3">
      <c r="A1646" s="3">
        <f ca="1">IFERROR(__xludf.UNSUPPORTED("""COMPUTED_VALUE"""),45856.6666666666)</f>
        <v>45856.666666666599</v>
      </c>
      <c r="B1646" s="1">
        <f ca="1">IFERROR(__xludf.UNSUPPORTED("""COMPUTED_VALUE"""),627.58)</f>
        <v>627.58000000000004</v>
      </c>
      <c r="C1646" s="2">
        <f t="shared" ca="1" si="6"/>
        <v>-7.3243742436775161E-4</v>
      </c>
    </row>
    <row r="1647" spans="1:3">
      <c r="A1647" s="3">
        <f ca="1">IFERROR(__xludf.UNSUPPORTED("""COMPUTED_VALUE"""),45859.6666666666)</f>
        <v>45859.666666666599</v>
      </c>
      <c r="B1647" s="1">
        <f ca="1">IFERROR(__xludf.UNSUPPORTED("""COMPUTED_VALUE"""),628.77)</f>
        <v>628.77</v>
      </c>
      <c r="C1647" s="2">
        <f t="shared" ca="1" si="6"/>
        <v>1.8961725995091316E-3</v>
      </c>
    </row>
    <row r="1648" spans="1:3">
      <c r="A1648" s="3">
        <f ca="1">IFERROR(__xludf.UNSUPPORTED("""COMPUTED_VALUE"""),45860.6666666666)</f>
        <v>45860.666666666599</v>
      </c>
      <c r="B1648" s="1">
        <f ca="1">IFERROR(__xludf.UNSUPPORTED("""COMPUTED_VALUE"""),628.86)</f>
        <v>628.86</v>
      </c>
      <c r="C1648" s="2">
        <f t="shared" ca="1" si="6"/>
        <v>1.4313660002867795E-4</v>
      </c>
    </row>
    <row r="1649" spans="1:3">
      <c r="A1649" s="3">
        <f ca="1">IFERROR(__xludf.UNSUPPORTED("""COMPUTED_VALUE"""),45861.6666666666)</f>
        <v>45861.666666666599</v>
      </c>
      <c r="B1649" s="1">
        <f ca="1">IFERROR(__xludf.UNSUPPORTED("""COMPUTED_VALUE"""),634.21)</f>
        <v>634.21</v>
      </c>
      <c r="C1649" s="2">
        <f t="shared" ca="1" si="6"/>
        <v>8.5074579397640526E-3</v>
      </c>
    </row>
    <row r="1650" spans="1:3">
      <c r="A1650" s="3">
        <f ca="1">IFERROR(__xludf.UNSUPPORTED("""COMPUTED_VALUE"""),45862.6666666666)</f>
        <v>45862.666666666599</v>
      </c>
      <c r="B1650" s="1">
        <f ca="1">IFERROR(__xludf.UNSUPPORTED("""COMPUTED_VALUE"""),634.42)</f>
        <v>634.41999999999996</v>
      </c>
      <c r="C1650" s="2">
        <f t="shared" ca="1" si="6"/>
        <v>3.3112060673897082E-4</v>
      </c>
    </row>
    <row r="1651" spans="1:3">
      <c r="A1651" s="3">
        <f ca="1">IFERROR(__xludf.UNSUPPORTED("""COMPUTED_VALUE"""),45863.6666666666)</f>
        <v>45863.666666666599</v>
      </c>
      <c r="B1651" s="1">
        <f ca="1">IFERROR(__xludf.UNSUPPORTED("""COMPUTED_VALUE"""),637.1)</f>
        <v>637.1</v>
      </c>
      <c r="C1651" s="2">
        <f t="shared" ca="1" si="6"/>
        <v>4.2243308849028464E-3</v>
      </c>
    </row>
    <row r="1652" spans="1:3">
      <c r="A1652" s="3">
        <f ca="1">IFERROR(__xludf.UNSUPPORTED("""COMPUTED_VALUE"""),45866.6666666666)</f>
        <v>45866.666666666599</v>
      </c>
      <c r="B1652" s="1">
        <f ca="1">IFERROR(__xludf.UNSUPPORTED("""COMPUTED_VALUE"""),636.94)</f>
        <v>636.94000000000005</v>
      </c>
      <c r="C1652" s="2">
        <f t="shared" ca="1" si="6"/>
        <v>-2.5113796892162638E-4</v>
      </c>
    </row>
    <row r="1653" spans="1:3">
      <c r="A1653" s="3">
        <f ca="1">IFERROR(__xludf.UNSUPPORTED("""COMPUTED_VALUE"""),45867.6666666666)</f>
        <v>45867.666666666599</v>
      </c>
      <c r="B1653" s="1">
        <f ca="1">IFERROR(__xludf.UNSUPPORTED("""COMPUTED_VALUE"""),635.26)</f>
        <v>635.26</v>
      </c>
      <c r="C1653" s="2">
        <f t="shared" ca="1" si="6"/>
        <v>-2.6376110779666273E-3</v>
      </c>
    </row>
    <row r="1654" spans="1:3">
      <c r="A1654" s="3">
        <f ca="1">IFERROR(__xludf.UNSUPPORTED("""COMPUTED_VALUE"""),45868.6666666666)</f>
        <v>45868.666666666599</v>
      </c>
      <c r="B1654" s="1">
        <f ca="1">IFERROR(__xludf.UNSUPPORTED("""COMPUTED_VALUE"""),634.46)</f>
        <v>634.46</v>
      </c>
      <c r="C1654" s="2">
        <f t="shared" ca="1" si="6"/>
        <v>-1.2593268897773424E-3</v>
      </c>
    </row>
    <row r="1655" spans="1:3">
      <c r="A1655" s="3">
        <f ca="1">IFERROR(__xludf.UNSUPPORTED("""COMPUTED_VALUE"""),45869.6666666666)</f>
        <v>45869.666666666599</v>
      </c>
      <c r="B1655" s="1">
        <f ca="1">IFERROR(__xludf.UNSUPPORTED("""COMPUTED_VALUE"""),632.08)</f>
        <v>632.08000000000004</v>
      </c>
      <c r="C1655" s="2">
        <f t="shared" ca="1" si="6"/>
        <v>-3.7512215112063727E-3</v>
      </c>
    </row>
    <row r="1656" spans="1:3">
      <c r="A1656" s="3">
        <f ca="1">IFERROR(__xludf.UNSUPPORTED("""COMPUTED_VALUE"""),45870.6666666666)</f>
        <v>45870.666666666599</v>
      </c>
      <c r="B1656" s="1">
        <f ca="1">IFERROR(__xludf.UNSUPPORTED("""COMPUTED_VALUE"""),621.72)</f>
        <v>621.72</v>
      </c>
      <c r="C1656" s="2">
        <f t="shared" ca="1" si="6"/>
        <v>-1.6390330337931927E-2</v>
      </c>
    </row>
    <row r="1657" spans="1:3">
      <c r="A1657" s="3">
        <f ca="1">IFERROR(__xludf.UNSUPPORTED("""COMPUTED_VALUE"""),45873.6666666666)</f>
        <v>45873.666666666599</v>
      </c>
      <c r="B1657" s="1">
        <f ca="1">IFERROR(__xludf.UNSUPPORTED("""COMPUTED_VALUE"""),631.17)</f>
        <v>631.16999999999996</v>
      </c>
      <c r="C1657" s="2">
        <f t="shared" ca="1" si="6"/>
        <v>1.519976838448165E-2</v>
      </c>
    </row>
    <row r="1658" spans="1:3">
      <c r="A1658" s="3">
        <f ca="1">IFERROR(__xludf.UNSUPPORTED("""COMPUTED_VALUE"""),45874.6666666666)</f>
        <v>45874.666666666599</v>
      </c>
      <c r="B1658" s="1">
        <f ca="1">IFERROR(__xludf.UNSUPPORTED("""COMPUTED_VALUE"""),627.97)</f>
        <v>627.97</v>
      </c>
      <c r="C1658" s="2">
        <f t="shared" ca="1" si="6"/>
        <v>-5.0699494589412234E-3</v>
      </c>
    </row>
    <row r="1659" spans="1:3">
      <c r="A1659" s="3">
        <f ca="1">IFERROR(__xludf.UNSUPPORTED("""COMPUTED_VALUE"""),45875.6666666666)</f>
        <v>45875.666666666599</v>
      </c>
      <c r="B1659" s="1">
        <f ca="1">IFERROR(__xludf.UNSUPPORTED("""COMPUTED_VALUE"""),632.78)</f>
        <v>632.78</v>
      </c>
      <c r="C1659" s="2">
        <f t="shared" ca="1" si="6"/>
        <v>7.6596015733234792E-3</v>
      </c>
    </row>
    <row r="1660" spans="1:3">
      <c r="A1660" s="3">
        <f ca="1">IFERROR(__xludf.UNSUPPORTED("""COMPUTED_VALUE"""),45876.6666666666)</f>
        <v>45876.666666666599</v>
      </c>
      <c r="B1660" s="1">
        <f ca="1">IFERROR(__xludf.UNSUPPORTED("""COMPUTED_VALUE"""),632.25)</f>
        <v>632.25</v>
      </c>
      <c r="C1660" s="2">
        <f t="shared" ca="1" si="6"/>
        <v>-8.37573880337515E-4</v>
      </c>
    </row>
    <row r="1661" spans="1:3">
      <c r="A1661" s="3">
        <f ca="1">IFERROR(__xludf.UNSUPPORTED("""COMPUTED_VALUE"""),45877.6666666666)</f>
        <v>45877.666666666599</v>
      </c>
      <c r="B1661" s="1">
        <f ca="1">IFERROR(__xludf.UNSUPPORTED("""COMPUTED_VALUE"""),637.18)</f>
        <v>637.17999999999995</v>
      </c>
      <c r="C1661" s="2">
        <f t="shared" ca="1" si="6"/>
        <v>7.7975484381177544E-3</v>
      </c>
    </row>
    <row r="1662" spans="1:3">
      <c r="A1662" s="3">
        <f ca="1">IFERROR(__xludf.UNSUPPORTED("""COMPUTED_VALUE"""),45880.6666666666)</f>
        <v>45880.666666666599</v>
      </c>
      <c r="B1662" s="1">
        <f ca="1">IFERROR(__xludf.UNSUPPORTED("""COMPUTED_VALUE"""),635.92)</f>
        <v>635.91999999999996</v>
      </c>
      <c r="C1662" s="2">
        <f t="shared" ca="1" si="6"/>
        <v>-1.9774631972127046E-3</v>
      </c>
    </row>
    <row r="1663" spans="1:3">
      <c r="A1663" s="3">
        <f ca="1">IFERROR(__xludf.UNSUPPORTED("""COMPUTED_VALUE"""),45881.6666666666)</f>
        <v>45881.666666666599</v>
      </c>
      <c r="B1663" s="1">
        <f ca="1">IFERROR(__xludf.UNSUPPORTED("""COMPUTED_VALUE"""),642.69)</f>
        <v>642.69000000000005</v>
      </c>
      <c r="C1663" s="2">
        <f t="shared" ca="1" si="6"/>
        <v>1.0645993206692817E-2</v>
      </c>
    </row>
    <row r="1664" spans="1:3">
      <c r="A1664" s="3">
        <f ca="1">IFERROR(__xludf.UNSUPPORTED("""COMPUTED_VALUE"""),45882.6666666666)</f>
        <v>45882.666666666599</v>
      </c>
      <c r="B1664" s="1">
        <f ca="1">IFERROR(__xludf.UNSUPPORTED("""COMPUTED_VALUE"""),644.89)</f>
        <v>644.89</v>
      </c>
      <c r="C1664" s="2">
        <f t="shared" ca="1" si="6"/>
        <v>3.4231122314022804E-3</v>
      </c>
    </row>
    <row r="1665" spans="1:3">
      <c r="A1665" s="3">
        <f ca="1">IFERROR(__xludf.UNSUPPORTED("""COMPUTED_VALUE"""),45883.6666666666)</f>
        <v>45883.666666666599</v>
      </c>
      <c r="B1665" s="1">
        <f ca="1">IFERROR(__xludf.UNSUPPORTED("""COMPUTED_VALUE"""),644.95)</f>
        <v>644.95000000000005</v>
      </c>
      <c r="C1665" s="2">
        <f t="shared" ca="1" si="6"/>
        <v>9.3039122951292649E-5</v>
      </c>
    </row>
    <row r="1666" spans="1:3">
      <c r="A1666" s="3">
        <f ca="1">IFERROR(__xludf.UNSUPPORTED("""COMPUTED_VALUE"""),45884.6666666666)</f>
        <v>45884.666666666599</v>
      </c>
      <c r="B1666" s="1">
        <f ca="1">IFERROR(__xludf.UNSUPPORTED("""COMPUTED_VALUE"""),643.44)</f>
        <v>643.44000000000005</v>
      </c>
      <c r="C1666" s="2">
        <f t="shared" ca="1" si="6"/>
        <v>-2.3412667648654794E-3</v>
      </c>
    </row>
    <row r="1667" spans="1:3">
      <c r="A1667" s="3">
        <f ca="1">IFERROR(__xludf.UNSUPPORTED("""COMPUTED_VALUE"""),45887.6666666666)</f>
        <v>45887.666666666599</v>
      </c>
      <c r="B1667" s="1">
        <f ca="1">IFERROR(__xludf.UNSUPPORTED("""COMPUTED_VALUE"""),643.3)</f>
        <v>643.29999999999995</v>
      </c>
      <c r="C1667" s="2">
        <f t="shared" ca="1" si="6"/>
        <v>-2.1758050478692657E-4</v>
      </c>
    </row>
    <row r="1668" spans="1:3">
      <c r="A1668" s="3">
        <f ca="1">IFERROR(__xludf.UNSUPPORTED("""COMPUTED_VALUE"""),45888.6666666666)</f>
        <v>45888.666666666599</v>
      </c>
      <c r="B1668" s="1">
        <f ca="1">IFERROR(__xludf.UNSUPPORTED("""COMPUTED_VALUE"""),639.81)</f>
        <v>639.80999999999995</v>
      </c>
      <c r="C1668" s="2">
        <f t="shared" ca="1" si="6"/>
        <v>-5.4251515622571259E-3</v>
      </c>
    </row>
    <row r="1669" spans="1:3">
      <c r="A1669" s="3">
        <f ca="1">IFERROR(__xludf.UNSUPPORTED("""COMPUTED_VALUE"""),45889.6666666666)</f>
        <v>45889.666666666599</v>
      </c>
      <c r="B1669" s="1">
        <f ca="1">IFERROR(__xludf.UNSUPPORTED("""COMPUTED_VALUE"""),638.11)</f>
        <v>638.11</v>
      </c>
      <c r="C1669" s="2">
        <f t="shared" ca="1" si="6"/>
        <v>-2.6570388083961361E-3</v>
      </c>
    </row>
    <row r="1670" spans="1:3">
      <c r="A1670" s="3">
        <f ca="1">IFERROR(__xludf.UNSUPPORTED("""COMPUTED_VALUE"""),45890.6666666666)</f>
        <v>45890.666666666599</v>
      </c>
      <c r="B1670" s="1">
        <f ca="1">IFERROR(__xludf.UNSUPPORTED("""COMPUTED_VALUE"""),635.55)</f>
        <v>635.54999999999995</v>
      </c>
      <c r="C1670" s="2">
        <f t="shared" ca="1" si="6"/>
        <v>-4.0118474871104655E-3</v>
      </c>
    </row>
    <row r="1671" spans="1:3">
      <c r="A1671" s="3">
        <f ca="1">IFERROR(__xludf.UNSUPPORTED("""COMPUTED_VALUE"""),45891.6666666666)</f>
        <v>45891.666666666599</v>
      </c>
      <c r="B1671" s="1">
        <f ca="1">IFERROR(__xludf.UNSUPPORTED("""COMPUTED_VALUE"""),645.31)</f>
        <v>645.30999999999995</v>
      </c>
      <c r="C1671" s="2">
        <f t="shared" ca="1" si="6"/>
        <v>1.5356777594209727E-2</v>
      </c>
    </row>
    <row r="1672" spans="1:3">
      <c r="A1672" s="3">
        <f ca="1">IFERROR(__xludf.UNSUPPORTED("""COMPUTED_VALUE"""),45894.6666666666)</f>
        <v>45894.666666666599</v>
      </c>
      <c r="B1672" s="1">
        <f ca="1">IFERROR(__xludf.UNSUPPORTED("""COMPUTED_VALUE"""),642.47)</f>
        <v>642.47</v>
      </c>
      <c r="C1672" s="2">
        <f t="shared" ca="1" si="6"/>
        <v>-4.4009855728253371E-3</v>
      </c>
    </row>
    <row r="1673" spans="1:3">
      <c r="A1673" s="3">
        <f ca="1">IFERROR(__xludf.UNSUPPORTED("""COMPUTED_VALUE"""),45895.6666666666)</f>
        <v>45895.666666666599</v>
      </c>
      <c r="B1673" s="1">
        <f ca="1">IFERROR(__xludf.UNSUPPORTED("""COMPUTED_VALUE"""),645.16)</f>
        <v>645.16</v>
      </c>
      <c r="C1673" s="2">
        <f t="shared" ca="1" si="6"/>
        <v>4.1869659283701038E-3</v>
      </c>
    </row>
    <row r="1674" spans="1:3">
      <c r="A1674" s="3">
        <f ca="1">IFERROR(__xludf.UNSUPPORTED("""COMPUTED_VALUE"""),45896.6666666666)</f>
        <v>45896.666666666599</v>
      </c>
      <c r="B1674" s="1">
        <f ca="1">IFERROR(__xludf.UNSUPPORTED("""COMPUTED_VALUE"""),646.63)</f>
        <v>646.63</v>
      </c>
      <c r="C1674" s="2">
        <f t="shared" ca="1" si="6"/>
        <v>2.2785045570091565E-3</v>
      </c>
    </row>
    <row r="1675" spans="1:3">
      <c r="A1675" s="3">
        <f ca="1">IFERROR(__xludf.UNSUPPORTED("""COMPUTED_VALUE"""),45897.6666666666)</f>
        <v>45897.666666666599</v>
      </c>
      <c r="B1675" s="1">
        <f ca="1">IFERROR(__xludf.UNSUPPORTED("""COMPUTED_VALUE"""),648.92)</f>
        <v>648.91999999999996</v>
      </c>
      <c r="C1675" s="2">
        <f t="shared" ca="1" si="6"/>
        <v>3.5414379165828428E-3</v>
      </c>
    </row>
    <row r="1676" spans="1:3">
      <c r="A1676" s="3">
        <f ca="1">IFERROR(__xludf.UNSUPPORTED("""COMPUTED_VALUE"""),45898.6666666666)</f>
        <v>45898.666666666599</v>
      </c>
      <c r="B1676" s="1">
        <f ca="1">IFERROR(__xludf.UNSUPPORTED("""COMPUTED_VALUE"""),645.05)</f>
        <v>645.04999999999995</v>
      </c>
      <c r="C1676" s="2">
        <f t="shared" ca="1" si="6"/>
        <v>-5.9637551624237266E-3</v>
      </c>
    </row>
    <row r="1677" spans="1:3">
      <c r="A1677" s="3">
        <f ca="1">IFERROR(__xludf.UNSUPPORTED("""COMPUTED_VALUE"""),45902.6666666666)</f>
        <v>45902.666666666599</v>
      </c>
      <c r="B1677" s="1">
        <f ca="1">IFERROR(__xludf.UNSUPPORTED("""COMPUTED_VALUE"""),640.27)</f>
        <v>640.27</v>
      </c>
      <c r="C1677" s="2">
        <f t="shared" ca="1" si="6"/>
        <v>-7.4102782730020508E-3</v>
      </c>
    </row>
    <row r="1678" spans="1:3">
      <c r="A1678" s="3">
        <f ca="1">IFERROR(__xludf.UNSUPPORTED("""COMPUTED_VALUE"""),45903.6666666666)</f>
        <v>45903.666666666599</v>
      </c>
      <c r="B1678" s="1">
        <f ca="1">IFERROR(__xludf.UNSUPPORTED("""COMPUTED_VALUE"""),643.74)</f>
        <v>643.74</v>
      </c>
      <c r="C1678" s="2">
        <f t="shared" ca="1" si="6"/>
        <v>5.419588611054754E-3</v>
      </c>
    </row>
    <row r="1679" spans="1:3">
      <c r="A1679" s="3">
        <f ca="1">IFERROR(__xludf.UNSUPPORTED("""COMPUTED_VALUE"""),45904.6666666666)</f>
        <v>45904.666666666599</v>
      </c>
      <c r="B1679" s="1">
        <f ca="1">IFERROR(__xludf.UNSUPPORTED("""COMPUTED_VALUE"""),649.12)</f>
        <v>649.12</v>
      </c>
      <c r="C1679" s="2">
        <f t="shared" ca="1" si="6"/>
        <v>8.3574113772641057E-3</v>
      </c>
    </row>
    <row r="1680" spans="1:3">
      <c r="A1680" s="3">
        <f ca="1">IFERROR(__xludf.UNSUPPORTED("""COMPUTED_VALUE"""),45905.6666666666)</f>
        <v>45905.666666666599</v>
      </c>
      <c r="B1680" s="1">
        <f ca="1">IFERROR(__xludf.UNSUPPORTED("""COMPUTED_VALUE"""),647.24)</f>
        <v>647.24</v>
      </c>
      <c r="C1680" s="2">
        <f t="shared" ca="1" si="6"/>
        <v>-2.8962287404486003E-3</v>
      </c>
    </row>
    <row r="1681" spans="1:3">
      <c r="A1681" s="3">
        <f ca="1">IFERROR(__xludf.UNSUPPORTED("""COMPUTED_VALUE"""),45908.6666666666)</f>
        <v>45908.666666666599</v>
      </c>
      <c r="B1681" s="1">
        <f ca="1">IFERROR(__xludf.UNSUPPORTED("""COMPUTED_VALUE"""),648.83)</f>
        <v>648.83000000000004</v>
      </c>
      <c r="C1681" s="2">
        <f t="shared" ca="1" si="6"/>
        <v>2.4565848835053951E-3</v>
      </c>
    </row>
    <row r="1682" spans="1:3">
      <c r="A1682" s="3">
        <f ca="1">IFERROR(__xludf.UNSUPPORTED("""COMPUTED_VALUE"""),45909.6666666666)</f>
        <v>45909.666666666599</v>
      </c>
      <c r="B1682" s="1">
        <f ca="1">IFERROR(__xludf.UNSUPPORTED("""COMPUTED_VALUE"""),650.33)</f>
        <v>650.33000000000004</v>
      </c>
      <c r="C1682" s="2">
        <f t="shared" ca="1" si="6"/>
        <v>2.3118536442519612E-3</v>
      </c>
    </row>
    <row r="1683" spans="1:3">
      <c r="A1683" s="3">
        <f ca="1">IFERROR(__xludf.UNSUPPORTED("""COMPUTED_VALUE"""),45910.6666666666)</f>
        <v>45910.666666666599</v>
      </c>
      <c r="B1683" s="1">
        <f ca="1">IFERROR(__xludf.UNSUPPORTED("""COMPUTED_VALUE"""),652.21)</f>
        <v>652.21</v>
      </c>
      <c r="C1683" s="2">
        <f t="shared" ca="1" si="6"/>
        <v>2.8908400350591166E-3</v>
      </c>
    </row>
    <row r="1684" spans="1:3">
      <c r="A1684" s="3">
        <f ca="1">IFERROR(__xludf.UNSUPPORTED("""COMPUTED_VALUE"""),45911.6666666666)</f>
        <v>45911.666666666599</v>
      </c>
      <c r="B1684" s="1">
        <f ca="1">IFERROR(__xludf.UNSUPPORTED("""COMPUTED_VALUE"""),657.63)</f>
        <v>657.63</v>
      </c>
      <c r="C1684" s="2">
        <f t="shared" ca="1" si="6"/>
        <v>8.3102068352217204E-3</v>
      </c>
    </row>
    <row r="1685" spans="1:3">
      <c r="A1685" s="3">
        <f ca="1">IFERROR(__xludf.UNSUPPORTED("""COMPUTED_VALUE"""),45912.6666666666)</f>
        <v>45912.666666666599</v>
      </c>
      <c r="B1685" s="1">
        <f ca="1">IFERROR(__xludf.UNSUPPORTED("""COMPUTED_VALUE"""),657.41)</f>
        <v>657.41</v>
      </c>
      <c r="C1685" s="2">
        <f t="shared" ca="1" si="6"/>
        <v>-3.3453461672981353E-4</v>
      </c>
    </row>
    <row r="1686" spans="1:3">
      <c r="A1686" s="3">
        <f ca="1">IFERROR(__xludf.UNSUPPORTED("""COMPUTED_VALUE"""),45915.6666666666)</f>
        <v>45915.666666666599</v>
      </c>
      <c r="B1686" s="1">
        <f ca="1">IFERROR(__xludf.UNSUPPORTED("""COMPUTED_VALUE"""),660.91)</f>
        <v>660.91</v>
      </c>
      <c r="C1686" s="2">
        <f t="shared" ca="1" si="6"/>
        <v>5.3239226662204712E-3</v>
      </c>
    </row>
    <row r="1687" spans="1:3">
      <c r="A1687" s="3">
        <f ca="1">IFERROR(__xludf.UNSUPPORTED("""COMPUTED_VALUE"""),45916.6666666666)</f>
        <v>45916.666666666599</v>
      </c>
      <c r="B1687" s="1">
        <f ca="1">IFERROR(__xludf.UNSUPPORTED("""COMPUTED_VALUE"""),660)</f>
        <v>660</v>
      </c>
      <c r="C1687" s="2">
        <f t="shared" ca="1" si="6"/>
        <v>-1.3768894403170904E-3</v>
      </c>
    </row>
    <row r="1688" spans="1:3">
      <c r="A1688" s="3">
        <f ca="1">IFERROR(__xludf.UNSUPPORTED("""COMPUTED_VALUE"""),45917.6666666666)</f>
        <v>45917.666666666599</v>
      </c>
      <c r="B1688" s="1">
        <f ca="1">IFERROR(__xludf.UNSUPPORTED("""COMPUTED_VALUE"""),659.18)</f>
        <v>659.18</v>
      </c>
      <c r="C1688" s="2">
        <f t="shared" ca="1" si="6"/>
        <v>-1.2424242424243183E-3</v>
      </c>
    </row>
    <row r="1689" spans="1:3">
      <c r="A1689" s="3">
        <f ca="1">IFERROR(__xludf.UNSUPPORTED("""COMPUTED_VALUE"""),45918.6666666666)</f>
        <v>45918.666666666599</v>
      </c>
      <c r="B1689" s="1">
        <f ca="1">IFERROR(__xludf.UNSUPPORTED("""COMPUTED_VALUE"""),662.26)</f>
        <v>662.26</v>
      </c>
      <c r="C1689" s="2">
        <f t="shared" ca="1" si="6"/>
        <v>4.6724718589763667E-3</v>
      </c>
    </row>
    <row r="1690" spans="1:3">
      <c r="A1690" s="3">
        <f ca="1">IFERROR(__xludf.UNSUPPORTED("""COMPUTED_VALUE"""),45919.6666666666)</f>
        <v>45919.666666666599</v>
      </c>
      <c r="B1690" s="1">
        <f ca="1">IFERROR(__xludf.UNSUPPORTED("""COMPUTED_VALUE"""),663.7)</f>
        <v>663.7</v>
      </c>
      <c r="C1690" s="2">
        <f t="shared" ca="1" si="6"/>
        <v>2.174372602905286E-3</v>
      </c>
    </row>
    <row r="1691" spans="1:3">
      <c r="A1691" s="3">
        <f ca="1">IFERROR(__xludf.UNSUPPORTED("""COMPUTED_VALUE"""),45922.6666666666)</f>
        <v>45922.666666666599</v>
      </c>
      <c r="B1691" s="1">
        <f ca="1">IFERROR(__xludf.UNSUPPORTED("""COMPUTED_VALUE"""),666.84)</f>
        <v>666.84</v>
      </c>
      <c r="C1691" s="2">
        <f t="shared" ca="1" si="6"/>
        <v>4.731053186680708E-3</v>
      </c>
    </row>
    <row r="1692" spans="1:3">
      <c r="A1692" s="3">
        <f ca="1">IFERROR(__xludf.UNSUPPORTED("""COMPUTED_VALUE"""),45923.6666666666)</f>
        <v>45923.666666666599</v>
      </c>
      <c r="B1692" s="1">
        <f ca="1">IFERROR(__xludf.UNSUPPORTED("""COMPUTED_VALUE"""),663.21)</f>
        <v>663.21</v>
      </c>
      <c r="C1692" s="2">
        <f t="shared" ca="1" si="6"/>
        <v>-5.4435846679863169E-3</v>
      </c>
    </row>
    <row r="1693" spans="1:3">
      <c r="A1693" s="3">
        <f ca="1">IFERROR(__xludf.UNSUPPORTED("""COMPUTED_VALUE"""),45924.6666666666)</f>
        <v>45924.666666666599</v>
      </c>
      <c r="B1693" s="1">
        <f ca="1">IFERROR(__xludf.UNSUPPORTED("""COMPUTED_VALUE"""),661.1)</f>
        <v>661.1</v>
      </c>
      <c r="C1693" s="2">
        <f t="shared" ca="1" si="6"/>
        <v>-3.1814960570558551E-3</v>
      </c>
    </row>
    <row r="1694" spans="1:3">
      <c r="A1694" s="3">
        <f ca="1">IFERROR(__xludf.UNSUPPORTED("""COMPUTED_VALUE"""),45925.6666666666)</f>
        <v>45925.666666666599</v>
      </c>
      <c r="B1694" s="1">
        <f ca="1">IFERROR(__xludf.UNSUPPORTED("""COMPUTED_VALUE"""),658.05)</f>
        <v>658.05</v>
      </c>
      <c r="C1694" s="2">
        <f t="shared" ca="1" si="6"/>
        <v>-4.6135229163516379E-3</v>
      </c>
    </row>
    <row r="1695" spans="1:3">
      <c r="A1695" s="3">
        <f ca="1">IFERROR(__xludf.UNSUPPORTED("""COMPUTED_VALUE"""),45926.6666666666)</f>
        <v>45926.666666666599</v>
      </c>
      <c r="B1695" s="1">
        <f ca="1">IFERROR(__xludf.UNSUPPORTED("""COMPUTED_VALUE"""),661.82)</f>
        <v>661.82</v>
      </c>
      <c r="C1695" s="2">
        <f t="shared" ca="1" si="6"/>
        <v>5.7290479446852E-3</v>
      </c>
    </row>
    <row r="1696" spans="1:3">
      <c r="A1696" s="3">
        <f ca="1">IFERROR(__xludf.UNSUPPORTED("""COMPUTED_VALUE"""),45929.6666666666)</f>
        <v>45929.666666666599</v>
      </c>
      <c r="B1696" s="1">
        <f ca="1">IFERROR(__xludf.UNSUPPORTED("""COMPUTED_VALUE"""),663.68)</f>
        <v>663.68</v>
      </c>
      <c r="C1696" s="2">
        <f t="shared" ca="1" si="6"/>
        <v>2.8104318394728172E-3</v>
      </c>
    </row>
    <row r="1697" spans="1:3">
      <c r="A1697" s="3">
        <f ca="1">IFERROR(__xludf.UNSUPPORTED("""COMPUTED_VALUE"""),45930.6666666666)</f>
        <v>45930.666666666599</v>
      </c>
      <c r="B1697" s="1">
        <f ca="1">IFERROR(__xludf.UNSUPPORTED("""COMPUTED_VALUE"""),666.18)</f>
        <v>666.18</v>
      </c>
      <c r="C1697" s="2">
        <f t="shared" ca="1" si="6"/>
        <v>3.7668756027000967E-3</v>
      </c>
    </row>
    <row r="1698" spans="1:3">
      <c r="A1698" s="3">
        <f ca="1">IFERROR(__xludf.UNSUPPORTED("""COMPUTED_VALUE"""),45931.6666666666)</f>
        <v>45931.666666666599</v>
      </c>
      <c r="B1698" s="1">
        <f ca="1">IFERROR(__xludf.UNSUPPORTED("""COMPUTED_VALUE"""),668.45)</f>
        <v>668.45</v>
      </c>
      <c r="C1698" s="2">
        <f t="shared" ca="1" si="6"/>
        <v>3.4074874658502141E-3</v>
      </c>
    </row>
    <row r="1699" spans="1:3">
      <c r="A1699" s="3">
        <f ca="1">IFERROR(__xludf.UNSUPPORTED("""COMPUTED_VALUE"""),45932.6666666666)</f>
        <v>45932.666666666599</v>
      </c>
      <c r="B1699" s="1">
        <f ca="1">IFERROR(__xludf.UNSUPPORTED("""COMPUTED_VALUE"""),669.22)</f>
        <v>669.22</v>
      </c>
      <c r="C1699" s="2">
        <f t="shared" ca="1" si="6"/>
        <v>1.1519186176976314E-3</v>
      </c>
    </row>
    <row r="1700" spans="1:3">
      <c r="A1700" s="3">
        <f ca="1">IFERROR(__xludf.UNSUPPORTED("""COMPUTED_VALUE"""),45933.6666666666)</f>
        <v>45933.666666666599</v>
      </c>
      <c r="B1700" s="1">
        <f ca="1">IFERROR(__xludf.UNSUPPORTED("""COMPUTED_VALUE"""),669.21)</f>
        <v>669.21</v>
      </c>
      <c r="C1700" s="2">
        <f t="shared" ca="1" si="6"/>
        <v>-1.4942769193973439E-5</v>
      </c>
    </row>
    <row r="1701" spans="1:3">
      <c r="A1701" s="3">
        <f ca="1">IFERROR(__xludf.UNSUPPORTED("""COMPUTED_VALUE"""),45936.6666666666)</f>
        <v>45936.666666666599</v>
      </c>
      <c r="B1701" s="1">
        <f ca="1">IFERROR(__xludf.UNSUPPORTED("""COMPUTED_VALUE"""),671.61)</f>
        <v>671.61</v>
      </c>
      <c r="C1701" s="2">
        <f t="shared" ca="1" si="6"/>
        <v>3.5863181960819131E-3</v>
      </c>
    </row>
    <row r="1702" spans="1:3">
      <c r="A1702" s="3">
        <f ca="1">IFERROR(__xludf.UNSUPPORTED("""COMPUTED_VALUE"""),45937.6666666666)</f>
        <v>45937.666666666599</v>
      </c>
      <c r="B1702" s="1">
        <f ca="1">IFERROR(__xludf.UNSUPPORTED("""COMPUTED_VALUE"""),669.12)</f>
        <v>669.12</v>
      </c>
      <c r="C1702" s="2">
        <f t="shared" ca="1" si="6"/>
        <v>-3.7075088220842587E-3</v>
      </c>
    </row>
    <row r="1703" spans="1:3">
      <c r="A1703" s="3">
        <f ca="1">IFERROR(__xludf.UNSUPPORTED("""COMPUTED_VALUE"""),45938.6666666666)</f>
        <v>45938.666666666599</v>
      </c>
      <c r="B1703" s="1">
        <f ca="1">IFERROR(__xludf.UNSUPPORTED("""COMPUTED_VALUE"""),673.11)</f>
        <v>673.11</v>
      </c>
      <c r="C1703" s="2">
        <f t="shared" ca="1" si="6"/>
        <v>5.9630559540889659E-3</v>
      </c>
    </row>
    <row r="1704" spans="1:3">
      <c r="A1704" s="3">
        <f ca="1">IFERROR(__xludf.UNSUPPORTED("""COMPUTED_VALUE"""),45939.6666666666)</f>
        <v>45939.666666666599</v>
      </c>
      <c r="B1704" s="1">
        <f ca="1">IFERROR(__xludf.UNSUPPORTED("""COMPUTED_VALUE"""),671.16)</f>
        <v>671.16</v>
      </c>
      <c r="C1704" s="2">
        <f t="shared" ca="1" si="6"/>
        <v>-2.8970004902616887E-3</v>
      </c>
    </row>
    <row r="1705" spans="1:3">
      <c r="A1705" s="3">
        <f ca="1">IFERROR(__xludf.UNSUPPORTED("""COMPUTED_VALUE"""),45940.6666666666)</f>
        <v>45940.666666666599</v>
      </c>
      <c r="B1705" s="1">
        <f ca="1">IFERROR(__xludf.UNSUPPORTED("""COMPUTED_VALUE"""),653.02)</f>
        <v>653.02</v>
      </c>
      <c r="C1705" s="2">
        <f t="shared" ca="1" si="6"/>
        <v>-2.7027832409559551E-2</v>
      </c>
    </row>
    <row r="1706" spans="1:3">
      <c r="A1706" s="3">
        <f ca="1">IFERROR(__xludf.UNSUPPORTED("""COMPUTED_VALUE"""),45943.6666666666)</f>
        <v>45943.666666666599</v>
      </c>
      <c r="B1706" s="1">
        <f ca="1">IFERROR(__xludf.UNSUPPORTED("""COMPUTED_VALUE"""),663.04)</f>
        <v>663.04</v>
      </c>
      <c r="C1706" s="2">
        <f t="shared" ca="1" si="6"/>
        <v>1.5344093595908215E-2</v>
      </c>
    </row>
    <row r="1707" spans="1:3">
      <c r="A1707" s="3">
        <f ca="1">IFERROR(__xludf.UNSUPPORTED("""COMPUTED_VALUE"""),45944.6666666666)</f>
        <v>45944.666666666599</v>
      </c>
      <c r="B1707" s="1">
        <f ca="1">IFERROR(__xludf.UNSUPPORTED("""COMPUTED_VALUE"""),662.23)</f>
        <v>662.23</v>
      </c>
      <c r="C1707" s="2">
        <f t="shared" ca="1" si="6"/>
        <v>-1.2216457528956707E-3</v>
      </c>
    </row>
    <row r="1708" spans="1:3">
      <c r="A1708" s="3">
        <f ca="1">IFERROR(__xludf.UNSUPPORTED("""COMPUTED_VALUE"""),45945.6666666666)</f>
        <v>45945.666666666599</v>
      </c>
      <c r="B1708" s="1">
        <f ca="1">IFERROR(__xludf.UNSUPPORTED("""COMPUTED_VALUE"""),665.17)</f>
        <v>665.17</v>
      </c>
      <c r="C1708" s="2">
        <f t="shared" ca="1" si="6"/>
        <v>4.4395451731270722E-3</v>
      </c>
    </row>
    <row r="1709" spans="1:3">
      <c r="A1709" s="3">
        <f ca="1">IFERROR(__xludf.UNSUPPORTED("""COMPUTED_VALUE"""),45946.6666666666)</f>
        <v>45946.666666666599</v>
      </c>
      <c r="B1709" s="1">
        <f ca="1">IFERROR(__xludf.UNSUPPORTED("""COMPUTED_VALUE"""),660.64)</f>
        <v>660.64</v>
      </c>
      <c r="C1709" s="2">
        <f t="shared" ca="1" si="6"/>
        <v>-6.8102890990272757E-3</v>
      </c>
    </row>
    <row r="1710" spans="1:3">
      <c r="A1710" s="3">
        <f ca="1">IFERROR(__xludf.UNSUPPORTED("""COMPUTED_VALUE"""),45947.6666666666)</f>
        <v>45947.666666666599</v>
      </c>
      <c r="B1710" s="1">
        <f ca="1">IFERROR(__xludf.UNSUPPORTED("""COMPUTED_VALUE"""),664.39)</f>
        <v>664.39</v>
      </c>
      <c r="C1710" s="2">
        <f t="shared" ca="1" si="6"/>
        <v>5.6763138774521679E-3</v>
      </c>
    </row>
    <row r="1711" spans="1:3">
      <c r="A1711" s="3">
        <f ca="1">IFERROR(__xludf.UNSUPPORTED("""COMPUTED_VALUE"""),45950.6666666666)</f>
        <v>45950.666666666599</v>
      </c>
      <c r="B1711" s="1">
        <f ca="1">IFERROR(__xludf.UNSUPPORTED("""COMPUTED_VALUE"""),671.3)</f>
        <v>671.3</v>
      </c>
      <c r="C1711" s="2">
        <f t="shared" ca="1" si="6"/>
        <v>1.0400517768178281E-2</v>
      </c>
    </row>
    <row r="1712" spans="1:3">
      <c r="A1712" s="3">
        <f ca="1">IFERROR(__xludf.UNSUPPORTED("""COMPUTED_VALUE"""),45951.6666666666)</f>
        <v>45951.666666666599</v>
      </c>
      <c r="B1712" s="1">
        <f ca="1">IFERROR(__xludf.UNSUPPORTED("""COMPUTED_VALUE"""),671.29)</f>
        <v>671.29</v>
      </c>
      <c r="C1712" s="2">
        <f t="shared" ca="1" si="6"/>
        <v>-1.4896469536706249E-5</v>
      </c>
    </row>
    <row r="1713" spans="1:3">
      <c r="A1713" s="3">
        <f ca="1">IFERROR(__xludf.UNSUPPORTED("""COMPUTED_VALUE"""),45952.6666666666)</f>
        <v>45952.666666666599</v>
      </c>
      <c r="B1713" s="1">
        <f ca="1">IFERROR(__xludf.UNSUPPORTED("""COMPUTED_VALUE"""),667.8)</f>
        <v>667.8</v>
      </c>
      <c r="C1713" s="2">
        <f t="shared" ca="1" si="6"/>
        <v>-5.1989453142457197E-3</v>
      </c>
    </row>
    <row r="1714" spans="1:3">
      <c r="A1714" s="3">
        <f ca="1">IFERROR(__xludf.UNSUPPORTED("""COMPUTED_VALUE"""),45953.6666666666)</f>
        <v>45953.666666666599</v>
      </c>
      <c r="B1714" s="1">
        <f ca="1">IFERROR(__xludf.UNSUPPORTED("""COMPUTED_VALUE"""),671.76)</f>
        <v>671.76</v>
      </c>
      <c r="C1714" s="2">
        <f t="shared" ca="1" si="6"/>
        <v>5.9299191374663626E-3</v>
      </c>
    </row>
    <row r="1715" spans="1:3">
      <c r="A1715" s="3">
        <f ca="1">IFERROR(__xludf.UNSUPPORTED("""COMPUTED_VALUE"""),45954.6666666666)</f>
        <v>45954.666666666599</v>
      </c>
      <c r="B1715" s="1">
        <f ca="1">IFERROR(__xludf.UNSUPPORTED("""COMPUTED_VALUE"""),677.25)</f>
        <v>677.25</v>
      </c>
      <c r="C1715" s="2">
        <f t="shared" ca="1" si="6"/>
        <v>8.1725616291532834E-3</v>
      </c>
    </row>
    <row r="1716" spans="1:3">
      <c r="A1716" s="3">
        <f ca="1">IFERROR(__xludf.UNSUPPORTED("""COMPUTED_VALUE"""),45957.6666666666)</f>
        <v>45957.666666666599</v>
      </c>
      <c r="B1716" s="1">
        <f ca="1">IFERROR(__xludf.UNSUPPORTED("""COMPUTED_VALUE"""),685.24)</f>
        <v>685.24</v>
      </c>
      <c r="C1716" s="2">
        <f t="shared" ca="1" si="6"/>
        <v>1.1797711332595067E-2</v>
      </c>
    </row>
    <row r="1717" spans="1:3">
      <c r="A1717" s="3">
        <f ca="1">IFERROR(__xludf.UNSUPPORTED("""COMPUTED_VALUE"""),45958.6666666666)</f>
        <v>45958.666666666599</v>
      </c>
      <c r="B1717" s="1">
        <f ca="1">IFERROR(__xludf.UNSUPPORTED("""COMPUTED_VALUE"""),687.06)</f>
        <v>687.06</v>
      </c>
      <c r="C1717" s="2">
        <f t="shared" ca="1" si="6"/>
        <v>2.65600373591725E-3</v>
      </c>
    </row>
    <row r="1718" spans="1:3">
      <c r="A1718" s="3">
        <f ca="1">IFERROR(__xludf.UNSUPPORTED("""COMPUTED_VALUE"""),45959.6666666666)</f>
        <v>45959.666666666599</v>
      </c>
      <c r="B1718" s="1">
        <f ca="1">IFERROR(__xludf.UNSUPPORTED("""COMPUTED_VALUE"""),687.39)</f>
        <v>687.39</v>
      </c>
      <c r="C1718" s="2">
        <f t="shared" ca="1" si="6"/>
        <v>4.8030739673396932E-4</v>
      </c>
    </row>
    <row r="1719" spans="1:3">
      <c r="A1719" s="3">
        <f ca="1">IFERROR(__xludf.UNSUPPORTED("""COMPUTED_VALUE"""),45960.6666666666)</f>
        <v>45960.666666666599</v>
      </c>
      <c r="B1719" s="1">
        <f ca="1">IFERROR(__xludf.UNSUPPORTED("""COMPUTED_VALUE"""),679.83)</f>
        <v>679.83</v>
      </c>
      <c r="C1719" s="2">
        <f t="shared" ca="1" si="6"/>
        <v>-1.0998123336097333E-2</v>
      </c>
    </row>
    <row r="1720" spans="1:3">
      <c r="A1720" s="3">
        <f ca="1">IFERROR(__xludf.UNSUPPORTED("""COMPUTED_VALUE"""),45961.6666666666)</f>
        <v>45961.666666666599</v>
      </c>
      <c r="B1720" s="1">
        <f ca="1">IFERROR(__xludf.UNSUPPORTED("""COMPUTED_VALUE"""),682.06)</f>
        <v>682.06</v>
      </c>
      <c r="C1720" s="2">
        <f t="shared" ca="1" si="6"/>
        <v>3.2802318226614071E-3</v>
      </c>
    </row>
    <row r="1721" spans="1:3">
      <c r="A1721" s="3">
        <f ca="1">IFERROR(__xludf.UNSUPPORTED("""COMPUTED_VALUE"""),45964.6666666666)</f>
        <v>45964.666666666599</v>
      </c>
      <c r="B1721" s="1">
        <f ca="1">IFERROR(__xludf.UNSUPPORTED("""COMPUTED_VALUE"""),683.34)</f>
        <v>683.34</v>
      </c>
      <c r="C1721" s="2">
        <f t="shared" ca="1" si="6"/>
        <v>1.8766677418410205E-3</v>
      </c>
    </row>
    <row r="1722" spans="1:3">
      <c r="A1722" s="3">
        <f ca="1">IFERROR(__xludf.UNSUPPORTED("""COMPUTED_VALUE"""),45965.6666666666)</f>
        <v>45965.666666666599</v>
      </c>
      <c r="B1722" s="1">
        <f ca="1">IFERROR(__xludf.UNSUPPORTED("""COMPUTED_VALUE"""),675.24)</f>
        <v>675.24</v>
      </c>
      <c r="C1722" s="2">
        <f t="shared" ca="1" si="6"/>
        <v>-1.1853542892264498E-2</v>
      </c>
    </row>
    <row r="1723" spans="1:3">
      <c r="A1723" s="3">
        <f ca="1">IFERROR(__xludf.UNSUPPORTED("""COMPUTED_VALUE"""),45966.6666666666)</f>
        <v>45966.666666666599</v>
      </c>
      <c r="B1723" s="1">
        <f ca="1">IFERROR(__xludf.UNSUPPORTED("""COMPUTED_VALUE"""),677.58)</f>
        <v>677.58</v>
      </c>
      <c r="C1723" s="2">
        <f t="shared" ca="1" si="6"/>
        <v>3.4654345121734966E-3</v>
      </c>
    </row>
    <row r="1724" spans="1:3">
      <c r="A1724" s="3">
        <f ca="1">IFERROR(__xludf.UNSUPPORTED("""COMPUTED_VALUE"""),45967.6666666666)</f>
        <v>45967.666666666599</v>
      </c>
      <c r="B1724" s="1">
        <f ca="1">IFERROR(__xludf.UNSUPPORTED("""COMPUTED_VALUE"""),670.31)</f>
        <v>670.31</v>
      </c>
      <c r="C1724" s="2">
        <f t="shared" ca="1" si="6"/>
        <v>-1.0729360370731272E-2</v>
      </c>
    </row>
    <row r="1725" spans="1:3">
      <c r="A1725" s="3">
        <f ca="1">IFERROR(__xludf.UNSUPPORTED("""COMPUTED_VALUE"""),45968.6666666666)</f>
        <v>45968.666666666599</v>
      </c>
      <c r="B1725" s="1">
        <f ca="1">IFERROR(__xludf.UNSUPPORTED("""COMPUTED_VALUE"""),670.97)</f>
        <v>670.97</v>
      </c>
      <c r="C1725" s="2">
        <f t="shared" ca="1" si="6"/>
        <v>9.8461905685441348E-4</v>
      </c>
    </row>
    <row r="1726" spans="1:3">
      <c r="A1726" s="3">
        <f ca="1">IFERROR(__xludf.UNSUPPORTED("""COMPUTED_VALUE"""),45971.6666666666)</f>
        <v>45971.666666666599</v>
      </c>
      <c r="B1726" s="1">
        <f ca="1">IFERROR(__xludf.UNSUPPORTED("""COMPUTED_VALUE"""),681.44)</f>
        <v>681.44</v>
      </c>
      <c r="C1726" s="2">
        <f t="shared" ca="1" si="6"/>
        <v>1.5604274408691934E-2</v>
      </c>
    </row>
    <row r="1727" spans="1:3">
      <c r="A1727" s="3">
        <f ca="1">IFERROR(__xludf.UNSUPPORTED("""COMPUTED_VALUE"""),45972.6666666666)</f>
        <v>45972.666666666599</v>
      </c>
      <c r="B1727" s="1">
        <f ca="1">IFERROR(__xludf.UNSUPPORTED("""COMPUTED_VALUE"""),683)</f>
        <v>683</v>
      </c>
      <c r="C1727" s="2">
        <f t="shared" ca="1" si="6"/>
        <v>2.2892697816388023E-3</v>
      </c>
    </row>
    <row r="1728" spans="1:3">
      <c r="A1728" s="3">
        <f ca="1">IFERROR(__xludf.UNSUPPORTED("""COMPUTED_VALUE"""),45973.6666666666)</f>
        <v>45973.666666666599</v>
      </c>
      <c r="B1728" s="1">
        <f ca="1">IFERROR(__xludf.UNSUPPORTED("""COMPUTED_VALUE"""),683.38)</f>
        <v>683.38</v>
      </c>
      <c r="C1728" s="2">
        <f t="shared" ca="1" si="6"/>
        <v>5.5636896046851452E-4</v>
      </c>
    </row>
    <row r="1729" spans="1:3">
      <c r="A1729" s="3">
        <f ca="1">IFERROR(__xludf.UNSUPPORTED("""COMPUTED_VALUE"""),45974.6666666666)</f>
        <v>45974.666666666599</v>
      </c>
      <c r="B1729" s="1">
        <f ca="1">IFERROR(__xludf.UNSUPPORTED("""COMPUTED_VALUE"""),672.04)</f>
        <v>672.04</v>
      </c>
      <c r="C1729" s="2">
        <f t="shared" ca="1" si="6"/>
        <v>-1.659398870321056E-2</v>
      </c>
    </row>
    <row r="1730" spans="1:3">
      <c r="A1730" s="3">
        <f ca="1">IFERROR(__xludf.UNSUPPORTED("""COMPUTED_VALUE"""),45975.6666666666)</f>
        <v>45975.666666666599</v>
      </c>
      <c r="B1730" s="1">
        <f ca="1">IFERROR(__xludf.UNSUPPORTED("""COMPUTED_VALUE"""),671.93)</f>
        <v>671.93</v>
      </c>
      <c r="C1730" s="2">
        <f t="shared" ca="1" si="6"/>
        <v>-1.6368073328970544E-4</v>
      </c>
    </row>
    <row r="1731" spans="1:3">
      <c r="A1731" s="3">
        <f ca="1">IFERROR(__xludf.UNSUPPORTED("""COMPUTED_VALUE"""),45978.6666666666)</f>
        <v>45978.666666666599</v>
      </c>
      <c r="B1731" s="1">
        <f ca="1">IFERROR(__xludf.UNSUPPORTED("""COMPUTED_VALUE"""),665.67)</f>
        <v>665.67</v>
      </c>
      <c r="C1731" s="2">
        <f t="shared" ca="1" si="6"/>
        <v>-9.3164466536692688E-3</v>
      </c>
    </row>
    <row r="1732" spans="1:3">
      <c r="A1732" s="3">
        <f ca="1">IFERROR(__xludf.UNSUPPORTED("""COMPUTED_VALUE"""),45979.6666666666)</f>
        <v>45979.666666666599</v>
      </c>
      <c r="B1732" s="1">
        <f ca="1">IFERROR(__xludf.UNSUPPORTED("""COMPUTED_VALUE"""),660.08)</f>
        <v>660.08</v>
      </c>
      <c r="C1732" s="2">
        <f t="shared" ca="1" si="6"/>
        <v>-8.3975543437437745E-3</v>
      </c>
    </row>
    <row r="1733" spans="1:3">
      <c r="A1733" s="3">
        <f ca="1">IFERROR(__xludf.UNSUPPORTED("""COMPUTED_VALUE"""),45980.6666666666)</f>
        <v>45980.666666666599</v>
      </c>
      <c r="B1733" s="1">
        <f ca="1">IFERROR(__xludf.UNSUPPORTED("""COMPUTED_VALUE"""),662.63)</f>
        <v>662.63</v>
      </c>
      <c r="C1733" s="2">
        <f t="shared" ca="1" si="6"/>
        <v>3.8631681008361933E-3</v>
      </c>
    </row>
    <row r="1734" spans="1:3">
      <c r="A1734" s="3">
        <f ca="1">IFERROR(__xludf.UNSUPPORTED("""COMPUTED_VALUE"""),45981.6666666666)</f>
        <v>45981.666666666599</v>
      </c>
      <c r="B1734" s="1">
        <f ca="1">IFERROR(__xludf.UNSUPPORTED("""COMPUTED_VALUE"""),652.53)</f>
        <v>652.53</v>
      </c>
      <c r="C1734" s="2">
        <f t="shared" ca="1" si="6"/>
        <v>-1.5242292078535566E-2</v>
      </c>
    </row>
    <row r="1735" spans="1:3">
      <c r="A1735" s="3">
        <f ca="1">IFERROR(__xludf.UNSUPPORTED("""COMPUTED_VALUE"""),45982.6666666666)</f>
        <v>45982.666666666599</v>
      </c>
      <c r="B1735" s="1">
        <f ca="1">IFERROR(__xludf.UNSUPPORTED("""COMPUTED_VALUE"""),659.03)</f>
        <v>659.03</v>
      </c>
      <c r="C1735" s="2">
        <f t="shared" ca="1" si="6"/>
        <v>9.9612278362680648E-3</v>
      </c>
    </row>
    <row r="1736" spans="1:3">
      <c r="A1736" s="3">
        <f ca="1">IFERROR(__xludf.UNSUPPORTED("""COMPUTED_VALUE"""),45985.6666666666)</f>
        <v>45985.666666666599</v>
      </c>
      <c r="B1736" s="1">
        <f ca="1">IFERROR(__xludf.UNSUPPORTED("""COMPUTED_VALUE"""),668.73)</f>
        <v>668.73</v>
      </c>
      <c r="C1736" s="2">
        <f t="shared" ca="1" si="6"/>
        <v>1.4718601581111703E-2</v>
      </c>
    </row>
    <row r="1737" spans="1:3">
      <c r="A1737" s="3">
        <f ca="1">IFERROR(__xludf.UNSUPPORTED("""COMPUTED_VALUE"""),45986.6666666666)</f>
        <v>45986.666666666599</v>
      </c>
      <c r="B1737" s="1">
        <f ca="1">IFERROR(__xludf.UNSUPPORTED("""COMPUTED_VALUE"""),675.02)</f>
        <v>675.02</v>
      </c>
      <c r="C1737" s="2">
        <f t="shared" ca="1" si="6"/>
        <v>9.4058887742436616E-3</v>
      </c>
    </row>
    <row r="1738" spans="1:3">
      <c r="A1738" s="3">
        <f ca="1">IFERROR(__xludf.UNSUPPORTED("""COMPUTED_VALUE"""),45987.6666666666)</f>
        <v>45987.666666666599</v>
      </c>
      <c r="B1738" s="1">
        <f ca="1">IFERROR(__xludf.UNSUPPORTED("""COMPUTED_VALUE"""),679.68)</f>
        <v>679.68</v>
      </c>
      <c r="C1738" s="2">
        <f t="shared" ca="1" si="6"/>
        <v>6.9034991555805281E-3</v>
      </c>
    </row>
    <row r="1739" spans="1:3">
      <c r="A1739" s="3">
        <f ca="1">IFERROR(__xludf.UNSUPPORTED("""COMPUTED_VALUE"""),45989.5520833333)</f>
        <v>45989.552083333299</v>
      </c>
      <c r="B1739" s="1">
        <f ca="1">IFERROR(__xludf.UNSUPPORTED("""COMPUTED_VALUE"""),683.39)</f>
        <v>683.39</v>
      </c>
      <c r="C1739" s="2">
        <f t="shared" ca="1" si="6"/>
        <v>5.4584510357815978E-3</v>
      </c>
    </row>
    <row r="1740" spans="1:3">
      <c r="A1740" s="3">
        <f ca="1">IFERROR(__xludf.UNSUPPORTED("""COMPUTED_VALUE"""),45992.6666666666)</f>
        <v>45992.666666666599</v>
      </c>
      <c r="B1740" s="1">
        <f ca="1">IFERROR(__xludf.UNSUPPORTED("""COMPUTED_VALUE"""),680.27)</f>
        <v>680.27</v>
      </c>
      <c r="C1740" s="2">
        <f t="shared" ca="1" si="6"/>
        <v>-4.5654750581659151E-3</v>
      </c>
    </row>
    <row r="1741" spans="1:3">
      <c r="A1741" s="3">
        <f ca="1">IFERROR(__xludf.UNSUPPORTED("""COMPUTED_VALUE"""),45993.6666666666)</f>
        <v>45993.666666666599</v>
      </c>
      <c r="B1741" s="1">
        <f ca="1">IFERROR(__xludf.UNSUPPORTED("""COMPUTED_VALUE"""),681.53)</f>
        <v>681.53</v>
      </c>
      <c r="C1741" s="2">
        <f t="shared" ca="1" si="6"/>
        <v>1.8522057418377863E-3</v>
      </c>
    </row>
    <row r="1742" spans="1:3">
      <c r="A1742" s="3">
        <f ca="1">IFERROR(__xludf.UNSUPPORTED("""COMPUTED_VALUE"""),45994.6666666666)</f>
        <v>45994.666666666599</v>
      </c>
      <c r="B1742" s="1">
        <f ca="1">IFERROR(__xludf.UNSUPPORTED("""COMPUTED_VALUE"""),683.89)</f>
        <v>683.89</v>
      </c>
      <c r="C1742" s="2">
        <f t="shared" ca="1" si="6"/>
        <v>3.4627969421742459E-3</v>
      </c>
    </row>
    <row r="1743" spans="1:3">
      <c r="A1743" s="3">
        <f ca="1">IFERROR(__xludf.UNSUPPORTED("""COMPUTED_VALUE"""),45995.6666666666)</f>
        <v>45995.666666666599</v>
      </c>
      <c r="B1743" s="1">
        <f ca="1">IFERROR(__xludf.UNSUPPORTED("""COMPUTED_VALUE"""),684.39)</f>
        <v>684.39</v>
      </c>
      <c r="C1743" s="2">
        <f t="shared" ca="1" si="6"/>
        <v>7.311117284943485E-4</v>
      </c>
    </row>
    <row r="1744" spans="1:3">
      <c r="A1744" s="3">
        <f ca="1">IFERROR(__xludf.UNSUPPORTED("""COMPUTED_VALUE"""),45996.6666666666)</f>
        <v>45996.666666666599</v>
      </c>
      <c r="B1744" s="1">
        <f ca="1">IFERROR(__xludf.UNSUPPORTED("""COMPUTED_VALUE"""),685.69)</f>
        <v>685.69</v>
      </c>
      <c r="C1744" s="2">
        <f t="shared" ca="1" si="6"/>
        <v>1.8995017460805509E-3</v>
      </c>
    </row>
    <row r="1745" spans="1:3">
      <c r="A1745" s="3">
        <f ca="1">IFERROR(__xludf.UNSUPPORTED("""COMPUTED_VALUE"""),45999.6666666666)</f>
        <v>45999.666666666599</v>
      </c>
      <c r="B1745" s="1">
        <f ca="1">IFERROR(__xludf.UNSUPPORTED("""COMPUTED_VALUE"""),683.63)</f>
        <v>683.63</v>
      </c>
      <c r="C1745" s="2">
        <f t="shared" ca="1" si="6"/>
        <v>-3.0042730680045777E-3</v>
      </c>
    </row>
    <row r="1746" spans="1:3">
      <c r="A1746" s="3">
        <f ca="1">IFERROR(__xludf.UNSUPPORTED("""COMPUTED_VALUE"""),46000.6666666666)</f>
        <v>46000.666666666599</v>
      </c>
      <c r="B1746" s="1">
        <f ca="1">IFERROR(__xludf.UNSUPPORTED("""COMPUTED_VALUE"""),683.04)</f>
        <v>683.04</v>
      </c>
      <c r="C1746" s="2">
        <f t="shared" ca="1" si="6"/>
        <v>-8.6303994851020562E-4</v>
      </c>
    </row>
    <row r="1747" spans="1:3">
      <c r="A1747" s="3">
        <f ca="1">IFERROR(__xludf.UNSUPPORTED("""COMPUTED_VALUE"""),46001.6666666666)</f>
        <v>46001.666666666599</v>
      </c>
      <c r="B1747" s="1">
        <f ca="1">IFERROR(__xludf.UNSUPPORTED("""COMPUTED_VALUE"""),687.57)</f>
        <v>687.57</v>
      </c>
      <c r="C1747" s="2">
        <f t="shared" ca="1" si="6"/>
        <v>6.6321152494730716E-3</v>
      </c>
    </row>
    <row r="1748" spans="1:3">
      <c r="A1748" s="3">
        <f ca="1">IFERROR(__xludf.UNSUPPORTED("""COMPUTED_VALUE"""),46002.6666666666)</f>
        <v>46002.666666666599</v>
      </c>
      <c r="B1748" s="1">
        <f ca="1">IFERROR(__xludf.UNSUPPORTED("""COMPUTED_VALUE"""),689.17)</f>
        <v>689.17</v>
      </c>
      <c r="C1748" s="2">
        <f t="shared" ca="1" si="6"/>
        <v>2.3270357927191545E-3</v>
      </c>
    </row>
    <row r="1749" spans="1:3">
      <c r="A1749" s="3">
        <f ca="1">IFERROR(__xludf.UNSUPPORTED("""COMPUTED_VALUE"""),46003.6666666666)</f>
        <v>46003.666666666599</v>
      </c>
      <c r="B1749" s="1">
        <f ca="1">IFERROR(__xludf.UNSUPPORTED("""COMPUTED_VALUE"""),681.76)</f>
        <v>681.76</v>
      </c>
      <c r="C1749" s="2">
        <f t="shared" ca="1" si="6"/>
        <v>-1.0752064077078179E-2</v>
      </c>
    </row>
    <row r="1750" spans="1:3">
      <c r="A1750" s="3">
        <f ca="1">IFERROR(__xludf.UNSUPPORTED("""COMPUTED_VALUE"""),46006.6666666666)</f>
        <v>46006.666666666599</v>
      </c>
      <c r="B1750" s="1">
        <f ca="1">IFERROR(__xludf.UNSUPPORTED("""COMPUTED_VALUE"""),680.73)</f>
        <v>680.73</v>
      </c>
      <c r="C1750" s="2">
        <f t="shared" ca="1" si="6"/>
        <v>-1.5107955878901267E-3</v>
      </c>
    </row>
    <row r="1751" spans="1:3">
      <c r="A1751" s="3">
        <f ca="1">IFERROR(__xludf.UNSUPPORTED("""COMPUTED_VALUE"""),46007.6666666666)</f>
        <v>46007.666666666599</v>
      </c>
      <c r="B1751" s="1">
        <f ca="1">IFERROR(__xludf.UNSUPPORTED("""COMPUTED_VALUE"""),678.87)</f>
        <v>678.87</v>
      </c>
      <c r="C1751" s="2">
        <f t="shared" ca="1" si="6"/>
        <v>-2.7323608479132896E-3</v>
      </c>
    </row>
    <row r="1752" spans="1:3">
      <c r="A1752" s="3">
        <f ca="1">IFERROR(__xludf.UNSUPPORTED("""COMPUTED_VALUE"""),46008.6666666666)</f>
        <v>46008.666666666599</v>
      </c>
      <c r="B1752" s="1">
        <f ca="1">IFERROR(__xludf.UNSUPPORTED("""COMPUTED_VALUE"""),671.4)</f>
        <v>671.4</v>
      </c>
      <c r="C1752" s="2">
        <f t="shared" ca="1" si="6"/>
        <v>-1.1003579477661448E-2</v>
      </c>
    </row>
    <row r="1753" spans="1:3">
      <c r="A1753" s="3">
        <f ca="1">IFERROR(__xludf.UNSUPPORTED("""COMPUTED_VALUE"""),46009.6666666666)</f>
        <v>46009.666666666599</v>
      </c>
      <c r="B1753" s="1">
        <f ca="1">IFERROR(__xludf.UNSUPPORTED("""COMPUTED_VALUE"""),676.47)</f>
        <v>676.47</v>
      </c>
      <c r="C1753" s="2">
        <f t="shared" ca="1" si="6"/>
        <v>7.5513851653262586E-3</v>
      </c>
    </row>
    <row r="1754" spans="1:3">
      <c r="A1754" s="3">
        <f ca="1">IFERROR(__xludf.UNSUPPORTED("""COMPUTED_VALUE"""),46010.6666666666)</f>
        <v>46010.666666666599</v>
      </c>
      <c r="B1754" s="1">
        <f ca="1">IFERROR(__xludf.UNSUPPORTED("""COMPUTED_VALUE"""),680.59)</f>
        <v>680.59</v>
      </c>
      <c r="C1754" s="2">
        <f t="shared" ca="1" si="6"/>
        <v>6.0904400786435534E-3</v>
      </c>
    </row>
    <row r="1755" spans="1:3">
      <c r="A1755" s="3">
        <f ca="1">IFERROR(__xludf.UNSUPPORTED("""COMPUTED_VALUE"""),46013.6666666666)</f>
        <v>46013.666666666599</v>
      </c>
      <c r="B1755" s="1">
        <f ca="1">IFERROR(__xludf.UNSUPPORTED("""COMPUTED_VALUE"""),684.83)</f>
        <v>684.83</v>
      </c>
      <c r="C1755" s="2">
        <f t="shared" ca="1" si="6"/>
        <v>6.229888772976401E-3</v>
      </c>
    </row>
    <row r="1756" spans="1:3">
      <c r="A1756" s="3">
        <f ca="1">IFERROR(__xludf.UNSUPPORTED("""COMPUTED_VALUE"""),46014.6666666666)</f>
        <v>46014.666666666599</v>
      </c>
      <c r="B1756" s="1">
        <f ca="1">IFERROR(__xludf.UNSUPPORTED("""COMPUTED_VALUE"""),687.96)</f>
        <v>687.96</v>
      </c>
      <c r="C1756" s="2">
        <f t="shared" ca="1" si="6"/>
        <v>4.5704773447424836E-3</v>
      </c>
    </row>
    <row r="1757" spans="1:3">
      <c r="A1757" s="3">
        <f ca="1">IFERROR(__xludf.UNSUPPORTED("""COMPUTED_VALUE"""),46015.5416666666)</f>
        <v>46015.541666666599</v>
      </c>
      <c r="B1757" s="1">
        <f ca="1">IFERROR(__xludf.UNSUPPORTED("""COMPUTED_VALUE"""),690.38)</f>
        <v>690.38</v>
      </c>
      <c r="C1757" s="2">
        <f t="shared" ca="1" si="6"/>
        <v>3.5176463747891721E-3</v>
      </c>
    </row>
    <row r="1758" spans="1:3">
      <c r="A1758" s="3">
        <f ca="1">IFERROR(__xludf.UNSUPPORTED("""COMPUTED_VALUE"""),46017.6666666666)</f>
        <v>46017.666666666599</v>
      </c>
      <c r="B1758" s="1">
        <f ca="1">IFERROR(__xludf.UNSUPPORTED("""COMPUTED_VALUE"""),690.31)</f>
        <v>690.31</v>
      </c>
      <c r="C1758" s="2">
        <f t="shared" ca="1" si="6"/>
        <v>-1.013934354993627E-4</v>
      </c>
    </row>
    <row r="1759" spans="1:3">
      <c r="A1759" s="3">
        <f ca="1">IFERROR(__xludf.UNSUPPORTED("""COMPUTED_VALUE"""),46020.6666666666)</f>
        <v>46020.666666666599</v>
      </c>
      <c r="B1759" s="1">
        <f ca="1">IFERROR(__xludf.UNSUPPORTED("""COMPUTED_VALUE"""),687.85)</f>
        <v>687.85</v>
      </c>
      <c r="C1759" s="2">
        <f t="shared" ca="1" si="6"/>
        <v>-3.563616346279096E-3</v>
      </c>
    </row>
    <row r="1760" spans="1:3">
      <c r="A1760" s="3">
        <f ca="1">IFERROR(__xludf.UNSUPPORTED("""COMPUTED_VALUE"""),46021.6666666666)</f>
        <v>46021.666666666599</v>
      </c>
      <c r="B1760" s="1">
        <f ca="1">IFERROR(__xludf.UNSUPPORTED("""COMPUTED_VALUE"""),687.01)</f>
        <v>687.01</v>
      </c>
      <c r="C1760" s="2">
        <f t="shared" ca="1" si="6"/>
        <v>-1.2211964817911345E-3</v>
      </c>
    </row>
    <row r="1761" spans="1:3">
      <c r="A1761" s="3">
        <f ca="1">IFERROR(__xludf.UNSUPPORTED("""COMPUTED_VALUE"""),46022.6666666666)</f>
        <v>46022.666666666599</v>
      </c>
      <c r="B1761" s="1">
        <f ca="1">IFERROR(__xludf.UNSUPPORTED("""COMPUTED_VALUE"""),681.92)</f>
        <v>681.92</v>
      </c>
      <c r="C1761" s="2">
        <f t="shared" ca="1" si="6"/>
        <v>-7.4089169007729612E-3</v>
      </c>
    </row>
    <row r="1762" spans="1:3">
      <c r="A1762" s="3">
        <f ca="1">IFERROR(__xludf.UNSUPPORTED("""COMPUTED_VALUE"""),46024.6666666666)</f>
        <v>46024.666666666599</v>
      </c>
      <c r="B1762" s="1">
        <f ca="1">IFERROR(__xludf.UNSUPPORTED("""COMPUTED_VALUE"""),683.17)</f>
        <v>683.17</v>
      </c>
      <c r="C1762" s="2">
        <f t="shared" ca="1" si="6"/>
        <v>1.8330595964335993E-3</v>
      </c>
    </row>
    <row r="1763" spans="1:3">
      <c r="A1763" s="3">
        <f ca="1">IFERROR(__xludf.UNSUPPORTED("""COMPUTED_VALUE"""),46027.6666666666)</f>
        <v>46027.666666666599</v>
      </c>
      <c r="B1763" s="1">
        <f ca="1">IFERROR(__xludf.UNSUPPORTED("""COMPUTED_VALUE"""),687.72)</f>
        <v>687.72</v>
      </c>
      <c r="C1763" s="2">
        <f t="shared" ca="1" si="6"/>
        <v>6.6601285185240401E-3</v>
      </c>
    </row>
    <row r="1764" spans="1:3">
      <c r="A1764" s="3">
        <f ca="1">IFERROR(__xludf.UNSUPPORTED("""COMPUTED_VALUE"""),46028.6666666666)</f>
        <v>46028.666666666599</v>
      </c>
      <c r="B1764" s="1">
        <f ca="1">IFERROR(__xludf.UNSUPPORTED("""COMPUTED_VALUE"""),691.81)</f>
        <v>691.81</v>
      </c>
      <c r="C1764" s="2">
        <f t="shared" ca="1" si="6"/>
        <v>5.9471878089919121E-3</v>
      </c>
    </row>
    <row r="1765" spans="1:3">
      <c r="A1765" s="3">
        <f ca="1">IFERROR(__xludf.UNSUPPORTED("""COMPUTED_VALUE"""),46029.6666666666)</f>
        <v>46029.666666666599</v>
      </c>
      <c r="B1765" s="1">
        <f ca="1">IFERROR(__xludf.UNSUPPORTED("""COMPUTED_VALUE"""),689.58)</f>
        <v>689.58</v>
      </c>
      <c r="C1765" s="2">
        <f t="shared" ca="1" si="6"/>
        <v>-3.2234283979704031E-3</v>
      </c>
    </row>
    <row r="1766" spans="1:3">
      <c r="A1766" s="3">
        <f ca="1">IFERROR(__xludf.UNSUPPORTED("""COMPUTED_VALUE"""),46030.6666666666)</f>
        <v>46030.666666666599</v>
      </c>
      <c r="B1766" s="1">
        <f ca="1">IFERROR(__xludf.UNSUPPORTED("""COMPUTED_VALUE"""),689.51)</f>
        <v>689.51</v>
      </c>
      <c r="C1766" s="2">
        <f t="shared" ca="1" si="6"/>
        <v>-1.0151106470612549E-4</v>
      </c>
    </row>
    <row r="1767" spans="1:3">
      <c r="A1767" s="3">
        <f ca="1">IFERROR(__xludf.UNSUPPORTED("""COMPUTED_VALUE"""),46031.6666666666)</f>
        <v>46031.666666666599</v>
      </c>
      <c r="B1767" s="1">
        <f ca="1">IFERROR(__xludf.UNSUPPORTED("""COMPUTED_VALUE"""),694.07)</f>
        <v>694.07</v>
      </c>
      <c r="C1767" s="2">
        <f t="shared" ca="1" si="6"/>
        <v>6.6133921190411442E-3</v>
      </c>
    </row>
    <row r="1768" spans="1:3">
      <c r="A1768" s="3">
        <f ca="1">IFERROR(__xludf.UNSUPPORTED("""COMPUTED_VALUE"""),46034.6666666666)</f>
        <v>46034.666666666599</v>
      </c>
      <c r="B1768" s="1">
        <f ca="1">IFERROR(__xludf.UNSUPPORTED("""COMPUTED_VALUE"""),695.16)</f>
        <v>695.16</v>
      </c>
      <c r="C1768" s="2">
        <f t="shared" ca="1" si="6"/>
        <v>1.5704467849063034E-3</v>
      </c>
    </row>
    <row r="1769" spans="1:3">
      <c r="A1769" s="3">
        <f ca="1">IFERROR(__xludf.UNSUPPORTED("""COMPUTED_VALUE"""),46035.6666666666)</f>
        <v>46035.666666666599</v>
      </c>
      <c r="B1769" s="1">
        <f ca="1">IFERROR(__xludf.UNSUPPORTED("""COMPUTED_VALUE"""),693.77)</f>
        <v>693.77</v>
      </c>
      <c r="C1769" s="2">
        <f t="shared" ca="1" si="6"/>
        <v>-1.9995396743195614E-3</v>
      </c>
    </row>
    <row r="1770" spans="1:3">
      <c r="A1770" s="3">
        <f ca="1">IFERROR(__xludf.UNSUPPORTED("""COMPUTED_VALUE"""),46036.6666666666)</f>
        <v>46036.666666666599</v>
      </c>
      <c r="B1770" s="1">
        <f ca="1">IFERROR(__xludf.UNSUPPORTED("""COMPUTED_VALUE"""),690.36)</f>
        <v>690.36</v>
      </c>
      <c r="C1770" s="2">
        <f t="shared" ca="1" si="6"/>
        <v>-4.9151736166164126E-3</v>
      </c>
    </row>
    <row r="1771" spans="1:3">
      <c r="A1771" s="3">
        <f ca="1">IFERROR(__xludf.UNSUPPORTED("""COMPUTED_VALUE"""),46037.6666666666)</f>
        <v>46037.666666666599</v>
      </c>
      <c r="B1771" s="1">
        <f ca="1">IFERROR(__xludf.UNSUPPORTED("""COMPUTED_VALUE"""),692.24)</f>
        <v>692.24</v>
      </c>
      <c r="C1771" s="2">
        <f t="shared" ca="1" si="6"/>
        <v>2.723216872356445E-3</v>
      </c>
    </row>
    <row r="1772" spans="1:3">
      <c r="A1772" s="3">
        <f ca="1">IFERROR(__xludf.UNSUPPORTED("""COMPUTED_VALUE"""),46038.6666666666)</f>
        <v>46038.666666666599</v>
      </c>
      <c r="B1772" s="1">
        <f ca="1">IFERROR(__xludf.UNSUPPORTED("""COMPUTED_VALUE"""),691.66)</f>
        <v>691.66</v>
      </c>
      <c r="C1772" s="2">
        <f t="shared" ca="1" si="6"/>
        <v>-8.3785970183757215E-4</v>
      </c>
    </row>
    <row r="1773" spans="1:3">
      <c r="A1773" s="3">
        <f ca="1">IFERROR(__xludf.UNSUPPORTED("""COMPUTED_VALUE"""),46042.6666666666)</f>
        <v>46042.666666666599</v>
      </c>
      <c r="B1773" s="1">
        <f ca="1">IFERROR(__xludf.UNSUPPORTED("""COMPUTED_VALUE"""),677.58)</f>
        <v>677.58</v>
      </c>
      <c r="C1773" s="2">
        <f t="shared" ca="1" si="6"/>
        <v>-2.0356822716363427E-2</v>
      </c>
    </row>
    <row r="1774" spans="1:3">
      <c r="A1774" s="3">
        <f ca="1">IFERROR(__xludf.UNSUPPORTED("""COMPUTED_VALUE"""),46043.6666666666)</f>
        <v>46043.666666666599</v>
      </c>
      <c r="B1774" s="1">
        <f ca="1">IFERROR(__xludf.UNSUPPORTED("""COMPUTED_VALUE"""),685.4)</f>
        <v>685.4</v>
      </c>
      <c r="C1774" s="2">
        <f t="shared" ca="1" si="6"/>
        <v>1.154107264086888E-2</v>
      </c>
    </row>
    <row r="1775" spans="1:3">
      <c r="A1775" s="3">
        <f ca="1">IFERROR(__xludf.UNSUPPORTED("""COMPUTED_VALUE"""),46044.6666666666)</f>
        <v>46044.666666666599</v>
      </c>
      <c r="B1775" s="1">
        <f ca="1">IFERROR(__xludf.UNSUPPORTED("""COMPUTED_VALUE"""),688.98)</f>
        <v>688.98</v>
      </c>
      <c r="C1775" s="2">
        <f t="shared" ca="1" si="6"/>
        <v>5.2232273125182973E-3</v>
      </c>
    </row>
    <row r="1776" spans="1:3"/>
    <row r="1777"/>
    <row r="1778"/>
    <row r="1779"/>
    <row r="1780"/>
    <row r="1781"/>
    <row r="1782"/>
    <row r="1783"/>
    <row r="1784"/>
    <row r="1785"/>
    <row r="1786"/>
    <row r="1787"/>
    <row r="1788"/>
    <row r="1789"/>
    <row r="1790"/>
    <row r="1791"/>
    <row r="1792"/>
    <row r="1793"/>
    <row r="1794"/>
    <row r="1795"/>
    <row r="1796"/>
    <row r="1797"/>
    <row r="1798"/>
    <row r="1799"/>
    <row r="1800"/>
    <row r="1801"/>
    <row r="1802"/>
    <row r="1803"/>
    <row r="1804"/>
    <row r="1805"/>
    <row r="1806"/>
    <row r="1807"/>
    <row r="1808"/>
    <row r="1809"/>
    <row r="1810"/>
    <row r="1811"/>
    <row r="1812"/>
    <row r="1813"/>
    <row r="1814"/>
    <row r="1815"/>
    <row r="1816"/>
    <row r="1817"/>
    <row r="1818"/>
    <row r="1819"/>
    <row r="1820"/>
    <row r="1821"/>
    <row r="1822"/>
    <row r="1823"/>
    <row r="1824"/>
    <row r="1825"/>
    <row r="1826"/>
    <row r="1827"/>
    <row r="1828"/>
    <row r="1829"/>
    <row r="1830"/>
    <row r="1831"/>
    <row r="1832"/>
    <row r="1833"/>
    <row r="1834"/>
    <row r="1835"/>
    <row r="1836"/>
    <row r="1837"/>
    <row r="1838"/>
    <row r="1839"/>
    <row r="1840"/>
    <row r="1841"/>
    <row r="1842"/>
    <row r="1843"/>
    <row r="1844"/>
    <row r="1845"/>
    <row r="1846"/>
    <row r="1847"/>
    <row r="1848"/>
    <row r="1849"/>
    <row r="1850"/>
    <row r="1851"/>
    <row r="1852"/>
    <row r="1853"/>
    <row r="1854"/>
    <row r="1855"/>
    <row r="1856"/>
    <row r="1857"/>
    <row r="1858"/>
    <row r="1859"/>
    <row r="1860"/>
    <row r="1861"/>
    <row r="1862"/>
    <row r="1863"/>
    <row r="1864"/>
    <row r="1865"/>
    <row r="1866"/>
    <row r="1867"/>
    <row r="1868"/>
    <row r="1869"/>
    <row r="1870"/>
    <row r="1871"/>
    <row r="1872"/>
    <row r="1873"/>
    <row r="1874"/>
    <row r="1875"/>
    <row r="1876"/>
    <row r="1877"/>
    <row r="1878"/>
    <row r="1879"/>
    <row r="1880"/>
    <row r="1881"/>
    <row r="1882"/>
    <row r="1883"/>
    <row r="1884"/>
    <row r="1885"/>
    <row r="1886"/>
    <row r="1887"/>
    <row r="1888"/>
    <row r="1889"/>
    <row r="1890"/>
    <row r="1891"/>
    <row r="1892"/>
    <row r="1893"/>
    <row r="1894"/>
    <row r="1895"/>
    <row r="1896"/>
    <row r="1897"/>
    <row r="1898"/>
    <row r="1899"/>
    <row r="1900"/>
    <row r="1901"/>
    <row r="1902"/>
    <row r="1903"/>
    <row r="1904"/>
    <row r="1905"/>
    <row r="1906"/>
    <row r="1907"/>
    <row r="1908"/>
    <row r="1909"/>
    <row r="1910"/>
    <row r="1911"/>
    <row r="1912"/>
    <row r="1913"/>
    <row r="1914"/>
    <row r="1915"/>
    <row r="1916"/>
    <row r="1917"/>
    <row r="1918"/>
    <row r="1919"/>
    <row r="1920"/>
    <row r="1921"/>
    <row r="1922"/>
    <row r="1923"/>
    <row r="1924"/>
    <row r="1925"/>
    <row r="1926"/>
    <row r="1927"/>
    <row r="1928"/>
    <row r="1929"/>
    <row r="1930"/>
    <row r="1931"/>
    <row r="1932"/>
    <row r="1933"/>
    <row r="1934"/>
    <row r="1935"/>
    <row r="1936"/>
    <row r="1937"/>
    <row r="1938"/>
    <row r="1939"/>
    <row r="1940"/>
    <row r="1941"/>
    <row r="1942"/>
    <row r="1943"/>
    <row r="1944"/>
    <row r="1945"/>
    <row r="1946"/>
    <row r="1947"/>
    <row r="1948"/>
    <row r="1949"/>
    <row r="1950"/>
    <row r="1951"/>
    <row r="1952"/>
    <row r="1953"/>
    <row r="1954"/>
    <row r="1955"/>
    <row r="1956"/>
    <row r="1957"/>
    <row r="1958"/>
    <row r="1959"/>
    <row r="1960"/>
    <row r="1961"/>
    <row r="1962"/>
    <row r="1963"/>
    <row r="1964"/>
    <row r="1965"/>
    <row r="1966"/>
    <row r="1967"/>
    <row r="1968"/>
    <row r="1969"/>
    <row r="1970"/>
    <row r="1971"/>
    <row r="1972"/>
    <row r="1973"/>
    <row r="1974"/>
    <row r="1975"/>
    <row r="1976"/>
    <row r="1977"/>
    <row r="1978"/>
    <row r="1979"/>
    <row r="1980"/>
    <row r="1981"/>
    <row r="1982"/>
    <row r="1983"/>
    <row r="1984"/>
    <row r="1985"/>
    <row r="1986"/>
    <row r="1987"/>
    <row r="1988"/>
    <row r="1989"/>
    <row r="1990"/>
    <row r="1991"/>
    <row r="1992"/>
    <row r="1993"/>
    <row r="1994"/>
    <row r="1995"/>
    <row r="1996"/>
    <row r="1997"/>
    <row r="1998"/>
    <row r="1999"/>
    <row r="2000"/>
    <row r="2001"/>
    <row r="2002"/>
    <row r="2003"/>
    <row r="2004"/>
    <row r="2005"/>
    <row r="2006"/>
    <row r="2007"/>
    <row r="2008"/>
    <row r="2009"/>
    <row r="2010"/>
    <row r="2011"/>
    <row r="2012"/>
    <row r="2013"/>
    <row r="2014"/>
    <row r="2015"/>
    <row r="2016"/>
    <row r="2017"/>
    <row r="2018"/>
    <row r="2019"/>
    <row r="2020"/>
    <row r="2021"/>
    <row r="2022"/>
    <row r="2023"/>
    <row r="2024"/>
    <row r="2025"/>
    <row r="2026"/>
    <row r="2027"/>
    <row r="2028"/>
    <row r="2029"/>
    <row r="2030"/>
    <row r="2031"/>
    <row r="2032"/>
    <row r="2033"/>
    <row r="2034"/>
    <row r="2035"/>
    <row r="2036"/>
    <row r="2037"/>
    <row r="2038"/>
    <row r="2039"/>
    <row r="2040"/>
    <row r="2041"/>
    <row r="2042"/>
    <row r="2043"/>
    <row r="2044"/>
    <row r="2045"/>
    <row r="2046"/>
    <row r="2047"/>
    <row r="2048"/>
    <row r="2049"/>
    <row r="2050"/>
    <row r="2051"/>
    <row r="2052"/>
    <row r="2053"/>
    <row r="2054"/>
    <row r="2055"/>
    <row r="2056"/>
    <row r="2057"/>
    <row r="2058"/>
    <row r="2059"/>
    <row r="2060"/>
    <row r="2061"/>
    <row r="2062"/>
    <row r="2063"/>
    <row r="2064"/>
    <row r="2065"/>
    <row r="2066"/>
    <row r="2067"/>
    <row r="2068"/>
    <row r="2069"/>
    <row r="2070"/>
    <row r="2071"/>
    <row r="2072"/>
    <row r="2073"/>
    <row r="2074"/>
    <row r="2075"/>
    <row r="2076"/>
    <row r="2077"/>
    <row r="2078"/>
    <row r="2079"/>
    <row r="2080"/>
    <row r="2081"/>
    <row r="2082"/>
    <row r="2083"/>
    <row r="2084"/>
    <row r="2085"/>
    <row r="2086"/>
    <row r="2087"/>
    <row r="2088"/>
    <row r="2089"/>
    <row r="2090"/>
    <row r="2091"/>
    <row r="2092"/>
    <row r="2093"/>
    <row r="2094"/>
    <row r="2095"/>
    <row r="2096"/>
    <row r="2097"/>
    <row r="2098"/>
    <row r="2099"/>
    <row r="2100"/>
    <row r="2101"/>
    <row r="2102"/>
    <row r="2103"/>
    <row r="2104"/>
    <row r="2105"/>
    <row r="2106"/>
    <row r="2107"/>
    <row r="2108"/>
    <row r="2109"/>
    <row r="2110"/>
    <row r="2111"/>
    <row r="2112"/>
    <row r="2113"/>
    <row r="2114"/>
    <row r="2115"/>
    <row r="2116"/>
    <row r="2117"/>
    <row r="2118"/>
    <row r="2119"/>
    <row r="2120"/>
    <row r="2121"/>
    <row r="2122"/>
    <row r="2123"/>
    <row r="2124"/>
    <row r="2125"/>
    <row r="2126"/>
    <row r="2127"/>
    <row r="2128"/>
    <row r="2129"/>
    <row r="2130"/>
    <row r="2131"/>
    <row r="2132"/>
    <row r="2133"/>
    <row r="2134"/>
    <row r="2135"/>
    <row r="2136"/>
    <row r="2137"/>
    <row r="2138"/>
    <row r="2139"/>
    <row r="2140"/>
    <row r="2141"/>
    <row r="2142"/>
    <row r="2143"/>
    <row r="2144"/>
    <row r="2145"/>
    <row r="2146"/>
    <row r="2147"/>
    <row r="2148"/>
    <row r="2149"/>
    <row r="2150"/>
    <row r="2151"/>
    <row r="2152"/>
    <row r="2153"/>
    <row r="2154"/>
    <row r="2155"/>
    <row r="2156"/>
    <row r="2157"/>
    <row r="2158"/>
    <row r="2159"/>
    <row r="2160"/>
    <row r="2161"/>
    <row r="2162"/>
    <row r="2163"/>
    <row r="2164"/>
    <row r="2165"/>
    <row r="2166"/>
    <row r="2167"/>
    <row r="2168"/>
    <row r="2169"/>
    <row r="2170"/>
    <row r="2171"/>
    <row r="2172"/>
    <row r="2173"/>
    <row r="2174"/>
    <row r="2175"/>
    <row r="2176"/>
    <row r="2177"/>
    <row r="2178"/>
    <row r="2179"/>
    <row r="2180"/>
    <row r="2181"/>
    <row r="2182"/>
    <row r="2183"/>
    <row r="2184"/>
    <row r="2185"/>
    <row r="2186"/>
    <row r="2187"/>
    <row r="2188"/>
    <row r="2189"/>
    <row r="2190"/>
    <row r="2191"/>
    <row r="2192"/>
    <row r="2193"/>
    <row r="2194"/>
    <row r="2195"/>
    <row r="2196"/>
    <row r="2197"/>
    <row r="2198"/>
    <row r="2199"/>
    <row r="2200"/>
    <row r="2201"/>
    <row r="2202"/>
    <row r="2203"/>
    <row r="2204"/>
    <row r="2205"/>
    <row r="2206"/>
    <row r="2207"/>
    <row r="2208"/>
    <row r="2209"/>
    <row r="2210"/>
    <row r="2211"/>
    <row r="2212"/>
    <row r="2213"/>
    <row r="2214"/>
    <row r="2215"/>
    <row r="2216"/>
    <row r="2217"/>
    <row r="2218"/>
    <row r="2219"/>
    <row r="2220"/>
    <row r="2221"/>
    <row r="2222"/>
    <row r="2223"/>
    <row r="2224"/>
    <row r="2225"/>
    <row r="2226"/>
    <row r="2227"/>
    <row r="2228"/>
    <row r="2229"/>
    <row r="2230"/>
    <row r="2231"/>
    <row r="2232"/>
    <row r="2233"/>
    <row r="2234"/>
    <row r="2235"/>
    <row r="2236"/>
    <row r="2237"/>
    <row r="2238"/>
    <row r="2239"/>
    <row r="2240"/>
    <row r="2241"/>
    <row r="2242"/>
    <row r="2243"/>
    <row r="2244"/>
    <row r="2245"/>
    <row r="2246"/>
    <row r="2247"/>
    <row r="2248"/>
    <row r="2249"/>
    <row r="2250"/>
    <row r="2251"/>
    <row r="2252"/>
    <row r="2253"/>
    <row r="2254"/>
    <row r="2255"/>
    <row r="2256"/>
    <row r="2257"/>
    <row r="2258"/>
    <row r="2259"/>
    <row r="2260"/>
    <row r="2261"/>
    <row r="2262"/>
    <row r="2263"/>
    <row r="2264"/>
    <row r="2265"/>
    <row r="2266"/>
    <row r="2267"/>
    <row r="2268"/>
    <row r="2269"/>
    <row r="2270"/>
    <row r="2271"/>
    <row r="2272"/>
    <row r="2273"/>
    <row r="2274"/>
    <row r="227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2026-01-23T20:49:42Z</dcterms:created>
  <dcterms:modified xsi:type="dcterms:W3CDTF">2026-02-02T21:14:06Z</dcterms:modified>
  <cp:category/>
  <cp:contentStatus/>
</cp:coreProperties>
</file>